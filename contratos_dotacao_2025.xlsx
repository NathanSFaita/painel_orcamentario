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pivotTables/pivotTable3.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loudprodamazhotmail-my.sharepoint.com/personal/nsfaita_prefeitura_sp_gov_br/Documents/painel orçamentário/python/"/>
    </mc:Choice>
  </mc:AlternateContent>
  <xr:revisionPtr revIDLastSave="2" documentId="11_13C9F3ACD3C05122F3793511595ED87656DE9202" xr6:coauthVersionLast="47" xr6:coauthVersionMax="47" xr10:uidLastSave="{F5FB2E04-F811-466D-9DAC-3EE93A98424F}"/>
  <bookViews>
    <workbookView xWindow="-120" yWindow="-120" windowWidth="29040" windowHeight="15720" xr2:uid="{00000000-000D-0000-FFFF-FFFF00000000}"/>
  </bookViews>
  <sheets>
    <sheet name="Detalhes2" sheetId="10" r:id="rId1"/>
    <sheet name="Planilha2" sheetId="3" r:id="rId2"/>
    <sheet name="API" sheetId="1" r:id="rId3"/>
    <sheet name="Detalhes1" sheetId="7" r:id="rId4"/>
    <sheet name="Planilha3" sheetId="4" r:id="rId5"/>
    <sheet name="CAF-parcerias" sheetId="2" r:id="rId6"/>
    <sheet name="Planilha5" sheetId="9" r:id="rId7"/>
    <sheet name="smdhc-caf e parcerias" sheetId="8" r:id="rId8"/>
  </sheets>
  <calcPr calcId="191029"/>
  <pivotCaches>
    <pivotCache cacheId="98" r:id="rId9"/>
    <pivotCache cacheId="40" r:id="rId10"/>
    <pivotCache cacheId="97" r:id="rId11"/>
  </pivotCaches>
</workbook>
</file>

<file path=xl/calcChain.xml><?xml version="1.0" encoding="utf-8"?>
<calcChain xmlns="http://schemas.openxmlformats.org/spreadsheetml/2006/main">
  <c r="E551" i="2" l="1"/>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F502" i="2"/>
  <c r="F501" i="2"/>
  <c r="F492" i="2"/>
  <c r="F487" i="2"/>
  <c r="S121" i="1"/>
  <c r="S244" i="1"/>
  <c r="S111" i="1"/>
  <c r="S167" i="1"/>
  <c r="S114" i="1"/>
  <c r="S160" i="1"/>
  <c r="S109" i="1"/>
  <c r="S106" i="1"/>
  <c r="S119" i="1"/>
  <c r="S62" i="1"/>
  <c r="S3" i="1"/>
  <c r="S35" i="1"/>
  <c r="S343" i="1"/>
  <c r="S281" i="1"/>
  <c r="S98" i="1"/>
  <c r="S20" i="1"/>
  <c r="S30" i="1"/>
  <c r="S21" i="1"/>
  <c r="S84" i="1"/>
  <c r="S133" i="1"/>
  <c r="S222" i="1"/>
  <c r="S56" i="1"/>
  <c r="S70" i="1"/>
  <c r="S94" i="1"/>
  <c r="S67" i="1"/>
  <c r="S68" i="1"/>
  <c r="S85" i="1"/>
  <c r="S16" i="1"/>
  <c r="S33" i="1"/>
  <c r="S65" i="1"/>
  <c r="S72" i="1"/>
  <c r="S44" i="1"/>
  <c r="S324" i="1"/>
  <c r="S87" i="1"/>
  <c r="S45" i="1"/>
  <c r="S42" i="1"/>
  <c r="S11" i="1"/>
  <c r="S10" i="1"/>
  <c r="S15" i="1"/>
  <c r="S14" i="1"/>
  <c r="S25" i="1"/>
  <c r="S29" i="1"/>
  <c r="S34" i="1"/>
  <c r="S28" i="1"/>
  <c r="S8" i="1"/>
  <c r="S31" i="1"/>
  <c r="S12" i="1"/>
  <c r="S13" i="1"/>
  <c r="S23" i="1"/>
  <c r="S24" i="1"/>
  <c r="S22" i="1"/>
  <c r="S19" i="1"/>
  <c r="S59" i="1"/>
  <c r="S268" i="1"/>
  <c r="S129" i="1"/>
  <c r="S71" i="1"/>
  <c r="S36" i="1"/>
  <c r="S32" i="1"/>
  <c r="S49" i="1"/>
  <c r="S274" i="1"/>
  <c r="S58" i="1"/>
  <c r="S77" i="1"/>
  <c r="S40" i="1"/>
  <c r="S6" i="1"/>
  <c r="S302" i="1"/>
  <c r="S110" i="1"/>
  <c r="S322" i="1"/>
  <c r="S280" i="1"/>
  <c r="S5" i="1"/>
  <c r="S17" i="1"/>
  <c r="S7" i="1"/>
  <c r="S47" i="1"/>
  <c r="S143" i="1"/>
  <c r="S243" i="1"/>
  <c r="S51" i="1"/>
  <c r="S97" i="1"/>
  <c r="S262" i="1"/>
  <c r="S316" i="1"/>
  <c r="S168" i="1"/>
  <c r="S205" i="1"/>
  <c r="S74" i="1"/>
  <c r="S219" i="1"/>
  <c r="S352" i="1"/>
  <c r="S124" i="1"/>
  <c r="S204" i="1"/>
  <c r="S175" i="1"/>
  <c r="S196" i="1"/>
  <c r="S81" i="1"/>
  <c r="S95" i="1"/>
  <c r="S201" i="1"/>
  <c r="S162" i="1"/>
  <c r="S66" i="1"/>
  <c r="S115" i="1"/>
  <c r="S128" i="1"/>
  <c r="S346" i="1"/>
  <c r="S300" i="1"/>
  <c r="S57" i="1"/>
  <c r="S60" i="1"/>
  <c r="S73" i="1"/>
  <c r="S146" i="1"/>
  <c r="S2" i="1"/>
  <c r="S102" i="1"/>
  <c r="S46" i="1"/>
  <c r="S76" i="1"/>
  <c r="S283" i="1"/>
  <c r="S190" i="1"/>
  <c r="S99" i="1"/>
  <c r="S178" i="1"/>
  <c r="S156" i="1"/>
  <c r="S91" i="1"/>
  <c r="S251" i="1"/>
  <c r="S149" i="1"/>
  <c r="S327" i="1"/>
  <c r="S122" i="1"/>
  <c r="S54" i="1"/>
  <c r="S101" i="1"/>
  <c r="S48" i="1"/>
  <c r="S177" i="1"/>
  <c r="S227" i="1"/>
  <c r="S228" i="1"/>
  <c r="S112" i="1"/>
  <c r="S173" i="1"/>
  <c r="S155" i="1"/>
  <c r="S69" i="1"/>
  <c r="S100" i="1"/>
  <c r="S163" i="1"/>
  <c r="S277" i="1"/>
  <c r="S240" i="1"/>
  <c r="S250" i="1"/>
  <c r="S55" i="1"/>
  <c r="S90" i="1"/>
  <c r="S224" i="1"/>
  <c r="S80" i="1"/>
  <c r="S96" i="1"/>
  <c r="S18" i="1"/>
  <c r="S26" i="1"/>
  <c r="S27" i="1"/>
  <c r="S61" i="1"/>
  <c r="S93" i="1"/>
  <c r="S157" i="1"/>
  <c r="S86" i="1"/>
  <c r="S41" i="1"/>
  <c r="S148" i="1"/>
  <c r="S282" i="1"/>
  <c r="S211" i="1"/>
  <c r="S221" i="1"/>
  <c r="S142" i="1"/>
  <c r="S63" i="1"/>
  <c r="S195" i="1"/>
  <c r="S39" i="1"/>
  <c r="S38" i="1"/>
  <c r="S50" i="1"/>
  <c r="S137" i="1"/>
  <c r="S64" i="1"/>
  <c r="S4" i="1"/>
  <c r="S328" i="1"/>
  <c r="S347" i="1"/>
  <c r="S266" i="1"/>
  <c r="S136" i="1"/>
  <c r="S276" i="1"/>
  <c r="S130" i="1"/>
  <c r="S83" i="1"/>
  <c r="S78" i="1"/>
  <c r="S88" i="1"/>
  <c r="S79" i="1"/>
  <c r="S348" i="1"/>
  <c r="S108" i="1"/>
  <c r="S303" i="1"/>
  <c r="S75" i="1"/>
  <c r="S158" i="1"/>
  <c r="S52" i="1"/>
  <c r="S174" i="1"/>
  <c r="S105" i="1"/>
  <c r="S249" i="1"/>
  <c r="S169" i="1"/>
  <c r="S193" i="1"/>
  <c r="S92" i="1"/>
  <c r="S82" i="1"/>
  <c r="S172" i="1"/>
  <c r="S141" i="1"/>
  <c r="S132" i="1"/>
  <c r="S125" i="1"/>
  <c r="S202" i="1"/>
  <c r="S134" i="1"/>
  <c r="S9" i="1"/>
  <c r="S252" i="1"/>
  <c r="S191" i="1"/>
  <c r="S145" i="1"/>
  <c r="S388" i="1"/>
  <c r="S344" i="1"/>
  <c r="S275" i="1"/>
  <c r="S389" i="1"/>
  <c r="S238" i="1"/>
  <c r="S301" i="1"/>
  <c r="S351" i="1"/>
  <c r="S386" i="1"/>
  <c r="S103" i="1"/>
  <c r="S390" i="1"/>
  <c r="S345" i="1"/>
  <c r="S387" i="1"/>
  <c r="S263" i="1"/>
  <c r="S326" i="1"/>
  <c r="S140" i="1"/>
  <c r="S299" i="1"/>
  <c r="S349" i="1"/>
  <c r="S304" i="1"/>
  <c r="S291" i="1"/>
  <c r="S159" i="1"/>
  <c r="S312" i="1"/>
  <c r="S144" i="1"/>
  <c r="S147" i="1"/>
  <c r="S321" i="1"/>
  <c r="S379" i="1"/>
  <c r="S317" i="1"/>
  <c r="S273" i="1"/>
  <c r="S292" i="1"/>
  <c r="S194" i="1"/>
  <c r="S314" i="1"/>
  <c r="S199" i="1"/>
  <c r="S353" i="1"/>
  <c r="S354" i="1"/>
  <c r="S192" i="1"/>
  <c r="S355" i="1"/>
  <c r="S356" i="1"/>
  <c r="S357" i="1"/>
  <c r="S358" i="1"/>
  <c r="S359" i="1"/>
  <c r="S360" i="1"/>
  <c r="S361" i="1"/>
  <c r="S362" i="1"/>
  <c r="S363" i="1"/>
  <c r="S267" i="1"/>
  <c r="S293" i="1"/>
  <c r="S364" i="1"/>
  <c r="S365" i="1"/>
  <c r="S366" i="1"/>
  <c r="S232" i="1"/>
  <c r="S336" i="1"/>
  <c r="S367" i="1"/>
  <c r="S368" i="1"/>
  <c r="S305" i="1"/>
  <c r="S329" i="1"/>
  <c r="S118" i="1"/>
  <c r="S198" i="1"/>
  <c r="S297" i="1"/>
  <c r="S164" i="1"/>
  <c r="S138" i="1"/>
  <c r="S339" i="1"/>
  <c r="S261" i="1"/>
  <c r="S213" i="1"/>
  <c r="S391" i="1"/>
  <c r="S320" i="1"/>
  <c r="S152" i="1"/>
  <c r="S307" i="1"/>
  <c r="S381" i="1"/>
  <c r="S382" i="1"/>
  <c r="S383" i="1"/>
  <c r="S384" i="1"/>
  <c r="S385" i="1"/>
  <c r="S278" i="1"/>
  <c r="S286" i="1"/>
  <c r="S290" i="1"/>
  <c r="S209" i="1"/>
  <c r="S315" i="1"/>
  <c r="S245" i="1"/>
  <c r="S226" i="1"/>
  <c r="S176" i="1"/>
  <c r="S116" i="1"/>
  <c r="S264" i="1"/>
  <c r="S197" i="1"/>
  <c r="S350" i="1"/>
  <c r="S153" i="1"/>
  <c r="S323" i="1"/>
  <c r="S203" i="1"/>
  <c r="S37" i="1"/>
  <c r="S165" i="1"/>
  <c r="S89" i="1"/>
  <c r="S285" i="1"/>
  <c r="S150" i="1"/>
  <c r="S171" i="1"/>
  <c r="S131" i="1"/>
  <c r="S214" i="1"/>
  <c r="S241" i="1"/>
  <c r="S43" i="1"/>
  <c r="S294" i="1"/>
  <c r="S295" i="1"/>
  <c r="S287" i="1"/>
  <c r="S369" i="1"/>
  <c r="S370" i="1"/>
  <c r="S239" i="1"/>
  <c r="S371" i="1"/>
  <c r="S372" i="1"/>
  <c r="S373" i="1"/>
  <c r="S374" i="1"/>
  <c r="S375" i="1"/>
  <c r="S376" i="1"/>
  <c r="S377" i="1"/>
  <c r="S378" i="1"/>
  <c r="S306" i="1"/>
  <c r="S123" i="1"/>
  <c r="S210" i="1"/>
  <c r="S161" i="1"/>
  <c r="S53" i="1"/>
  <c r="S135" i="1"/>
  <c r="S104" i="1"/>
  <c r="S126" i="1"/>
  <c r="S313" i="1"/>
  <c r="S338" i="1"/>
  <c r="S212" i="1"/>
  <c r="S265" i="1"/>
  <c r="S220" i="1"/>
  <c r="S284" i="1"/>
  <c r="S139" i="1"/>
  <c r="S311" i="1"/>
  <c r="S325" i="1"/>
  <c r="S218" i="1"/>
  <c r="S254" i="1"/>
  <c r="S154" i="1"/>
  <c r="S120" i="1"/>
  <c r="S270" i="1"/>
  <c r="S298" i="1"/>
  <c r="S279" i="1"/>
  <c r="S225" i="1"/>
  <c r="S253" i="1"/>
  <c r="S206" i="1"/>
  <c r="S179" i="1"/>
  <c r="S207" i="1"/>
  <c r="S166" i="1"/>
  <c r="S308" i="1"/>
  <c r="S180" i="1"/>
  <c r="S181" i="1"/>
  <c r="S182" i="1"/>
  <c r="S229" i="1"/>
  <c r="S233" i="1"/>
  <c r="S183" i="1"/>
  <c r="S309" i="1"/>
  <c r="S246" i="1"/>
  <c r="S208" i="1"/>
  <c r="S340" i="1"/>
  <c r="S330" i="1"/>
  <c r="S255" i="1"/>
  <c r="S184" i="1"/>
  <c r="S247" i="1"/>
  <c r="S288" i="1"/>
  <c r="S230" i="1"/>
  <c r="S331" i="1"/>
  <c r="S215" i="1"/>
  <c r="S332" i="1"/>
  <c r="S248" i="1"/>
  <c r="S333" i="1"/>
  <c r="S341" i="1"/>
  <c r="S185" i="1"/>
  <c r="S151" i="1"/>
  <c r="S231" i="1"/>
  <c r="S234" i="1"/>
  <c r="S256" i="1"/>
  <c r="S216" i="1"/>
  <c r="S318" i="1"/>
  <c r="S289" i="1"/>
  <c r="S217" i="1"/>
  <c r="S269" i="1"/>
  <c r="S310" i="1"/>
  <c r="S186" i="1"/>
  <c r="S200" i="1"/>
  <c r="S235" i="1"/>
  <c r="S257" i="1"/>
  <c r="S187" i="1"/>
  <c r="S188" i="1"/>
  <c r="S258" i="1"/>
  <c r="S259" i="1"/>
  <c r="S342" i="1"/>
  <c r="S189" i="1"/>
  <c r="S296" i="1"/>
  <c r="S236" i="1"/>
  <c r="S334" i="1"/>
  <c r="S319" i="1"/>
  <c r="S260" i="1"/>
  <c r="S335" i="1"/>
  <c r="S237" i="1"/>
  <c r="S380" i="1"/>
  <c r="S107" i="1"/>
  <c r="S223" i="1"/>
  <c r="S242" i="1"/>
  <c r="S272" i="1"/>
  <c r="S117" i="1"/>
  <c r="S127" i="1"/>
  <c r="S170" i="1"/>
  <c r="S113" i="1"/>
  <c r="S337" i="1"/>
  <c r="S271" i="1"/>
  <c r="E101" i="9"/>
</calcChain>
</file>

<file path=xl/sharedStrings.xml><?xml version="1.0" encoding="utf-8"?>
<sst xmlns="http://schemas.openxmlformats.org/spreadsheetml/2006/main" count="20032" uniqueCount="3156">
  <si>
    <t>codEmpresa</t>
  </si>
  <si>
    <t>txtDescricaoOrgao</t>
  </si>
  <si>
    <t>codOrgao</t>
  </si>
  <si>
    <t>UO</t>
  </si>
  <si>
    <t>Funcao</t>
  </si>
  <si>
    <t>SubFuncao</t>
  </si>
  <si>
    <t>Programa</t>
  </si>
  <si>
    <t>ProjAtiv</t>
  </si>
  <si>
    <t>Despesa</t>
  </si>
  <si>
    <t>dotacao_completa</t>
  </si>
  <si>
    <t>codTipoContratacao</t>
  </si>
  <si>
    <t>txtTipoContratacao</t>
  </si>
  <si>
    <t>codModalidade</t>
  </si>
  <si>
    <t>txtDescricaoModalidade</t>
  </si>
  <si>
    <t>anoContrato</t>
  </si>
  <si>
    <t>codContrato</t>
  </si>
  <si>
    <t>numOriginalContrato</t>
  </si>
  <si>
    <t>codProcesso</t>
  </si>
  <si>
    <t>txtObjetoContrato</t>
  </si>
  <si>
    <t>datAssinaturaContrato</t>
  </si>
  <si>
    <t>datPublicacaoContrato</t>
  </si>
  <si>
    <t>datVigencia</t>
  </si>
  <si>
    <t>VigenciaMeses</t>
  </si>
  <si>
    <t>situacaoContrato</t>
  </si>
  <si>
    <t>valPrincipal</t>
  </si>
  <si>
    <t>valReajustes</t>
  </si>
  <si>
    <t>valAditamentos</t>
  </si>
  <si>
    <t>valAnulacao</t>
  </si>
  <si>
    <t>valTotal</t>
  </si>
  <si>
    <t>valMensal</t>
  </si>
  <si>
    <t>valAnual</t>
  </si>
  <si>
    <t>valTotal_proporcional</t>
  </si>
  <si>
    <t>valMensal_proporcional</t>
  </si>
  <si>
    <t>valAnual_proporcional</t>
  </si>
  <si>
    <t>valTotalEmpenhado</t>
  </si>
  <si>
    <t>valAnuladoEmpenho</t>
  </si>
  <si>
    <t>valEmpenhadoLiquido</t>
  </si>
  <si>
    <t>valLiquidado</t>
  </si>
  <si>
    <t>valPago</t>
  </si>
  <si>
    <t>datExtracao</t>
  </si>
  <si>
    <t>chave</t>
  </si>
  <si>
    <t>percentual_pivot</t>
  </si>
  <si>
    <t>01</t>
  </si>
  <si>
    <t>Secretaria Municipal de Direitos Humanos e Cidadania</t>
  </si>
  <si>
    <t>34</t>
  </si>
  <si>
    <t>10</t>
  </si>
  <si>
    <t>33489000</t>
  </si>
  <si>
    <t>34.10.14.244.3013.4329.33904800</t>
  </si>
  <si>
    <t>55</t>
  </si>
  <si>
    <t>Nota de Empenho Transferência Valores para Cta Única-Tesouro Municipal</t>
  </si>
  <si>
    <t>Não Aplicável</t>
  </si>
  <si>
    <t>6074202400106042</t>
  </si>
  <si>
    <t>Pagamento do Auxílio Ampara Exercício 2025, por intermédio do Banco do Brasil.</t>
  </si>
  <si>
    <t>01/01/2026 00:00:00</t>
  </si>
  <si>
    <t>Desconhecida</t>
  </si>
  <si>
    <t>07-07-2025</t>
  </si>
  <si>
    <t>6074202400106042|34.10.14.244.3013.4329.33904800</t>
  </si>
  <si>
    <t>33399000</t>
  </si>
  <si>
    <t>41</t>
  </si>
  <si>
    <t>Nota de Empenho de Serviços com fornecimento de materiais / peças</t>
  </si>
  <si>
    <t>Pregão</t>
  </si>
  <si>
    <t>6074202500001293</t>
  </si>
  <si>
    <t>prestação de serviços de fornecimento de de Coffee Break Tipo I ,  para atender os participantes do evento que celebrará o dia Nacional de Combate à Intolerância Religiosa, realizado pela  da Coordenação de Promoção da Igualdade Racial- SMDHC</t>
  </si>
  <si>
    <t>22/01/2025 00:00:00</t>
  </si>
  <si>
    <t>6074202500001293|34.10.14.244.3013.4329.33904800</t>
  </si>
  <si>
    <t>2</t>
  </si>
  <si>
    <t>Termo de Contrato - Serviços</t>
  </si>
  <si>
    <t>003/SMDHC/2025</t>
  </si>
  <si>
    <t>6074202400089385</t>
  </si>
  <si>
    <t>Prestação de Serviços por empresa especializada na prestação de serviços de assistência técnica e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sede da Secretaria Municipal de Direitos Humanos e Cidadania – SMDHC.</t>
  </si>
  <si>
    <t>27/01/2025 00:00:00</t>
  </si>
  <si>
    <t>30/01/2025 00:00:00</t>
  </si>
  <si>
    <t>16/02/2030 00:00:00</t>
  </si>
  <si>
    <t>Vigente</t>
  </si>
  <si>
    <t>6074202400089385|34.10.14.244.3013.4329.33904800</t>
  </si>
  <si>
    <t>002/SMDHC/2024</t>
  </si>
  <si>
    <t>6074202300102770</t>
  </si>
  <si>
    <t>Prestação de serviços técnicos especializados para manutenção preventiva e corretiva de 1 (um) elevador instalado na Casa de Passagem, incluindo assistência técnica, fornecimento de mão de obra especializada e todo o material, tais como ferramentas e equipamentos a serem utilizados nessa prestação de serviço.</t>
  </si>
  <si>
    <t>22/01/2024 00:00:00</t>
  </si>
  <si>
    <t>08/02/2024 00:00:00</t>
  </si>
  <si>
    <t>19/02/2026 00:00:00</t>
  </si>
  <si>
    <t>6074202300102770|34.10.14.244.3013.4329.33904800</t>
  </si>
  <si>
    <t>33409000</t>
  </si>
  <si>
    <t>030/SMDHC/2022</t>
  </si>
  <si>
    <t>6074202100075184</t>
  </si>
  <si>
    <t>Contratação de empresa especializada para a prestação de serviços continuados de locação de Computadores de uso Corporativos  para suprir a necessidade da Secretaria Municipal de Direitos Humanos e Cidadania, conforme especificações</t>
  </si>
  <si>
    <t>09/03/2022 00:00:00</t>
  </si>
  <si>
    <t>11/03/2022 00:00:00</t>
  </si>
  <si>
    <t>08/03/2026 00:00:00</t>
  </si>
  <si>
    <t>6074202100075184|34.10.14.244.3013.4329.33904800</t>
  </si>
  <si>
    <t>Fundo de Abastecimento Alimentar de São Paulo</t>
  </si>
  <si>
    <t>78</t>
  </si>
  <si>
    <t>293/SMDHC/2023</t>
  </si>
  <si>
    <t>6074202300067967</t>
  </si>
  <si>
    <t>Contratação de empresa especializada em locação de impressoras corporativas, incluindo a prestação de serviços de manutenção preventiva e corretiva, fornecimento de peças e suprimentos necessários, para atender as necessidades dos equipamentos da Secretaria Municipal de Direito Humanos e Cidadania - SMDHC.</t>
  </si>
  <si>
    <t>29/08/2023 00:00:00</t>
  </si>
  <si>
    <t>12/09/2023 00:00:00</t>
  </si>
  <si>
    <t>28/08/2024 00:00:00</t>
  </si>
  <si>
    <t>Encerrado</t>
  </si>
  <si>
    <t>6074202300067967|34.10.14.244.3013.4329.33904800</t>
  </si>
  <si>
    <t>28/08/2025 00:00:00</t>
  </si>
  <si>
    <t>33339000</t>
  </si>
  <si>
    <t>065/SMDHC/2023</t>
  </si>
  <si>
    <t>6074202300019210</t>
  </si>
  <si>
    <t>Prestação de serviços de agenciamento de Passagens Aéreas Nacionais, mediante disponibilização de sistema de gestão de viagens corporativas - ATA DE REGISTRO DE PREÇOS n. 003/SEGES-COBES/2021</t>
  </si>
  <si>
    <t>28/03/2023 00:00:00</t>
  </si>
  <si>
    <t>30/03/2023 00:00:00</t>
  </si>
  <si>
    <t>01/07/2026 00:00:00</t>
  </si>
  <si>
    <t>6074202300019210|34.10.14.244.3013.4329.33904800</t>
  </si>
  <si>
    <t>079/SMDHC/2023</t>
  </si>
  <si>
    <t>6074202300020634</t>
  </si>
  <si>
    <t>Prestação de serviços de agenciamento de passagens aéreas, mediante disponibilização de sistema de gestão de viagens corporativas - ATA DE REGISTRO DE PREÇOS nº 004/SEGES-COBES/2021 - Passagens Aéreas Internacionais</t>
  </si>
  <si>
    <t>24/04/2023 00:00:00</t>
  </si>
  <si>
    <t>26/04/2023 00:00:00</t>
  </si>
  <si>
    <t>6074202300020634|34.10.14.244.3013.4329.33904800</t>
  </si>
  <si>
    <t>Dispensa de Licitação</t>
  </si>
  <si>
    <t>9912565743</t>
  </si>
  <si>
    <t>6074202100086755</t>
  </si>
  <si>
    <t>Contratação de empresa para prestação de serviços postais</t>
  </si>
  <si>
    <t>05/02/2022 00:00:00</t>
  </si>
  <si>
    <t>01/02/2025 00:00:00</t>
  </si>
  <si>
    <t>6074202100086755|34.10.14.244.3013.4329.33904800</t>
  </si>
  <si>
    <t>33395000</t>
  </si>
  <si>
    <t>22</t>
  </si>
  <si>
    <t>Termo de Colaboração - Lei Federal 13.019/2014</t>
  </si>
  <si>
    <t>019/2024/SMDHC/CPM</t>
  </si>
  <si>
    <t>6074202400085533</t>
  </si>
  <si>
    <t>Termo de Colaboração. Edital de Chamamento Público Nº CPB/003/2024/SMDHC/CPM. Objeto. Gestão da Casa da Mulher Brasileira, Postos Avançados de Atendimento à Mulher e Unidade Móvel de Atendimento à Mulher.</t>
  </si>
  <si>
    <t>31/10/2024 00:00:00</t>
  </si>
  <si>
    <t>04/11/2024 00:00:00</t>
  </si>
  <si>
    <t>31/10/2029 00:00:00</t>
  </si>
  <si>
    <t>6074202400085533|34.10.14.244.3013.4329.33904800</t>
  </si>
  <si>
    <t>TCL/002/2020/SMDHC</t>
  </si>
  <si>
    <t>6074202000012180</t>
  </si>
  <si>
    <t>Celebração de Termo de Colaboração com a entidade “Associação Franciscana de Solidariedade” -  advindo da seleção de proposta do edital de chamamento público nº dital CPB/005/2020/SMDHC/CPIPTD, para gerenciar o Centro de Referência e Atendimento para Imigrantes (CRAI).</t>
  </si>
  <si>
    <t>19/05/2020 00:00:00</t>
  </si>
  <si>
    <t>03/06/2020 00:00:00</t>
  </si>
  <si>
    <t>26/05/2026 00:00:00</t>
  </si>
  <si>
    <t>6074202000012180|34.10.14.244.3013.4329.33904800</t>
  </si>
  <si>
    <t>009/SMDHC/2023</t>
  </si>
  <si>
    <t>6074202500005183</t>
  </si>
  <si>
    <t>Contratação de empresa especializada na prestação de serviços de Coffee Break, de Brunch e de Kit Lanche - ATA DE REGISTRO DE PREÇOS Nº 009/SMDHC/2023 (LOTE 1 – item 1 e item 2 )– Processo nº 6074.2024/0003669-9</t>
  </si>
  <si>
    <t>24/01/2025 00:00:00</t>
  </si>
  <si>
    <t>26/01/2025 00:00:00</t>
  </si>
  <si>
    <t>6074202500005183|34.10.14.244.3013.4329.33904800</t>
  </si>
  <si>
    <t>6074202500002877</t>
  </si>
  <si>
    <t>prestação de serviços fornecimento de Coffee Break Tipo I para atender os participantes do Dia Nacional do Combate ao Trabalho Escravo realizado pela Coordenação de Políticas para Imigrantes e Promoção do Trabalho Decente.</t>
  </si>
  <si>
    <t>31/01/2025 00:00:00</t>
  </si>
  <si>
    <t>6074202500002877|34.10.14.244.3013.4329.33904800</t>
  </si>
  <si>
    <t>147/SMDHC/2022</t>
  </si>
  <si>
    <t>6074202200028994</t>
  </si>
  <si>
    <t>Contratação de empresa para prestação de serviços de manutenção preventiva e corretiva da Unidade Móvel de atendimento às Mulheres Vitimas de Violência Doméstica, incluindo fornecimento de peças e acessórios</t>
  </si>
  <si>
    <t>02/08/2022 00:00:00</t>
  </si>
  <si>
    <t>05/08/2022 00:00:00</t>
  </si>
  <si>
    <t>02/02/2025 00:00:00</t>
  </si>
  <si>
    <t>6074202200028994|34.10.14.244.3013.4329.33904800</t>
  </si>
  <si>
    <t>62/203/SMDHC/ODH</t>
  </si>
  <si>
    <t>6074202300097688</t>
  </si>
  <si>
    <t>Objeto "Gestão do Núcleos de Atendimentos em Direitos Humanos NDH(s) de São Mateus, São Miguel Paulista e Cidade Tiradentes"</t>
  </si>
  <si>
    <t>30/10/2023 00:00:00</t>
  </si>
  <si>
    <t>31/10/2023 00:00:00</t>
  </si>
  <si>
    <t>01/11/2026 00:00:00</t>
  </si>
  <si>
    <t>6074202300097688|34.10.14.244.3013.4329.33904800</t>
  </si>
  <si>
    <t>61/2023/SMDHC/ODH</t>
  </si>
  <si>
    <t>6074202300097670</t>
  </si>
  <si>
    <t>Parceria. Termo de Colaboração. Edital de Chamamento Público Nº CPB/010/2023/SMDHC/ODH. Projeto "Núcleo de Direitos Humanos Lapa, Núcleo de Direitos Humanos Santana e Núcleo de Direitos Humanos Ipiranga”.</t>
  </si>
  <si>
    <t>06/11/2023 00:00:00</t>
  </si>
  <si>
    <t>13/08/2026 00:00:00</t>
  </si>
  <si>
    <t>6074202300097670|34.10.14.244.3013.4329.33904800</t>
  </si>
  <si>
    <t>63/2023/SMDHC/ODH</t>
  </si>
  <si>
    <t>6074202300097696</t>
  </si>
  <si>
    <t>Parceria. Termo de Colaboração. Edital de Chamamento Público Nº CPB/010/2023/SMDHC/ODH. Projeto " Gestão do Núcleos de Atendimentos em Direitos Humanos NDH(s) do Butantã, Campo Limpo, Jabaquara e Capela do Socorro”.</t>
  </si>
  <si>
    <t>6074202300097696|34.10.14.244.3013.4329.33904800</t>
  </si>
  <si>
    <t>018/SMDHC/2021</t>
  </si>
  <si>
    <t>6074202000057290</t>
  </si>
  <si>
    <t>Contratação de uma empresa especializada na prestação de serviços de manutenção predial, abrangendo as preventivas, corretivas referente à alvenaria, carpintaria, vidros e assistência técnica das instalações elétricas, das hidráulicas, da civil, de telefonia interna, do sistema de detecção de fumaça, de alarme, de combate a incêndio, de iluminação de emergência, de  pára-raios, gás para fogão, ar condicionado e de serviços gerais conexos, com fornecimento de mão de obra, peças e materiais necessários, inclusive ferramentas, equipamentos aparelhagens e acessórios necessários para a execução dos serviços, incluindo eventual necessidade de deslocamento de mobiliários e materiais de suporte necessários, para a Casa da Mulher Brasileira, situada na Rua Vieira Ravasco s/nº, Cambuci, CEP 01518 030, São Paulo – SP</t>
  </si>
  <si>
    <t>09/04/2021 00:00:00</t>
  </si>
  <si>
    <t>27/04/2021 00:00:00</t>
  </si>
  <si>
    <t>19/10/2025 00:00:00</t>
  </si>
  <si>
    <t>6074202000057290|34.10.14.244.3013.4329.33904800</t>
  </si>
  <si>
    <t>TC 018/SMDHC/2022</t>
  </si>
  <si>
    <t xml:space="preserve">Reembolso de materiais que serão substituídos, quando da manutenção da Unidade - MATERIAIS. </t>
  </si>
  <si>
    <t>26/04/2021 00:00:00</t>
  </si>
  <si>
    <t>6074202500002109</t>
  </si>
  <si>
    <t>Contratação de empresa especializada na prestação de serviços de Coffee Break , de Brunch e de Kit Lanche - ATA DE REGISTRO DE PREÇOS Nº 008/SMDHC/2023 (LOTE 1 – item 1 e item 2)– Processo nº 6074.2024/0003669-9</t>
  </si>
  <si>
    <t>6074202500002109|34.10.14.244.3013.4329.33904800</t>
  </si>
  <si>
    <t>33309000</t>
  </si>
  <si>
    <t>028/SMDHC/2020</t>
  </si>
  <si>
    <t>6074202000025363</t>
  </si>
  <si>
    <t>Contratação de empresa especializada para prestação de serviço de empresa especializada na prestação de serviços de manutenção predial, abrangendo as preventivas, corretivas e assistência técnica das instalações elétricas, das hidráulicas, da civil, de telefonia interna, do sistema de detecção de fumaça, de alarme, de combate a incêndio, de iluminação de emergência, de para-raios, ar condicionado e de serviços gerais conexos, com fornecimento estimado de peças e equipamentos, incluindo eventual necessidade de deslocamento de mobiliários e materiais de suporte necessários, nos imóveis de uso dos 52 Conselhos Tutelares do Município de São Paulo, localizados nos endereços constantes no Anexo I, supervisionados pela “Coordenação de Políticas para Crianças e Adolescentes - CPCA” da Secretaria Municipal de Direitos Humanos e Cidadania</t>
  </si>
  <si>
    <t>31/07/2020 00:00:00</t>
  </si>
  <si>
    <t>07/08/2020 00:00:00</t>
  </si>
  <si>
    <t>02/08/2027 00:00:00</t>
  </si>
  <si>
    <t>6074202000025363|34.10.14.244.3013.4329.33904800</t>
  </si>
  <si>
    <t>238/SMDHC/2024</t>
  </si>
  <si>
    <t>6074202400026510</t>
  </si>
  <si>
    <t>Contratação de empresa especializada para a prestação de Serviços de Impressão Corporativa, incluindo a prestação de serviços de manutenção preventiva e corretiva, fornecimento de peças e suprimentos necessários, para atender as necessidades da Secretaria Municipal de Direito Humanos e Cidadania - SMDHC.</t>
  </si>
  <si>
    <t>16/07/2024 00:00:00</t>
  </si>
  <si>
    <t>24/07/2024 00:00:00</t>
  </si>
  <si>
    <t>01/08/2026 00:00:00</t>
  </si>
  <si>
    <t>6074202400026510|34.10.14.244.3013.4329.33904800</t>
  </si>
  <si>
    <t>241/SMDHC/2024</t>
  </si>
  <si>
    <t>6074202400044934</t>
  </si>
  <si>
    <t>Prestação de serviços de comunicação de Voz VoIP para a Secretaria Municipal de Direitos Humanos e Cidadania – SMDHC.</t>
  </si>
  <si>
    <t>01/08/2024 00:00:00</t>
  </si>
  <si>
    <t>06/08/2024 00:00:00</t>
  </si>
  <si>
    <t>01/08/2025 00:00:00</t>
  </si>
  <si>
    <t>6074202400044934|34.10.14.244.3013.4329.33904800</t>
  </si>
  <si>
    <t>64</t>
  </si>
  <si>
    <t>Nota de Empenho-Fornecitº Serviços de Concessionárias de Abast.Público</t>
  </si>
  <si>
    <t>6074202400099151</t>
  </si>
  <si>
    <t>Consumo de Energia Elétrica - Exercício de 2025</t>
  </si>
  <si>
    <t>31/12/2024 00:00:00</t>
  </si>
  <si>
    <t>6074202400099151|34.10.14.244.3013.4329.33904800</t>
  </si>
  <si>
    <t>Recursos (estimados) para o Consumo de Energia Elétrica - Exercício de 2025.</t>
  </si>
  <si>
    <t>34.10.14.422.3007.4330.33903900</t>
  </si>
  <si>
    <t>6074202400099143</t>
  </si>
  <si>
    <t>6074202400099143|34.10.14.422.3007.4330.33903900</t>
  </si>
  <si>
    <t>002/SMDHC/2025</t>
  </si>
  <si>
    <t>6074202500004810</t>
  </si>
  <si>
    <t>Fornecimento de kits-hidratação para a população em situação de rua durante os dias de operação de Altas Temperaturas</t>
  </si>
  <si>
    <t>29/01/2025 00:00:00</t>
  </si>
  <si>
    <t>27/01/2026 00:00:00</t>
  </si>
  <si>
    <t>6074202500004810|34.10.14.422.3007.4330.33903900</t>
  </si>
  <si>
    <t>333/SMDHC/2020</t>
  </si>
  <si>
    <t>6074202300035836</t>
  </si>
  <si>
    <t>Contratação especializada na Prestação de Serviços Técnicos Especializados de Tecnologia da Informação, pela CONTRATADA, para Sustentação de TIC, para suporte dos negócios da CONTRATANTE, compatíveis com a sua finalidade e relacionados na Proposta Comercial PC-SMDHC-230301-26 – Versão 3.0.</t>
  </si>
  <si>
    <t>01/11/2023 00:00:00</t>
  </si>
  <si>
    <t>07/11/2023 00:00:00</t>
  </si>
  <si>
    <t>31/10/2025 00:00:00</t>
  </si>
  <si>
    <t>6074202300035836|34.10.14.422.3007.4330.33903900</t>
  </si>
  <si>
    <t>6074202400099127</t>
  </si>
  <si>
    <t xml:space="preserve"> Consumo de serviços de Água e Esgoto - Exercício de 2025.</t>
  </si>
  <si>
    <t>6074202400099127|34.10.14.422.3007.4330.33903900</t>
  </si>
  <si>
    <t>334/SMDHC/2023</t>
  </si>
  <si>
    <t>6074202300090888</t>
  </si>
  <si>
    <t>Plataforma de Colaboração e Produtividade.</t>
  </si>
  <si>
    <t>30/06/2026 00:00:00</t>
  </si>
  <si>
    <t>6074202300090888|34.10.14.422.3007.4330.33903900</t>
  </si>
  <si>
    <t>262/SMDHC/2024</t>
  </si>
  <si>
    <t>6074202400042915</t>
  </si>
  <si>
    <t xml:space="preserve">Prestação de Serviços de Acesso à Rede Corporativa PMSP e Internet SD-WAN para o suporte dos negócios para a Secretaria Municipal de Direitos Humanos e Cidadania – SMDHC.
 </t>
  </si>
  <si>
    <t>18/09/2024 00:00:00</t>
  </si>
  <si>
    <t>20/09/2024 00:00:00</t>
  </si>
  <si>
    <t>18/09/2025 00:00:00</t>
  </si>
  <si>
    <t>6074202400042915|34.10.14.422.3007.4330.33903900</t>
  </si>
  <si>
    <t>44529000</t>
  </si>
  <si>
    <t>5</t>
  </si>
  <si>
    <t>Nota de Empenho Fornecimento de Bens de Consumo e/ou Permanente</t>
  </si>
  <si>
    <t>6074202500001595</t>
  </si>
  <si>
    <t>Aquisição de pedestais de aço para televisores.</t>
  </si>
  <si>
    <t>08/02/2025 00:00:00</t>
  </si>
  <si>
    <t>6074202500001595|34.10.14.422.3007.4330.33903900</t>
  </si>
  <si>
    <t>6074202400099119</t>
  </si>
  <si>
    <t>Consumo de Água e Esgoto 2025 Conselho tutelar</t>
  </si>
  <si>
    <t>6074202400099119|34.10.14.422.3007.4330.33903900</t>
  </si>
  <si>
    <t>TLC/004/2020/SMDHC</t>
  </si>
  <si>
    <t>6074202000035504</t>
  </si>
  <si>
    <t>Implantação e gestão do “Centro de Cidadania LGBTI”, na Região Oeste, do “Programa Transcidadania” Regionalizado, estabelecido no Decreto Municipal n. 58.227/2018, bem como a operacionalização de uma “Unidade Móvel” prevista no Programa, pelo período de 24 (vinte e quatro) meses</t>
  </si>
  <si>
    <t>27/08/2020 00:00:00</t>
  </si>
  <si>
    <t>02/09/2020 00:00:00</t>
  </si>
  <si>
    <t>15/08/2025 00:00:00</t>
  </si>
  <si>
    <t>6074202000035504|34.10.14.422.3007.4330.33903900</t>
  </si>
  <si>
    <t>006/2019/SMDHC</t>
  </si>
  <si>
    <t>6074201900015846</t>
  </si>
  <si>
    <t>Celebração de Termo de Colaboração com a entidade “ASSOCIAÇÃO CULTURAL EDUCACIONAL E SOCIAL DYNAMITE - ACESD”, inscrita no CNPJ/MF nº. 07.157.970/0001-44, advindo da seleção de proposta do edital de chamamento público nº CPB/005/2019/SMDHC/CPLGBTI, para gerenciar o Centro de Cidadania Região Norte pelo período de 24 (vinte e quatro) meses.</t>
  </si>
  <si>
    <t>18/07/2019 00:00:00</t>
  </si>
  <si>
    <t>23/07/2019 00:00:00</t>
  </si>
  <si>
    <t>16/08/2025 00:00:00</t>
  </si>
  <si>
    <t>6074201900015846|34.10.14.422.3007.4330.33903900</t>
  </si>
  <si>
    <t>21/24/SMDHC/CPLGBI</t>
  </si>
  <si>
    <t>6074202400105305</t>
  </si>
  <si>
    <t>Parceria. Termo de Colaboração. Objeto: "Gestão do Centro de Referência LGBTI+ Edson Neris e Unidade Móvel LGBTI+ Sul (distrito Campo Limpo) - LOTE 2 , vinculado à Coordenação de Políticas para LGBTI+."</t>
  </si>
  <si>
    <t>19/12/2024 00:00:00</t>
  </si>
  <si>
    <t>23/12/2024 00:00:00</t>
  </si>
  <si>
    <t>19/12/2029 00:00:00</t>
  </si>
  <si>
    <t>6074202400105305|34.10.14.422.3007.4330.33903900</t>
  </si>
  <si>
    <t>23/24/SMDHC/CPLGBTI</t>
  </si>
  <si>
    <t>6074202400105321</t>
  </si>
  <si>
    <t>Parceria. Termo de Colaboração. Edital de Chamamento Público Nº CPB/001/2024/SMDHC/CPLGBTI. Objeto : "Gestão do Centro de Referência LGBTI+ Claudia Wonder e Unidade Móvel LGBTI+ Oeste (distrito Vila Sônia ou Butantã) - LOTE 4."</t>
  </si>
  <si>
    <t>27/12/2024 00:00:00</t>
  </si>
  <si>
    <t>23/12/2029 00:00:00</t>
  </si>
  <si>
    <t>6074202400105321|34.10.14.422.3007.4330.33903900</t>
  </si>
  <si>
    <t>20/24/SMDHC/CPLGBTI</t>
  </si>
  <si>
    <t>6074202400105283</t>
  </si>
  <si>
    <t>Parceria. Termo de Colaboração. Objeto: "Gestão do Centro de Referência LGBTI+ Luana Barbosa dos Reis e Unidade Móvel LGBTI+ Norte (distrito Brasilândia ou Pirituba) - LOTE 1"</t>
  </si>
  <si>
    <t>26/12/2024 00:00:00</t>
  </si>
  <si>
    <t>26/12/2029 00:00:00</t>
  </si>
  <si>
    <t>6074202400105283|34.10.14.422.3007.4330.33903900</t>
  </si>
  <si>
    <t>22/24/SMDHC/CPLGBTI</t>
  </si>
  <si>
    <t>6074202400105313</t>
  </si>
  <si>
    <t>Parceria. Termo de Colaboração. Edital de Chamamento Público Nº CPB/001/2024/SMDHC/CPLGBTI. Objeto: "Gestão do Centro Laura Vermont e Unidade Móvel de Referência em Direitos Humanos e Cidadania LGBTI+ - Lote 3."</t>
  </si>
  <si>
    <t>6074202400105313|34.10.14.422.3007.4330.33903900</t>
  </si>
  <si>
    <t>54/2023/SMDHC/CPM</t>
  </si>
  <si>
    <t>6074202300078993</t>
  </si>
  <si>
    <t>Parceria. Termo de Colaboração. Edital de Chamamento Público Nº CPB/003/2023/SMDHC/CPM. Projeto "Gestão do Centro de Referência e Cidadania da Mulher CRCM - Casa da Mulher Distrito da Zona Oeste - Distrito Barra Funda”</t>
  </si>
  <si>
    <t>29/09/2023 00:00:00</t>
  </si>
  <si>
    <t>04/10/2023 00:00:00</t>
  </si>
  <si>
    <t>26/12/2026 00:00:00</t>
  </si>
  <si>
    <t>6074202300078993|34.10.14.422.3007.4330.33903900</t>
  </si>
  <si>
    <t>53/SMDHC/CPM</t>
  </si>
  <si>
    <t>6074202300078985</t>
  </si>
  <si>
    <t>Parceria. Termo de Colaboração. Edital de Chamamento Público Nº CPB/003/2023/SMDHC/CPM. Projeto "Gestão do Centro de Referência e Cidadania da Mulher CRCM - Casa da Mulher Rua Dr. Bacelar, 20 – Vila Clementino”</t>
  </si>
  <si>
    <t>30/09/2026 00:00:00</t>
  </si>
  <si>
    <t>6074202300078985|34.10.14.422.3007.4330.33903900</t>
  </si>
  <si>
    <t>51/2023/SMDHC/CPM</t>
  </si>
  <si>
    <t>6074202300078969</t>
  </si>
  <si>
    <t>Parceria. Termo de Colaboração. Edital de Chamamento Público Nº CPB/003/2023/SMDHC/CPM, Projeto "Gestão do Centro de Referência e Cidadania da Mulher CRCM - Casa da Mulher de Brasilândia”</t>
  </si>
  <si>
    <t>05/10/2023 00:00:00</t>
  </si>
  <si>
    <t>11/10/2023 00:00:00</t>
  </si>
  <si>
    <t>02/10/2026 00:00:00</t>
  </si>
  <si>
    <t>6074202300078969|34.10.14.422.3007.4330.33903900</t>
  </si>
  <si>
    <t>34.10.14.422.3013.6178.33503900</t>
  </si>
  <si>
    <t>52/2023/SMDHC/CPM</t>
  </si>
  <si>
    <t>6074202300078977</t>
  </si>
  <si>
    <t>Parceria. Termo de Colaboração. Edital de Chamamento Público Nº CPB/003/2023/SMDHC/CPM. Projeto "Gestão do Centro de Referência e Cidadania da Mulher CRCM - Casa da Mulher Distrito Campo Limpo - Capão Redondo"</t>
  </si>
  <si>
    <t>02/10/2023 00:00:00</t>
  </si>
  <si>
    <t>27/09/2026 00:00:00</t>
  </si>
  <si>
    <t>6074202300078977|34.10.14.422.3013.6178.33503900</t>
  </si>
  <si>
    <t>16/2023/SMDHC/CPM</t>
  </si>
  <si>
    <t>6074202400022337</t>
  </si>
  <si>
    <t>Objeto Gestão do Centro de Referência e Cidadania da Mulher CRCM - Casa da Mulher Itaquera e Casa da Mulher São Miguel.</t>
  </si>
  <si>
    <t>11/04/2024 00:00:00</t>
  </si>
  <si>
    <t>16/04/2024 00:00:00</t>
  </si>
  <si>
    <t>11/04/2027 00:00:00</t>
  </si>
  <si>
    <t>6074202400022337|34.10.14.422.3013.6178.33503900</t>
  </si>
  <si>
    <t>14/2024/SMDHC/CPM</t>
  </si>
  <si>
    <t>6074202400022310</t>
  </si>
  <si>
    <t>Objeto Gestão do Centro de Referência e Cidadania da Mulher CRCM - Casa da Mulher Parelheiros.</t>
  </si>
  <si>
    <t>6074202400022310|34.10.14.422.3013.6178.33503900</t>
  </si>
  <si>
    <t>15/2023/SMDHC/CPM</t>
  </si>
  <si>
    <t>6074202400022329</t>
  </si>
  <si>
    <t>Objeto  Gestão do Centro de Referência e Cidadania da Mulher CRCM - Casa da Mulher Vila Perus e Casa da Mulher Cachoeirinha.</t>
  </si>
  <si>
    <t>17/04/2024 00:00:00</t>
  </si>
  <si>
    <t>06/04/2027 00:00:00</t>
  </si>
  <si>
    <t>6074202400022329|34.10.14.422.3013.6178.33503900</t>
  </si>
  <si>
    <t>17/2024/SMDHC/CPM</t>
  </si>
  <si>
    <t>6074202400022353</t>
  </si>
  <si>
    <t>Objeto  Gestão do Centro de Referência e Cidadania da Mulher CRCM - Casa da Mulher Santo Amaro e Casa da Mulher Grajaú.</t>
  </si>
  <si>
    <t>6074202400022353|34.10.14.422.3013.6178.33503900</t>
  </si>
  <si>
    <t>66/2023/SMDHC/CPIR</t>
  </si>
  <si>
    <t>6074202300110722</t>
  </si>
  <si>
    <t>Termo de Colaboração - Gestão do Centro de Referência de Promoção da Igualdade Racial da Região Norte - Lote 1.</t>
  </si>
  <si>
    <t>05/12/2023 00:00:00</t>
  </si>
  <si>
    <t>06/12/2023 00:00:00</t>
  </si>
  <si>
    <t>05/12/2026 00:00:00</t>
  </si>
  <si>
    <t>6074202300110722|34.10.14.422.3013.6178.33503900</t>
  </si>
  <si>
    <t>068/SMDHC/CPIR</t>
  </si>
  <si>
    <t>6074202300110749</t>
  </si>
  <si>
    <t>Termo de Colaboração - Gestão do Centro de Referência de Promoção da Igualdade Racial da Região Leste - Lote 3.</t>
  </si>
  <si>
    <t>6074202300110749|34.10.14.422.3013.6178.33503900</t>
  </si>
  <si>
    <t>67/2023/SMDHC/CPIR</t>
  </si>
  <si>
    <t>6074202300110730</t>
  </si>
  <si>
    <t>Termo de Colaboração - Gestão do Centro de Referência de Promoção da Igualdade Racial da Região Sul - Lote 2.</t>
  </si>
  <si>
    <t>6074202300110730|34.10.14.422.3013.6178.33503900</t>
  </si>
  <si>
    <t>23</t>
  </si>
  <si>
    <t>Termo de Fomento - Lei Federal 13.019/2014</t>
  </si>
  <si>
    <t>069/2023/SMDHC/CPIR</t>
  </si>
  <si>
    <t>6074202300110757</t>
  </si>
  <si>
    <t>Gestão do Centros de Referência de Promoção da Igualdade Racial da Região Centro e Oeste - Lote 4.</t>
  </si>
  <si>
    <t>6074202300110757|34.10.14.422.3013.6178.33503900</t>
  </si>
  <si>
    <t>34.10.14.243.3013.2157.33904600</t>
  </si>
  <si>
    <t>059/SMDHC/2023</t>
  </si>
  <si>
    <t>6074202200032010</t>
  </si>
  <si>
    <t>Contratação de empresa especializada na administração e gerenciamento de frota veicular, incluindo motorista, combustível, quilometragem livre, central de chamadas, estacionamento 24 (vinte e quatro) horas, para o atendimento de 05 (cinco) veículos, sendo destes 03 (três) da Coordenação de Promoção da Igualdade Racial – CPIR e 02 (dois) da Coordenação de Políticas paras as Mulheres – CPM, unidades afeitas à Secretaria Municipal de Direitos Humanos e Cidadania – SMDHC</t>
  </si>
  <si>
    <t>08/02/2023 00:00:00</t>
  </si>
  <si>
    <t>10/02/2023 00:00:00</t>
  </si>
  <si>
    <t>09/02/2026 00:00:00</t>
  </si>
  <si>
    <t>6074202200032010|34.10.14.243.3013.2157.33904600</t>
  </si>
  <si>
    <t>34.10.14.422.3018.4334.33903900</t>
  </si>
  <si>
    <t>336/SMDHC/2024</t>
  </si>
  <si>
    <t>6074202400065419</t>
  </si>
  <si>
    <t>Contratação de empresa especializada na prestação de Serviços de Controle de Pragas Urbanas e Vetores, compreendendo Desinsetização, Desratização e Descupinização em todas as áreas internas e externas adjacentes aos equipamentos da Secretaria Municipal de Direitos Humanos e Cidadania – SMDHC, com fornecimento de todos os materiais, equipamentos e ferramentas necessários.</t>
  </si>
  <si>
    <t>21/10/2024 00:00:00</t>
  </si>
  <si>
    <t>08/11/2024 00:00:00</t>
  </si>
  <si>
    <t>04/12/2025 00:00:00</t>
  </si>
  <si>
    <t>6074202400065419|34.10.14.422.3018.4334.33903900</t>
  </si>
  <si>
    <t>192/SMDHC/2021</t>
  </si>
  <si>
    <t>6074202100037762</t>
  </si>
  <si>
    <t>Contratação de empresa especializada na prestação de serviços contínuos de locação de vagas em garagens cobertas, para a guarda de 43 (quarenta e três) veículos oficiais, automotores pertencentes à Secretaria Municipal de Direitos Humanos e Cidadania – SMDHC.</t>
  </si>
  <si>
    <t>20/08/2021 00:00:00</t>
  </si>
  <si>
    <t>31/08/2021 00:00:00</t>
  </si>
  <si>
    <t>21/08/2025 00:00:00</t>
  </si>
  <si>
    <t>6074202100037762|34.10.14.422.3018.4334.33903900</t>
  </si>
  <si>
    <t>314/SMDHC/2023</t>
  </si>
  <si>
    <t>6074202300027639</t>
  </si>
  <si>
    <t>Contratação de empresa especializada na prestação de serviços contínuos de Controle de Acesso ao Edifício São Joaquim, com efetiva cobertura das portarias, disponibilização de equipamentos de informática, emissão de crachás, e manutenção preventiva e corretiva dos módulos de passagem.</t>
  </si>
  <si>
    <t>15/09/2023 00:00:00</t>
  </si>
  <si>
    <t>22/10/2025 00:00:00</t>
  </si>
  <si>
    <t>6074202300027639|34.10.14.422.3018.4334.33903900</t>
  </si>
  <si>
    <t>33379000</t>
  </si>
  <si>
    <t>Inexigibilidade</t>
  </si>
  <si>
    <t>329/SMDHC/2024</t>
  </si>
  <si>
    <t>6074202300066928</t>
  </si>
  <si>
    <t>Contratação de empresa especializada na Prestação de Serviços de Vigilância e Segurança Patrimonial, com a finalidade de exercer preventivamente a proteção do patrimônio e das pessoas que se encontram nos limites da localidade a ser vigiada, com a efetiva cobertura dos postos dos equipamentos pertencentes à Secretaria Municipal de Direitos Humanos e Cidadania – SMDHC.</t>
  </si>
  <si>
    <t>01/10/2024 00:00:00</t>
  </si>
  <si>
    <t>07/10/2024 00:00:00</t>
  </si>
  <si>
    <t>24/05/2027 00:00:00</t>
  </si>
  <si>
    <t>6074202300066928|34.10.14.422.3018.4334.33903900</t>
  </si>
  <si>
    <t>030/SMDHC/2020</t>
  </si>
  <si>
    <t>6074202000015376</t>
  </si>
  <si>
    <t>Contratação de um Serviço Integrado de Segurança incluindo, em dois lotes, serviços de vigilância e segurança patrimonial armada e vigilância para atender os Centros de Cidadania da Mulher, Centros de Referência da Mulher, Centros de Referência da Igualdade Racial, Centro Público de Direitos Humanos e Economia Solidária, Pólo Cultural José Lewgoy, Centro de Referência da Diversidade, Centro de Cidadania LGBTI – Norte, Centro de Cidadania LGBTI – Zona Leste e Conselhos Tutelares do Município de São Paulo, em conformidade com as disposições do Edital e os seus respectivos anexos.</t>
  </si>
  <si>
    <t>03/08/2020 00:00:00</t>
  </si>
  <si>
    <t>06/08/2020 00:00:00</t>
  </si>
  <si>
    <t>6074202000015376|34.10.14.422.3018.4334.33903900</t>
  </si>
  <si>
    <t>34.10.14.422.3013.6178.33903700</t>
  </si>
  <si>
    <t>001/2018/SMDHC/CPDDH</t>
  </si>
  <si>
    <t>6074201700007084</t>
  </si>
  <si>
    <t>Constitui objeto do presente colaboração junto à entidade para prestar moradia temporária, apoio psicossocial a crianças, adolescentes e jovens com diagnóstico de câncer ou transplantados de fígado e rins, em tratamento ou acompanhamento, vindos de todo Brasil para serem atendidos nos grandes centros especializados de tratamento do Sistema Único de Saúde/Hospitais Filantrópicos da Cidade de São Paulo, e seus  acompanhantes, ofertando no mínimo 80 vagas por mês, pelo período de 12 (doze ) meses da data de assinatura.</t>
  </si>
  <si>
    <t>27/07/2018 00:00:00</t>
  </si>
  <si>
    <t>02/08/2019 00:00:00</t>
  </si>
  <si>
    <t>25/07/2025 00:00:00</t>
  </si>
  <si>
    <t>6074201700007084|34.10.14.422.3013.6178.33903700</t>
  </si>
  <si>
    <t>6074202500002230</t>
  </si>
  <si>
    <t>Contratação de empresa especializada para a confecção de 10 (dez) unidades de  tapetes  tipo capacho personalizados para as portas de entrada e elevadores .</t>
  </si>
  <si>
    <t>03/04/2025 00:00:00</t>
  </si>
  <si>
    <t>6074202500002230|34.10.14.422.3013.6178.33903700</t>
  </si>
  <si>
    <t>6074202200031731</t>
  </si>
  <si>
    <t>Contratação de empresa especializada na Prestação de Serviços de Vigilância e Segurança Patrimonial, por lotes, com a finalidade de exercer preventivamente a proteção do patrimônio e das pessoas que se encontram nos limites da localidade a ser vigiada, com a efetiva cobertura dos postos dos equipamentos pertencentes à Secretaria Municipal de Direitos Humanos e Cidadania – SMDHC.</t>
  </si>
  <si>
    <t>31/10/2022 00:00:00</t>
  </si>
  <si>
    <t>6074202200031731|34.10.14.422.3013.6178.33903700</t>
  </si>
  <si>
    <t>215/SMDHC/2022</t>
  </si>
  <si>
    <t>09/11/2022 00:00:00</t>
  </si>
  <si>
    <t>17/11/2022 00:00:00</t>
  </si>
  <si>
    <t>06/12/2025 00:00:00</t>
  </si>
  <si>
    <t>506/SMADS/2018</t>
  </si>
  <si>
    <t>6074202000060606</t>
  </si>
  <si>
    <t>Termo de Aditamento com o CENTRO GASPAR GARCIA DE DIREITOS HUMANOS, inscrita no CNPJ sob o nº 59.940.080/0001-08, formalizando a adequação do plano de trabalho do Serviço de Inclusão Social existente ao modelo de gestão previsto pela Portaria SMDHC nº 121/2019, tendo em vista a transferência do equipamento pela Secretaria Municipal de Assistência e Desenvolvimento Social para a Secretaria Municipal de Diretos Humanos e Cidadania, via despacho de transferência, devidamente publicado no Diário Oficial da Cidade de São Paulo -  DOC de 30/12/2020, página 50.</t>
  </si>
  <si>
    <t>11/06/2021 00:00:00</t>
  </si>
  <si>
    <t>18/06/2021 00:00:00</t>
  </si>
  <si>
    <t>29/09/2025 00:00:00</t>
  </si>
  <si>
    <t>6074202000060606|34.10.14.422.3013.6178.33903700</t>
  </si>
  <si>
    <t>13/2024/SMHDC/CPPSR</t>
  </si>
  <si>
    <t>6074202400008334</t>
  </si>
  <si>
    <t xml:space="preserve">Parceria. Termo de Colaboração. Edital de Chamamento Público Nº CPB/017/2023/SMDHC/CPPSR. </t>
  </si>
  <si>
    <t>01/04/2024 00:00:00</t>
  </si>
  <si>
    <t>05/04/2024 00:00:00</t>
  </si>
  <si>
    <t>27/03/2027 00:00:00</t>
  </si>
  <si>
    <t>6074202400008334|34.10.14.422.3013.6178.33903700</t>
  </si>
  <si>
    <t>34.10.14.422.3023.4321.33903900</t>
  </si>
  <si>
    <t>6074202500002966</t>
  </si>
  <si>
    <t>Contratação de empresa para prestação de serviços de Kit Lanche (LOTE 1 – item 1 e item 2) para atender a 122ª Reunião Ordinária do Comitê Intersetorial da Política Municipal para a População em Situação de Rua realizado pela SMDHC/CPDDH/CPPSR/ComitePopRua, pasta desta Secretaria Municipal de Direitos Humanos e Cidadania - ATA DE REGISTRO DE PREÇOS Nº 009/SMDHC/2023</t>
  </si>
  <si>
    <t>06/02/2025 00:00:00</t>
  </si>
  <si>
    <t>6074202500002966|34.10.14.422.3023.4321.33903900</t>
  </si>
  <si>
    <t>218/SMDHC/2022</t>
  </si>
  <si>
    <t>6074202200034161</t>
  </si>
  <si>
    <t>Contratação de empresa especializada na prestação de serviços de manutenção preventiva e corretiva, incluindo lavagem e fornecimento de peças e acessórios, para 05 (cinco) veículos, sendo destes 03 (três) da Coordenação de Promoção da Igualdade Racial – CPIR e 02 (dois) da Coordenação de Políticas para as Mulheres – CPM, unidades afeitas à SMDHC.</t>
  </si>
  <si>
    <t>06/12/2022 00:00:00</t>
  </si>
  <si>
    <t>16/11/2025 00:00:00</t>
  </si>
  <si>
    <t>6074202200034161|34.10.14.422.3023.4321.33903900</t>
  </si>
  <si>
    <t>6074202400101865</t>
  </si>
  <si>
    <t>Aquisição de Materiais de Consumo (Ferramentas) para pequenos reparos e manutenção predial (LOTE 1),  para atender as necessidades da Secretaria Municipal de Direitos Humanos e Cidadania – SMDHC.</t>
  </si>
  <si>
    <t>14/02/2025 00:00:00</t>
  </si>
  <si>
    <t>6074202400101865|34.10.14.422.3023.4321.33903900</t>
  </si>
  <si>
    <t xml:space="preserve">Aquisição de Materiais de Consumo (Ferramentas) para pequenos reparos e manutenção predial(LOTE 2),  para atender as necessidades da Secretaria Municipal de Direitos Humanos e Cidadania – SMDHC.
</t>
  </si>
  <si>
    <t>18/02/2025 00:00:00</t>
  </si>
  <si>
    <t>12/2024/SMDHC/CPPSR</t>
  </si>
  <si>
    <t>6074202400008326</t>
  </si>
  <si>
    <t xml:space="preserve">Termo de Colaboração. Edital de Chamamento Público Nº CPB/017/2023/SMDHC/CPPSR. </t>
  </si>
  <si>
    <t>28/03/2024 00:00:00</t>
  </si>
  <si>
    <t>03/04/2024 00:00:00</t>
  </si>
  <si>
    <t>23/03/2027 00:00:00</t>
  </si>
  <si>
    <t>6074202400008326|34.10.14.422.3023.4321.33903900</t>
  </si>
  <si>
    <t>018/2024/SMDHC/CPPI</t>
  </si>
  <si>
    <t>6074202400084448</t>
  </si>
  <si>
    <t>Termo de Colaboração. Edital de Chamamento Público Nº CPB/002/2024/SMDHC/CPPI. Objeto "Gestão do Centro de Referência de Direitos Humanos e Cidadania da Pessoa Idosa e Posto Avançado de Direitos Humanos e Cidadania da Pessoa Idosa".</t>
  </si>
  <si>
    <t>23/10/2024 00:00:00</t>
  </si>
  <si>
    <t>29/10/2024 00:00:00</t>
  </si>
  <si>
    <t>22/10/2029 00:00:00</t>
  </si>
  <si>
    <t>6074202400084448|34.10.14.422.3023.4321.33903900</t>
  </si>
  <si>
    <t>007/2022/SMDHC/CPJ</t>
  </si>
  <si>
    <t>6074202200048430</t>
  </si>
  <si>
    <t>Termo de Colaboração. Edital CPB/011/2022/SMDHC/CPJ. Projeto: Oferta de cursos de capacitação em empreendedorismo, focados prioritariamente nas juventudes da cidade de São Paulo que empreendem por necessidade e precisam de formação para que expandam e formalizem seus negócios.</t>
  </si>
  <si>
    <t>21/12/2022 00:00:00</t>
  </si>
  <si>
    <t>22/12/2022 00:00:00</t>
  </si>
  <si>
    <t>25/03/2026 00:00:00</t>
  </si>
  <si>
    <t>6074202200048430|34.10.14.422.3023.4321.33903900</t>
  </si>
  <si>
    <t>410/SMADS/2018</t>
  </si>
  <si>
    <t>6074202000060592</t>
  </si>
  <si>
    <t>Termo de Aditamento com a ASSOCIAÇÃO FRANCISCANA DE SOLIDARIEDADE (SEFRAS), inscrita no CNPJ sob o nº 11.861.086/0001-63, formalizando a adequação do plano de trabalho do Serviço de Inclusão Social existente ao modelo de gestão previsto pela Portaria SMDHC nº 121/2019, tendo em vista a transferência do equipamento pela Secretaria Municipal de Assistência e Desenvolvimento Social para a Secretaria Municipal de Diretos Humanos e Cidadania, via despacho de transferência, devidamente publicado no Diário Oficial da Cidade de São Paulo -  DOC de 30/12/2020, página 50,  que tem por objeto a conjugação de esforços e recursos para promover, sob a coordenação e supervisão da Coordenação de Políticas para População em Situação de Rua da Secretaria Municipal de Direitos Humanos e Cidadania (CPPSR/SMDHC) e com apoio do Centro Público de Economia Solidária e Direitos Humanos, a saída qualificada da situação de rua.</t>
  </si>
  <si>
    <t>19/04/2021 00:00:00</t>
  </si>
  <si>
    <t>23/04/2021 00:00:00</t>
  </si>
  <si>
    <t>6074202000060592|34.10.14.422.3023.4321.33903900</t>
  </si>
  <si>
    <t>34.10.14.243.3013.2157.33903600</t>
  </si>
  <si>
    <t>012/smdhc/2019</t>
  </si>
  <si>
    <t>6074201900011301</t>
  </si>
  <si>
    <t>Contratação de empresa para prestação de Serviço Telefônico Fixo Comutado – STFC (fixo-fixo e fixo-móvel) e de Serviço Móvel Pessoal - SMP (Móvel-Móvel, Móvel-Fixo e dados), nas modalidades Local, Longa Distância Nacional (LDN) e Longa Distância Internacional (LDI) a ser executado de forma contínua</t>
  </si>
  <si>
    <t>07/06/2019 00:00:00</t>
  </si>
  <si>
    <t>12/06/2019 00:00:00</t>
  </si>
  <si>
    <t>06/06/2025 00:00:00</t>
  </si>
  <si>
    <t>6074201900011301|34.10.14.243.3013.2157.33903600</t>
  </si>
  <si>
    <t>29</t>
  </si>
  <si>
    <t>Termo de Contrato para Aquisição de Bens de Consumo e/ou Permanente</t>
  </si>
  <si>
    <t>006/SMDHC/2025</t>
  </si>
  <si>
    <t>6074202500001943</t>
  </si>
  <si>
    <t>Contratação de empresa especializada em confecção de carimbos, para atender as necessidades da Secretaria de Direitos Humanos e Cidadania - SMDHC no exercício de 2025.</t>
  </si>
  <si>
    <t>12/02/2025 00:00:00</t>
  </si>
  <si>
    <t>13/02/2025 00:00:00</t>
  </si>
  <si>
    <t>31/12/2025 00:00:00</t>
  </si>
  <si>
    <t>6074202500001943|34.10.14.243.3013.2157.33903600</t>
  </si>
  <si>
    <t>350/SMDHC/2021</t>
  </si>
  <si>
    <t>6074202100023311</t>
  </si>
  <si>
    <t>Contratação de serviços de infraestrutura de rede com manutenção corretiva, manutenção preventiva, instalações, desinstalações, remanejamentos e execução de projetos em rede de telefonia e lógica, por demanda, na Secretaria Municipal de Direitos Humanos e Cidadania e demais equipamentos externos.</t>
  </si>
  <si>
    <t>15/12/2021 00:00:00</t>
  </si>
  <si>
    <t>18/01/2022 00:00:00</t>
  </si>
  <si>
    <t>14/12/2025 00:00:00</t>
  </si>
  <si>
    <t>6074202100023311|34.10.14.243.3013.2157.33903600</t>
  </si>
  <si>
    <t>074/SMDHC/2020</t>
  </si>
  <si>
    <t>6074202000034311</t>
  </si>
  <si>
    <t>Contratação de empresa especializada para a prestação de serviço de transporte mediante locação de veículo, com manutenção preventiva e corretiva, com condutor, ajudante e combustível, objetivando o deslocamento para apoio a atividades técnico-administrativas para transporte de cargas.</t>
  </si>
  <si>
    <t>24/11/2020 00:00:00</t>
  </si>
  <si>
    <t>28/11/2020 00:00:00</t>
  </si>
  <si>
    <t>23/11/2025 00:00:00</t>
  </si>
  <si>
    <t>6074202000034311|34.10.14.243.3013.2157.33903600</t>
  </si>
  <si>
    <t>6074202500006953</t>
  </si>
  <si>
    <t>Prestação de serviços de Coffee Break Tipo II para atender os participantes do Encontro de Planejamento com as equipes que compõem os Centros de Referência e Promoção da Igualdade Racial CRPIR. realizado pela Coordenação de Promoção da Igualdade Racial.</t>
  </si>
  <si>
    <t>6074202500006953|34.10.14.243.3013.2157.33903600</t>
  </si>
  <si>
    <t>34.10.14.122.3024.2100.33903900</t>
  </si>
  <si>
    <t>144/SMDHC/2022</t>
  </si>
  <si>
    <t>6074202200038582</t>
  </si>
  <si>
    <t>Prestação de serviços de limpeza e desinfecção de reservatório predial às unidades da Prefeitura do Município de São Paulo - Grupo 1 (Centro) - ATA DE REGISTRO DE PREÇOS N. 002/SEGES-COBES/2022.</t>
  </si>
  <si>
    <t>11/07/2022 00:00:00</t>
  </si>
  <si>
    <t>13/07/2022 00:00:00</t>
  </si>
  <si>
    <t>10/07/2026 00:00:00</t>
  </si>
  <si>
    <t>6074202200038582|34.10.14.122.3024.2100.33903900</t>
  </si>
  <si>
    <t xml:space="preserve"> 004/SMDHC</t>
  </si>
  <si>
    <t>6074202500006473</t>
  </si>
  <si>
    <t>Contratação de Sacolas (ecobag), Squeeze e Camisetas personalizadas para os conferencistas da Conferência Municipal de Promoção da Igualdade Racial de São Paulo – Edição 2025.</t>
  </si>
  <si>
    <t>08/03/2025 00:00:00</t>
  </si>
  <si>
    <t>6074202500006473|34.10.14.122.3024.2100.33903900</t>
  </si>
  <si>
    <t>022/SMDHC/2025</t>
  </si>
  <si>
    <t>Contratação de empresa especializada para a prestação de serviços, sob demanda, de confecção e impressão de material gráfico.</t>
  </si>
  <si>
    <t>28/02/2025 00:00:00</t>
  </si>
  <si>
    <t>05/03/2025 00:00:00</t>
  </si>
  <si>
    <t>30/03/2025 00:00:00</t>
  </si>
  <si>
    <t>062/SMDHC/2023</t>
  </si>
  <si>
    <t>6074202200079130</t>
  </si>
  <si>
    <t xml:space="preserve">Contratação de empresa especializada na prestação de serviços de transporte através de fretamento por micro-ônibus, em caráter eventual, com fornecimento de veículo, condutor, combustível, manutenção preventiva e corretiva, estacionamento e pedágio, objetivando atender às necessidades de deslocamentos coletivos da Secretaria Municipal de Direitos Humanos e Cidadania – SMDHC
 </t>
  </si>
  <si>
    <t>13/03/2023 00:00:00</t>
  </si>
  <si>
    <t>16/03/2023 00:00:00</t>
  </si>
  <si>
    <t>12/03/2026 00:00:00</t>
  </si>
  <si>
    <t>6074202200079130|34.10.14.122.3024.2100.33903900</t>
  </si>
  <si>
    <t>6074202400101873</t>
  </si>
  <si>
    <t>Aquisição de lâmpadas de LED para atender à sede e às unidades afeitas à Secretaria Municipal de Direitos Humanos e Cidadania – SMDHC.</t>
  </si>
  <si>
    <t>16/02/2025 00:00:00</t>
  </si>
  <si>
    <t>6074202400101873|34.10.14.122.3024.2100.33903900</t>
  </si>
  <si>
    <t>6074202500004560</t>
  </si>
  <si>
    <t>Aquisição de Nominata (sem dados) e com (RESERVADO) com vistas ao atendimento da Secretaria Municipal de Direitos Humanos e Cidadania – SMDHC – EDITAL 90013/2025</t>
  </si>
  <si>
    <t>03/02/2025 00:00:00</t>
  </si>
  <si>
    <t>6074202500004560|34.10.14.122.3024.2100.33903900</t>
  </si>
  <si>
    <t>025/SMDHC/2020</t>
  </si>
  <si>
    <t>6074202000015333</t>
  </si>
  <si>
    <t>Contratação de empresa especializada para prestação de serviços de Impressão Corporativa, incluindo a prestação de serviços de manutenção preventiva e corretiva, fornecimento de peças e suprimentos necessários (inclusive papel), para atender as necessidades de todas as 52 (cinquenta e duas) unidades dos Conselhos Tutelares localizados no Município de São Paulo</t>
  </si>
  <si>
    <t>09/07/2020 00:00:00</t>
  </si>
  <si>
    <t>16/07/2020 00:00:00</t>
  </si>
  <si>
    <t>09/07/2026 00:00:00</t>
  </si>
  <si>
    <t>6074202000015333|34.10.14.122.3024.2100.33903900</t>
  </si>
  <si>
    <t>013/SMDHC/2025</t>
  </si>
  <si>
    <t>6074202500004357</t>
  </si>
  <si>
    <t>Aquisição de refrigerador e forno micro-ondas com vistas ao atendimento das necessidades do Edifício São Joaquim, sede da Secretaria Municipal de Direitos Humanos e Cidadania – SMDHC.</t>
  </si>
  <si>
    <t>26/02/2025 00:00:00</t>
  </si>
  <si>
    <t>09/04/2026 00:00:00</t>
  </si>
  <si>
    <t>6074202500004357|34.10.14.122.3024.2100.33903900</t>
  </si>
  <si>
    <t>6074202500000114</t>
  </si>
  <si>
    <t>Aquisição de sacos plásticos transparentes para manipulação de alimentos no Banco de Alimentos, para atender os equipamentos afeitos à Secretaria Municipal de Direitos Humanos e Cidadania - SMDHC.</t>
  </si>
  <si>
    <t>23/02/2025 00:00:00</t>
  </si>
  <si>
    <t>6074202500000114|34.10.14.122.3024.2100.33903900</t>
  </si>
  <si>
    <t>325/SMDHC/2023</t>
  </si>
  <si>
    <t>6074202300072308</t>
  </si>
  <si>
    <t>Prestação de serviços de locação, instalação e manutenção de aparelhos purificadores de água, conforme especificações, requisitos e condições constantes do Anexo I - Termo de Referência, através da ARP Nº 001/SEGES-COBES/2023.</t>
  </si>
  <si>
    <t>26/09/2023 00:00:00</t>
  </si>
  <si>
    <t>30/09/2025 00:00:00</t>
  </si>
  <si>
    <t>6074202300072308|34.10.14.122.3024.2100.33903900</t>
  </si>
  <si>
    <t>141</t>
  </si>
  <si>
    <t>6074202200013237</t>
  </si>
  <si>
    <t xml:space="preserve">Serviços de locação, incluindo a manutenção preventiva e corretiva, bem como o fornecimento e reposição de peças e a instalação de máquinas automatizadas que disponibilizem café expresso e bebidas quentes, cumulada com a venda de doses abrangendo todos os insumos, para atender pelo sistema de livre consumo, para os servidores da Secretaria Municipal de Direitos Humanos e Cidadania – SMDHC, conforme especificações constantes no Termo de Referência - ANEXO I do Edital, </t>
  </si>
  <si>
    <t>30/06/2022 00:00:00</t>
  </si>
  <si>
    <t>07/07/2022 00:00:00</t>
  </si>
  <si>
    <t>31/07/2025 00:00:00</t>
  </si>
  <si>
    <t>6074202200013237|34.10.14.122.3024.2100.33903900</t>
  </si>
  <si>
    <t>325/SMDHC/2022</t>
  </si>
  <si>
    <t>6074202200079920</t>
  </si>
  <si>
    <t>Contratação de empresa especializada na Prestação de Serviços de Locação de Veículos Novos, sendo 01 (um) veículo do Tipo “B”/ Grupo S-1, e 01 (um) veículo do Tipo “C”, em caráter não eventual, sem condutor, quilometragem livre, incluindo, combustível, despesas com pedágios, avarias, multas e manutenção; objetivando atender às necessidades de deslocamentos.</t>
  </si>
  <si>
    <t>23/12/2022 00:00:00</t>
  </si>
  <si>
    <t>27/12/2022 00:00:00</t>
  </si>
  <si>
    <t>23/12/2025 00:00:00</t>
  </si>
  <si>
    <t>6074202200079920|34.10.14.122.3024.2100.33903900</t>
  </si>
  <si>
    <t>012/SMDHC/2025</t>
  </si>
  <si>
    <t>6074202400091860</t>
  </si>
  <si>
    <t>Contratação de empresa especializada na prestação de serviços de manutenção preventiva e corretiva no sistema/aparelho de telefonia PABX (Private Automatic Branch Exchange), pertencente à Secretaria Municipal de Direitos Humanos e Cidadania – SMDHC.</t>
  </si>
  <si>
    <t>20/02/2025 00:00:00</t>
  </si>
  <si>
    <t>03/03/2026 00:00:00</t>
  </si>
  <si>
    <t>6074202400091860|34.10.14.122.3024.2100.33903900</t>
  </si>
  <si>
    <t>6074202400082364</t>
  </si>
  <si>
    <t>Aquisição de 06 (seis) unidades de Paleteira Hidráulica Manual , Rodas Duplas Nylon , 2,5 TON Carrinho Transpalete Hidráulico Manual - 2.500kg e 01 (um) unidade de Paleteira Hidráulica Manual com Balança Digital , Rodas Duplas em Nylon ou PU , 3 TON Carrinho Transpalete com Balança Integrada - 3.000kg, para atender ao Programa Municipal Banco de Alimentos.</t>
  </si>
  <si>
    <t>02/03/2025 00:00:00</t>
  </si>
  <si>
    <t>6074202400082364|34.10.14.122.3024.2100.33903900</t>
  </si>
  <si>
    <t>TC 132/SMDHC/2021</t>
  </si>
  <si>
    <t>6074202100004090</t>
  </si>
  <si>
    <t>Prestação de serviços técnicos especializados de tecnologia da informação, pela PRODAM, para SUSTENÇÃO DE TIC para os Conselhos Tutelares, compatíveis com sua finalidade e relacionados na proposta PCSMDHC-210113-3 Versão 1.1, pelo período de 12 (doze) meses.</t>
  </si>
  <si>
    <t>08/06/2021 00:00:00</t>
  </si>
  <si>
    <t>15/06/2021 00:00:00</t>
  </si>
  <si>
    <t>07/06/2025 00:00:00</t>
  </si>
  <si>
    <t>6074202100004090|34.10.14.122.3024.2100.33903900</t>
  </si>
  <si>
    <t>Tomada de Preços</t>
  </si>
  <si>
    <t>058/SMDHC/2020</t>
  </si>
  <si>
    <t>6074202000035725</t>
  </si>
  <si>
    <t>Ata de Registro de Preços nº ATA/RP 008/SG-COBES/2019- Contratação para prestação de Serviço Telefônico Fixo Comutado (STFC) por meio de entroncamentos digitais e serviços de discagem direta a ramal (DDR) (Item I), aos 52 (cinquenta e dois) Conselhos Tutelares do Município de São Paulo.</t>
  </si>
  <si>
    <t>27/10/2020 00:00:00</t>
  </si>
  <si>
    <t>28/01/2021 00:00:00</t>
  </si>
  <si>
    <t>26/10/2025 00:00:00</t>
  </si>
  <si>
    <t>6074202000035725|34.10.14.122.3024.2100.33903900</t>
  </si>
  <si>
    <t>6074202000029938</t>
  </si>
  <si>
    <t>Contratação de empresa especializada em prestação de serviços de motofrete para as unidades da Prefeitura de São Paulo, com entrega e coleta de pequenas cargas, por meio de motocicletas, com fundamento no disposto na Lei Federal n. 8.666/93, Lei Municipal n. 13.278/02 e o Decreto Municipal n. 44.279/03</t>
  </si>
  <si>
    <t>05/08/2020 00:00:00</t>
  </si>
  <si>
    <t>12/08/2022 00:00:00</t>
  </si>
  <si>
    <t>03/08/2025 00:00:00</t>
  </si>
  <si>
    <t>6074202000029938|34.10.14.122.3024.2100.33903900</t>
  </si>
  <si>
    <t>6074202500006120</t>
  </si>
  <si>
    <t xml:space="preserve">Registro de Preços para a prestação de serviços, sob demanda, de confecção e impressão de material gráfico. - ATA DE REGISTRO DE PREÇOS Nº 001/SMDHC/2024.
 </t>
  </si>
  <si>
    <t>6074202500006120|34.10.14.122.3024.2100.33903900</t>
  </si>
  <si>
    <t>Contratação de empresa especializada para a prestação de serviços, sob demanda, de confecção e impressão de material gráfico - Ata de Registro de Preços nº 001/SMDHC/2024</t>
  </si>
  <si>
    <t>58</t>
  </si>
  <si>
    <t>Termo de Credenciamento</t>
  </si>
  <si>
    <t>007/SMDHC/2025</t>
  </si>
  <si>
    <t>6074202500009324</t>
  </si>
  <si>
    <t>Contratação de Kit Lanches (Lote 03), para a população do distrito do Jardim Pantanal.</t>
  </si>
  <si>
    <t>07/02/2025 00:00:00</t>
  </si>
  <si>
    <t>10/02/2025 00:00:00</t>
  </si>
  <si>
    <t>6074202500009324|34.10.14.122.3024.2100.33903900</t>
  </si>
  <si>
    <t>6074202500006201</t>
  </si>
  <si>
    <t>Pagamento das parcelas do Auxílio Aluguel para Mulheres Vítimas de Violência, por intermédio do BANCO
DO BRASIL S/A.</t>
  </si>
  <si>
    <t>6074202500006201|34.10.14.122.3024.2100.33903900</t>
  </si>
  <si>
    <t>172/SMDHC2023</t>
  </si>
  <si>
    <t>6074202300008030</t>
  </si>
  <si>
    <t>ontratação de empresa especializada na prestação de serviços de manutenção preventiva e corretiva de aparelhos de ar condicionado (unidades externa e interna), incluindo mão de obra, equipamentos, fornecimento de peças e materiais necessários para a execução do presente objeto, para atender a Casa da Mulher Brasileira – CMB, unidade operacional da Coordenação Municipal de Políticas para as Mulheres – CPM.</t>
  </si>
  <si>
    <t>28/07/2023 00:00:00</t>
  </si>
  <si>
    <t>04/08/2023 00:00:00</t>
  </si>
  <si>
    <t>6074202300008030|34.10.14.122.3024.2100.33903900</t>
  </si>
  <si>
    <t>011/SMDHC/2019</t>
  </si>
  <si>
    <t>6074201900011182</t>
  </si>
  <si>
    <t>Pregão Eletrônico nº 011/SMDHC/2019, OFERTA DE COMPRAS nº 801022801002019OC00013, cujo objeto consiste na contratação de empresa especializada na prestação de serviços de Locação de Sistema de PABX com DDR, Serviço de Instalação, Gerenciamento e Manutenção, para atender as necessidades da Secretaria Municipal de Direitos Humanos e Cidadania, conforme especificações constantes no Termo de Referência - ANEXO I do Edital, à empresa: RA TELECOM LTDA, inscrita no CNPJ/MF nº 10.312.101/0001-51, no valor global de R$ 35.990,00 (trinta e cinco mil novecentos e noventa reais) pelo período de 12(doze) meses.</t>
  </si>
  <si>
    <t>06/06/2019 00:00:00</t>
  </si>
  <si>
    <t>08/06/2019 00:00:00</t>
  </si>
  <si>
    <t>04/06/2025 00:00:00</t>
  </si>
  <si>
    <t>6074201900011182|34.10.14.122.3024.2100.33903900</t>
  </si>
  <si>
    <t>152/SMDHC/2024</t>
  </si>
  <si>
    <t>6074202300026080</t>
  </si>
  <si>
    <t>Prestação de Serviços de Transporte, através de Locação de 66 (sessenta e seis) veículos, Tipo “C”, em caráter não eventual, com condutor e quilometragem livre; incluindo, combustível, despesas com pedágios, avarias, multas e manutenção, para atender às necessidades da Secretaria Municipal de Direitos Humanos e Cidadania – SMDHC e de suas Coordenações.</t>
  </si>
  <si>
    <t>30/04/2024 00:00:00</t>
  </si>
  <si>
    <t>12/05/2029 00:00:00</t>
  </si>
  <si>
    <t>6074202300026080|34.10.14.122.3024.2100.33903900</t>
  </si>
  <si>
    <t>001/SMDHC/CPLGBTI+22</t>
  </si>
  <si>
    <t>6074202100045242</t>
  </si>
  <si>
    <t>Edital de Credenciamento nº 003-B/SMDHC/2021 - Programa “Respeito Tem Nome” - Contratação dos serviços cartoriais.</t>
  </si>
  <si>
    <t>13/05/2022 00:00:00</t>
  </si>
  <si>
    <t>14/05/2022 00:00:00</t>
  </si>
  <si>
    <t>12/05/2025 00:00:00</t>
  </si>
  <si>
    <t>6074202100045242|34.10.14.122.3024.2100.33903900</t>
  </si>
  <si>
    <t>033/SMDHC/2020</t>
  </si>
  <si>
    <t>6074202000000751</t>
  </si>
  <si>
    <t>CONTRATAÇÃO DE EMPRESA ESPECIALIZADA EM PRESTAÇÃO DE SERVIÇOS DE LOCAÇÃO DE VEÍCULOS ADAPTADOS, SIMILARES AO MODELO Sprinter, TIPO VAN, COM MOTORISTA, SEGURANÇA PESSOAL, COMBUSTÍVEL e GERADOR DE ENERGIA, COM QUILOMETRAGEM LIVRE e SEGURO.</t>
  </si>
  <si>
    <t>12/08/2020 00:00:00</t>
  </si>
  <si>
    <t>07/08/2025 00:00:00</t>
  </si>
  <si>
    <t>6074202000000751|34.10.14.122.3024.2100.33903900</t>
  </si>
  <si>
    <t>145/SMDHC/2023</t>
  </si>
  <si>
    <t>6074202300030125</t>
  </si>
  <si>
    <t>Contratação de empresa especializada na prestação de serviços de locação de veículos adaptados, com fornecimento de combustível e quilometragem livre, motorista, segurança e seguro para a unidade móvel do Centro de Referência e Atendimento para Imigrantes - CRAI Móvel.</t>
  </si>
  <si>
    <t>16/06/2023 00:00:00</t>
  </si>
  <si>
    <t>19/06/2023 00:00:00</t>
  </si>
  <si>
    <t>15/06/2024 00:00:00</t>
  </si>
  <si>
    <t>6074202300030125|34.10.14.122.3024.2100.33903900</t>
  </si>
  <si>
    <t>008/SMDHC/2025</t>
  </si>
  <si>
    <t>6074202500010705</t>
  </si>
  <si>
    <t xml:space="preserve"> Prestação de serviços, sob demanda, de confecção e impressão de material gráfico. - ATA DE REGISTRO DE PREÇOS Nº 001/SMDHC/2024.</t>
  </si>
  <si>
    <t>14/03/2025 00:00:00</t>
  </si>
  <si>
    <t>6074202500010705|34.10.14.122.3024.2100.33903900</t>
  </si>
  <si>
    <t>027/SMDHC/2019</t>
  </si>
  <si>
    <t>6074201800009402</t>
  </si>
  <si>
    <t>Despacho - 07/08/2019 - Contratação de empresa especializada na prestação de serviço de operação de telefonia fixa, de natureza continuada, com a utilização de equipamento com sistema de Troca Automática de Ramais Privados, designado PABX (Private Automatic Branch Exchange), nas dependências da Casa da Mulher Brasileira – CMB, unidade operacional supervisionada pela “Coordenação Municipal de Políticas para Mulheres” pertencente à Secretaria Municipal de Direitos Humanos e Cidadania - SMDHC.</t>
  </si>
  <si>
    <t>13/08/2019 00:00:00</t>
  </si>
  <si>
    <t>20/08/2019 00:00:00</t>
  </si>
  <si>
    <t>6074201800009402|34.10.14.122.3024.2100.33903900</t>
  </si>
  <si>
    <t>6074202400026081</t>
  </si>
  <si>
    <t>Prestação de Serviços por empresa especializada em locação de Sistema PABX (Private Automatic Branch Exchange), com DDR, incluídos os serviços de instalação, gerenciamento e manutenção, visando atender as necessidades da Secretaria Municipal de Direitos Humanos e Cidadania – SMDHC e da Casa da Mulher Brasileira – CMB.</t>
  </si>
  <si>
    <t>6074202400026081|34.10.14.243.3013.2157.33903600</t>
  </si>
  <si>
    <t>6074202500005973</t>
  </si>
  <si>
    <t xml:space="preserve">Aquisição de 162 (cento e sessenta e dois) unidades de PROTETOR SOLAR FPS 60 LINHA SUN EMBALAGEM DE 1 LITRO. MARCA: ALGSUN </t>
  </si>
  <si>
    <t>17/02/2025 00:00:00</t>
  </si>
  <si>
    <t>6074202500005973|34.10.14.243.3013.2157.33903600</t>
  </si>
  <si>
    <t>30</t>
  </si>
  <si>
    <t>Nota de Empenho para Fornecimento de Serviços</t>
  </si>
  <si>
    <t>6074202400099135</t>
  </si>
  <si>
    <t>Fornecimento de Gás Canalizado - COMGÁS, para atender o Centro Público de Economia Solidária e
 Edifício São Joaquim (SEDE)</t>
  </si>
  <si>
    <t>6074202400099135|34.10.14.243.3013.2157.33903600</t>
  </si>
  <si>
    <t>028/SMDHC/2023</t>
  </si>
  <si>
    <t>6074202300085736</t>
  </si>
  <si>
    <t>Contratação de empresa para prestação de serviços de locação, instalação e manutenção de equipamentos de sistema de sistemas de interação neuro-sensorial para repelência de pombos para atender o CRESAN VILA MARIA.</t>
  </si>
  <si>
    <t>04/12/2023 00:00:00</t>
  </si>
  <si>
    <t>12/12/2023 00:00:00</t>
  </si>
  <si>
    <t>07/01/2026 00:00:00</t>
  </si>
  <si>
    <t>6074202300085736|34.10.14.243.3013.2157.33903600</t>
  </si>
  <si>
    <t>295/SMDHC2023</t>
  </si>
  <si>
    <t>6074202300068360</t>
  </si>
  <si>
    <t xml:space="preserve">Contratação de empresa especializada para prestação de serviços de locação de Sistema PABX (Private Automatic Branch Exchange), com DDR, incluídos os serviços de instalação, gerenciamento e manutenção, visando atender aos equipamentos desta – SMDHC.
 </t>
  </si>
  <si>
    <t>01/09/2023 00:00:00</t>
  </si>
  <si>
    <t>04/09/2023 00:00:00</t>
  </si>
  <si>
    <t>07/09/2025 00:00:00</t>
  </si>
  <si>
    <t>6074202300068360|34.10.14.243.3013.2157.33903600</t>
  </si>
  <si>
    <t>079/SMDHC/2024</t>
  </si>
  <si>
    <t>6074202400004070</t>
  </si>
  <si>
    <t>ontratação de empresa especializada na prestação de serviços de assistência técnica e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t>
  </si>
  <si>
    <t>12/03/2024 00:00:00</t>
  </si>
  <si>
    <t>15/03/2024 00:00:00</t>
  </si>
  <si>
    <t>6074202400004070|34.10.14.243.3013.2157.33903600</t>
  </si>
  <si>
    <t>Contratação referente aos reembolsos dos materiais que serão substituídos, quando da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sede da Secretaria Municipal de Direitos Humanos e Cidadania – SMDHC.</t>
  </si>
  <si>
    <t>322/SMDHC/2021</t>
  </si>
  <si>
    <t>6074202100003884</t>
  </si>
  <si>
    <t>Contratação de prestação de serviços para fornecimento mensal estimado de 52.000 doses de café e outras bebidas quentes, através de 52 (cinquenta e duas) máquinas de autoatendimento para atender aos 52 (cinquenta e dois) Conselhos Tutelares do Município de São Paulo.</t>
  </si>
  <si>
    <t>24/11/2021 00:00:00</t>
  </si>
  <si>
    <t>11/12/2021 00:00:00</t>
  </si>
  <si>
    <t>6074202100003884|34.10.14.243.3013.2157.33903600</t>
  </si>
  <si>
    <t>323/SMDHC/2021</t>
  </si>
  <si>
    <t>345/SMDHC/2024</t>
  </si>
  <si>
    <t>6074202400061685</t>
  </si>
  <si>
    <t>Contratação de empresa especializada na prestação de serviços contínuos de copeiragem, com fornecimento de mão de obra uniformizada, materiais, equipamentos e utensílios necessários ao perfeito atendimento das necessidades da Secretaria Municipal de Direitos Humanos e Cidadania – SMDHC.</t>
  </si>
  <si>
    <t>18/11/2024 00:00:00</t>
  </si>
  <si>
    <t>25/11/2024 00:00:00</t>
  </si>
  <si>
    <t>25/11/2025 00:00:00</t>
  </si>
  <si>
    <t>6074202400061685|34.10.14.243.3013.2157.33903600</t>
  </si>
  <si>
    <t>049/SMDHC/2021</t>
  </si>
  <si>
    <t>6074202100007588</t>
  </si>
  <si>
    <t>Serviço de logística de recebimento e distribuição de refeições no Projeto Rede Cozinha Cidadã da Secretaria Municipal de Direitos Humanos e Cidadania – SMDHC mediante locação de 18 (dezoito) veículos, com fechamento isotérmico para transportar refeições prontas e acondicionadas, com 18 (dezoito) motoristas e 36 (trinta e seis) ajudantes - dois ajudantes por veículo.</t>
  </si>
  <si>
    <t>29/04/2021 00:00:00</t>
  </si>
  <si>
    <t>01/05/2021 00:00:00</t>
  </si>
  <si>
    <t>25/08/2025 00:00:00</t>
  </si>
  <si>
    <t>6074202100007588|34.10.14.243.3013.2157.33903600</t>
  </si>
  <si>
    <t>6074202400101881</t>
  </si>
  <si>
    <t>Aquisição de materiais de consumo para pequenos reparos e manutenção predial, para atender às necessidades das unidades desta Secretaria Municipal de Direitos Humanos e Cidadania – SMDHC.</t>
  </si>
  <si>
    <t>19/03/2025 00:00:00</t>
  </si>
  <si>
    <t>6074202400101881|34.10.14.243.3013.2157.33903600</t>
  </si>
  <si>
    <t>07/03/2025 00:00:00</t>
  </si>
  <si>
    <t>038/2020/SMDHC</t>
  </si>
  <si>
    <t>6074202000030537</t>
  </si>
  <si>
    <t>Contratação de empresa especializada operacionalização e desenvolvimento de todas as atividades para o fornecimento de refeições e desjejuns destinados aos atendimentos do público que se encontra em situação de risco e de extrema vulnerabilidade socioeconômica, que faz uso do alojamento de passagem da Casa da Mulher Brasileira, equipamento de atendimento da Secretaria Municipal de Direitos Humanos e Cidadania - SMDHC, assegurando uma alimentação balanceada e em condições higiênicosanitárias adequadas, conforme especificações constantes no Termo de Referência - ANEXO I do Edital, à empresa CASA BADEN ROTISSERIE LTDA ME, inscrita no CNPJ/MF nº 26.624.602/0001-03</t>
  </si>
  <si>
    <t>21/08/2020 00:00:00</t>
  </si>
  <si>
    <t>03/09/2020 00:00:00</t>
  </si>
  <si>
    <t>12/03/2025 00:00:00</t>
  </si>
  <si>
    <t>6074202000030537|34.10.14.243.3013.2157.33903600</t>
  </si>
  <si>
    <t>34.10.14.422.3013.2053.33903900</t>
  </si>
  <si>
    <t>037/SMDHC/2020</t>
  </si>
  <si>
    <t>6074202000030464</t>
  </si>
  <si>
    <t>Contratação da empresa TELEFÔNICA BRASIL S/A, inscrita no CNPJ. nº 02.558.157/0001-62, detentora da Ata de Registro de Preços n 008/SG-COBES/2019, para a prestação de Serviço Telefônico Fixo Comutado (STFC) por meio de entroncamentos digitais (links E1 com
sinalização CAS-R2/DTMF) e serviços de discagem direta a ramal (DDR), serviços estes destinados ao tráfego de chamadas locais, de longa distância nacional e de longa distância internacional, pelo período de 12 (doze) meses</t>
  </si>
  <si>
    <t>14/08/2020 00:00:00</t>
  </si>
  <si>
    <t>23/10/2020 00:00:00</t>
  </si>
  <si>
    <t>13/08/2025 00:00:00</t>
  </si>
  <si>
    <t>6074202000030464|34.10.14.422.3013.2053.33903900</t>
  </si>
  <si>
    <t>212/SMDHC</t>
  </si>
  <si>
    <t>6074202200071849</t>
  </si>
  <si>
    <t>Prestação de Serviço por empresa especializada em manutenção preventiva e corretiva de 03 (três) elevadores instalados no prédio Sede da Secretaria Municipal de Direitos Humanos e Cidadania – SMDHC.</t>
  </si>
  <si>
    <t>24/10/2022 00:00:00</t>
  </si>
  <si>
    <t>26/10/2022 00:00:00</t>
  </si>
  <si>
    <t>23/10/2025 00:00:00</t>
  </si>
  <si>
    <t>6074202200071849|34.10.14.422.3013.2053.33903900</t>
  </si>
  <si>
    <t>041/SMDHC/2019</t>
  </si>
  <si>
    <t>6074201800010656</t>
  </si>
  <si>
    <t>Pregão Eletrônico nº 029/SMDHC/2019, OFERTA DE COMPRAS nº 801022801002019OC00035, cujo objeto consiste na Contratação de empresa especializada em locação de veículos, em caráter não eventual, com a inclusão de condutor, combustível, despesas com pedágios, pagamentos de multas, manutenção, quilometragem livre e quaisquer outras despesas inerentes aos veículos, para atender as necessidades da Casa da Mulher Brasileira, conforme especificações constantes no Termo de Referência - ANEXO I - para o Lote 1</t>
  </si>
  <si>
    <t>02/10/2019 00:00:00</t>
  </si>
  <si>
    <t>09/10/2019 00:00:00</t>
  </si>
  <si>
    <t>30/10/2025 00:00:00</t>
  </si>
  <si>
    <t>6074201800010656|34.10.14.422.3013.2053.33903900</t>
  </si>
  <si>
    <t>042/SMDHC/2019</t>
  </si>
  <si>
    <t>Pregão Eletrônico nº 029/SMDHC/2019, OFERTA DE COMPRAS nº 801022801002019OC00035, cujo objeto consiste na Contratação de empresa especializada em locação de veículos, em caráter não eventual, com a inclusão de condutor, combustível, despesas com pedágios, pagamentos de multas, manutenção, quilometragem livre e quaisquer outras despesas inerentes aos veículos, para atender as necessidades da Casa da Mulher Brasileira, conforme especificações constantes no Termo de Referência - ANEXO I do Edital - Lote 2</t>
  </si>
  <si>
    <t>03/10/2019 00:00:00</t>
  </si>
  <si>
    <t>09/11/2025 00:00:00</t>
  </si>
  <si>
    <t>6074202500005850</t>
  </si>
  <si>
    <t>Aquisição de tatuagens autoadesivas temporárias personalizadas de transferência a base de água.</t>
  </si>
  <si>
    <t>27/02/2025 00:00:00</t>
  </si>
  <si>
    <t>6074202500005850|34.10.14.422.3013.2053.33903900</t>
  </si>
  <si>
    <t>6074202500008310</t>
  </si>
  <si>
    <t>Aquisição de leques personalizado em papel couche brilho, gramatura: 300gr, frente e verso, medidas: 20x19, cor: na quantidade de 10.000 (dez mil ) unidades, para atender as necessidades da Secretaria Executiva do CMDCA, pasta desta Secretaria Municipal de Direitos Humanos e Cidadania - SMDHC.</t>
  </si>
  <si>
    <t>6074202500008310|34.10.14.422.3013.2053.33903900</t>
  </si>
  <si>
    <t>6074202500005531</t>
  </si>
  <si>
    <t xml:space="preserve"> Contratação de empresa especializada em serviços de confecção, impressão de bonés e viseiras</t>
  </si>
  <si>
    <t>6074202500005531|34.10.14.422.3013.2053.33903900</t>
  </si>
  <si>
    <t xml:space="preserve">Contratação de empresa especializada em serviços de confecção, impressão de bonés e viseiras
 </t>
  </si>
  <si>
    <t>225/SMDHC/2021</t>
  </si>
  <si>
    <t>6074202100030849</t>
  </si>
  <si>
    <t xml:space="preserve"> Contratação de Serviço Telefônico Fixo Comutado – STFC (fixo-fixo e fixo-móvel) e de Serviço Móvel Pessoal - SMP (Móvel-Móvel, Móvel-Fixo e dados), nas modalidades Local, Longa Distância Nacional (LDN) e Longa Distância Internacional (LDI) a ser executado de forma contínua.</t>
  </si>
  <si>
    <t>23/09/2021 00:00:00</t>
  </si>
  <si>
    <t>29/10/2021 00:00:00</t>
  </si>
  <si>
    <t>30/01/2027 00:00:00</t>
  </si>
  <si>
    <t>6074202100030849|34.10.14.422.3013.2053.33903900</t>
  </si>
  <si>
    <t>044/SMDHC/2020</t>
  </si>
  <si>
    <t>6074202000023034</t>
  </si>
  <si>
    <t>Contratação de empresa especializada para prestação de serviços contínuos de Copeiragem e Garçonaria para atender a estrutura administrativa em geral da Casa da Mulher Brasileira, situada na Rua Vieira Ravasco s/n., Cambuci, CEP 01518-030, São Paulo – SP, unidade operacional supervisionada pela Coordenação de Políticas para Mulheres pertencente à Secretaria Municipal de Direitos Humanos</t>
  </si>
  <si>
    <t>10/09/2020 00:00:00</t>
  </si>
  <si>
    <t>19/09/2020 00:00:00</t>
  </si>
  <si>
    <t>08/09/2025 00:00:00</t>
  </si>
  <si>
    <t>6074202000023034|34.10.14.422.3013.2053.33903900</t>
  </si>
  <si>
    <t>6074202500010004</t>
  </si>
  <si>
    <t>Confecção e fornecimento de 15.000 (quinze mil) unidades de pulseiras de identificação em vinil, com pino de fechamento, para a realização do Carnaval Oficial de Rua 2025, atendendo as necessidades da Assessoria Técnica - Eventos, pasta desta Secretaria Municipal de Direitos Humanos e Cidadania-SMDHC.</t>
  </si>
  <si>
    <t>6074202500010004|34.10.14.422.3013.2053.33903900</t>
  </si>
  <si>
    <t>21//SMDHC/2022</t>
  </si>
  <si>
    <t>6074202200064630</t>
  </si>
  <si>
    <t>Contratação de Instituição Financeira para prestação de serviços de pagamento de benefício assistencial referente ao Auxílio-aluguel concedido às mulheres vítimas de violência doméstica no Município de São Paulo, instituído pela Lei nº 17.320/2020, e emissão, às beneficiárias, de cartão magnético, em todas as agências da Instituição Financeira contratada.</t>
  </si>
  <si>
    <t>16/11/2022 00:00:00</t>
  </si>
  <si>
    <t>26/11/2022 00:00:00</t>
  </si>
  <si>
    <t>15/11/2025 00:00:00</t>
  </si>
  <si>
    <t>6074202200064630|34.10.14.422.3013.2053.33903900</t>
  </si>
  <si>
    <t>051/SMDHC/2020</t>
  </si>
  <si>
    <t>6074202000029571</t>
  </si>
  <si>
    <t>O presente pregão tem por objeto a Contratação de empresa especializada no ramo de Tecnologia de Informação para 02 (dois) postos de serviço na Casa da Mulher Brasileira – CMB, situada na Rua Vieira Ravasco s/nº, Cambuci, CEP 01518-030, São Paulo – SP, unidade operacional da Coordenadoria Municipal de Políticas para Mulheres, da Secretaria Municipal de Direitos Humanos e Cidadania – SMDHC, cujas características e especificações técnicas encontram-se descritas no Termo de Referência, ANEXO I deste edital de Pregão.</t>
  </si>
  <si>
    <t>02/10/2020 00:00:00</t>
  </si>
  <si>
    <t>09/10/2020 00:00:00</t>
  </si>
  <si>
    <t>01/10/2025 00:00:00</t>
  </si>
  <si>
    <t>6074202000029571|34.10.14.422.3013.2053.33903900</t>
  </si>
  <si>
    <t>439/SMDHC/2024</t>
  </si>
  <si>
    <t>6074202400056487</t>
  </si>
  <si>
    <t>Contratação de Empresa Especializada na Prestação de Serviços de Transporte, através de Locação de veículos Tipo “C” e Tipo “D”, em caráter não eventual, com condutor e quilometragem livre; incluindo, combustível, despesas com pedágios, avarias, multas e manutenção, para atender às necessidades da unidade operacional supervisionada pela Coordenação de Políticas para Mulheres SMDHC – Casa da Mulher Brasileira.</t>
  </si>
  <si>
    <t>12/12/2024 00:00:00</t>
  </si>
  <si>
    <t>01/01/2030 00:00:00</t>
  </si>
  <si>
    <t>6074202400056487|34.10.14.422.3013.2053.33903900</t>
  </si>
  <si>
    <t>164/SMDHC/2024</t>
  </si>
  <si>
    <t>6074202400025174</t>
  </si>
  <si>
    <t>Prestação de Serviços de RECEPÇÃO para as sedes dos 52 (cinquenta e dois) Conselhos Tutelares do Município de São Paulo.</t>
  </si>
  <si>
    <t>10/06/2024 00:00:00</t>
  </si>
  <si>
    <t>26/06/2024 00:00:00</t>
  </si>
  <si>
    <t>25/01/2027 00:00:00</t>
  </si>
  <si>
    <t>6074202400025174|34.10.14.422.3013.2053.33903900</t>
  </si>
  <si>
    <t>330/SMDHC/2024</t>
  </si>
  <si>
    <t>15/10/2024 00:00:00</t>
  </si>
  <si>
    <t>15/04/2027 00:00:00</t>
  </si>
  <si>
    <t>341/SMDHC/2024</t>
  </si>
  <si>
    <t>6074202400054352</t>
  </si>
  <si>
    <t>Prestação de serviços por Instituição Financeira de serviços de pagamento do benefício referente ao Auxílio Ampara concedido às crianças e adolescentes em situação de orfandade decorrente de feminicídio no Município de São Paulo, instituído pela Lei nº 17.851/2022, e emissão, aos beneficiários, de cartão magnético, em todas as agências da Instituição Financeira, bem como pagamento de benefícios eventuais e/ou emergenciais e a emissão, aos beneficiários.</t>
  </si>
  <si>
    <t>12/11/2024 00:00:00</t>
  </si>
  <si>
    <t>17/10/2029 00:00:00</t>
  </si>
  <si>
    <t>6074202400054352|34.10.14.422.3013.2053.33903900</t>
  </si>
  <si>
    <t>438/SMDHC/2024</t>
  </si>
  <si>
    <t>6074202400020504</t>
  </si>
  <si>
    <t>Prestação de Serviços por empresa especializada em Serviço de Telefonia Fixa Comutada – STFC, por meio de entroncamento digitais (links E1/SIP).</t>
  </si>
  <si>
    <t>23/01/2027 00:00:00</t>
  </si>
  <si>
    <t>6074202400020504|34.10.14.422.3013.2053.33903900</t>
  </si>
  <si>
    <t>024/SMDHC/2020</t>
  </si>
  <si>
    <t>6074202000023344</t>
  </si>
  <si>
    <t>Contratação de empresa especializada na prestação de serviços de gerenciamento de abastecimento de veículos, máquinas e equipamentos, por meio de cartão de pagamento magnético ou microprocessado, pelo período de 12 (doze) meses, pela taxa de administração de -4,75% (quatro inteiros e setenta e cinco centésimos por cento negativos)</t>
  </si>
  <si>
    <t>08/07/2020 00:00:00</t>
  </si>
  <si>
    <t>07/07/2025 00:00:00</t>
  </si>
  <si>
    <t>6074202000023344|34.10.14.422.3013.2053.33903900</t>
  </si>
  <si>
    <t>TC nº 019/SMDHC/2024</t>
  </si>
  <si>
    <t>6074202500004365</t>
  </si>
  <si>
    <t>Fornecimento de mobiliários para escritório - Ata de Registro de Preços nº 008/2024.</t>
  </si>
  <si>
    <t>25/02/2025 00:00:00</t>
  </si>
  <si>
    <t>27/05/2025 00:00:00</t>
  </si>
  <si>
    <t>6074202500004365|34.10.14.422.3013.2053.33903900</t>
  </si>
  <si>
    <t>Concorrência</t>
  </si>
  <si>
    <t>261/SMDHC/2024</t>
  </si>
  <si>
    <t>6074202300065530</t>
  </si>
  <si>
    <t>Contratação de empresa especializada na Prestação de Serviços de Limpeza, Asseio e Conservação Predial, visando à obtenção de adequadas condições de salubridade e higiene, com disponibilização de mão-de-obra, saneantes domissanitários, materiais e equipamentos na sede e nas unidades afeitas à Secretaria Municipal de Direitos Humanos e Cidadania – SMDHC.</t>
  </si>
  <si>
    <t>09/09/2024 00:00:00</t>
  </si>
  <si>
    <t>10/09/2024 00:00:00</t>
  </si>
  <si>
    <t>17/09/2025 00:00:00</t>
  </si>
  <si>
    <t>6074202300065530|34.10.14.422.3013.2053.33903900</t>
  </si>
  <si>
    <t>066//SMDHC/2023</t>
  </si>
  <si>
    <t>6074202200022457</t>
  </si>
  <si>
    <t>Prestação de Serviço Telefônico Fixo Comutado - STFC por meio de linhas diretas não residenciais, destinado ao tráfego de chamadas locais e longa distância nacional, através de plano ilimitado, pelo período de 12 (doze) meses, para atender à Secretaria Municipal de Direitos Humanos e Cidadania - SMDHC e seus equipamentos.</t>
  </si>
  <si>
    <t>03/07/2023 00:00:00</t>
  </si>
  <si>
    <t>27/04/2026 00:00:00</t>
  </si>
  <si>
    <t>6074202200022457|34.10.14.422.3013.2053.33903900</t>
  </si>
  <si>
    <t>6074202500011728</t>
  </si>
  <si>
    <t>Contratação de empresa especializada na prestação de serviços de Coffee Break -  ATA DE REGISTRO DE PREÇOS Nº 008/SMDHC/2023.- Coordenação de Políticas para LGBTI.</t>
  </si>
  <si>
    <t>6074202500011728|34.10.14.422.3013.2053.33903900</t>
  </si>
  <si>
    <t>6074202500012082</t>
  </si>
  <si>
    <t xml:space="preserve"> Contratação de empresa especializada na prestação de serviços de Coffee Break, de Brunch e de Kit Lanche - ATA DE REGISTRO DE PREÇOS Nº 009/SMDHC/2023 (LOTE 1 – item 1 e item 2).</t>
  </si>
  <si>
    <t>6074202500012082|34.10.14.422.3013.2053.33903900</t>
  </si>
  <si>
    <t>027/SMDHC/2025</t>
  </si>
  <si>
    <t>6074202500006430</t>
  </si>
  <si>
    <t>Confecção e impressão de material gráfico - Credencial/Crachá e Banner.</t>
  </si>
  <si>
    <t>28/05/2025 00:00:00</t>
  </si>
  <si>
    <t>6074202500006430|34.10.14.422.3013.2053.33903900</t>
  </si>
  <si>
    <t>34.10.14.243.3013.2157.33903900</t>
  </si>
  <si>
    <t>245/SMDHC2023</t>
  </si>
  <si>
    <t>6074202300071948</t>
  </si>
  <si>
    <t>Contratação de empresa especializada na prestação de serviços de locação, instalação e manutenção de aparelhos purificadores de água.</t>
  </si>
  <si>
    <t>16/08/2023 00:00:00</t>
  </si>
  <si>
    <t>18/08/2023 00:00:00</t>
  </si>
  <si>
    <t>26/08/2025 00:00:00</t>
  </si>
  <si>
    <t>6074202300071948|34.10.14.243.3013.2157.33903900</t>
  </si>
  <si>
    <t>011/SMDHC/2025</t>
  </si>
  <si>
    <t>6074202500010888</t>
  </si>
  <si>
    <t>Contratação de empresa especializada cujas pessoas trabalhadoras sejam técnicas e aptas em relação às especificidades dos diferentes públicos que compõem grandes eventos e atuam de acordo com as diretrizes da SMDHC no combate às violências de gênero, étnico-raciais, LGBTI+ e demais populações vulneráveis, como crianças e adolescentes.</t>
  </si>
  <si>
    <t>23/04/2025 00:00:00</t>
  </si>
  <si>
    <t>6074202500010888|34.10.14.243.3013.2157.33903900</t>
  </si>
  <si>
    <t>405/SMDHC2023</t>
  </si>
  <si>
    <t>6074202300091884</t>
  </si>
  <si>
    <t xml:space="preserve"> Fornecimento – sob demanda – de garrafões de 20 (vinte) litros de água para Centro de Referência em Segurança Alimentar e Nutricional – CRESAN Vila Maria e do Centro de Referência em Segurança Alimentar e Nutricional – CRESAN Butanta.</t>
  </si>
  <si>
    <t>09/02/2024 00:00:00</t>
  </si>
  <si>
    <t>6074202300091884|34.10.14.243.3013.2157.33903900</t>
  </si>
  <si>
    <t>145/SMDHC/2022</t>
  </si>
  <si>
    <t>6074202100079449</t>
  </si>
  <si>
    <t>Prestação de Serviços de Limpeza, Asseio e Conservação Predial das áreas internas e externas, para atendimento dos 52 (cinquenta e dois) Conselhos Tutelares.</t>
  </si>
  <si>
    <t>12/07/2022 00:00:00</t>
  </si>
  <si>
    <t>14/07/2022 00:00:00</t>
  </si>
  <si>
    <t>11/09/2025 00:00:00</t>
  </si>
  <si>
    <t>6074202100079449|34.10.14.243.3013.2157.33903900</t>
  </si>
  <si>
    <t>286/SMHDC/2021</t>
  </si>
  <si>
    <t>6074202100041158</t>
  </si>
  <si>
    <t>Contratação de empresa especializada em locação de microcomputadores tipo desktop, com estabilizador bivolt para cada equipamento instalado.</t>
  </si>
  <si>
    <t>18/11/2021 00:00:00</t>
  </si>
  <si>
    <t>19/11/2021 00:00:00</t>
  </si>
  <si>
    <t>6074202100041158|34.10.14.243.3013.2157.33903900</t>
  </si>
  <si>
    <t>337/SMDHC/2024</t>
  </si>
  <si>
    <t>6074202400073438</t>
  </si>
  <si>
    <t>Prestação de Serviços de Limpeza, Asseio e Conservação Predial das áreas internas e externas, visando à obtenção de adequadas condições de salubridade e higiene, com disponibilização de mão-de-obra em regime de dedicação exclusiva, saneantes domissanitários, materiais e equipamentos, nas unidades pertencentes à SMDHC.</t>
  </si>
  <si>
    <t>01/11/2024 00:00:00</t>
  </si>
  <si>
    <t>06/11/2024 00:00:00</t>
  </si>
  <si>
    <t>02/12/2025 00:00:00</t>
  </si>
  <si>
    <t>6074202400073438|34.10.14.243.3013.2157.33903900</t>
  </si>
  <si>
    <t>048/SMDHC/2020</t>
  </si>
  <si>
    <t>6074202000011893</t>
  </si>
  <si>
    <t>Contratação de empresa especializada em telecomunicação para prestação de serviço de link de acesso à internet com banda de 100MB, para utilização no auditório da Secretaria Municipal de Direitos Humanos e Cidadania.</t>
  </si>
  <si>
    <t>25/09/2022 00:00:00</t>
  </si>
  <si>
    <t>30/09/2022 00:00:00</t>
  </si>
  <si>
    <t>24/09/2025 00:00:00</t>
  </si>
  <si>
    <t>6074202000011893|34.10.14.243.3013.2157.33903900</t>
  </si>
  <si>
    <t>014/SMDHC/2025</t>
  </si>
  <si>
    <t>6074202500004683</t>
  </si>
  <si>
    <t>Prestação de serviços de concepção, organização, produção e execução de eventos com viabilização de infraestrutura e fornecimento de apoio logístico para concepção, e execução de eventos para a Administração Direta durante as ações do Carnaval 2025 na Cidade de São Paulo pela Secretaria Municipal de Direitos Humanos e Cidadania considerando as atividades em Blocos de Rua, Sambódromo e ações na União das Escolas de Samba Paulistanas (UESP).</t>
  </si>
  <si>
    <t>16/03/2025 00:00:00</t>
  </si>
  <si>
    <t>6074202500004683|34.10.14.243.3013.2157.33903900</t>
  </si>
  <si>
    <t>381/SMDHC/2023</t>
  </si>
  <si>
    <t>6074202300069595</t>
  </si>
  <si>
    <t>Contratação de empresa especializada em LOCAÇÃO DE BANHEIROS QUÍMICOS tipo padrão e para portadores de necessidades especiais (PNE) e LAVATÓRIOS MÓVEIS tipo portátil para higienização das mãos, com fornecimento de água, sabonete líquido e toalhas descartáveis, incluindo os serviços de instalação, montagem e desmontagem, ações de manutenção diária, tais como, saneamento de avarias, serviços de limpeza e reposição de insumos.</t>
  </si>
  <si>
    <t>6074202300069595|34.10.14.243.3013.2157.33903900</t>
  </si>
  <si>
    <t>6074202500006457</t>
  </si>
  <si>
    <t>Confecção e impressão de bottons personalizados  para  os conferencistas da Conferência Municipal de Promoção da Igualdade Racial de São Paulo – Edição 2025, atendendo as necessidades do Departamento de Participação Social, pasta desta Secretaria Municipal de Direitos Humanos e Cidadania-SMDHC</t>
  </si>
  <si>
    <t>01/03/2025 00:00:00</t>
  </si>
  <si>
    <t>6074202500006457|34.10.14.243.3013.2157.33903900</t>
  </si>
  <si>
    <t>06/04/2025 00:00:00</t>
  </si>
  <si>
    <t>33319000</t>
  </si>
  <si>
    <t>6074202500003180</t>
  </si>
  <si>
    <t>Aquisição de Troféus para cerimônia do Prêmio de Direitos Humanos Dom Paulo Evaristo Arns, atendendo as necessidades do Departamento de Educação em Direitos Humanos, pasta desta Secretaria Municipal de Direitos Humanos e Cidadania - SMDHC.</t>
  </si>
  <si>
    <t>6074202500003180|34.10.14.243.3013.2157.33903900</t>
  </si>
  <si>
    <t>02/SMDET/2023</t>
  </si>
  <si>
    <t>6064202300002771</t>
  </si>
  <si>
    <t xml:space="preserve">TA 001 - Prestação de serviços de vigilância e segurança patrimonial desarmada, para fazer constar o acréscimo de 03 (três) postos equivalentes ao percentual de 24,92%, correspondente ao valor de R$ 51.997,88 (cinquenta e um mil novecentos e noventa e sete reais e oitenta e oito centavos) - CRM Vila Nova Cachoeirinha e CCM Itaquera - Relacionado ao Termo de Contrato nº 02/2023/SMDET - Contratação 3036/2023
</t>
  </si>
  <si>
    <t>05/01/2024 00:00:00</t>
  </si>
  <si>
    <t>15/01/2024 00:00:00</t>
  </si>
  <si>
    <t>01/03/2026 00:00:00</t>
  </si>
  <si>
    <t>6064202300002771|34.10.14.243.3013.2157.33903900</t>
  </si>
  <si>
    <t>206/SMDHC/2022</t>
  </si>
  <si>
    <t>6074202200034170</t>
  </si>
  <si>
    <t>Contratação de empresa especializada na prestação de serviços de monitoramento e rastreamento veicular via satélite por GPS/GSM/GPRS, compreendendo a instalação de módulos rastreadores em comodato e a disponibilização de software de gerenciamento com acesso via Web para gestão da frota de veículos pertencentes à Secretaria Municipal de Direitos Humanos e Cidadania – SMDHC.</t>
  </si>
  <si>
    <t>25/08/2022 00:00:00</t>
  </si>
  <si>
    <t>27/08/2022 00:00:00</t>
  </si>
  <si>
    <t>24/08/2025 00:00:00</t>
  </si>
  <si>
    <t>6074202200034170|34.10.14.243.3013.2157.33903900</t>
  </si>
  <si>
    <t>018/SMDHC/2025</t>
  </si>
  <si>
    <t>6074202500012856</t>
  </si>
  <si>
    <t xml:space="preserve"> Contratação de empresa especializada na prestação de serviços  de Kit Lanche -Carnaval 2025</t>
  </si>
  <si>
    <t>24/02/2025 00:00:00</t>
  </si>
  <si>
    <t>22/03/2025 00:00:00</t>
  </si>
  <si>
    <t>6074202500012856|34.10.14.243.3013.2157.33903900</t>
  </si>
  <si>
    <t>208/SMDHC/2022</t>
  </si>
  <si>
    <t>6074202100055809</t>
  </si>
  <si>
    <t>Prestação de Serviços de Transporte Mediante Locação de Veículo Seminovo (com até três anos), sendo 01 (um) veículo do Tipo “D” (Grupo - D1), em caráter não eventual, com condutor e quilometragem livre, incluindo, combustível, despesas com pedágios, avarias, multas e manutenção, objetivando o deslocamento para apoio das atividades técnico-administrativas da SMDHC.</t>
  </si>
  <si>
    <t>13/09/2022 00:00:00</t>
  </si>
  <si>
    <t>15/09/2022 00:00:00</t>
  </si>
  <si>
    <t>12/09/2025 00:00:00</t>
  </si>
  <si>
    <t>6074202100055809|34.10.14.243.3013.2157.33903900</t>
  </si>
  <si>
    <t>248/SMDHC/2024</t>
  </si>
  <si>
    <t>6074202400050110</t>
  </si>
  <si>
    <t>Prestação de Serviços por empresa especializada em serviços contínuos de lavanderia - Casa da Mulher Brasileira.</t>
  </si>
  <si>
    <t>07/08/2024 00:00:00</t>
  </si>
  <si>
    <t>16/08/2024 00:00:00</t>
  </si>
  <si>
    <t>05/08/2025 00:00:00</t>
  </si>
  <si>
    <t>6074202400050110|34.10.14.243.3013.2157.33903900</t>
  </si>
  <si>
    <t>6074202500010241</t>
  </si>
  <si>
    <t xml:space="preserve">Consumo de serviços de Água e Esgoto - Exercício de 2025 - Casa de Passagem 
</t>
  </si>
  <si>
    <t>6074202500010241|34.10.14.243.3013.2157.33903900</t>
  </si>
  <si>
    <t>6074202500009731</t>
  </si>
  <si>
    <t xml:space="preserve"> Consumo de Água e Esgoto - Casa da Mulher Brasileira - Exercício de 2025.</t>
  </si>
  <si>
    <t>6074202500009731|34.10.14.243.3013.2157.33903900</t>
  </si>
  <si>
    <t>6074202500011051</t>
  </si>
  <si>
    <t>Contratação para fornecimento de Kit Lanche, para atender os participantes da reunião ordinária do COMPISP (Conselho Municipal dos Povos Indígenas do Município de São Paulo), realizada pela Coordenação dos Povos Indígenas, pasta desta Secretaria Municipal de Direitos Humanos e Cidadania.</t>
  </si>
  <si>
    <t>6074202500011051|34.10.14.243.3013.2157.33903900</t>
  </si>
  <si>
    <t>171/SMDHC/2023</t>
  </si>
  <si>
    <t>6074202300034112</t>
  </si>
  <si>
    <t>Prestação de serviços contínuos de copeiragem, com fornecimento de mão de obra uniformizada, materiais, equipamentos e utensílios necessários ao perfeito atendimento das necessidades da Secretaria Municipal de Direitos Humanos e Cidadania – SMDHC.</t>
  </si>
  <si>
    <t>6074202300034112|34.10.14.243.3013.2157.33903900</t>
  </si>
  <si>
    <t>6074202500012732</t>
  </si>
  <si>
    <t>Contratação para fornecimento de Kit Lanche para atender os participantes da 125ª Reunião Ordinária do Comitê Intersetorial da Política para População em Situação de Rua, organizado pelo Comitê Intersetoria de Política Municipal para a População em Situação de Rua, pasta da SMDHC.</t>
  </si>
  <si>
    <t>13/03/2025 00:00:00</t>
  </si>
  <si>
    <t>6074202500012732|34.10.14.243.3013.2157.33903900</t>
  </si>
  <si>
    <t>6074202400087021</t>
  </si>
  <si>
    <t>Serviços por empresa especializada na prestação de serviços de locação de veículos adaptados, com fornecimento de combustível e quilometragem livre, motorista, vigilante e seguro para a Unidade Móvel de Atendimento às Mulheres.</t>
  </si>
  <si>
    <t>6074202400087021|34.10.14.422.3007.4330.33903900</t>
  </si>
  <si>
    <t>020/SMDHC/2025</t>
  </si>
  <si>
    <t>6074202500007283</t>
  </si>
  <si>
    <t>Contratação de empresa especializada em ministrar curso teórico e prático de Brigada de Incêndio, para adequação de segurança nas dependências do Edifício São Joaquim, sede da Secretaria Municipal de Direitos Humanos e Cidadania – SMDHC e para adequação de segurança nas dependências da Casa da Mulher Brasileira – CMB.</t>
  </si>
  <si>
    <t>29/03/2025 00:00:00</t>
  </si>
  <si>
    <t>6074202500007283|34.10.14.422.3007.4330.33903900</t>
  </si>
  <si>
    <t>232/SMDHC/2021</t>
  </si>
  <si>
    <t>6074202100026485</t>
  </si>
  <si>
    <t>Contratação de um Serviço Integrado de Segurança incluindo serviços de vigilância e segurança patrimonial desarmada, para atender a estação pertencente à Ação Vidas no Centro do Município de São Paulo.</t>
  </si>
  <si>
    <t>06/10/2021 00:00:00</t>
  </si>
  <si>
    <t>08/10/2021 00:00:00</t>
  </si>
  <si>
    <t>05/10/2025 00:00:00</t>
  </si>
  <si>
    <t>6074202100026485|34.10.14.422.3007.4330.33903900</t>
  </si>
  <si>
    <t>51</t>
  </si>
  <si>
    <t>Termo de Contrato - Seguradora</t>
  </si>
  <si>
    <t>266/SMDHC/2022</t>
  </si>
  <si>
    <t>6074202200032037</t>
  </si>
  <si>
    <t>Contratação, de empresa especializada na prestação de serviços de fornecimento de Seguro Total, na modalidade compreensiva, para 05 (cinco) veículos, sendo destes 03 (três) da Coordenação de Promoção da Igualdade Racial – CPIR e 02 (dois) da Coordenação de Políticas paras as Mulheres – CPM, unidades afeitas à Secretaria Municipal de Direitos Humanos e Cidadania – SMDHC.</t>
  </si>
  <si>
    <t>25/11/2022 00:00:00</t>
  </si>
  <si>
    <t>28/12/2022 00:00:00</t>
  </si>
  <si>
    <t>24/11/2025 00:00:00</t>
  </si>
  <si>
    <t>6074202200032037|34.10.14.422.3007.4330.33903900</t>
  </si>
  <si>
    <t>032/SMDHC/2022</t>
  </si>
  <si>
    <t>6074202100065367</t>
  </si>
  <si>
    <t>Serviço Telefônico Fixo Comutado – STFC por meio de linhas diretas não residenciais, destinado ao tráfego de chamadas locais e longa distância nacional, pelo período de 12 (doze) meses, para atender a Coordenação de Políticas para as Mulheres e seus equipamentos, afeitos à Secretaria Municipal de Direitos Humanos e Cidadania</t>
  </si>
  <si>
    <t>16/03/2022 00:00:00</t>
  </si>
  <si>
    <t>01/07/2022 00:00:00</t>
  </si>
  <si>
    <t>26/07/2025 00:00:00</t>
  </si>
  <si>
    <t>6074202100065367|34.10.14.422.3007.4330.33903900</t>
  </si>
  <si>
    <t>6074202500013470</t>
  </si>
  <si>
    <t>Contratação de empresa especializada na prestação de serviços de Coffee Break para atender os participantes do evento "Empregabilidade LGBTI" com previsão para ocorrer no dia 25 de fevereiro de 2025, atendendo á solicitação da Coordenação de Políticas para LGBTI, pasta da SMDHC.</t>
  </si>
  <si>
    <t>6074202500013470|34.10.14.422.3007.4330.33903900</t>
  </si>
  <si>
    <t>6074202500003466</t>
  </si>
  <si>
    <t>Aquisição de material de consumo para o exercício de 2025, chás de diversos sabores, adoçante liquido, garrafa térmica, filtro de papel e guardanapo de papel, para atender a sede da Secretaria de Direitos Humanos e Cidadania-SMDHC.</t>
  </si>
  <si>
    <t>20/03/2025 00:00:00</t>
  </si>
  <si>
    <t>6074202500003466|34.10.14.422.3007.4330.33903900</t>
  </si>
  <si>
    <t>429/SMDHC/2024</t>
  </si>
  <si>
    <t>6074202400067390</t>
  </si>
  <si>
    <t>Contratação de empresa especializada na prestação de serviços – de natureza continuada – de controle sanitário integrado no combate a vetores e pragas urbanas (baratas, formigas, pombos, morcegos, dentre outras), compreendendo também a desinsetização, desratização, descupinização e controle ambiental em todas as áreas internas e externas adjacentes à equipamentos pertencentes à Secretaria Municipal de Direitos Humanos e Cidadania – SMDHC.</t>
  </si>
  <si>
    <t>29/11/2024 00:00:00</t>
  </si>
  <si>
    <t>05/12/2024 00:00:00</t>
  </si>
  <si>
    <t>21/01/2026 00:00:00</t>
  </si>
  <si>
    <t>6074202400067390|34.10.14.422.3007.4330.33903900</t>
  </si>
  <si>
    <t>6074202500014387</t>
  </si>
  <si>
    <t>Consumo de Energia Elétrica - Casa de Passagem - Exercício de 2025.</t>
  </si>
  <si>
    <t>6074202500014387|34.10.14.422.3007.4330.33903900</t>
  </si>
  <si>
    <t>070/SMDHC/2020</t>
  </si>
  <si>
    <t>6074202000035890</t>
  </si>
  <si>
    <t>Contratação de empresa especializada para a prestação de serviços de locação e instalação de equipamentos e software (sistema informatizado) necessários e suficientes para o funcionamento de um Circuito Fechado de Televisão – CFTV, incluindo sua manutenção preventiva e corretiva e uma Central de Monitoramento Remoto (período noturno), visando à efetiva cobertura das 52 (cinquenta e duas) sedes dos Conselhos Tutelares, pertencentes à Secretaria Municipal de Direitos Humanos e Cidadania</t>
  </si>
  <si>
    <t>29/10/2020 00:00:00</t>
  </si>
  <si>
    <t>03/12/2020 00:00:00</t>
  </si>
  <si>
    <t>28/10/2025 00:00:00</t>
  </si>
  <si>
    <t>6074202000035890|34.10.14.243.3013.2157.33904600</t>
  </si>
  <si>
    <t>33929000</t>
  </si>
  <si>
    <t>023/SMDHC/2025</t>
  </si>
  <si>
    <t>6074202500011639</t>
  </si>
  <si>
    <t xml:space="preserve"> Contratação de empresa especializada na prestação de serviços de Coffe Break Tipo 1 para os eventos voltados à formação da rede de enfrentamento à violência de gênero, em parceria a Coordenação de Pronto Atendimento Social da Secretaria Municipal de Assistência e Desenvolvimento Social (SMADS) e o Grupo de Atuação Especial de Enfrentamento À Violência Doméstica (GEVID).</t>
  </si>
  <si>
    <t>11/03/2025 00:00:00</t>
  </si>
  <si>
    <t>17/03/2025 00:00:00</t>
  </si>
  <si>
    <t>11/04/2025 00:00:00</t>
  </si>
  <si>
    <t>6074202500011639|34.10.14.243.3013.2157.33904600</t>
  </si>
  <si>
    <t>259/SMDHC/2024</t>
  </si>
  <si>
    <t>6074202400039434</t>
  </si>
  <si>
    <t xml:space="preserve"> Prestação de Serviços, sob demanda, de empresa especializada para elaboração de laudo de avaliação de locação de imóveis</t>
  </si>
  <si>
    <t>26/08/2024 00:00:00</t>
  </si>
  <si>
    <t>29/08/2024 00:00:00</t>
  </si>
  <si>
    <t>6074202400039434|34.10.14.243.3013.2157.33904600</t>
  </si>
  <si>
    <t>026/SMDHC/2025</t>
  </si>
  <si>
    <t>6074202400084430</t>
  </si>
  <si>
    <t>Fornecimento e instalação de 05 (cinco) aparelhos de ar condicionado para o atendimento das necessidades do Edifício Patriarca, sede da Ouvidoria da Secretaria Municipal de Direitos Humanos e Cidadania – SMDHC.</t>
  </si>
  <si>
    <t>07/04/2025 00:00:00</t>
  </si>
  <si>
    <t>6074202400084430|34.10.14.243.3013.2157.33904600</t>
  </si>
  <si>
    <t>059/SMDHC/2020</t>
  </si>
  <si>
    <t>6074202000039615</t>
  </si>
  <si>
    <t>Contratação de empresa especializada para a prestação de serviços de locação de Sistema PABX, com DDR, incluídos os serviços de instalação, gerenciamento e manutenção, visando atender aos 52 (cinquenta e dois) dos Conselhos Tutelares, pertencentes à Secretaria Municipal de Direitos Humanos e Cidadania.</t>
  </si>
  <si>
    <t>03/11/2020 00:00:00</t>
  </si>
  <si>
    <t>11/11/2020 00:00:00</t>
  </si>
  <si>
    <t>02/11/2025 00:00:00</t>
  </si>
  <si>
    <t>6074202000039615|34.10.14.243.3013.2157.33904600</t>
  </si>
  <si>
    <t>024/SMDHC/2025</t>
  </si>
  <si>
    <t>6074202500012872</t>
  </si>
  <si>
    <t>Contratação de licença de acesso ao sistema de pesquisa e comparação de preços praticados pela Administração Pública, denominada BANCO DE PREÇOS.</t>
  </si>
  <si>
    <t>10/03/2025 00:00:00</t>
  </si>
  <si>
    <t>6074202500012872|34.10.14.243.3013.2157.33904600</t>
  </si>
  <si>
    <t>6074202500014476</t>
  </si>
  <si>
    <t>fornecimento de energia elétrica - Casa de Passagem - Exercício de 2025.</t>
  </si>
  <si>
    <t>6074202500014476|34.10.14.243.3013.2157.33904600</t>
  </si>
  <si>
    <t>24/24/SMDHC/CPLGBTI</t>
  </si>
  <si>
    <t>6074202400105330</t>
  </si>
  <si>
    <t>Parceria. Termo de Colaboração. Objeto Gestão do Centro de Referência LGBTI+ Brunna Valin e Unidade Móvel LGBTI+ Centro.</t>
  </si>
  <si>
    <t>6074202400105330|34.10.14.243.3013.2157.33904600</t>
  </si>
  <si>
    <t>6074202500009189</t>
  </si>
  <si>
    <t>Fornecimento de açúcar refinado para o Exercício de 2025- Ata de Registro de Preços nº 001/SEGES-COBES/2025.</t>
  </si>
  <si>
    <t>6074202500009189|34.10.14.243.3013.2157.33904600</t>
  </si>
  <si>
    <t>168/SMDHC/2024</t>
  </si>
  <si>
    <t>6074202400008350</t>
  </si>
  <si>
    <t>Prestação de Serviços por empresa especializada em Controle de Pragas Urbanas e Vetores, compreendendo Desinsetização, Desratização e Descupinização para todas as áreas internas e externas adjacentes aos equipamentos da Secretaria Municipal de Direitos Humanos e Cidadania – SMDHC, com fornecimento de todos os materiais, equipamentos e ferramentas necessários, de acordo com as especificações e condições constantes do ANEXO I do Edital de Pregão.</t>
  </si>
  <si>
    <t>18/06/2024 00:00:00</t>
  </si>
  <si>
    <t>6074202400008350|34.10.14.243.3013.2157.33904600</t>
  </si>
  <si>
    <t>155/SMDHC/2024</t>
  </si>
  <si>
    <t>6074202400019867</t>
  </si>
  <si>
    <t>Contratação de empresa especializada no fornecimento de gás liquefeito de petróleo (GLP) botijão de 45 kg. para as unidades: Casa da Mulher Brasileira e Casa Helenira Rezende, supervisionado pela Coordenação de Políticas para Mulheres.</t>
  </si>
  <si>
    <t>02/05/2024 00:00:00</t>
  </si>
  <si>
    <t>07/05/2024 00:00:00</t>
  </si>
  <si>
    <t>17/05/2025 00:00:00</t>
  </si>
  <si>
    <t>6074202400019867|34.10.14.243.3013.2157.33904600</t>
  </si>
  <si>
    <t>6074202500016185</t>
  </si>
  <si>
    <t>Contratação de empresa especializada na prestação de  serviços de impressão de material gráfico, cartão de visita frente e verso - ATA DE REGISTRO DE PREÇOS Nº 001/SMDHC/2024</t>
  </si>
  <si>
    <t>6074202500016185|34.10.14.243.3013.2157.33904600</t>
  </si>
  <si>
    <t>6074202500016592</t>
  </si>
  <si>
    <t>Contratação de empresa especializada na prestação de serviços de Kit Lanche, para atender os
participantes da Reunião Extraordinária que acontecerá dia 06 de março na Secretaria Municipal de Direitos Humanos e Cidadania (SMDHC), evento esse realizado pela Coordenação dos Povos Indígenas.</t>
  </si>
  <si>
    <t>06/03/2025 00:00:00</t>
  </si>
  <si>
    <t>6074202500016592|34.10.14.243.3013.2157.33904600</t>
  </si>
  <si>
    <t>6074202500018250</t>
  </si>
  <si>
    <t>Contratação de empresa especializada na prestação de serviços de Coffee Break, de Brunch e de Kit Lanche - ATA DE REGISTRO DE PREÇOS Nº 008/SMDHC/2023 - atender aos participantes do Evento "Dia Internacional da Mulher", na Casa da Mulher Brasileira  realizado pela SMDHC/GAB,  Gabinete desta desta Secretaria Municipal de Direitos Humanos e Cidadania.</t>
  </si>
  <si>
    <t>09/03/2025 00:00:00</t>
  </si>
  <si>
    <t>6074202500018250|34.10.14.422.3013.2053.33903900</t>
  </si>
  <si>
    <t>6074202500016649</t>
  </si>
  <si>
    <t xml:space="preserve">Contratação de empresa especializada na prestação de serviços, sob demanda, de confecção e impressão de material gráfico - ATA DE REGISTRO DE PREÇOS Nº 003/SMDHC/2024.
 </t>
  </si>
  <si>
    <t>26/03/2025 00:00:00</t>
  </si>
  <si>
    <t>6074202500016649|34.10.14.422.3013.2053.33903900</t>
  </si>
  <si>
    <t>6074202500016630</t>
  </si>
  <si>
    <t xml:space="preserve">Contratação de empresa especializada na prestação de serviços, sob demanda, de confecção e impressão de material gráfico - ATA DE REGISTRO DE PREÇOS Nº 004/SMDHC/2024 </t>
  </si>
  <si>
    <t>6074202500016630|34.10.14.422.3013.2053.33903900</t>
  </si>
  <si>
    <t>067//SMDHC/2023</t>
  </si>
  <si>
    <t>6074202300013735</t>
  </si>
  <si>
    <t xml:space="preserve"> Prestação de serviços de limpeza e desinfecção de reservatório predial às unidades da Prefeitura do Município de São Paulo - Grupo 1 (Centro)- ATA DE REGISTRO DE PREÇÕS nº 002/SEGES-COBES/2022.</t>
  </si>
  <si>
    <t>06/05/2026 00:00:00</t>
  </si>
  <si>
    <t>6074202300013735|34.10.14.422.3013.2053.33903900</t>
  </si>
  <si>
    <t>6074202500013690</t>
  </si>
  <si>
    <t>Contratação para aquisição de vaso sanitário para caixa acoplada com vistas ao atendimento das
necessidades do Edifício São Joaquim, sede da Secretaria Municipal de Direitos Humanos e Cidadania –
SMDHC - AVISO DE DISPENSA ELETRÔNICA Nº 90030/2025.</t>
  </si>
  <si>
    <t>23/03/2025 00:00:00</t>
  </si>
  <si>
    <t>6074202500013690|34.10.14.422.3013.2053.33903900</t>
  </si>
  <si>
    <t>6074202500012546</t>
  </si>
  <si>
    <t>Contratação para aquisição de 03 (três) unidades de Escadas de Alumínio para atendimento das necessidades da Secretaria Municipal de Direitos Humanos e Cidadania – SMDHC - AVISO DE DISPENSA ELETRÔNICA Nº 90029/2025.</t>
  </si>
  <si>
    <t>6074202500012546|34.10.14.422.3013.2053.33903900</t>
  </si>
  <si>
    <t>028/SMDHC/2025</t>
  </si>
  <si>
    <t>6074202500018021</t>
  </si>
  <si>
    <t>Contratação de empresa especializada na prestação de serviços de Kit Lanche  - ARP nº 009/SMDHC/2023 (LOTE 3).</t>
  </si>
  <si>
    <t>14/01/2026 00:00:00</t>
  </si>
  <si>
    <t>6074202500018021|34.10.14.422.3013.2053.33903900</t>
  </si>
  <si>
    <t>53</t>
  </si>
  <si>
    <t>Nota de Empenho - Multas de Trânsito / Outras</t>
  </si>
  <si>
    <t>6017202500140713</t>
  </si>
  <si>
    <t>Pagamento de Multa de Trânsito Carro Oficial –  FIAT/UNO MILLE FIRE – Placa CMW0326</t>
  </si>
  <si>
    <t>6017202500140713|34.10.14.422.3013.2053.33903900</t>
  </si>
  <si>
    <t>6074202500015111</t>
  </si>
  <si>
    <t>Aquisição de 400 (quatrocentos) unidades de Bloco de Notas com Capa Blocado e 350 (trezentos e cinquenta ) unidades de Folder / 3 Dobra / A4 / horizontal - para o evento Seminário de Comunicação Não Violenta e Justiça Restaurativa.</t>
  </si>
  <si>
    <t>24/03/2025 00:00:00</t>
  </si>
  <si>
    <t>6074202500015111|34.10.14.422.3013.2053.33903900</t>
  </si>
  <si>
    <t>6074202500006767</t>
  </si>
  <si>
    <t>Fornecimento de 01(uma) licença do software Canvas Pro, pelo período de 12 (doze) meses, para o setor de comunicação, para desenvolvimento de projetos na Secretaria de Direitos Humanos e Cidadania.</t>
  </si>
  <si>
    <t>6074202500006767|34.10.14.422.3013.2053.33903900</t>
  </si>
  <si>
    <t>6074202500021278</t>
  </si>
  <si>
    <t>Contratação de empresa especializada na prestação de serviços de Coffee Break, Tipo II&lt; para atender aos participantes da atividade intitulada "Dia Internacional da Mulher" - ATA DE REGISTRO DE PREÇOS Nº 008/SMDHC/2023</t>
  </si>
  <si>
    <t>6074202500021278|34.10.14.422.3013.2053.33903900</t>
  </si>
  <si>
    <t>54</t>
  </si>
  <si>
    <t>Nota de Empenho - Pagamento de Anuidades / Taxas / Impostos</t>
  </si>
  <si>
    <t>6074202500020417</t>
  </si>
  <si>
    <t>Assinatura do jornal O Estado de S.Paulo (digital+impresso) pelo período de 12 (doze) meses.</t>
  </si>
  <si>
    <t>08/04/2026 00:00:00</t>
  </si>
  <si>
    <t>6074202500020417|34.10.14.422.3013.2053.33903900</t>
  </si>
  <si>
    <t>030/SMDHC/2025</t>
  </si>
  <si>
    <t>6074202500013593</t>
  </si>
  <si>
    <t>Contratação do INSTITUTO DE ESTUDOS DE PROTESTO DE TÍTULOS DO BRASIL - SEÇÃO SÃO PAULO - IEPTB - SP para serviços cartoriais voltados para o programa Respeito Tem Nome.</t>
  </si>
  <si>
    <t>31/03/2025 00:00:00</t>
  </si>
  <si>
    <t>08/01/2026 00:00:00</t>
  </si>
  <si>
    <t>6074202500013593|34.10.14.422.3013.2053.33903900</t>
  </si>
  <si>
    <t>6074202500020425</t>
  </si>
  <si>
    <t>Contratação por inexigibilidade de licitação com a EMPRESA FOLHA DA MANHA S.A., inscrita sob CNPJ nº 60.579.703/0001-48, para o fornecimento de 01 (uma) assinatura anual do jornal "Folha de S.Paulo.", impresso de segunda a Domingo + digital diário.</t>
  </si>
  <si>
    <t>6074202500020425|34.10.14.422.3013.2053.33903900</t>
  </si>
  <si>
    <t>6074202500021316</t>
  </si>
  <si>
    <t>Contratação de empresa especializada na prestação de serviços de Kit Lanche para atender aos participantes da Reunião Extraordinária da SMDHC/CPDDH/COPIND.</t>
  </si>
  <si>
    <t>6074202500021316|34.10.14.422.3013.2053.33903900</t>
  </si>
  <si>
    <t>6074202500020875</t>
  </si>
  <si>
    <t>Contratação de empresa especializada na prestação de serviços de Kit Lanche para atender aos participantes da 126ª Reunião Ordinária do Comitê Intersetorial da Política para População em Situação de Rua - ATA DE REGISTRO DE PREÇOS Nº 009/SMDHC/2023</t>
  </si>
  <si>
    <t>6074202500020875|34.10.14.422.3013.2053.33903900</t>
  </si>
  <si>
    <t>6074202500022975</t>
  </si>
  <si>
    <t>Contratação de empresa especializada na prestação de serviços de Coffee Break Tipo I para o evento de mulheres que será celebrado na Assembleia Legislativa do Estado de São Paulo - Alesp - ATA DE REGISTRO DE PREÇOS Nº 008/SMDHC/2023.</t>
  </si>
  <si>
    <t>6074202500022975|34.10.14.243.3013.2157.33904600</t>
  </si>
  <si>
    <t>34.10.14.243.3013.2157.31909400</t>
  </si>
  <si>
    <t>6074202500020972</t>
  </si>
  <si>
    <t>Contratação de empresa especializada para a prestação de serviços, sob demanda, de confecção e impressão de material gráfico pelo período de 1 (um) mês contados da data da assinatura do contrato.</t>
  </si>
  <si>
    <t>6074202500020972|34.10.14.243.3013.2157.31909400</t>
  </si>
  <si>
    <t>6074202500023335</t>
  </si>
  <si>
    <t>Contratação de empresa especializada na prestação de serviços de Coffee Break, Tipo II, para atender aos participantes do evento "Café com a Coordenadora" de Políticas para LGBTI+, juntamente de outras personalidades importantes da comunidade Trans e Travesti, em comemoração ao dia Internacional da Visibilidade Trans, realizado pela SMDHC/CPDDH/CPLGBTI - Coordenação de Políticas para LGBTI.</t>
  </si>
  <si>
    <t>01/04/2025 00:00:00</t>
  </si>
  <si>
    <t>6074202500023335|34.10.14.243.3013.2157.31909400</t>
  </si>
  <si>
    <t>6074202500008492</t>
  </si>
  <si>
    <t>Aquisição de café torrado e moído embalado em alto vácuo, de qualidade mínima superior.</t>
  </si>
  <si>
    <t>6074202500008492|34.10.14.243.3013.2157.31909400</t>
  </si>
  <si>
    <t>6074202500015332</t>
  </si>
  <si>
    <t>Aquisição de 156 (cento e cinquenta e seis) unidades de Ventiladores de coluna; Potência de 170W;  para o atendimento das dependências dos estabelecimentos que funcionam como sede dos Conselhos Tutelares.</t>
  </si>
  <si>
    <t>18/04/2025 00:00:00</t>
  </si>
  <si>
    <t>6074202500015332|34.10.14.243.3013.2157.31909400</t>
  </si>
  <si>
    <t>6074202500020557</t>
  </si>
  <si>
    <t>Assinatura do jornal O Globo  impresso pelo período de 12 (doze) meses.</t>
  </si>
  <si>
    <t>05/04/2026 00:00:00</t>
  </si>
  <si>
    <t>6074202500020557|34.10.14.243.3013.2157.31909400</t>
  </si>
  <si>
    <t>Assinatura do jornal O Globo digital pelo período de 12 (doze) meses</t>
  </si>
  <si>
    <t>6074202500020433</t>
  </si>
  <si>
    <t>Assinatura do jornal Valor Econômico (digital+impresso) pelo período de 12 (doze) meses</t>
  </si>
  <si>
    <t>6074202500020433|34.10.14.243.3013.2157.31909400</t>
  </si>
  <si>
    <t>6074202500021529</t>
  </si>
  <si>
    <t xml:space="preserve">Aquisição de materiais de limpeza para higienização das instalações, equipamentos e cuidados pessoais dos agentes operacionais do Banco de Alimentos e CRESANs Butantã e Vila Maria
 </t>
  </si>
  <si>
    <t>6074202500021529|34.10.14.243.3013.2157.31909400</t>
  </si>
  <si>
    <t>6074202500020883</t>
  </si>
  <si>
    <t>Aquisição de materiais de papelaria para a equipe disponível no CRESAN Butantã.</t>
  </si>
  <si>
    <t>6074202500020883|34.10.14.243.3013.2157.31909400</t>
  </si>
  <si>
    <t>6074202500021537</t>
  </si>
  <si>
    <t>Aquisição de materiais para manipulação de alimentos no Banco de alimentos, atendendo as necessidades da SMDHC/SESANA/COSAN/CRESAN/VILA, pasta desta Secretaria Municipal de Direitos Humanos e Cidadania-SMDHC.</t>
  </si>
  <si>
    <t>17/04/2025 00:00:00</t>
  </si>
  <si>
    <t>6074202500021537|34.10.14.243.3013.2157.31909400</t>
  </si>
  <si>
    <t>6074202500026199</t>
  </si>
  <si>
    <t>Contratação de empresa especializada na prestação de serviços de Coffee Break, de Brunch e de Kit Lanche - ATA DE REGISTRO DE PREÇOS Nº 008/SMDHC/2023 - para atender aos participantes do evento, referente a atividade intitulada "Integração Serviços de Assistência Social, Direitos Humanos e Órgãos do Sistema de Justiça - Termo de Cooperação Técnica nº 21/2023"</t>
  </si>
  <si>
    <t>6074202500026199|34.10.14.243.3013.2157.31909400</t>
  </si>
  <si>
    <t>035/SMDHC/2025</t>
  </si>
  <si>
    <t>6074202500022843</t>
  </si>
  <si>
    <t>Contratação de empresa para prestação de serviço de relatoria e metodologia incluída mão-de-obra e todos os materiais necessários à execução das atividades previstas para a conferência a ocorrer em 2025.</t>
  </si>
  <si>
    <t>14/04/2025 00:00:00</t>
  </si>
  <si>
    <t>15/04/2025 00:00:00</t>
  </si>
  <si>
    <t>24/07/2025 00:00:00</t>
  </si>
  <si>
    <t>6074202500022843|34.10.14.243.3013.2157.31909400</t>
  </si>
  <si>
    <t>33369000</t>
  </si>
  <si>
    <t>037/SMDHC/2025</t>
  </si>
  <si>
    <t>6074202500022460</t>
  </si>
  <si>
    <t>Contratação de prestação de serviços, de natureza artística, para o “Abril Indígena 2025: “Rodas De Saberes Multiétnicas”.</t>
  </si>
  <si>
    <t>06/05/2025 00:00:00</t>
  </si>
  <si>
    <t>20/04/2025 00:00:00</t>
  </si>
  <si>
    <t>6074202500022460|34.10.14.243.3013.2157.31909400</t>
  </si>
  <si>
    <t>036/SMDHC/2025</t>
  </si>
  <si>
    <t>6074202500022312</t>
  </si>
  <si>
    <t>Contratação de prestação de serviços, de natureza artística, para o “Abril Indígena 2025: “Rodas De Saberes Multiétnicas”</t>
  </si>
  <si>
    <t>10/04/2025 00:00:00</t>
  </si>
  <si>
    <t>19/05/2025 00:00:00</t>
  </si>
  <si>
    <t>6074202500022312|34.10.14.243.3013.2157.31909400</t>
  </si>
  <si>
    <t>040/SMDHC/2025</t>
  </si>
  <si>
    <t>6074202500020786</t>
  </si>
  <si>
    <t>Prestação de serviços, sob demanda, de confecção e impressão de material gráfico. - ATA DE REGISTRO DE PREÇOS Nº 002/SMDHC/2024</t>
  </si>
  <si>
    <t>24/04/2025 00:00:00</t>
  </si>
  <si>
    <t>28/04/2025 00:00:00</t>
  </si>
  <si>
    <t>24/05/2025 00:00:00</t>
  </si>
  <si>
    <t>6074202500020786|34.10.14.243.3013.2157.31909400</t>
  </si>
  <si>
    <t>34.10.14.422.3013.4322.33903600</t>
  </si>
  <si>
    <t>033/SMDHC/2025</t>
  </si>
  <si>
    <t>6074202500022401</t>
  </si>
  <si>
    <t>Abril Indígena 2025: “Rodas De Saberes Multiétnicas”</t>
  </si>
  <si>
    <t>6074202500022401|34.10.14.422.3013.4322.33903600</t>
  </si>
  <si>
    <t>034/SMDHC/2025</t>
  </si>
  <si>
    <t>6074202500022355</t>
  </si>
  <si>
    <t>6074202500022355|34.10.14.422.3013.4322.33903600</t>
  </si>
  <si>
    <t>042/SMDHC/2025</t>
  </si>
  <si>
    <t>6074202500022398</t>
  </si>
  <si>
    <t xml:space="preserve">Contratação de prestação de serviços, de natureza artística, para o “Abril Indígena 2025: “Rodas De Saberes Multiétnicas”
</t>
  </si>
  <si>
    <t>6074202500022398|34.10.14.422.3013.4322.33903600</t>
  </si>
  <si>
    <t>044/SMDHC/2025</t>
  </si>
  <si>
    <t>6074202500022452</t>
  </si>
  <si>
    <t>Contratação direta por Inexigibilidade de Licitação, do Sr. ADILSON LUIS DO NASCIMENTO, inscrito no CPF sob o nº ***.833.984 - ** , para a prestação de serviços, de natureza artística, para o “Abril Indígena 2025: “Rodas De Saberes Multiétnicas”.</t>
  </si>
  <si>
    <t>6074202500022452|34.10.14.422.3013.4322.33903600</t>
  </si>
  <si>
    <t>046/SMDHC/2025</t>
  </si>
  <si>
    <t>6074202500025214</t>
  </si>
  <si>
    <t>6074202500025214|34.10.14.422.3013.4322.33903600</t>
  </si>
  <si>
    <t>039/SMDHC/2025</t>
  </si>
  <si>
    <t>6074202500022339</t>
  </si>
  <si>
    <t>6074202500022339|34.10.14.422.3013.4322.33903600</t>
  </si>
  <si>
    <t>041/SMDHC/2025</t>
  </si>
  <si>
    <t>6074202500022371</t>
  </si>
  <si>
    <t xml:space="preserve">Prestação de serviços, de natureza artística, para o “Abril Indígena 2025: “Rodas De Saberes Multiétnicas” </t>
  </si>
  <si>
    <t>6074202500022371|34.10.14.422.3013.4322.33903600</t>
  </si>
  <si>
    <t>043/SMDHC/2025</t>
  </si>
  <si>
    <t>6074202500022428</t>
  </si>
  <si>
    <t>Contratação de prestação de serviços, de natureza artística, para o “Abril Indígena 2025: “Rodas De Saberes Multiétnicas, a ser firmado atravès da palestrante Vanuzia Costa Santos - com objetivo de promover a " Roda de Saberes Multiétnicos"</t>
  </si>
  <si>
    <t>6074202500022428|34.10.14.422.3013.4322.33903600</t>
  </si>
  <si>
    <t>038/SMDHC/2025</t>
  </si>
  <si>
    <t>6074202500022320</t>
  </si>
  <si>
    <t xml:space="preserve"> Prestação de serviços, de natureza artística, para o “Abril Indígena 2025: “Rodas De Saberes Multiétnicas”.</t>
  </si>
  <si>
    <t>6074202500022320|34.10.14.422.3013.4322.33903600</t>
  </si>
  <si>
    <t>6074202500016967</t>
  </si>
  <si>
    <t>Contratação de empresa especializada na prestação de serviços de limpeza e desinfecção, preventiva e periódica, de reservatórios de água (caixas d’água), pertencentes aos equipamentos afeitos à Secretaria Municipal de Direitos Humanos e Cidadania – SMDHC.</t>
  </si>
  <si>
    <t>6074202500016967|34.10.14.422.3013.4322.33903600</t>
  </si>
  <si>
    <t xml:space="preserve"> 48/SMDHC/2025</t>
  </si>
  <si>
    <t>6074202500006775</t>
  </si>
  <si>
    <t>Contratação de duas licenças de uso do ChatGPT Plus pelo período de 12 meses, para atender às demandas da instituição em atividades de suporte, automação de tarefas, redação de conteúdo, análise de dados e desenvolvimento de soluções baseadas em inteligência artificial (IA), para atender o departamento de comunicação da Secretaria de Direitos Humanos e Cidadania - SMDHC.</t>
  </si>
  <si>
    <t>08/05/2025 00:00:00</t>
  </si>
  <si>
    <t>16/05/2025 00:00:00</t>
  </si>
  <si>
    <t>20/05/2026 00:00:00</t>
  </si>
  <si>
    <t>6074202500006775|34.10.14.422.3013.4322.33903600</t>
  </si>
  <si>
    <t>050/SMDHC/2025</t>
  </si>
  <si>
    <t>6074202500022363</t>
  </si>
  <si>
    <t xml:space="preserve">Contratação de prestação de serviços, de natureza artística, para o “Abril Indígena 2025: “Rodas De Saberes Multiétnicas” </t>
  </si>
  <si>
    <t>16/04/2025 00:00:00</t>
  </si>
  <si>
    <t>6074202500022363|34.10.14.422.3013.4322.33903600</t>
  </si>
  <si>
    <t>051/SMDHC/2025</t>
  </si>
  <si>
    <t>6074202500022304</t>
  </si>
  <si>
    <t>6074202500022304|34.10.14.422.3013.4322.33903600</t>
  </si>
  <si>
    <t>049/SMDHC/2025</t>
  </si>
  <si>
    <t>6074202500022410</t>
  </si>
  <si>
    <t xml:space="preserve">Contratação de prestação de serviços, de natureza artística, para o “Abril Indígena 2025: “Rodas De Saberes Multiétnicas”.
</t>
  </si>
  <si>
    <t>6074202500022410|34.10.14.422.3013.4322.33903600</t>
  </si>
  <si>
    <t>6074202400109904</t>
  </si>
  <si>
    <t>Contratação de empresa especializada na prestação de serviços de digitalização com conversão de processos físicos em digitais, no formato PDF, compreendendo as operações de preparação, organização, higienização, digitalização, conferência, validação, gestão de qualidade e tratamento, recomposição e com regime de execução por empreitada por preço unitário, com a finalidade de atender às necessidades do Banco de Alimentos, equipamento pertencente à Secretaria Executiva de Segurança Alimentar, Nutricional e de Abastecimento, da Secretaria Municipal de Direitos Humanos e Cidadania – SMDHC.</t>
  </si>
  <si>
    <t>6074202400109904|34.10.14.422.3013.4322.33903600</t>
  </si>
  <si>
    <t>6074202500028515</t>
  </si>
  <si>
    <t xml:space="preserve">Contratação de empresa especializada na prestação de serviços de Coffee Break, - ATA DE REGISTRO DE PREÇOS Nº 008/SMDHC/2023.
 </t>
  </si>
  <si>
    <t>6074202500028515|34.10.14.422.3013.4322.33903600</t>
  </si>
  <si>
    <t>052/SMDHC/2025</t>
  </si>
  <si>
    <t>6074202500022282</t>
  </si>
  <si>
    <t>6074202500022282|34.10.14.422.3013.4322.33903600</t>
  </si>
  <si>
    <t>6074202500027500</t>
  </si>
  <si>
    <t>Contratação de empresa especializada na prestação de serviços de fornecimento de Kit Lanche, para atender os participantes da 127ª Reunião Ordinária do Comitê Intersetorial da Política para População em Situação de Rua - ATA DE REGISTRO DE PREÇOS Nº 009/SMDHC/2023.</t>
  </si>
  <si>
    <t>6074202500027500|34.10.14.422.3013.4322.33903600</t>
  </si>
  <si>
    <t>6074202500029147</t>
  </si>
  <si>
    <t>Fornecimento de kit-lanche para atender aos participantes do lançamento do filme "Inferno de Pedra".</t>
  </si>
  <si>
    <t>6074202500029147|34.10.14.422.3013.4322.33903600</t>
  </si>
  <si>
    <t>053/SMDHC/2025</t>
  </si>
  <si>
    <t>6074202500025303</t>
  </si>
  <si>
    <t>Contratação de empresa especializada na prestação de serviços de fornecimento de 4.000 (quatro mil) kits lanches, para atender os imigrantes vítimas do incêndio do prédio da praça da República</t>
  </si>
  <si>
    <t>13/05/2025 00:00:00</t>
  </si>
  <si>
    <t>6074202500025303|34.10.14.422.3013.4322.33903600</t>
  </si>
  <si>
    <t>6074202500027799</t>
  </si>
  <si>
    <t>Contratação de empresa especializada na prestação de serviços de confecção de material gráfico - ATA DE REGISTRO DE PREÇOS Nº 002/SMDHC/2024.</t>
  </si>
  <si>
    <t>6074202500027799|34.10.14.422.3013.4322.33903600</t>
  </si>
  <si>
    <t>6074202500029597</t>
  </si>
  <si>
    <t>Contratação de empresa especializada na prestação de serviços de confecção de material gráfico - ATA DE REGISTRO DE PREÇOS Nº 002/SMDHC/2024</t>
  </si>
  <si>
    <t>6074202500029597|34.10.14.422.3013.4322.33903600</t>
  </si>
  <si>
    <t>Secretaria Municipal de Cultura</t>
  </si>
  <si>
    <t>25</t>
  </si>
  <si>
    <t>01237-2025-PE</t>
  </si>
  <si>
    <t>6025202500059707</t>
  </si>
  <si>
    <t xml:space="preserve">CONTRATADO: Paulo Henrique Alves (CPF nº 327.762.038-70), conforme Contrato/Declaração de Exclusividade, por intermédio de Produtora Ines Oliveira Ltda, inscrita no CNPJ sob o nº 24.496.217/0001-00
OBJETO: Espetáculo Musical/Show - PH ZABUMBADA - PH ZABUMBADA
PERÍODO DE EXECUÇÃO DOS SERVIÇOS: 27/04/2025 - totalizando 1 (uma) apresentação conforme cronograma:
LOCAL e HORÁRIO: Avenida Vieira de Carvalho
VALOR GLOBAL: R$ 20.000,00 (vinte mil reais), a ser pago após a confirmação da execução dos serviços pela unidade requisitante.
FORMA DE PAGAMENTO: O pagamento se dará no 30º (trigésimo) dia após a data de entrega de toda documentação correta relativa ao pagamento.
DOTAÇÃO ORÇAMENTÁRIA: 34.10.14.122.3024.2.100.3.3.90.39.00.00, conforme Nota de Reserva com Transferência N° 31.804/2025 (124261890)
 </t>
  </si>
  <si>
    <t>29/04/2025 00:00:00</t>
  </si>
  <si>
    <t>6025202500059707|34.10.14.422.3013.4322.33903600</t>
  </si>
  <si>
    <t>01254-2025-PE</t>
  </si>
  <si>
    <t>6025202500060705</t>
  </si>
  <si>
    <t>CONTRATADO: DAVID ASSUNÇÃO LOPES (CPF nº 475.296.998-06), conforme Contrato/Declaração de Exclusividade, por intermédio de Produtora Ines Oliveira Ltda, inscrita no CNPJ sob o nº 24.496.217/0001-00
OBJETO: Espetáculo Musical / Show - Banda 4Jam - Banda4Jam
PERÍODO DE EXECUÇÃO DOS SERVIÇOS: de 27/04/2025 a 18/05/2025 - totalizando 2 apresentações conforme cronograma:</t>
  </si>
  <si>
    <t>18/05/2025 00:00:00</t>
  </si>
  <si>
    <t>6025202500060705|34.10.14.422.3013.4322.33903600</t>
  </si>
  <si>
    <t>6074202500027535</t>
  </si>
  <si>
    <t>Aquisição por Dispensa de Licitação de mesa de canto om vistas ao atendimento das necessidades do Gabinete da Secretaria Municipal de Direitos Humanos e Cidadania – SMDHC.</t>
  </si>
  <si>
    <t>10/05/2025 00:00:00</t>
  </si>
  <si>
    <t>6074202500027535|34.10.14.422.3013.4322.33903600</t>
  </si>
  <si>
    <t>6074202500021502</t>
  </si>
  <si>
    <t>Aquisição, por dispensa de licitação, de 275 (duzentas e setenta e cinco) unidades de toalhas de banho.</t>
  </si>
  <si>
    <t>22/05/2025 00:00:00</t>
  </si>
  <si>
    <t>6074202500021502|34.10.14.422.3013.4322.33903600</t>
  </si>
  <si>
    <t>01258-2025-PE/EM</t>
  </si>
  <si>
    <t>6025202500060640</t>
  </si>
  <si>
    <t>CONTRATADO: Valquiria Affonso Aguilera  (CPF nº 128.934.078-11), conforme Contrato/Declaração de Exclusividade, por intermédio de Produtora Ines Oliveira Ltda, inscrita no CNPJ sob o nº 24.496.217/0001-00
OBJETO: Performance - Cia da Alegria " As Aventuras da Madame Mim Mim" - As Aventuras da Madame Mim Mim
PERÍODO DE EXECUÇÃO DOS SERVIÇOS: de 27/04/2025 a 18/05/2025 - totalizando 2 apresentações conforme cronograma:
LOCAL e HORÁRIO: Avenida Vieira de Carvalho
VALOR GLOBAL: R$ 10.000,00 (dez mil reais), a ser pago após a confirmação da execução dos serviços pela unidade requisitante.
FORMA DE PAGAMENTO: O pagamento se dará no 30º (trigésimo) dia após a data de entrega de toda documentação correta relativa ao pagamento.
DOTAÇÃO ORÇAMENTÁRIA: 34.10.14.122.3024.2.100.3.3.90.39.00.00, conforme nota de reserva com transferência nº 31.804/24</t>
  </si>
  <si>
    <t>6025202500060640|34.10.14.422.3013.4322.33903600</t>
  </si>
  <si>
    <t>6074202500026040</t>
  </si>
  <si>
    <t>Contratação para a prestação de serviços de confecção e impressão frente e verso de 500 (quinhentas ) unidades de Cartão de visita para atender as necessidades do Gabinete desta Secretaria Municipal de Direitos Humanos e Cidadania - ATA DE REGISTRO DE PREÇOS Nº 001/SMDHC/2024</t>
  </si>
  <si>
    <t>01/05/2025 00:00:00</t>
  </si>
  <si>
    <t>6074202500026040|34.10.14.422.3013.4322.33903600</t>
  </si>
  <si>
    <t>6074202500021545</t>
  </si>
  <si>
    <t xml:space="preserve">Aquisição de materiais de limpeza, para atendimento das demandas da CMB
</t>
  </si>
  <si>
    <t>15/05/2025 00:00:00</t>
  </si>
  <si>
    <t>6074202500021545|34.10.14.243.3013.2157.33904600</t>
  </si>
  <si>
    <t>6074202500022983</t>
  </si>
  <si>
    <t>Aquisição de itens para manutenções e reposições de materiais de informática e ferramentas, atendendo as necessidades do Departamento de Tecnologia da Informação e Comunicação - SMDHC.</t>
  </si>
  <si>
    <t>6074202500022983|34.10.14.243.3013.2157.33904600</t>
  </si>
  <si>
    <t>057/SMDHC/2025</t>
  </si>
  <si>
    <t>6074202500030323</t>
  </si>
  <si>
    <t>Apresentação "TORÉ", para V Conferência Municipal de Promoção de Igualdade Racial, com o tema “Igualdade e Democracia: Reparação e Justiça Racial”.</t>
  </si>
  <si>
    <t>25/04/2025 00:00:00</t>
  </si>
  <si>
    <t>25/05/2025 00:00:00</t>
  </si>
  <si>
    <t>6074202500030323|34.10.14.243.3013.2157.33904600</t>
  </si>
  <si>
    <t>059/SMDHC/2025</t>
  </si>
  <si>
    <t>6074202500030501</t>
  </si>
  <si>
    <t>Contratação de intervenção artística de dança étnica de povos ciganos, para V Conferência Municipal de Promoção de Igualdade Racial, com o tema “Igualdade e Democracia: Reparação e Justiça Racial”</t>
  </si>
  <si>
    <t>24/06/2025 00:00:00</t>
  </si>
  <si>
    <t>6074202500030501|34.10.14.243.3013.2157.33904600</t>
  </si>
  <si>
    <t>055/SMDHC/2025</t>
  </si>
  <si>
    <t>6074202500030935</t>
  </si>
  <si>
    <t>23/05/2025 00:00:00</t>
  </si>
  <si>
    <t>6074202500030935|34.10.14.243.3013.2157.33904600</t>
  </si>
  <si>
    <t>061/SMDHC/2025</t>
  </si>
  <si>
    <t>6074202500031044</t>
  </si>
  <si>
    <t>6074202500031044|34.10.14.243.3013.2157.33904600</t>
  </si>
  <si>
    <t>060/SMDHC/2025</t>
  </si>
  <si>
    <t>6074202500030919</t>
  </si>
  <si>
    <t xml:space="preserve">Realização da atividade de dança étnica de povos ciganos para abertura da "V Conferência Municipal de Promoção de Igualdade Racial - Edição 2025.
</t>
  </si>
  <si>
    <t>6074202500030919|34.10.14.243.3013.2157.33904600</t>
  </si>
  <si>
    <t>056/SMDHC/2025</t>
  </si>
  <si>
    <t>6074202500030951</t>
  </si>
  <si>
    <t>Apresentação de dança étnica de povos ciganos, para V Conferência Municipal de Promoção de Igualdade Racial, com o tema “Igualdade e Democracia: Reparação e Justiça Racial”.</t>
  </si>
  <si>
    <t>6074202500030951|34.10.14.243.3013.2157.33904600</t>
  </si>
  <si>
    <t>058/SMDHC/2025</t>
  </si>
  <si>
    <t>6074202500031109</t>
  </si>
  <si>
    <t>Performance voz e violão do cantor Reinaldo Bruno Nascimento para a apresentação artística na V Conferência Municipal de Promoção de Igualdade Racial, com o tema “Igualdade e Democracia: Reparação e Justiça Racial”.</t>
  </si>
  <si>
    <t>6074202500031109|34.10.14.243.3013.2157.33904600</t>
  </si>
  <si>
    <t>062/SMDHC/2025</t>
  </si>
  <si>
    <t>6074202500031095</t>
  </si>
  <si>
    <t>Contratação de Mestre de Cerimônia para V Conferência Municipal de Promoção de Igualdade Racial, com o tema “Igualdade e Democracia: Reparação e Justiça Racial”.</t>
  </si>
  <si>
    <t>26/04/2025 00:00:00</t>
  </si>
  <si>
    <t>6074202500031095|34.10.14.243.3013.2157.33904600</t>
  </si>
  <si>
    <t>6074202500021286</t>
  </si>
  <si>
    <t>Contratação de empresa especializada na prestação de Serviços de Controle de Pragas Urbanas e Vetores para a Casa da Mulher Brasileira - CMB.</t>
  </si>
  <si>
    <t>6074202500021286|34.10.14.243.3013.2157.33904600</t>
  </si>
  <si>
    <t>6074202500026539</t>
  </si>
  <si>
    <t>Contratação para aquisição de itens de higiene pessoal para atendimento das demandas da CMB, pertencente à Secretaria Municipal de Direitos Humanos e Cidadania (SMDHC).</t>
  </si>
  <si>
    <t>03/06/2025 00:00:00</t>
  </si>
  <si>
    <t>6074202500026539|34.10.14.243.3013.2157.33904600</t>
  </si>
  <si>
    <t>6074202500032571</t>
  </si>
  <si>
    <t>Contratação de empresa especializada no fornecimento de serviços de Kit Lanche - ATA DE REGISTRO DE PREÇOS Nº 009/SMDHC/2023</t>
  </si>
  <si>
    <t>6074202500032571|34.10.14.243.3013.2157.33904600</t>
  </si>
  <si>
    <t>6074202500030048</t>
  </si>
  <si>
    <t>Contratação de empresa especializada na prestação de serviços de Coffee Break para atender a atividade intitulada Encontro Pankararu - ATA DE REGISTRO DE PREÇOS Nº 008/SMDHC/2023</t>
  </si>
  <si>
    <t>11/05/2025 00:00:00</t>
  </si>
  <si>
    <t>6074202500030048|34.10.14.243.3013.2157.33904600</t>
  </si>
  <si>
    <t>071/SMDHC/2025</t>
  </si>
  <si>
    <t>6074202500020565</t>
  </si>
  <si>
    <t>Contratação de empresa para a aquisição com fornecimento parcelado de itens de alimentação classificados como Materiais de Consumo, para atendimento da Casa da Mulher Brasileira, pertencente à Secretaria Municipal de Direitos humanos e Cidadania - SMDHC.</t>
  </si>
  <si>
    <t>29/05/2025 00:00:00</t>
  </si>
  <si>
    <t>6074202500020565|34.10.14.243.3013.2157.33904600</t>
  </si>
  <si>
    <t>33418000</t>
  </si>
  <si>
    <t>6074202500023688</t>
  </si>
  <si>
    <t>Pagamento da taxa anual de participação na rede internacional Rainbow Cities Network - RCN - Exercício 2025</t>
  </si>
  <si>
    <t>6074202500023688|34.10.14.243.3013.2157.33903600</t>
  </si>
  <si>
    <t>063/SMDHC/2025</t>
  </si>
  <si>
    <t>6074202500032792</t>
  </si>
  <si>
    <t>Contratação de empresa especializada na prestação de serviços de fornecimento de 4.093 (quatro mil noventa e três) kits lanches, para atender os dias 12, 13,14,15 e 16 de maio 2025 onde serão realizadas atividades nos equipamentos desta Secretaria Municipal de Direitos Humanos e Cidadania-SMDHC.</t>
  </si>
  <si>
    <t>11/06/2025 00:00:00</t>
  </si>
  <si>
    <t>6074202500032792|34.10.14.243.3013.2157.33903600</t>
  </si>
  <si>
    <t>064/SMDHC/2025</t>
  </si>
  <si>
    <t>6074202500027004</t>
  </si>
  <si>
    <t>Confecção e impressão de 5000 (cinco mil) unidades de cartazes A2 (42,0x59,4cm); impressão: frente; cores: 4x) (colorido), papel: couché fosco 170g; acabamento: refile; sem enobrecimento; sem Extras.</t>
  </si>
  <si>
    <t>20/05/2025 00:00:00</t>
  </si>
  <si>
    <t>14/07/2025 00:00:00</t>
  </si>
  <si>
    <t>6074202500027004|34.10.14.243.3013.2157.33903600</t>
  </si>
  <si>
    <t>065/SHDHC/2025</t>
  </si>
  <si>
    <t>6074202500032296</t>
  </si>
  <si>
    <t>Contratação de empresa especializada na prestação de serviços, sob demanda, de confecção e impressão de material gráfico, para o fornecimento de 40 (quarenta) unidades de camisetas personalizadas, 450 (quatrocentos e cinquenta) unidades de Squeeze e de 450 (quatrocentos e cinquenta) unidade de sacolas (ecobag) ecológicas com profundidade e laterais em algodão cru para a IV Conferência Municipal dos Direitos das Pessoas LGBTQIA+.</t>
  </si>
  <si>
    <t>30/05/2025 00:00:00</t>
  </si>
  <si>
    <t>21/07/2025 00:00:00</t>
  </si>
  <si>
    <t>6074202500032296|34.10.14.243.3013.2157.33903600</t>
  </si>
  <si>
    <t>6074202500022010</t>
  </si>
  <si>
    <t xml:space="preserve">Contratação de empresa especializada na prestação de serviços de confecção de material gráfico </t>
  </si>
  <si>
    <t>14/06/2025 00:00:00</t>
  </si>
  <si>
    <t>6074202500022010|34.10.14.243.3013.2157.33903600</t>
  </si>
  <si>
    <t>6074202500033993</t>
  </si>
  <si>
    <t xml:space="preserve">Contratação de empresa especializada na prestação de serviços, sob demanda, de confecção e impressão de material gráfico </t>
  </si>
  <si>
    <t>02/06/2025 00:00:00</t>
  </si>
  <si>
    <t>6074202500033993|34.10.14.243.3013.2157.33903600</t>
  </si>
  <si>
    <t>6074202500001250</t>
  </si>
  <si>
    <t>Aquisição de 05 (cinco) Certificado DigitaL e-CNPJ, para atender as necessidades do FUMCAD, FMID, FAASP, FUMCAF e o gabinete da Secretaria Municipal de Direitos Humanos e Cidadania - SMDHC.</t>
  </si>
  <si>
    <t>6074202500001250|34.10.14.243.3013.2157.33903600</t>
  </si>
  <si>
    <t>6074202500034248</t>
  </si>
  <si>
    <t>Contratação de empresa especializada em serviços gráficos para para a Coordenadoria da Pessoa Idosa - CPPI na realização da  VI Conferência Municipal dos Direitos da Pessoa Idosa , para o atendimento às desta Secretaria Municipal de Direitos Humanos e Cidadania.</t>
  </si>
  <si>
    <t>6074202500034248|34.10.14.243.3013.2157.33903600</t>
  </si>
  <si>
    <t>6074202300066928|34.10.14.243.3013.2157.33903600</t>
  </si>
  <si>
    <t>068/SMDHC/2025</t>
  </si>
  <si>
    <t>6074202500035244</t>
  </si>
  <si>
    <t>Locação de espaço do Centro Universitario das Faculdades Metropolitanas Unidas a para VI Conferência Municipal dos Direitos da Pessoa Idosa, com o tema “Envelhecimento Multicultural e Democracia: Urgência por Equidade, Direitos e Participação”</t>
  </si>
  <si>
    <t>05/06/2025 00:00:00</t>
  </si>
  <si>
    <t>26/05/2025 00:00:00</t>
  </si>
  <si>
    <t>6074202500035244|34.10.14.243.3013.2157.33903600</t>
  </si>
  <si>
    <t>069/SMDHC/2025</t>
  </si>
  <si>
    <t>6074202500035686</t>
  </si>
  <si>
    <t>Contratação de empresa especializada na prestação de serviços de fornecimento de  kits lanches, para atender os dias 16, 17 e 18 de maio de 2025, para a VI Conferência Municipal dos Direitos da Pessoa Idosa, organizada por esta Secretaria Municipal de Direitos Humanos e Cidadania-SMDHC.</t>
  </si>
  <si>
    <t>15/06/2025 00:00:00</t>
  </si>
  <si>
    <t>6074202500035686|34.10.14.243.3013.2157.33903600</t>
  </si>
  <si>
    <t>6074202500026083</t>
  </si>
  <si>
    <t>Aquisição de torneiras e demais acessórios .</t>
  </si>
  <si>
    <t>08/06/2025 00:00:00</t>
  </si>
  <si>
    <t>6074202500026083|34.10.14.243.3013.2157.33903600</t>
  </si>
  <si>
    <t>6074202500028558</t>
  </si>
  <si>
    <t>Aquisição de caixas plásticas vazadas.</t>
  </si>
  <si>
    <t>6074202500028558|34.10.14.243.3013.2157.33903600</t>
  </si>
  <si>
    <t>6074202500025001</t>
  </si>
  <si>
    <t xml:space="preserve"> Fornecimento de Gás Liquefeito de Petróleo (GLP) envasado em Botijão (P13 e P45), para o atendimento das necessidades de unidades afetas à SMDHC.</t>
  </si>
  <si>
    <t>6074202500025001|34.10.14.243.3013.2157.33903600</t>
  </si>
  <si>
    <t>6074202500011515</t>
  </si>
  <si>
    <t>Contratação de empresa especializada em Manutenção de Ar condicionado Central marca Hitachi, modelo SPLITÃO 20TR, localizados na rua Libero Badaró, nº 293, 25°andar Blocos A e B, com fornecimento de material, mão de obra e equipamentos.</t>
  </si>
  <si>
    <t>6074202500011515|34.10.14.243.3013.2157.33903600</t>
  </si>
  <si>
    <t>6074202500032350</t>
  </si>
  <si>
    <t>Contratação de empresa especializada de serviço de gráfica para impressão de de 1000 (mil) unidades de livreto Guia de Serviços e Direitos da Pessoa Egressa e Familiares</t>
  </si>
  <si>
    <t>6074202500032350|34.10.14.243.3013.2157.33903600</t>
  </si>
  <si>
    <t>6074202500035082</t>
  </si>
  <si>
    <t>Contratação por Dispensa de Licitação, da empresa PRYME VENDAS &amp; SERVICOS LTDA, inscrita no C.N.P.J. sob o nº 49.219.570/0001-66, para a confecção de 20.000 (vinte mil) tatuagens autoadesivas temporárias personalizadas de transferência a base de água cortadas individualmente com película de proteção plástica removível. Em conformidade com o Aviso de Dispensa Eletrônica nº 90053/2025 (SEI 125663912) e em consonância com as especificações detalhadas no Termo de Referência (SEI 125656256) e na proposta apresentada pela contratada (SEI 125962584), com prazo de entrega, dia 23/05/2025.</t>
  </si>
  <si>
    <t>6074202500035082|34.10.14.243.3013.2157.33903600</t>
  </si>
  <si>
    <t>6074202500034256</t>
  </si>
  <si>
    <t xml:space="preserve">Contratação de empresa especializada para a prestação de serviço de relatoria e mediação, incluindo mão-de-obra e todos os materiais necessários à execução das atividades previstas para as conferências a ocorrer em 2025.
 </t>
  </si>
  <si>
    <t>6074202500034256|34.10.14.422.3023.4321.33903900</t>
  </si>
  <si>
    <t>6074202500034280</t>
  </si>
  <si>
    <t xml:space="preserve"> Contratação de empresa especializada na prestação de serviços de Kit Lanche</t>
  </si>
  <si>
    <t>6074202500034280|34.10.14.422.3023.4321.33903900</t>
  </si>
  <si>
    <t>6074202500034744</t>
  </si>
  <si>
    <t>Contratação de empresa especializada na prestação de serviços de Kit Lanche - ATA DE REGISTRO DE PREÇOS Nº 009/SMDHC/2023</t>
  </si>
  <si>
    <t>6074202500034744|34.10.14.422.3023.4321.33903900</t>
  </si>
  <si>
    <t>150/SMDHC/2025</t>
  </si>
  <si>
    <t>6074202500036020</t>
  </si>
  <si>
    <t>Contratação de Mestre de Cerimônia para abertura da "IV Conferência Municipal dos Direitos das Pessoas LGBTQIA+ de São Paulo"</t>
  </si>
  <si>
    <t>21/05/2025 00:00:00</t>
  </si>
  <si>
    <t>22/06/2025 00:00:00</t>
  </si>
  <si>
    <t>6074202500036020|34.10.14.422.3023.4321.33903900</t>
  </si>
  <si>
    <t>149/SMDHC/2025</t>
  </si>
  <si>
    <t>6074202500036720</t>
  </si>
  <si>
    <t>Contratação de intervenção artística - Cantora para a "IV Conferência Municipal dos Direitos das Pessoas LGBTQIA+ de São Paulo".</t>
  </si>
  <si>
    <t>21/06/2025 00:00:00</t>
  </si>
  <si>
    <t>6074202500036720|34.10.14.422.3023.4321.33903900</t>
  </si>
  <si>
    <t>151/SMDHC/2025</t>
  </si>
  <si>
    <t>6074202500036739</t>
  </si>
  <si>
    <t>Contratação de serviços de mixagem e som - DJ, para a "IV Conferência Municipal dos Direitos das Pessoas LGBTQIA+ de São Paulo"</t>
  </si>
  <si>
    <t>20/06/2025 00:00:00</t>
  </si>
  <si>
    <t>6074202500036739|34.10.14.422.3023.4321.33903900</t>
  </si>
  <si>
    <t>159/SMDHC/2025</t>
  </si>
  <si>
    <t>6074202500006686</t>
  </si>
  <si>
    <t>Aquisição de equipamentos audiovisuais e de áudio para o departamento de comunicação da Secretaria Municipal de Direitos Humanos e Cidadania - SMDHC.</t>
  </si>
  <si>
    <t>27/05/2026 00:00:00</t>
  </si>
  <si>
    <t>6074202500006686|34.10.14.422.3023.4321.33903900</t>
  </si>
  <si>
    <t>158/SMDHC/2025</t>
  </si>
  <si>
    <t>6074202500037433</t>
  </si>
  <si>
    <t>Contratação de apresentação artística para a "IV Conferência Municipal dos Direitos das Pessoas LGBTQIA+ de São Paulo.</t>
  </si>
  <si>
    <t>6074202500037433|34.10.14.422.3023.4321.33903900</t>
  </si>
  <si>
    <t xml:space="preserve">157/SMDHC/2025 </t>
  </si>
  <si>
    <t>6074202500037492</t>
  </si>
  <si>
    <t>Contratação de apresentação artística para a IV Conferência Municipal dos Direitos das Pessoas LGBTQIA+ de São Paulo.</t>
  </si>
  <si>
    <t>6074202500037492|34.10.14.422.3023.4321.33903900</t>
  </si>
  <si>
    <t>156/SMDHC/2025</t>
  </si>
  <si>
    <t>6074202500037336</t>
  </si>
  <si>
    <t>Contratação de apresentação artística, para a IV Conferência Municipal dos Direitos das Pessoas LGBTQIA+ de São Paulo.</t>
  </si>
  <si>
    <t>6074202500037336|34.10.14.422.3023.4321.33903900</t>
  </si>
  <si>
    <t>6074202500036755</t>
  </si>
  <si>
    <t>6074202500036755|34.10.14.422.3023.4321.33903900</t>
  </si>
  <si>
    <t>154/SMDHC/2025</t>
  </si>
  <si>
    <t>155/SMDHC/2025</t>
  </si>
  <si>
    <t>6074202500036321</t>
  </si>
  <si>
    <t>Contratação de apresentação artística, para a IV Conferência Municipal dos Direitos das Pessoas LGBTQIA+ de São Paulo</t>
  </si>
  <si>
    <t>6074202500036321|34.10.14.422.3023.4321.33903900</t>
  </si>
  <si>
    <t>152/SMDHC/2025</t>
  </si>
  <si>
    <t>6074202500036747</t>
  </si>
  <si>
    <t>Contratação de intervenção artística - Cantora, para a "IV Conferência Municipal dos Direitos das Pessoas LGBTQIA+ de São Paulo"</t>
  </si>
  <si>
    <t>6074202500036747|34.10.14.422.3023.4321.33903900</t>
  </si>
  <si>
    <t>153/SMDHC/2025</t>
  </si>
  <si>
    <t>6074202500036763</t>
  </si>
  <si>
    <t>6074202500036763|34.10.14.422.3023.4321.33903900</t>
  </si>
  <si>
    <t>6074202500035139</t>
  </si>
  <si>
    <t>Contratação de empresa especializada na prestação de serviços de Kit Lanche</t>
  </si>
  <si>
    <t>6074202500035139|34.10.14.422.3023.4321.33903900</t>
  </si>
  <si>
    <t>6074202500037638</t>
  </si>
  <si>
    <t>Contratação de empresa especializada na prestação de serviços de fornecimento de kits lanches para a IV Conferência Municipal dos Direitos da Pessoa LGBTQIA+.</t>
  </si>
  <si>
    <t>6074202500037638|34.10.14.422.3023.4321.33903900</t>
  </si>
  <si>
    <t>6074202500036348</t>
  </si>
  <si>
    <t>Contratação de empresa especializada na prestação de serviços de confecção de material gráfico - ATA DE REGISTRO DE PREÇO nº 001/SMDHC/2024</t>
  </si>
  <si>
    <t>6074202500036348|34.10.14.422.3023.4321.33903900</t>
  </si>
  <si>
    <t>428/SMDHC/2024</t>
  </si>
  <si>
    <t>6074202400069252</t>
  </si>
  <si>
    <t>Contratação de estudos técnicos e assessoria para a elaboração do Diagnóstico Técnico Legal e Plano de Ação com objetivo de diagnosticar as necessidades legais, executivas e adequações físicas para obtenção do Auto de Vistoria do Corpo de Bombeiros (AVCB) das 52 (cinquenta e dois) edificações dos Conselhos Tutelares do Município de São Paulo da Secretaria Municipal de Direitos Humanos e Cidadania - SMDHC.</t>
  </si>
  <si>
    <t>16/07/2025 00:00:00</t>
  </si>
  <si>
    <t>6074202400069252|34.10.14.422.3023.4321.33903900</t>
  </si>
  <si>
    <t>6074202500009413</t>
  </si>
  <si>
    <t>Aquisição de agasalhos, roupas e vestuários de inverno, por meio de Ata de Registro de Preços, visando atender às necessidades da Coordenação de Políticas para População em Situação de Rua da Secretaria Municipal de Direitos Humanos e Cidadania (SMDHC).</t>
  </si>
  <si>
    <t>6074202500009413|34.10.14.422.3023.4321.33903900</t>
  </si>
  <si>
    <t>6074202500036429</t>
  </si>
  <si>
    <t>Fornecimento de agasalhos, roupas e vestuários de inverno, por meio de Ata de Registro de Preços, visando atender às necessidades da Coordenação de Políticas para População em Situação de Rua Ata de Registro de Preços 004/SMDHC/2023.</t>
  </si>
  <si>
    <t>6074202500036429|34.10.14.422.3023.4321.33903900</t>
  </si>
  <si>
    <t>6074202500009707</t>
  </si>
  <si>
    <t>Fornecimento de agasalhos, roupas e vestuários de inverno, por meio de Ata de Registro de Preços, visando atender às necessidades da Coordenação de Políticas para População em Situação de Rua - Ata de Registro de Preços 006/SMDHC/2023.</t>
  </si>
  <si>
    <t>6074202500009707|34.10.14.422.3023.4321.33903900</t>
  </si>
  <si>
    <t>163/SMDHC/2025</t>
  </si>
  <si>
    <t>6074202500037409</t>
  </si>
  <si>
    <t>Contratação de empresa especializada em capacitação profissionais para atender mulheres vítimas de violência, assédio e importunação sexual durante a Virada Cultural de São Paulo, ofertando atendimento humanizado e qualificado, orientações gerais sobre os seus direitos, promovendo espaços seguros e acolhedores, e de respeito e proteção às ampliando o alcance do Programa Protocolo "Não Se Cale".</t>
  </si>
  <si>
    <t>10/06/2025 00:00:00</t>
  </si>
  <si>
    <t>6074202500037409|34.10.14.422.3023.4321.33903900</t>
  </si>
  <si>
    <t>6074202500036500</t>
  </si>
  <si>
    <t>6074202500036500|34.10.14.243.3013.2157.33904600</t>
  </si>
  <si>
    <t>6074202500033578</t>
  </si>
  <si>
    <t xml:space="preserve">Aquisição, por Dispensa de Licitação, de itens de copa. </t>
  </si>
  <si>
    <t>6074202500033578|34.10.14.243.3013.2157.33904600</t>
  </si>
  <si>
    <t>34.10.14.122.3024.2100.33904600</t>
  </si>
  <si>
    <t>6074202500037840</t>
  </si>
  <si>
    <t>Contratação de empresa especializada na prestação de serviços de confecção de material gráfico - ATA DE REGISTRO DE PREÇOS Nº 001/SMDHC/2024</t>
  </si>
  <si>
    <t>23/06/2025 00:00:00</t>
  </si>
  <si>
    <t>6074202500037840|34.10.14.122.3024.2100.33904600</t>
  </si>
  <si>
    <t>6074202500035333</t>
  </si>
  <si>
    <t>Contratação de empresa especializada na prestação de serviços de Coffee Break -Ata de Registro de Preços nº 008/SMDHC/2023</t>
  </si>
  <si>
    <t>6074202500035333|34.10.14.122.3024.2100.33904600</t>
  </si>
  <si>
    <t>6074202500029309</t>
  </si>
  <si>
    <t>Contratação de empresa especializada na prestação de serviços de Coffee Break - ATA DE REGISTRO DE PREÇOS Nº 008/SMDHC/2023</t>
  </si>
  <si>
    <t>6074202500029309|34.10.14.122.3024.2100.33904600</t>
  </si>
  <si>
    <t>6074202500035910</t>
  </si>
  <si>
    <t>Aquisição, por Dispensa de Licitação, de material de construção.</t>
  </si>
  <si>
    <t>6074202500035910|34.10.14.122.3024.2100.33904600</t>
  </si>
  <si>
    <t>40/2025/SMDHC/CPM</t>
  </si>
  <si>
    <t>6074202500029759</t>
  </si>
  <si>
    <t>Parceria. Termo de Fomento. Emenda Parlamentar. Projeto "Aracne".</t>
  </si>
  <si>
    <t>09/08/2025 00:00:00</t>
  </si>
  <si>
    <t>6074202500029759|34.10.14.122.3024.2100.33904600</t>
  </si>
  <si>
    <t>6074202500041040</t>
  </si>
  <si>
    <t>Contração de kits lanche para a 4ª Edição da Virada ODS 2025.</t>
  </si>
  <si>
    <t>6074202500041040|34.10.14.122.3024.2100.33904600</t>
  </si>
  <si>
    <t>164/SMDHC/2025</t>
  </si>
  <si>
    <t>6074202500042267</t>
  </si>
  <si>
    <t>Contratação de palestrante para Virada ODS 2025: “Contação de Historias do povo Guarani Mbyá”.</t>
  </si>
  <si>
    <t>06/07/2025 00:00:00</t>
  </si>
  <si>
    <t>6074202500042267|34.10.14.122.3024.2100.33904600</t>
  </si>
  <si>
    <t>6074202500033349</t>
  </si>
  <si>
    <t>Fornecimento de 60 (sessenta) coletes operacionais personalizados, a serem utilizados pelos(as) servidores(as) da Secretaria Municipal de Direitos Humanos e Cidadania de São Paulo, com o objetivo de padronizar a identificação visual nas ações de campo e assim garantir maior segurança e profissionalismo no atendimento às demandas da Pasta.</t>
  </si>
  <si>
    <t>6074202500033349|34.10.14.122.3024.2100.33904600</t>
  </si>
  <si>
    <t>6074202500034043</t>
  </si>
  <si>
    <t>Pagamento débito multa - Inscrito em Dívida Ativa - ausência do Certificado de Licença do Corpo de Bombeiro- imóvel Conselho Tutelar Brasilândia- Despesa de Exercícios Anteriores - DEA</t>
  </si>
  <si>
    <t>27/10/2023 00:00:00</t>
  </si>
  <si>
    <t>6074202500034043|34.10.14.122.3024.2100.33904600</t>
  </si>
  <si>
    <t>34.10.14.422.3013.2053.33903000</t>
  </si>
  <si>
    <t>6074202500033594</t>
  </si>
  <si>
    <t>Aquisição, por Dispensa de Licitação, de itens de alimentação.</t>
  </si>
  <si>
    <t>6074202500033594|34.10.14.422.3013.2053.33903000</t>
  </si>
  <si>
    <t>42/2025/SMDHC/CPM</t>
  </si>
  <si>
    <t>6074202500029716</t>
  </si>
  <si>
    <t>Termo de Fomento. Emenda Parlamentar. Projeto "Metamorfose"</t>
  </si>
  <si>
    <t>30/06/2025 00:00:00</t>
  </si>
  <si>
    <t>22/09/2025 00:00:00</t>
  </si>
  <si>
    <t>6074202500029716|34.10.14.422.3013.2053.33903000</t>
  </si>
  <si>
    <t>165/SMDHC/2025</t>
  </si>
  <si>
    <t>6074202500042933</t>
  </si>
  <si>
    <t>Contratação de empresa especializada na prestação de serviços de Coffee Break - ATA DE REGISTRO DE PREÇO nº 008/SMDHC/2023</t>
  </si>
  <si>
    <t>17/06/2025 00:00:00</t>
  </si>
  <si>
    <t>10/07/2025 00:00:00</t>
  </si>
  <si>
    <t>6074202500042933|34.10.14.422.3013.2053.33903000</t>
  </si>
  <si>
    <t>6074202500042399</t>
  </si>
  <si>
    <t>Contratação de empresa especializada na prestação de serviços de Coffee Break para atender ao evento de "Miss Brasil Diversidade 2025 (A VOZ DO SOCIAL)" - ATA DE REGISTRO DE PREÇO nº 008/SMDHC/2023.</t>
  </si>
  <si>
    <t>6074202500042399|34.10.14.422.3013.2053.33903000</t>
  </si>
  <si>
    <t>6074202400040246</t>
  </si>
  <si>
    <t>TELEFONICA BRASIL S.A- Despesa de Exercícios Anteriores - DEA Transferido de Unidade.
Contratação Original 348/2023  Encerrada na Unidade de Origem Anterior. 
Decreto de Transferência 62.361 de 04 de Maio/2023</t>
  </si>
  <si>
    <t>31/12/2023 00:00:00</t>
  </si>
  <si>
    <t>6074202400040246|34.10.14.422.3013.2053.33903000</t>
  </si>
  <si>
    <t>6074202400060808</t>
  </si>
  <si>
    <t>Elaboração De Material Técnico Para Desapropriação, Os Imóveis Particulares Que Especifica, Situados No Distrito Do Bom Retiro, Subprefeitura Da Sé, Necessários À Implantação De Equipamento Público.</t>
  </si>
  <si>
    <t>6074202400060808|34.10.14.422.3013.2053.33903000</t>
  </si>
  <si>
    <t>6074202500044332</t>
  </si>
  <si>
    <t>Contratação de empresa especializada na prestação de serviços de Kit Lanche para reunião com coordenadores e servidores - ATA DE REGISTRO DE PREÇOS Nº 009/SMDHC/2023</t>
  </si>
  <si>
    <t>6074202500044332|34.10.14.422.3013.2053.33903000</t>
  </si>
  <si>
    <t>6025202500121410</t>
  </si>
  <si>
    <t>CONTRATADO: JULIANA MARTINS SANTOS (CPF nº 394.737.728-23), conforme Contrato/Declaração de Exclusividade, por intermédio de 28.168.057 Juliana Martins Santos, inscrita no CNPJ sob o nº 54.166.008/0001-51
OBJETO: Cultura Popular: Bloco de Carnaval - Raizes do Samba - 24° Feira da Diversidade LGBT+
PERÍODO DE EXECUÇÃO DOS SERVIÇOS: 19/06/2025 - totalizando 1 apresentação conforme cronograma:</t>
  </si>
  <si>
    <t>6025202500121410|34.10.14.422.3013.2053.33903000</t>
  </si>
  <si>
    <t xml:space="preserve"> 03292-2025-PE</t>
  </si>
  <si>
    <t>6025202500122387</t>
  </si>
  <si>
    <t xml:space="preserve">19/06/2025 a 22/06/2025 -  Av. Mário de Andrade, 664 - Intervenção Artística - Reginaldo Aguilera LGBTQIA+ - Palavra Corpo Memória
 </t>
  </si>
  <si>
    <t>6025202500122387|34.10.14.422.3013.2053.33903000</t>
  </si>
  <si>
    <t>6025202500121259</t>
  </si>
  <si>
    <t>19/06/2025   - Cultura Popular: Bloco de Carnaval - Mocidade Unida da Mooca - 24° Feira da Diversidade LGBT+</t>
  </si>
  <si>
    <t>6025202500121259|34.10.14.422.3013.2053.33903000</t>
  </si>
  <si>
    <t>34.10.14.422.3013.6178.33903000</t>
  </si>
  <si>
    <t>6074202500042801</t>
  </si>
  <si>
    <t>Contratação de empresa especializada para o fornecimento de 650 (seiscentos e cinquenta) unidades de sacolas (ecobag), 650 (seiscentos e cinquenta) unidades de squeeze e 50 (cinquenta) unidades de camisetas personalizadas, para os conferencistas da VI Conferência Municipal de Políticas para as Mulheres.</t>
  </si>
  <si>
    <t>6074202500042801|34.10.14.422.3013.6178.33903000</t>
  </si>
  <si>
    <t>6025202500123260</t>
  </si>
  <si>
    <t>CONTRATADO: LUARA DOS SANTOS FIDELIS (CPF nº 433.597.278-43), conforme Contrato/Declaração de Exclusividade, por intermédio de DOG MUSIC LAB PRODUCOES LTDA, inscrita no CNPJ sob o nº 35.646.556/0001-34
OBJETO: Espetáculo Musical/Show - Boombeat - 24° Feira da Diversidade LGBT+
PERÍODO DE EXECUÇÃO DOS SERVIÇOS:19/06/2025 - totalizando 1 apresentação conforme cronograma:
LOCAL e HORÁRIO: Av. Mário de Andrade, 664 - 17:40h às 18:40h
VALOR GLOBAL: R$ 2.000,00 (dois mil reais), a ser pago após a confirmação da execução dos serviços pela unidade requisitante.
FORMA DE PAGAMENTO: O pagamento se dará no 30º (trigésimo) dia após a data de entrega de toda documentação correta relativa ao pagamento.</t>
  </si>
  <si>
    <t>6025202500123260|34.10.14.422.3013.6178.33903000</t>
  </si>
  <si>
    <t>03276-2025-PE</t>
  </si>
  <si>
    <t>6025202500122158</t>
  </si>
  <si>
    <t>19/06/2025 a 22/06/2025 - Av. Mário de Andrade, 664 -  Performance - Leticia Goes - Espelhos da Verdade</t>
  </si>
  <si>
    <t>6025202500122158|34.10.14.422.3013.6178.33903000</t>
  </si>
  <si>
    <t>03269-2025-PE</t>
  </si>
  <si>
    <t>6025202500121860</t>
  </si>
  <si>
    <t>19/06/2025 a 22/06/2025 - Av. Mário de Andrade, 664 -  Performance - Leandro Junior - 24 Feira Cultural LGBT 2025</t>
  </si>
  <si>
    <t>6025202500121860|34.10.14.422.3013.6178.33903000</t>
  </si>
  <si>
    <t>6025202500122425</t>
  </si>
  <si>
    <t>19/06/2025 a 22/06/2025 -  Performance - Cia da Alegria As Aventuras da Madame Mim Mim" LGBT - As Aventuras da Madame Mim Mim</t>
  </si>
  <si>
    <t>6025202500122425|34.10.14.422.3013.6178.33903000</t>
  </si>
  <si>
    <t>6025202500121682</t>
  </si>
  <si>
    <t xml:space="preserve">19/06/2025 - Av. Mário de Andrade, 664 - 16:00h às 17:00h - Performance - Coletivo Drag Memória - 24 Feira da Diversidade LGBT+
 </t>
  </si>
  <si>
    <t>6025202500121682|34.10.14.422.3013.6178.33903000</t>
  </si>
  <si>
    <t>6025202500122328</t>
  </si>
  <si>
    <t>22/06/2025 - Av. Paulista, 1578 - 10:00h às 11:00h - Performance - Daniel Pires - 24ª Feira Cultural LGBT 2025 Parada do Orgulho LGBT+ 2025</t>
  </si>
  <si>
    <t>6025202500122328|34.10.14.422.3013.6178.33903000</t>
  </si>
  <si>
    <t>6025202500122077</t>
  </si>
  <si>
    <t>19/06/2025 a 22/06/2025 - Av. Mário de Andrade, 664 -  Performance - Patricia Maruccio - Presença e Performance</t>
  </si>
  <si>
    <t>6025202500122077|34.10.14.422.3013.6178.33903000</t>
  </si>
  <si>
    <t>6025202500122115</t>
  </si>
  <si>
    <t>CONTRATADO: Alexsander Vaz do Nascimento (CPF nº135.919.878-40), conforme Contrato/Declaração de Exclusividade, por intermédio de 28.168.057 Juliana Martins Santos, inscrita no CNPJ sob o nº 28.168.057/0001-13
OBJETO: Performance - Lysa Bombom - 24° Feira da Diversidade LGBT+
PERÍODO DE EXECUÇÃO DOS SERVIÇOS:19/06/2025 - totalizando 1 apresentação conforme cronograma:
LOCAL e HORÁRIO: Av. Mário de Andrade, 664 - 16:00h às 20:00h</t>
  </si>
  <si>
    <t>6025202500122115|34.10.14.422.3013.6178.33903000</t>
  </si>
  <si>
    <t>03244-2025-PE</t>
  </si>
  <si>
    <t>6025202500121321</t>
  </si>
  <si>
    <t xml:space="preserve"> 22/06/2025 - Av. Paulista, 1578 - 13:10h às 14:10h - Espetáculo Musical / Show - Laksmi e Banda - Show Terra</t>
  </si>
  <si>
    <t>25/06/2025 00:00:00</t>
  </si>
  <si>
    <t>6025202500121321|34.10.14.422.3013.6178.33903000</t>
  </si>
  <si>
    <t>03285-2025-PE</t>
  </si>
  <si>
    <t>6025202500122107</t>
  </si>
  <si>
    <t>CONTRATADO: JULIANA MARTINS SANTOS (CPF nº 394.737.728-23), conforme Contrato/Declaração de Exclusividade, por intermédio de 28.168.057 Juliana Martins Santos, inscrita no CNPJ sob o nº 28.168.057/0001-13
OBJETO: Cultura popular : Maracatu, jongo, congadas e similares - Abada Capoeira Show - 24 Feira da Diversidade LGBT+
PERÍODO DE EXECUÇÃO DOS SERVIÇOS:19/06/2025 - totalizando 1 apresentação conforme cronograma:</t>
  </si>
  <si>
    <t>6025202500122107|34.10.14.422.3013.6178.33903000</t>
  </si>
  <si>
    <t>6025202500122867</t>
  </si>
  <si>
    <t xml:space="preserve">CONTRATADO: GIULIA LAGES BODERONE (CPF nº 162.485.517-23), conforme Contrato/Declaração de Exclusividade, por intermédio de 53.105.869 GIULIA LAGES BODERONE, inscrita no CNPJ sob o nº 53.105.869/0001-67
OBJETO: Espetáculo Musical / Show - Giulia Boderone - 24° Feira da Diversidade LGBT+
PERÍODO DE EXECUÇÃO DOS SERVIÇOS:19/06/2025 - totalizando 1 apresentação conforme cronograma:
 </t>
  </si>
  <si>
    <t>6025202500122867|34.10.14.422.3013.6178.33903000</t>
  </si>
  <si>
    <t>03310-2025-PE</t>
  </si>
  <si>
    <t>6025202500123693</t>
  </si>
  <si>
    <t>19/06/2025 - Av. Mário de Andrade, 664 - 17:00h às 18:00h - Performance - Aline Gior - 24° Feira da Diversidade LGBT+</t>
  </si>
  <si>
    <t>6025202500123693|34.10.14.422.3013.6178.33903000</t>
  </si>
  <si>
    <t>6025202500122565</t>
  </si>
  <si>
    <t>CONTRATADO: MILENA FONSECA FONTES (CPF nº 334.735.118-54), conforme Contrato/Declaração de Exclusividade, por intermédio de 41.882.509 Milena Fonseca Fontes, inscrita no CNPJ sob o nº 41.882.509/0001-92
OBJETO: Espetáculo Musical / Show - Bloco Siriricando - Show Bloco Siriricando
PERÍODO DE EXECUÇÃO DOS SERVIÇOS:19/06/2025 - totalizando 1 apresentação conforme cronograma:</t>
  </si>
  <si>
    <t>6025202500122565|34.10.14.422.3013.6178.33903000</t>
  </si>
  <si>
    <t>: 03270-2025-PE</t>
  </si>
  <si>
    <t>6025202500121950</t>
  </si>
  <si>
    <t>CONTRATADO: ANDRÉ ARAÚJO (CPF nº 331.401.868-19), conforme Contrato/Declaração de Exclusividade, por intermédio de 46.250.182 Valquiria Affonso Aguilera, inscrita no CNPJ sob o nº 46.250.182/0001-50
OBJETO: Intervenção artística - cultura popular - Andre Araujo - Feira LGBT 2025
PERÍODO DE EXECUÇÃO DOS SERVIÇOS: de 19/06/2025 a 22/06/2025 - totalizando 2 apresentações conforme cronograma::</t>
  </si>
  <si>
    <t>6025202500121950|34.10.14.422.3013.6178.33903000</t>
  </si>
  <si>
    <t xml:space="preserve"> 03243-2025-PE</t>
  </si>
  <si>
    <t>6025202500121348</t>
  </si>
  <si>
    <t xml:space="preserve"> 22/06/2025 -  Espetáculo Musical / Show - Analu Caldas - Show Maré Raízes</t>
  </si>
  <si>
    <t>6025202500121348|34.10.14.422.3013.6178.33903000</t>
  </si>
  <si>
    <t>6025202500123740</t>
  </si>
  <si>
    <t>CONTRATADO: HIAGO TRINDADE DE SOUSA CRUZ (CPF nº 407.175.238-61), conforme Contrato/Declaração de Exclusividade, por intermédio de HIAGO TRINDADE DE SOUSA CRUZ 40717523861, inscrita no CNPJ sob o nº 28.859.354/0001-05
OBJETO: Espetáculo Musical / Show - As Cheers - 24° Feira da Diversidade LGBT+
PERÍODO DE EXECUÇÃO DOS SERVIÇOS:19/06/2025 - totalizando 1 apresentação conforme cronograma:
LOCAL e HORÁRIO: Av. Mário de Andrade, 664 - 17:00h às 18:00h
VALOR GLOBAL: R$ 3.000,00 (três mil reais), a ser pago após a confirmação da execução dos serviços pela unidade requisitante.
FORMA DE PAGAMENTO: O pagamento se dará no 30º (trigésimo) dia após a data de entrega de toda documentação correta relativa ao pagamento.</t>
  </si>
  <si>
    <t>6025202500123740|34.10.14.422.3013.6178.33903000</t>
  </si>
  <si>
    <t>03271-2025-PE</t>
  </si>
  <si>
    <t>6025202500122573</t>
  </si>
  <si>
    <t>19/06/2025 - Performance - Coletivo Drag Resistencia - 24 Feira da Diversidade LGBT+</t>
  </si>
  <si>
    <t>6025202500122573|34.10.14.422.3013.6178.33903000</t>
  </si>
  <si>
    <t>6025202500123545</t>
  </si>
  <si>
    <t>19/06/2025 - Av. Mário de Andrade, 664 - 14:00h às 15:00h - Performance - Dafny Delano - 24° Feira da Diversidade LGBT+</t>
  </si>
  <si>
    <t>6025202500123545|34.10.14.422.3013.6178.33903000</t>
  </si>
  <si>
    <t>6025202500123332</t>
  </si>
  <si>
    <t>19/06/2025 a 22/06/2025 -  Espetáculo Musical / Show - Neide Nazaré - Vivência Musical: Forró e Equidade - Vivência Musical - Forró e Equidade</t>
  </si>
  <si>
    <t>6025202500123332|34.10.14.422.3013.6178.33903000</t>
  </si>
  <si>
    <t>6025202500123391</t>
  </si>
  <si>
    <t>CONTRATADO: GUSTAVO DOS SANTOS ANDRADE (CPF nº 461.845.438-57), conforme Contrato/Declaração de Exclusividade, por intermédio de 50.947.198 GUSTAVO DOS SANTOS ANDRADE, inscrita no CNPJ sob o nº 50.947.198/0001-93
OBJETO: Performance - Satanaja Vermillion - 24ª Feira da Diversidade – PARADA LGBT+ SP
PERÍODO DE EXECUÇÃO DOS SERVIÇOS:19/06/2025 - totalizando 1 apresentação conforme cronograma:
LOCAL e HORÁRIO: Av. Mário de Andrade, 664 - 15:00h às 16:00h
VALOR GLOBAL: R$ 1.000,00 (hum mil reais), a ser pago após a confirmação da execução dos serviços pela unidade requisitante.
FORMA DE PAGAMENTO: O pagamento se dará no 30º (trigésimo) dia após a data de entrega de toda documentação correta relativa ao pagamento.</t>
  </si>
  <si>
    <t>6025202500123391|34.10.14.422.3013.6178.33903000</t>
  </si>
  <si>
    <t>03284-2025-PE</t>
  </si>
  <si>
    <t>6025202500122166</t>
  </si>
  <si>
    <t>19/06/2025 - Av. Mário de Andrade, 664 - 14:40h às 15:40h - Espetáculo Musical / Show - Marco Santos - 24ª Feira Cultural LGBT 2025 Parada do Orgulho LGBT+ 2025</t>
  </si>
  <si>
    <t>18/06/2025 00:00:00</t>
  </si>
  <si>
    <t>6025202500122166|34.10.14.422.3013.6178.33903000</t>
  </si>
  <si>
    <t>6025202500122719</t>
  </si>
  <si>
    <t>19/06/2025 - Espetáculo Musical / Show - Gidaia - 24° Feira da Diversidade LGBT+</t>
  </si>
  <si>
    <t>6025202500122719|34.10.14.422.3013.6178.33903000</t>
  </si>
  <si>
    <t>6025202500123367</t>
  </si>
  <si>
    <t>19/06/2025 - Espetáculo Musical/Show - Beto Marden e Banda - Será um Grito Musical</t>
  </si>
  <si>
    <t>6025202500123367|34.10.14.422.3013.6178.33903000</t>
  </si>
  <si>
    <t xml:space="preserve"> 03281-2025-PE</t>
  </si>
  <si>
    <t>6025202500122239</t>
  </si>
  <si>
    <t>19/06/2025 a 22/06/2025 - Performance - Erick Quadros - Corpos em Cena: Resistência e Poesia</t>
  </si>
  <si>
    <t>6025202500122239|34.10.14.422.3013.6178.33903000</t>
  </si>
  <si>
    <t>03290-2025-PE</t>
  </si>
  <si>
    <t>6025202500122603</t>
  </si>
  <si>
    <t>19/06/2025 a 22/06/2025 -  Av. Mário de Andrade, 664 - Espetáculo Musical / Show - Ana Dutra - 24° Feira Cultura LGBT 2025</t>
  </si>
  <si>
    <t>6025202500122603|34.10.14.422.3013.6178.33903000</t>
  </si>
  <si>
    <t>6025202500121720</t>
  </si>
  <si>
    <t>19/06/2025 - Performance - Coletivo Drag Futuro - 24 Feira da Diversidade LGBT+</t>
  </si>
  <si>
    <t>6025202500121720|34.10.14.422.3013.6178.33903000</t>
  </si>
  <si>
    <t xml:space="preserve"> 03253-2025-PE</t>
  </si>
  <si>
    <t>6025202500121364</t>
  </si>
  <si>
    <t>19/06/2025 -  Av. Mário de Andrade, 664 - 14:40h às 15:40h - Performance - Grupo de Capoeira Guerreiros da ilha - Grupo de Capoeira Guerreiros da ilha</t>
  </si>
  <si>
    <t>6025202500121364|34.10.14.422.3013.6178.33903000</t>
  </si>
  <si>
    <t>03305-2025-PE</t>
  </si>
  <si>
    <t>6025202500123766</t>
  </si>
  <si>
    <t xml:space="preserve">CONTRATADO: ANA FLÁVIA NUNES COUTINHO (CPF nº 470.230.338-40), conforme Contrato/Declaração de Exclusividade, por intermédio de Diversidade Projetos LTDA, inscrita no CNPJ sob o nº 30.707.925/0001-38
OBJETO: Espetáculo Musical / Show - Forro Sapatão - 24° Feira da Diversidade LGBT+
PERÍODO DE EXECUÇÃO DOS SERVIÇOS:19/06/2025 - totalizando 1 apresentação conforme cronograma:
 </t>
  </si>
  <si>
    <t>6025202500123766|34.10.14.422.3013.6178.33903000</t>
  </si>
  <si>
    <t>6025202500121542</t>
  </si>
  <si>
    <t>19/06/2025 a 22/06/2025 - Av. Mário de Andrade, 664 - Espetáculo Musical/Show - Trio Malaquias Evento LGBTQIA - 24° Feira Cultura LGBT 2025</t>
  </si>
  <si>
    <t>6025202500121542|34.10.14.422.3013.6178.33903000</t>
  </si>
  <si>
    <t>6025202500123626</t>
  </si>
  <si>
    <t>CONTRATADO: TAMARA FERREIRA FONSECA (CPF nº 135.045.807-47), conforme Contrato/Declaração de Exclusividade, por intermédio de TAMARA F FONSECA - ANGEL SHOWS, inscrita no CNPJ sob o nº 21.467.775/0001-41
OBJETO: Espetáculo Musical / Show - Tamara Angel - 24 Feira da Diversidade LGBT+
PERÍODO DE EXECUÇÃO DOS SERVIÇOS:19/06/2025 - totalizando 1 apresentação conforme cronograma:</t>
  </si>
  <si>
    <t>6025202500123626|34.10.14.422.3013.6178.33903000</t>
  </si>
  <si>
    <t>6025202500123855</t>
  </si>
  <si>
    <t>CONTRATADO: MARCELO DELFINO DA SILVA (CPF nº 349.260.958-90), conforme Contrato/Declaração de Exclusividade, por intermédio de Marcelo Delfino da Silva 34926095890, inscrita no CNPJ sob o nº 45.065.820/0001-08
OBJETO: Espetáculo Musical / Show - Batucada do Nasce - Batucada do Nasce
PERÍODO DE EXECUÇÃO DOS SERVIÇOS:19/06/2025 - totalizando 1 apresentação conforme cronograma:
LOCAL e HORÁRIO: Av. Mário de Andrade, 664 - 14:00h às 15:00h</t>
  </si>
  <si>
    <t>6025202500123855|34.10.14.422.3013.6178.33903000</t>
  </si>
  <si>
    <t xml:space="preserve"> 03291-2025-PE</t>
  </si>
  <si>
    <t>6025202500122263</t>
  </si>
  <si>
    <t>19/06/2025 a 22/06/2025 - Espetáculo Musical / Show - Alexandre Jesus 24 Feira LGBT 2025 - 24° Feira Cultura LGBT 2025</t>
  </si>
  <si>
    <t>6025202500122263|34.10.14.422.3013.6178.33903000</t>
  </si>
  <si>
    <t>6025202500122026</t>
  </si>
  <si>
    <t>19/06/2025  -  Performance - Xênia Star - 24° Feira da Diversidade LGBT+</t>
  </si>
  <si>
    <t>6025202500122026|34.10.14.422.3013.6178.33903000</t>
  </si>
  <si>
    <t>6025202500123634</t>
  </si>
  <si>
    <t>19/06/2025 - Performance - Antara Gold - 24° Feira da Diversidade LGBT+</t>
  </si>
  <si>
    <t>6025202500123634|34.10.14.422.3013.6178.33903000</t>
  </si>
  <si>
    <t>6025202500122220</t>
  </si>
  <si>
    <t>19/06/2025 a 22/06/2025 - Performance - Giovana Tome - 24ª Feira Cultural LGBT 2025 Parada do Orgulho LGBT+ 2025</t>
  </si>
  <si>
    <t>6025202500122220|34.10.14.422.3013.6178.33903000</t>
  </si>
  <si>
    <t>03278-2025-PE</t>
  </si>
  <si>
    <t>6025202500122182</t>
  </si>
  <si>
    <t>19/06/2025 a 22/06/2025 - Espetáculo Musical / Show - NATHALIA CORTE - Nathalia Corte</t>
  </si>
  <si>
    <t>6025202500122182|34.10.14.422.3013.6178.33903000</t>
  </si>
  <si>
    <t>03266-2025-PE/EM</t>
  </si>
  <si>
    <t>6025202500121550</t>
  </si>
  <si>
    <t>19/06/2025 -  Performance - RODA DE CAPOEIRA MESTRE PIT BULL - 24ª Feira Cultural LGBT 2025 Parada do Orgulho LGBT+ 2025</t>
  </si>
  <si>
    <t>6025202500121550|34.10.14.422.3013.6178.33903000</t>
  </si>
  <si>
    <t>03248-2025 PE</t>
  </si>
  <si>
    <t>6025202500121330</t>
  </si>
  <si>
    <t>19/06/2025 - Espetáculo Musical/Show - PH ZABUMBADA - PH ZABUMBADA</t>
  </si>
  <si>
    <t>6025202500121330|34.10.14.422.3013.6178.33903000</t>
  </si>
  <si>
    <t>6025202500121313</t>
  </si>
  <si>
    <t>19/06/2025 a 22/06/2025  - Performance - Bruna Alves LGBTQIA+ - 24ª Feira Cultural LGBT 2025 e Parada do Orgulho LGBT+ 2025</t>
  </si>
  <si>
    <t>6025202500121313|34.10.14.422.3013.6178.33903000</t>
  </si>
  <si>
    <t xml:space="preserve"> 03249-2025-PE</t>
  </si>
  <si>
    <t>6025202500121305</t>
  </si>
  <si>
    <t>19/06/2025 a 22/06/2025 - Av. Mário de Andrade, 664 - Performance - Juan Ferreira LGBTQIA+ - Vozes Visíveis</t>
  </si>
  <si>
    <t>6025202500121305|34.10.14.422.3013.6178.33903000</t>
  </si>
  <si>
    <t>03304-2025-PE</t>
  </si>
  <si>
    <t>6025202500123359</t>
  </si>
  <si>
    <t xml:space="preserve">CONTRATADO: ALBERT ROGGENBUCK NETO (CPF nº 734.837.966-49), conforme Contrato/Declaração de Exclusividade, por intermédio de 18.266.990/0001-70 Albert Roggenbuck Neto, inscrita no CNPJ sob o nº 18.266.990/0001-70
OBJETO: Performance - Esquadrão das Drags - Feira da Cultural da Diversidade LGBT+
PERÍODO DE EXECUÇÃO DOS SERVIÇOS:19/06/2025 - totalizando 1 apresentação conforme cronograma:
 </t>
  </si>
  <si>
    <t>6025202500123359|34.10.14.422.3013.6178.33903000</t>
  </si>
  <si>
    <t>6025202500121518</t>
  </si>
  <si>
    <t xml:space="preserve">19/06/2025 - Av. Mário de Andrade, 664 - 16:50h às 17:50h - Espetáculo Musical / Show - Samuel de Abreu 24 Feira LGBT 2025 - 24° Feira Cultura LGBT 2025
 </t>
  </si>
  <si>
    <t>6025202500121518|34.10.14.422.3013.6178.33903000</t>
  </si>
  <si>
    <t>6025202500123898</t>
  </si>
  <si>
    <t>19/06/2025  - Espetáculo Musical / Show - Worta Ziagio - 24° Feira da Diversidade LGBT+</t>
  </si>
  <si>
    <t>6025202500123898|34.10.14.422.3013.6178.33903000</t>
  </si>
  <si>
    <t>03279-2025-PE</t>
  </si>
  <si>
    <t>6025202500122190</t>
  </si>
  <si>
    <t>CONTRATADO: EDUARDO NOBEL ALVES (CPF nº 483.124.118-01), conforme Contrato/Declaração de Exclusividade, por intermédio de PRODUTORA SUPERATIVA LTDA, inscrita no CNPJ sob o nº 01.811.101/0001-05
OBJETO: Performance - Eduardo Nobel - Poema em Movimento
PERÍODO DE EXECUÇÃO DOS SERVIÇOS:de 19/06/2025 a 22/06/2025 - totalizando 2 apresentações conforme cronograma:
quinta-feira: 19/06/2025 (1 apresentação)
Carga Horária: 01:00 horas
Horário: 14:40 às 15:40
Classificação etária: LIVRE (L)
Local: Av. Mário de Andrade, 664
domingo: 22/06/2025 (1 apresentação)
Carga Horária: 01:00 horas
Horário: 15:00 às 16:00
Classificação etária: LIVRE (L)
Local: Av. Paulista, 1578
VALOR GLOBAL: R$ 14.200,00 (quatorze mil e duzentos reais), a ser pago após a confirmação da execução dos serviços pela unidade requisitante.
FORMA DE PAGAMENTO: O pagamento se dará no 30º (trigésimo) dia após a data de entrega de toda documentação correta relativa ao pagamento.</t>
  </si>
  <si>
    <t>6025202500122190|34.10.14.422.3013.6178.33903000</t>
  </si>
  <si>
    <t>6074202500043611</t>
  </si>
  <si>
    <t>Fornecimento de 100 (cem) unidades de kits lanches, destinados ao atendimento da 129ª Reunião Ordinária do Comitê Intersetorial da Política Municipal para a População em Situação de Rua.</t>
  </si>
  <si>
    <t>6074202500043611|34.10.14.422.3013.6178.33903000</t>
  </si>
  <si>
    <t>03256-2025-PE</t>
  </si>
  <si>
    <t>6025202500121399</t>
  </si>
  <si>
    <t>19/06/2025 - Av. Mário de Andrade, 664 - 12:20h às 13:20h - Performance - Grupo de Capoeira Quilombolas de luz - 24ª Feira Cultural LGBT 2025 Parada do Orgulho LGBT+ 2025</t>
  </si>
  <si>
    <t>6025202500121399|34.10.14.422.3013.6178.33903000</t>
  </si>
  <si>
    <t>6025202500123570</t>
  </si>
  <si>
    <t>19/06/2025 - Espetáculo Musical / Show - Trajano - Pocket show "Trança" – Trajano (voz e violão)</t>
  </si>
  <si>
    <t>6025202500123570|34.10.14.422.3013.6178.33903000</t>
  </si>
  <si>
    <t>6025202500124789</t>
  </si>
  <si>
    <t>CONTRATADO: LETÍCIA GOMES DE ALMEIDA (CPF nº 292.578.418-63), conforme Contrato/Declaração de Exclusividade, por intermédio de 27.770.432 Letícia Gomes de Almeida, inscrita no CNPJ sob o nº 27.770.432/0001-38
OBJETO: Performance - Letícia Venturine - 24ª Feira da Diversidade do Orgulho LGBTQIA+ (19/06/2025)
PERÍODO DE EXECUÇÃO DOS SERVIÇOS: 19/06/2025 - totalizando 1 apresentação conforme cronograma:
LOCAL e HORÁRIO: Av. Mário de Andrade, 664 - 19:20h às 20:20h
VALOR GLOBAL: R$ 1.500,00 (hum mil e quinhentos reais), a ser pago após a confirmação da execução dos serviços pela unidade requisitante.
FORMA DE PAGAMENTO: O pagamento se dará no 30º (trigésimo) dia após a data de entrega de toda documentação correta relativa ao pagamento.</t>
  </si>
  <si>
    <t>6025202500124789|34.10.14.422.3013.6178.33903000</t>
  </si>
  <si>
    <t>03287-2025-PE</t>
  </si>
  <si>
    <t>6025202500122557</t>
  </si>
  <si>
    <t xml:space="preserve"> 22/06/2025 - Av. Paulista, 1578 - 15:00h às 16:00h - Espetáculo Musical/Show - Nicolau Araujo Evento Festa Junina - 24° Feira Cultura LGBT 2025</t>
  </si>
  <si>
    <t>6025202500122557|34.10.14.422.3013.6178.33903000</t>
  </si>
  <si>
    <t>34.10.14.422.3018.4326.33903900</t>
  </si>
  <si>
    <t>6025202500124878</t>
  </si>
  <si>
    <t>CONTRATADO: MARILIA GABRIELA CORREA (CPF nº 379.121.658-94), conforme Contrato/Declaração de Exclusividade, por intermédio de 13.072.024 LAZARO OLIVEIRA DE SOUZA, inscrita no CNPJ sob o nº 13.072.024/0001-06
OBJETO: Espetáculo Musical/Show - Marília Corrêa - 24º Feira Cultural LGBT 2025
PERÍODO DE EXECUÇÃO DOS SERVIÇOS: 19/06/2025 - totalizando 1 apresentação conforme cronograma:
LOCAL e HORÁRIO: Av. Mário de Andrade, 664 - 16:50h às 17:50h
VALOR GLOBAL: R$ 1.000,00 (hum mil reais), a ser pago após a confirmação da execução dos serviços pela unidade requisitante.
FORMA DE PAGAMENTO: O pagamento se dará no 30º (trigésimo) dia após a data de entrega de toda documentação correta relativa ao pagamento.</t>
  </si>
  <si>
    <t>6025202500124878|34.10.14.422.3018.4326.33903900</t>
  </si>
  <si>
    <t>03274-2025-PE</t>
  </si>
  <si>
    <t>6025202500123421</t>
  </si>
  <si>
    <t>22/06/2025 -  Performance - Mariana Neves - Grito Invisível</t>
  </si>
  <si>
    <t>6025202500123421|34.10.14.422.3018.4326.33903900</t>
  </si>
  <si>
    <t>6074202500044723</t>
  </si>
  <si>
    <t>Prestação de serviços, sob demanda, de confecção e impressão de material gráfico - ATA DE REGISTRO DE PREÇO nº 001/SMDHC/2024</t>
  </si>
  <si>
    <t>6074202500044723|34.10.14.422.3018.4326.33903900</t>
  </si>
  <si>
    <t>03265-2025-PE</t>
  </si>
  <si>
    <t>6025202500121607</t>
  </si>
  <si>
    <t xml:space="preserve">19/06/2025 a 22/06/2025 - Av. Mário de Andrade, 664 e Av. Paulista, 1578, com datas e horários previstos na proposta - Espetáculo Musical / Show - Marie Gabriella - SHOW ÁGUAS - MARIE GABRIELLA
 </t>
  </si>
  <si>
    <t>6025202500121607|34.10.14.422.3018.4326.33903900</t>
  </si>
  <si>
    <t>6025202500124762</t>
  </si>
  <si>
    <t>CONTRATADO: JULIANA BARBOSA DE ARAUJO (CPF nº 078.216.804-35), conforme Contrato/Declaração de Exclusividade, por intermédio de VIXE-VERSA PRODUCOES CULTURAIS LTDA, inscrita no CNPJ sob o nº 17.290.720/0001-31
OBJETO: Espetáculo Musical / Show - Juliana Linhares - Juliana Linhares
PERÍODO DE EXECUÇÃO DOS SERVIÇOS: 19/06/2025 - totalizando 1 apresentação conforme cronograma:
LOCAL e HORÁRIO: Av. Mário de Andrade, 664 - 11:00h às 12:00h
VALOR GLOBAL: R$ 9.000,00 (nove mil reais), a ser pago após a confirmação da execução dos serviços pela unidade requisitante.
FORMA DE PAGAMENTO: O pagamento se dará no 30º (trigésimo) dia após a data de entrega de toda documentação correta relativa ao pagamento.</t>
  </si>
  <si>
    <t>6025202500124762|34.10.14.422.3018.4326.33903900</t>
  </si>
  <si>
    <t>6074202500044456</t>
  </si>
  <si>
    <t>Prestação de serviços de Coffee Break II, para atender 150 (cento e cinquenta) pessoas participantes da cerimônia de entrega do Prêmio Luísa Mahin - Edição 2025.</t>
  </si>
  <si>
    <t>6074202500044456|34.10.14.422.3018.4326.33903900</t>
  </si>
  <si>
    <t>6074202500039800</t>
  </si>
  <si>
    <t>Aquisição, por Dispensa de Licitação, de Cordões para crachás personalizados.</t>
  </si>
  <si>
    <t>6074202500039800|34.10.14.422.3018.4326.33903900</t>
  </si>
  <si>
    <t>6025202500124614</t>
  </si>
  <si>
    <t>CONTRATADO: LUIS RODRIGO MOISSOPOULOS CALDAS (CPF nº 114.344.138-96), nome artístico “Kiko Caldas” e os demais integrantes do grupo, conforme Contrato/Declaração de Exclusividade (127875131), por intermédio de ACAS CULTURAL, EVENTOS E PRODUCOES ARTISTICAS LTDA, inscrita no CNPJ sob o nº 60.516.694/0001-46.
OBJETO: Artes Cênicas - Intervenção Artística - CIA K - CIRCO AÉREO
PERÍODO DE EXECUÇÃO DOS SERVIÇOS: 22/06/2025 - totalizando 4 apresentações conforme cronograma:</t>
  </si>
  <si>
    <t>6025202500124614|34.10.14.422.3018.4326.33903900</t>
  </si>
  <si>
    <t>34.10.14.243.3013.2157.31901100</t>
  </si>
  <si>
    <t>6074202500029678</t>
  </si>
  <si>
    <t>Emenda Parlamentar. Projeto "Informática do Futuro – Capacitação digital de jovens"</t>
  </si>
  <si>
    <t>6074202500029678|34.10.14.243.3013.2157.31901100</t>
  </si>
  <si>
    <t>6074202500034060</t>
  </si>
  <si>
    <t>Contratação de sistema digital que comporte 06 (seis) eleições para: COMPLIR - Conselho Municipal de Defesa e Promoção da Liberdade
Religiosa; CMI- SP - Conselho Municipal de Direitos da Pessoa Idosa de São Paulo; CMI -Conselho Municipal de Imigrantes; COMPIR - Conselho Municipal de Promoção da Igualdade Racial, CMPCN - Conselho Municipal de Participação da Comunidade Nordestina e COMTRAE - Comissão Municipal para a Erradicação do Trabalho Escravo que totalizam uma previsão de 5.000 (cinco mil) votantes.</t>
  </si>
  <si>
    <t>6074202500034060|34.10.14.243.3013.2157.31901100</t>
  </si>
  <si>
    <t>34.10.14.122.3024.2100.31901100</t>
  </si>
  <si>
    <t>Secretaria Municipal de Turismo</t>
  </si>
  <si>
    <t>74</t>
  </si>
  <si>
    <t>nº 009/2023-SMTUR</t>
  </si>
  <si>
    <t>6076202300003269</t>
  </si>
  <si>
    <t>Objetivando a contratação de empresa especializada em serviços de Infraestrutura com manutenção corretiva, manutenção preventiva, instalações, desinstalações, remanejamentos e execução de projetos em rede de telefonia, lógica e elétrica, compreendendo ainda, o fornecimento e instalação de equipamentos GPON (Gigabit Passive Optical Network), para a Administração Direta e Indireta do Município de São Paulo, pelo período de 12 (doze) meses¿.</t>
  </si>
  <si>
    <t>28/06/2023 00:00:00</t>
  </si>
  <si>
    <t>6076202300003269|34.10.14.122.3024.2100.31901100</t>
  </si>
  <si>
    <t>6074202500054699</t>
  </si>
  <si>
    <t>Contratação de empresa especializada na prestação de serviços de Coffee Break para atender os participantes da reunião e vista técnica da equipe da Secretaria Nacional de Enfrentamento à Violência contra Mulheres do Ministério de Milheres - Ata de Registro de Preços nº 008/SMDHC/2023</t>
  </si>
  <si>
    <t>6074202500054699|34.10.14.122.3024.2100.31901100</t>
  </si>
  <si>
    <t>6074202500038308</t>
  </si>
  <si>
    <t>Contratação de serviço de Despachante Credenciado junto ao Detran de São Paulo, para realização de trâmites para regularização de documentação veicular (Transferência de propriedade, multas, segunda via DUT e licenciamento), com realização de vistoria e emplacamento de 02 (dois) veículos oficiais.</t>
  </si>
  <si>
    <t>6074202500038308|34.10.14.122.3024.2100.31901100</t>
  </si>
  <si>
    <t>Está em CAF?</t>
  </si>
  <si>
    <t>Orgão</t>
  </si>
  <si>
    <t>Tipo</t>
  </si>
  <si>
    <t>PAPA</t>
  </si>
  <si>
    <t>PROCESSO</t>
  </si>
  <si>
    <t>DOTAÇÃO ORÇAMENTÁRIA</t>
  </si>
  <si>
    <t>COORDENAÇÃO</t>
  </si>
  <si>
    <t>CONTRATO</t>
  </si>
  <si>
    <t>OBJETO CONTRATUAL</t>
  </si>
  <si>
    <t>CONTRATADO (A)</t>
  </si>
  <si>
    <t>TÉRMINO</t>
  </si>
  <si>
    <t>VALOR NECESSÁRIO</t>
  </si>
  <si>
    <t>VALOR MENSAL NECESSÁRIO</t>
  </si>
  <si>
    <t>JANEIRO</t>
  </si>
  <si>
    <t>FEVEREIRO</t>
  </si>
  <si>
    <t>MARÇO</t>
  </si>
  <si>
    <t>ABRIL</t>
  </si>
  <si>
    <t>MAIO</t>
  </si>
  <si>
    <t>JUNHO</t>
  </si>
  <si>
    <t>JULHO</t>
  </si>
  <si>
    <t>AGOSTO</t>
  </si>
  <si>
    <t>SETEMBRO</t>
  </si>
  <si>
    <t>OUTUBRO</t>
  </si>
  <si>
    <t>NOVEMBRO</t>
  </si>
  <si>
    <t>DEZEMBRO</t>
  </si>
  <si>
    <t>SMDHC</t>
  </si>
  <si>
    <t>Contratos</t>
  </si>
  <si>
    <t>Atividades</t>
  </si>
  <si>
    <t>34.10.14.126.3024.2.171.33904000.00.1.500.9001.0</t>
  </si>
  <si>
    <t xml:space="preserve">DTIC </t>
  </si>
  <si>
    <t>333/SMDHC/2023</t>
  </si>
  <si>
    <t>Serviços Sustentação de TIC</t>
  </si>
  <si>
    <t>PRODAMSP SA</t>
  </si>
  <si>
    <t>SERVIÇOS DE IMPRESSÃO - Cresan, CRMs, SMDHC</t>
  </si>
  <si>
    <t>MR COMPUTER INFORMATICA LTDA</t>
  </si>
  <si>
    <t>Plataforma de Colaboração e Produtividade</t>
  </si>
  <si>
    <t>SERVIÇOS DE IMPRESSÃO (Sede, CPIR, CPESDH, Idoso, Ban. De Alimentos, CMB)</t>
  </si>
  <si>
    <t>Serviços de comunicação de Voz VoIP - SMDHC</t>
  </si>
  <si>
    <t>34.10.14.122.3024.2.100.33903900.00.1.500.9001.0</t>
  </si>
  <si>
    <t>ADM</t>
  </si>
  <si>
    <t>172/SMDHC/2023</t>
  </si>
  <si>
    <t>Manutenção de Ar Condicionado - SEDE</t>
  </si>
  <si>
    <t>CLIMATECNICA AR CONDICIONADO COMERCIO E SERVICOS LTDA</t>
  </si>
  <si>
    <t>010/SMDHC/2018</t>
  </si>
  <si>
    <t>Locação de Imóvel da Sede - Seguro</t>
  </si>
  <si>
    <t>FWMA Administradora LTDA</t>
  </si>
  <si>
    <t xml:space="preserve">R$                        -  </t>
  </si>
  <si>
    <t xml:space="preserve"> R$                        -  </t>
  </si>
  <si>
    <t xml:space="preserve"> R$                             -  </t>
  </si>
  <si>
    <t>34.10.14.122.3024.2.100.33904700.00.1.500.9001.0</t>
  </si>
  <si>
    <t>Locação de Imóvel da Sede -IPTU</t>
  </si>
  <si>
    <t>Locação de Imóvel da Sede</t>
  </si>
  <si>
    <t>012/SMDHC/2019</t>
  </si>
  <si>
    <t>Prestação de Serviço Telefônico Fixo Comutado – STFC, para atender as necessidades desta SMDHC.</t>
  </si>
  <si>
    <t>CLARO S.A</t>
  </si>
  <si>
    <t>serviço de transporte mediante locação de veículo</t>
  </si>
  <si>
    <t>TRANSQUERQUI LTDA. - EPP</t>
  </si>
  <si>
    <t>34.10.14.122.3018.4.332.33903900.00.1.500.9001.0</t>
  </si>
  <si>
    <t>322/SMDHC2021</t>
  </si>
  <si>
    <t>Locação de máquinas de Café - Ouvidoria</t>
  </si>
  <si>
    <t>PIERCOFFEE BR SERVICES FACILITIES LTDA</t>
  </si>
  <si>
    <t>Serviços de infraestrutura de rede - Sede SMDHC</t>
  </si>
  <si>
    <t>SAGAZ SERVIÇOS E COMÉRCIO DE EQUIPAMENTOS</t>
  </si>
  <si>
    <t>Serviços Postais -  Sede</t>
  </si>
  <si>
    <t>EMPRESA BRASILEIRA DE CORREIOS E TELEGRAFOS</t>
  </si>
  <si>
    <t>141/SMDHC/2022</t>
  </si>
  <si>
    <t>Locação de máquinas de Café Sede</t>
  </si>
  <si>
    <t>Limpeza e desinfecção de reservatório</t>
  </si>
  <si>
    <t>ACJS - Saneamento e Controle Ambiental</t>
  </si>
  <si>
    <t>212/SMDHC/2022</t>
  </si>
  <si>
    <t>Prestação de serviços técnicos especializados para manutenção preventiva e corretiva de 03 elevadores - Sede SMDHC</t>
  </si>
  <si>
    <t>SANTOS &amp; SILVA - COMÉRCIO E SERVIÇOS DE MANUTENÇÃO EM ELEVADORES LTDA</t>
  </si>
  <si>
    <t>Transporte por fretamento</t>
  </si>
  <si>
    <t>Ação Transporte e Turismo</t>
  </si>
  <si>
    <t>Locação de Veículos Novos</t>
  </si>
  <si>
    <t>LOCALIZA VEICULOS ESPECIAIS AS</t>
  </si>
  <si>
    <t>34.10.14.122.3024.2.100.33903300.00.1.500.9001.0</t>
  </si>
  <si>
    <t>065/SMDHC2023</t>
  </si>
  <si>
    <t>Passagens Aéreas Nacionais</t>
  </si>
  <si>
    <t>LNX TRAVEL VIAGENS E TURISMO EIRELI</t>
  </si>
  <si>
    <t>Passagens aéreas</t>
  </si>
  <si>
    <t>ORLEANS VIAGENS E TURISMO LTDA</t>
  </si>
  <si>
    <t>Locação de veículos - com motoristas - SMDHC</t>
  </si>
  <si>
    <t>CS BRASIL TRANSPORTES DE PASSAGEIROS</t>
  </si>
  <si>
    <t>Serviços de Controle de Acesso Sede</t>
  </si>
  <si>
    <t>PAINEIRAS LIMPEZA E SERVICOS GERAIS LTDA</t>
  </si>
  <si>
    <t>Prestação de Serviços de Limpeza - SMDHC (Edif. São Joaquim e Patriarca)</t>
  </si>
  <si>
    <t>UNISERV TERCEIRIZACAO E SERVICOS LTDA</t>
  </si>
  <si>
    <t>Locação Purificadores - Sede</t>
  </si>
  <si>
    <t>Brazon Maxfilter Industria e Locação</t>
  </si>
  <si>
    <t>Assistência técnica e manutenção preventiva e corretiva para bombas</t>
  </si>
  <si>
    <t>ANA PAULA FLORENCIO DA SILVA</t>
  </si>
  <si>
    <t xml:space="preserve">Serviços de Telefonia </t>
  </si>
  <si>
    <t>OPERADORA JRC TELECOMUNICACOES LTDA</t>
  </si>
  <si>
    <t>437/SMDHC/2024</t>
  </si>
  <si>
    <t>Serviços de PABX</t>
  </si>
  <si>
    <t>TECHNOLOGY S/AINFRAESTRUTURA TELECOM</t>
  </si>
  <si>
    <t> 34.10.14.243.3013.2157.3.3.90.39.00.00.1.500.9001.0</t>
  </si>
  <si>
    <t>259/SMDHC2024</t>
  </si>
  <si>
    <t>Prestação de Serviços, sob demanda, de empresa especializada para elaboração de laudo de avaliação de locação de imóveis</t>
  </si>
  <si>
    <t>MINERVA ENGENHARIA LTDA</t>
  </si>
  <si>
    <t>Serviços contínuos de copeiragem</t>
  </si>
  <si>
    <t>IMPACTO SOLUCOES OPERACIONAIS LTDA</t>
  </si>
  <si>
    <t>Serviços de Controle de Pragas Urbanas e Vetores (Sede e Antenas)</t>
  </si>
  <si>
    <t>Desinsetização, Desratização e Descupinização - Sede e Edif. Patriarca.</t>
  </si>
  <si>
    <t>SAKURA DEDETIZADORA LTDA</t>
  </si>
  <si>
    <t>Assistência técnica e manutenção preventiva e corretiva para bombas hidráulicas e suas respectivas tubulações</t>
  </si>
  <si>
    <t>KATEL COMÉRCIO E ASSESSORIA EM TELEFONIA LTDA</t>
  </si>
  <si>
    <t>NE</t>
  </si>
  <si>
    <t>Água e Esgoto - SEDE e Ouvidoria</t>
  </si>
  <si>
    <t>SABESP</t>
  </si>
  <si>
    <t>Fornecimento de Gás Canalisado</t>
  </si>
  <si>
    <t>COMGÁS</t>
  </si>
  <si>
    <t>Energia elétrica - Sede e Ouvidoria</t>
  </si>
  <si>
    <t>ENEL</t>
  </si>
  <si>
    <t>34.10.14.122.3024.2.100.33903000.00.1.500.9001.0</t>
  </si>
  <si>
    <t>Aquisição de Carimbos</t>
  </si>
  <si>
    <t>D S A CHAVES LTDA</t>
  </si>
  <si>
    <t>Licença de acesso ao sistema de pesquisa e comparação de preços praticados pela Administração Pública, denominada BANCO DE PREÇOSL</t>
  </si>
  <si>
    <t>NP TECNOLOGIA E GESTÃO DE DADOS LTDA</t>
  </si>
  <si>
    <t>34.10.14.122.3024.2.100.33903700.00.1.500.9001.0</t>
  </si>
  <si>
    <t>XX/SMDHC/2026</t>
  </si>
  <si>
    <t>Serviço Integrado de Segurança</t>
  </si>
  <si>
    <t>Novo Edital</t>
  </si>
  <si>
    <t>xxx/SMDHC/2026</t>
  </si>
  <si>
    <t>Manutenção nas unidades SMDHC e Demais Coordenações</t>
  </si>
  <si>
    <t>xxxx</t>
  </si>
  <si>
    <t>XX/XX/2026</t>
  </si>
  <si>
    <t>Reembolso de Materiais  nas unidades SMDHC e Demais Coordenações referente aos serviços de manutenção</t>
  </si>
  <si>
    <t>Prestação de serviços  de  motofrete para atender as Unidades de SMDHC</t>
  </si>
  <si>
    <t>LANG SERVIÇOS LTDA</t>
  </si>
  <si>
    <t>xxxx/SMDHC/2020</t>
  </si>
  <si>
    <t>serviço de motofrete</t>
  </si>
  <si>
    <t>Lang Serviços Ltda</t>
  </si>
  <si>
    <t>Prestação de serviços  de Taxi  para atender os Servidores  de SMDHC</t>
  </si>
  <si>
    <t>xxxxxxxx</t>
  </si>
  <si>
    <t>Aquisição de Materiais de Escritório  para atender as Unidades de SMDHC</t>
  </si>
  <si>
    <t>xxxxxxxxx</t>
  </si>
  <si>
    <t>Aquisição de copos de papel 180ml, para atender as necessidades da SMDHC</t>
  </si>
  <si>
    <t>Aquisição de copos de café, para atender as necessidades da SMDHC</t>
  </si>
  <si>
    <t>Aquisição de copos de Lâmpadas, para atender as necessidades da SMDHC</t>
  </si>
  <si>
    <t>Aquisição de açucar, para atender as necessidades da SMDHC</t>
  </si>
  <si>
    <t>Aquisção de Materiiais gráfico, protetor solar , boton, boné  etc</t>
  </si>
  <si>
    <t>Contratação de Empresa especializada em Manutenção de  Extintores para atender as necessidades da SMDHC</t>
  </si>
  <si>
    <t>diárias</t>
  </si>
  <si>
    <t>34.10.14.122.3024.2.100.33901400.00.1.500.9001.0</t>
  </si>
  <si>
    <t>34.10.14.422.3013.2.053.33903900.00.1.500.9001.0</t>
  </si>
  <si>
    <t>CMB</t>
  </si>
  <si>
    <t>Manutenção de Ar Condicionado - CMB</t>
  </si>
  <si>
    <t>Operação de telefonia fixa - PABX</t>
  </si>
  <si>
    <t>Telefel Telecomunicxações</t>
  </si>
  <si>
    <t>Copeiragem e Garçonaria</t>
  </si>
  <si>
    <t>Ruby Services Terceirização</t>
  </si>
  <si>
    <t>Tecnologia de Informação</t>
  </si>
  <si>
    <t>MFC Consultoria e Assessoria</t>
  </si>
  <si>
    <t>Telefonia Fixa - CMB</t>
  </si>
  <si>
    <t>TELEFONICA BRASIL SA</t>
  </si>
  <si>
    <t>067/SMDHC/2023</t>
  </si>
  <si>
    <t>Limpeza e desinfecção de reservatório - CMB</t>
  </si>
  <si>
    <t>34.10.14.422.3013.2.053.33903700.00.1.500.9001.0</t>
  </si>
  <si>
    <t>067/SMDHC/2025</t>
  </si>
  <si>
    <t>Serviços de Vigilância e Segurança Patrimonial</t>
  </si>
  <si>
    <t>ILRAM SEGURANÇA E VIGILANCIA LTDA</t>
  </si>
  <si>
    <t>Prestação de Serviços de Transporte</t>
  </si>
  <si>
    <t>JK TRANSPORTES LOCACOES E SERVICOS</t>
  </si>
  <si>
    <t>Serviços de Limpeza - CMB</t>
  </si>
  <si>
    <t>CLEAN4 SERVICOS GERAIS E ADMINISTRATIVOS EIRELI</t>
  </si>
  <si>
    <t>Água e Esgoto - CMB</t>
  </si>
  <si>
    <t xml:space="preserve">Serviços de Manutenção </t>
  </si>
  <si>
    <t>34.10.14.422.3013.2.053.33903000.00.1.500.9001.0</t>
  </si>
  <si>
    <t>Serviços de Manutenção - Materiais</t>
  </si>
  <si>
    <t>Energia elétrica - CMB</t>
  </si>
  <si>
    <t>066/SMDHC/2025</t>
  </si>
  <si>
    <t>Serviços de Controle de Pragas</t>
  </si>
  <si>
    <t xml:space="preserve">VERA CRUZ DEDETIZADORA </t>
  </si>
  <si>
    <t>072/SMDHC/2025</t>
  </si>
  <si>
    <t>Fornecimento de Gás</t>
  </si>
  <si>
    <t>AMA COMERCIO E SERVICOS</t>
  </si>
  <si>
    <t>Aquisição de Materiais de Consumo</t>
  </si>
  <si>
    <t>34.10.08.243.3013.4.328.33904800.00.1.500.9001.0</t>
  </si>
  <si>
    <t>CPCA</t>
  </si>
  <si>
    <t>Auxílio Ampara</t>
  </si>
  <si>
    <t>Diversos Beneficiárias</t>
  </si>
  <si>
    <t>34.10.08.243.3013.4.328.33903000.00.1.500.9001.0</t>
  </si>
  <si>
    <t>XXXXX</t>
  </si>
  <si>
    <t>Cartilhas ECA</t>
  </si>
  <si>
    <t>XXXXXX</t>
  </si>
  <si>
    <t>34.10.14.422.3018.4.333.33903900.00.1.500.9001.0</t>
  </si>
  <si>
    <t>CPESDH</t>
  </si>
  <si>
    <t>066/SMDHC/2023</t>
  </si>
  <si>
    <t>Serviços de Telefonia</t>
  </si>
  <si>
    <t>Energia elétrica - Centro Público</t>
  </si>
  <si>
    <t>Limpeza e desinfecção de reservatório - Centro Publico</t>
  </si>
  <si>
    <t>Prestação de Serviços de Limpeza -Centro Público</t>
  </si>
  <si>
    <t xml:space="preserve">UNISERV TERCEIRIZACAO E SERVICOS LTDA </t>
  </si>
  <si>
    <t>Locação Purificadores - C. Público</t>
  </si>
  <si>
    <t>Serviços de Controle de Pragas Urbanas e Vetores, compreendendo</t>
  </si>
  <si>
    <t>Desinsetização, Desratização e Descupinização - Centro Público</t>
  </si>
  <si>
    <t>RA TELECOM LTDA</t>
  </si>
  <si>
    <t>34.10.14.422.3018.4.333.33903700.00.1.500.9001.0</t>
  </si>
  <si>
    <t>Serviço Integrado de Segurança Centro Público</t>
  </si>
  <si>
    <t>Contratação de Empresa especializada em Manutenção de  Extintores para atender as necessidades da SMDHC - Centro Público</t>
  </si>
  <si>
    <t>Aquisição de copos de papel 180ml, para atender as necessidades da SMDHC - Centro Público</t>
  </si>
  <si>
    <t>34.10.14.422.3018.4.334.33903900.00.1.500.9001.0</t>
  </si>
  <si>
    <t>CPIR</t>
  </si>
  <si>
    <t>Serviços de Telefonia -CPIR</t>
  </si>
  <si>
    <t>Gerenciamento de frotas veicular - Coodenação Igualdade Racial</t>
  </si>
  <si>
    <t>Aserp Locações e Serviços Gerais Ltda</t>
  </si>
  <si>
    <t>Seguro de Veículos - CPIR</t>
  </si>
  <si>
    <t>GENTE SEGURADORA AS</t>
  </si>
  <si>
    <t xml:space="preserve">serviços de manutenção preventiva e corretiva </t>
  </si>
  <si>
    <t>LA MACCHINA CENTRO AUTOMOTIVO EIRELI</t>
  </si>
  <si>
    <t>serviços de monitoramento e rastreamento veicular</t>
  </si>
  <si>
    <t>MIRUS RASTREAMENTO E INFORMÁTICA</t>
  </si>
  <si>
    <t>Locação Purificadores - CPIR</t>
  </si>
  <si>
    <t>143/SMDHC/2022</t>
  </si>
  <si>
    <t>Prestação de Serviços por empresa especializada em Controle de Pragas Urbanas e Vetores, compreendendo Desinsetização, Desratização e Descupinização</t>
  </si>
  <si>
    <t>DAVIS SOARES DA SILVA DETETIZADORA</t>
  </si>
  <si>
    <t>34.10.14.422.3018.4.334.33903100.00.1.500.9001.0</t>
  </si>
  <si>
    <t>Prêmio Luiza Mahin - Edição 2026</t>
  </si>
  <si>
    <t>34.10.14.422.3013.6.178.33903700.00.1.500.9001.0</t>
  </si>
  <si>
    <t>CPM</t>
  </si>
  <si>
    <t>002/SMDET/2023</t>
  </si>
  <si>
    <t>Vigilância Mulheres</t>
  </si>
  <si>
    <t>QRX SEGURANCA PATRIMONIAL EIRELI</t>
  </si>
  <si>
    <t>34.10.14.422.3013.6.178.33903600.00.1.500.9001.0</t>
  </si>
  <si>
    <t>SMPM/2016</t>
  </si>
  <si>
    <t xml:space="preserve">Locação do imóvel Casa de Passagem </t>
  </si>
  <si>
    <t xml:space="preserve">Robinson Corrêa </t>
  </si>
  <si>
    <t xml:space="preserve">Reembolso  do imóvel Casa de Passagem </t>
  </si>
  <si>
    <t xml:space="preserve">R$                             -  </t>
  </si>
  <si>
    <t>34.10.14.422.3013.6.178.33904700.00.1.500.9001.0</t>
  </si>
  <si>
    <t xml:space="preserve">IPTU do imóvel Casa de Passagem </t>
  </si>
  <si>
    <t>34.10.14.422.3013.6.178.33903900.00.1.500.9001.0</t>
  </si>
  <si>
    <t>Serviços de gerenciamento de abastecimento de veículos</t>
  </si>
  <si>
    <t>TICKET SOLUCOES HDFGT SA</t>
  </si>
  <si>
    <t>Locação de veículo  "Tipo D"</t>
  </si>
  <si>
    <t>AZUL TRANSPORTES E TURISMO LTDA</t>
  </si>
  <si>
    <t>Telefonia Fixa - Mulheres - 01 linha - Casa Helenira</t>
  </si>
  <si>
    <t>Serviço de vigilância e segurança</t>
  </si>
  <si>
    <t>RENASEB EMPRESA DE SEGURANCA E VIGILANCIA EIRELI</t>
  </si>
  <si>
    <t>Gerenciamento de frotas veicular - Coodenação de Mulheres</t>
  </si>
  <si>
    <t>Seguro de Veículos - Mulheres</t>
  </si>
  <si>
    <t>217/SMDHC/2022</t>
  </si>
  <si>
    <t>Contratação Instituição Financeira  - Serviços Pagamento Auxílio aluguel</t>
  </si>
  <si>
    <t xml:space="preserve">Banco do Brasil S.A. </t>
  </si>
  <si>
    <t>Locação Purificadores - Mulheres</t>
  </si>
  <si>
    <t>Serviço de manutenção de elevadores CPM</t>
  </si>
  <si>
    <t>ELEVADORES SÃO PAULO LTDA - EPP</t>
  </si>
  <si>
    <t>Desinsetização, Desratização e Descupinização - Casa Helenira.</t>
  </si>
  <si>
    <t>001/SMDHC/2025</t>
  </si>
  <si>
    <t>Unidade Móvel de Atendimento às Mulheres</t>
  </si>
  <si>
    <t>Água e Esgoto - Mulheres</t>
  </si>
  <si>
    <t>34.10.14.244.3013.4.329.33904800.00.1.500.9001.0</t>
  </si>
  <si>
    <t>Auxílio Aluguel</t>
  </si>
  <si>
    <t xml:space="preserve">Água e Esgoto Casa de Passagem </t>
  </si>
  <si>
    <t xml:space="preserve">Energia elétrica - Casa de Passagem </t>
  </si>
  <si>
    <t>34.10.14.422.3013.6.178.33903000.00.1.500.9001.0</t>
  </si>
  <si>
    <t>Aquisição de copos de papel 180ml, para atender as necessidades da SMDHC Coordenação de Mulheres</t>
  </si>
  <si>
    <t>Aquisição de Material Gráfico e Tatuagens, para atender as necessidades da SMDHC Coordenação de Mulheres</t>
  </si>
  <si>
    <t>34.10.14.243.3013.2.157.33903600.00.1.500.9001.0</t>
  </si>
  <si>
    <t>CT</t>
  </si>
  <si>
    <t>01/SUB- MB/2019</t>
  </si>
  <si>
    <t>Locação Conselho Jd. São Luiz</t>
  </si>
  <si>
    <t>Paula / Gabriela / Thatiane</t>
  </si>
  <si>
    <t>34.10.14.243.3013.2.157.33904700.00.1.500.9001.0</t>
  </si>
  <si>
    <t>IPTU Conselho Jd. São Luiz</t>
  </si>
  <si>
    <t>PAULA DE SOUZA LINO ARAUJO</t>
  </si>
  <si>
    <t>Reembolso de Seguro Contra Incendio - Conselho Jd. São Luiz</t>
  </si>
  <si>
    <t>001/SP-BT/SF/2011</t>
  </si>
  <si>
    <t>IPTU Conselho Rio Pequeno</t>
  </si>
  <si>
    <t>NOVA DIRETRIZ IMOVEIS LTDA</t>
  </si>
  <si>
    <t>34.10.14.243.3013.2.157.33903900.00.1.500.9001.0</t>
  </si>
  <si>
    <t xml:space="preserve">Locação Conselho Rio Pequeno </t>
  </si>
  <si>
    <t xml:space="preserve">Reembolso de Seguro Contra IncendioLocação Conselho Rio Pequeno </t>
  </si>
  <si>
    <t>001/SP-AD/2013</t>
  </si>
  <si>
    <t>Locação Conselho Pedreira</t>
  </si>
  <si>
    <t xml:space="preserve">Carlos Gancalves </t>
  </si>
  <si>
    <t>IPTU Conselho Pedreira</t>
  </si>
  <si>
    <t>08/SPFB/2012</t>
  </si>
  <si>
    <t>IPTU -  Freguesia do Ó</t>
  </si>
  <si>
    <t>LUIZ ANTÔNIO SIQUEIRA</t>
  </si>
  <si>
    <t>Locação Conselho Freguesia do Ó</t>
  </si>
  <si>
    <t>020/SP-IP/2016</t>
  </si>
  <si>
    <t>Locação Conselho Ipiranga</t>
  </si>
  <si>
    <t>Oswaldo / Cristiane / Darlene</t>
  </si>
  <si>
    <t>IPTU Ipiranga</t>
  </si>
  <si>
    <t>OSWALDO GAMBA JUNIOR</t>
  </si>
  <si>
    <t>017/SP-IT/2016</t>
  </si>
  <si>
    <t>Locação Conselho Itaim Paulista</t>
  </si>
  <si>
    <t xml:space="preserve">Marilan / Gerson </t>
  </si>
  <si>
    <t>IPTU Conselho Itaim Paulista</t>
  </si>
  <si>
    <t>Remmbolso de Seguro Contra Incendio Conselho Itaim Paulista</t>
  </si>
  <si>
    <t>S/N</t>
  </si>
  <si>
    <t>Locação Conselho M Boi Mirim</t>
  </si>
  <si>
    <t>Francisco Alves Arruda</t>
  </si>
  <si>
    <t>IPTU M Boi Mirim</t>
  </si>
  <si>
    <t> 001/SP-PE/2011</t>
  </si>
  <si>
    <t>Locação Conselho Cangaíba</t>
  </si>
  <si>
    <t>Ventura Empreendimentos</t>
  </si>
  <si>
    <t>IPTU -Locação Conselho Cangaíba</t>
  </si>
  <si>
    <t>Reembolso de Seguro - Conselho Tutelar Cangaiba</t>
  </si>
  <si>
    <t>01/SP/PR/2016</t>
  </si>
  <si>
    <t>Locação Conselho Anhanguera</t>
  </si>
  <si>
    <t xml:space="preserve">Edson Moraes </t>
  </si>
  <si>
    <t>IPTU Conselho Anhanguera</t>
  </si>
  <si>
    <t>Reembolso de Seguro contra Incendio Conselho Anhanguera</t>
  </si>
  <si>
    <t>010/SP-MP/GAB/2013</t>
  </si>
  <si>
    <t>IPTU Conselho Jd. Helena</t>
  </si>
  <si>
    <t>JOSE ANTERO FILHO</t>
  </si>
  <si>
    <t>Locação Conselho Jd. Helena</t>
  </si>
  <si>
    <t>Reembolso de Seguro contra incendio - Conselho Jd. Helena</t>
  </si>
  <si>
    <t>024/SUB-VP/2019</t>
  </si>
  <si>
    <t>IPTU Conselho  Vila Prudente</t>
  </si>
  <si>
    <t>EVIDÊNCIA CORRETORA DE IMÓVEIS E SEGUROS</t>
  </si>
  <si>
    <t>Reembolso de Seguro Contra Incendio - Conselho  Vila Prudente</t>
  </si>
  <si>
    <t>Locação Conselho  Vila Prudente</t>
  </si>
  <si>
    <t>INSS PATRONAL Pagamento Conslheiros Tutelares</t>
  </si>
  <si>
    <t>xxxxx</t>
  </si>
  <si>
    <t>impressão corporativa</t>
  </si>
  <si>
    <t>MJ TECNOLOGIA DO BRASIL LTDA</t>
  </si>
  <si>
    <t>086/SMDHC/2020</t>
  </si>
  <si>
    <t>Locação Conselho Pinheiros</t>
  </si>
  <si>
    <t xml:space="preserve">Renata Ursula </t>
  </si>
  <si>
    <t>IPTU Conselho Pinheiros</t>
  </si>
  <si>
    <t>Reembolso de Seguro Contra Incêncdio - Conselho Pinheiros</t>
  </si>
  <si>
    <t>056/SMDHC/2020</t>
  </si>
  <si>
    <t>IPTU Conselho São Mateus</t>
  </si>
  <si>
    <t>TERRA URBANIZADA ADMINISTRACAO LTDA</t>
  </si>
  <si>
    <t>Locação Conselho São Mateus</t>
  </si>
  <si>
    <t>Reembolso de Seguro Contra Incendio Conselho São Mateus</t>
  </si>
  <si>
    <t>040/SMDHC/2020</t>
  </si>
  <si>
    <t>Locação Cidade Tiradentes I</t>
  </si>
  <si>
    <t>Alipio da Silva Cordeiro Neto</t>
  </si>
  <si>
    <t>IPTU Cidade Tiradentes I</t>
  </si>
  <si>
    <t>Reembolso de Seguro Contra Incendio</t>
  </si>
  <si>
    <t>Telefonia Fixa - Conselho Tutelar</t>
  </si>
  <si>
    <t>34.10.14.243.3013.2.157.33903700.00.1.500.9001.0</t>
  </si>
  <si>
    <t>Central de Monitoramento Remoto</t>
  </si>
  <si>
    <t>RUBY PROTEÇÃO E MONITORAMENTO LTDA</t>
  </si>
  <si>
    <t>049/SMDHC/2020</t>
  </si>
  <si>
    <t>Locação Conselho Pirituba</t>
  </si>
  <si>
    <t>ESCRITORIO IMOBILIARIO ALMEIDA FLORES LTDA</t>
  </si>
  <si>
    <t>IPTU Conselho Pirituba</t>
  </si>
  <si>
    <t>Serviços de PABX - CT</t>
  </si>
  <si>
    <t>Locação de máquinas de Café CT</t>
  </si>
  <si>
    <t>GRAN COFFEE COMERCIO LOCACAO E SERVICOS S.A.</t>
  </si>
  <si>
    <t>082/SMDHC/2021</t>
  </si>
  <si>
    <t>Locação Conselho Sacomã</t>
  </si>
  <si>
    <t>RITA DE CASSIA HIPOLIDI</t>
  </si>
  <si>
    <t>IPTU Conselho Sacomã</t>
  </si>
  <si>
    <t>Reembolso de  Seguro Contra Incendio- Conselho Sacomã</t>
  </si>
  <si>
    <t>Serviços de infraestrutura de rede - Conselho Tutelar</t>
  </si>
  <si>
    <t>Serviço Móvel Pessoal</t>
  </si>
  <si>
    <t>TIM S A</t>
  </si>
  <si>
    <t>Locação de vagas garagem</t>
  </si>
  <si>
    <t>Guarda de Veículos JDN Ltda.</t>
  </si>
  <si>
    <t>286/SMDHC/2021</t>
  </si>
  <si>
    <t>Locação de microcomputadores tipo desktop</t>
  </si>
  <si>
    <t>RPC INFORMATICA LTDA</t>
  </si>
  <si>
    <t>224/SMDHC/2021</t>
  </si>
  <si>
    <t>IPTU Conselho Butantã</t>
  </si>
  <si>
    <t>Ivo Giunti Yoshioka</t>
  </si>
  <si>
    <t>Locação Conselho Butantã</t>
  </si>
  <si>
    <t>Reembolso de Seguro Contra Incendio Conselho Butantã</t>
  </si>
  <si>
    <t>139/SMDHC/2022</t>
  </si>
  <si>
    <t>Locação Conselho Cidade Lider</t>
  </si>
  <si>
    <t>AVALIZAR ADMINISTRADORA</t>
  </si>
  <si>
    <t>IPTU Cidade Lider</t>
  </si>
  <si>
    <t>075/SMDHC/2023</t>
  </si>
  <si>
    <t>Locação Conselho Ermelino Matarazzo</t>
  </si>
  <si>
    <t>MASATOSHI/ TIEKO YOSHIMOTO SAGA</t>
  </si>
  <si>
    <t>IPTU Conselho Ermelino Matarazzo</t>
  </si>
  <si>
    <t>Reembolso de Segueo Contra Incendio - Conselho Ermelino Matarazzo</t>
  </si>
  <si>
    <t>257/SMDHC/2021</t>
  </si>
  <si>
    <t>IPTU Conselho Tremembé</t>
  </si>
  <si>
    <t>PEDRO TEDI BARBOSA BRAGA</t>
  </si>
  <si>
    <t>Locação Conselho Tremembé</t>
  </si>
  <si>
    <t>Reembolso de Seguro Contra Incendio - Conselho Tremembé</t>
  </si>
  <si>
    <t>003/SMDHC/2022</t>
  </si>
  <si>
    <t xml:space="preserve">Locação Conselho Brasilândia </t>
  </si>
  <si>
    <t>JOSE ANTONIO FLORIO</t>
  </si>
  <si>
    <t xml:space="preserve">IPTU Conselho Brasilândia </t>
  </si>
  <si>
    <t>338/SMDHC/2022</t>
  </si>
  <si>
    <t>IPTU Conselho São Rafael</t>
  </si>
  <si>
    <t>Manoel de Araujo Neto</t>
  </si>
  <si>
    <t>Locação Conselho São Rafael</t>
  </si>
  <si>
    <t>Reembolso de Seguro Contra Incendio Conselho São Rafael</t>
  </si>
  <si>
    <t>Locação Conselho Lajeado</t>
  </si>
  <si>
    <t>Ademir do Sacramento</t>
  </si>
  <si>
    <t>IPTU Conselho Lajeado</t>
  </si>
  <si>
    <t>Reembolso de Seguro Contra Incendio -Conselho Lajeado</t>
  </si>
  <si>
    <t>351/SMDHC/2021</t>
  </si>
  <si>
    <t>Locação Conselho Aricanduva</t>
  </si>
  <si>
    <t>CIBELE PEREIRA COSTA</t>
  </si>
  <si>
    <t>IPTU Conselho Aricanduva</t>
  </si>
  <si>
    <t>Reembolso de Seguro Contra Incendio Conselho Aricanduva</t>
  </si>
  <si>
    <t>Serviços de Limpeza, Asseio e Conservação Predial 52 Conselhos Tutelares</t>
  </si>
  <si>
    <t>Clean4 Serviços gerais e administrativos Eirelli ME</t>
  </si>
  <si>
    <t>Serviços Postais - Conselho Tutelar</t>
  </si>
  <si>
    <t>070/SMDHC/2022</t>
  </si>
  <si>
    <t>Locação Conselho Cidade Ademar</t>
  </si>
  <si>
    <t>Renata / Ricardo / Ronaldo</t>
  </si>
  <si>
    <t>IPTU Conselho Cidade Ademar</t>
  </si>
  <si>
    <t>294/SMDHC/2023</t>
  </si>
  <si>
    <t>Condomínio - Conselho Bela Vista</t>
  </si>
  <si>
    <t>PROVINCIA CARMELITANA FLUMINENSE</t>
  </si>
  <si>
    <t>IPTU - Conselho Bela Vista</t>
  </si>
  <si>
    <t>Locação - Conselho Bela Vista</t>
  </si>
  <si>
    <t>072/SMDHC/2023</t>
  </si>
  <si>
    <t>IPTU Conselho Jaraguá</t>
  </si>
  <si>
    <t>SILVIA MARIA PALMAGNANI</t>
  </si>
  <si>
    <t>Locação Conselho Jaraguá</t>
  </si>
  <si>
    <t>Reembolso de Seguro Contra Incendio Conselho Jaraguá</t>
  </si>
  <si>
    <t>313/SMDHC/2023</t>
  </si>
  <si>
    <t>Locação Conselho Curuçá</t>
  </si>
  <si>
    <t>Ermoaci / Elizabeth</t>
  </si>
  <si>
    <t>Reembolso de seguro contra incendio  Conselho Curuçá</t>
  </si>
  <si>
    <t>34.10.14.243.3013.2.157.33903300.00.1.500.9001.0</t>
  </si>
  <si>
    <t>Locação de veículos com motoristas - CT</t>
  </si>
  <si>
    <t>140/SMDHC/2023</t>
  </si>
  <si>
    <t>Locação Conselho Campo Limpo + Condominio</t>
  </si>
  <si>
    <t>Aribisa Empreendimentos</t>
  </si>
  <si>
    <t>IPTU - Locação Conselho Campo Limpo</t>
  </si>
  <si>
    <t>Reembolso Enel + Sabesp - Locação Conselho Campo Limpo</t>
  </si>
  <si>
    <t>IPTU Jaçana</t>
  </si>
  <si>
    <t>Maria / Armando</t>
  </si>
  <si>
    <t>Locação Conselho Jaçana</t>
  </si>
  <si>
    <t>Reembolso de Seguro Contra Incendio locação Conselho Jaçana</t>
  </si>
  <si>
    <t>327SMDHC/2023</t>
  </si>
  <si>
    <t>Locação Conselho Guaianases</t>
  </si>
  <si>
    <t xml:space="preserve">Givaldo dos Santos </t>
  </si>
  <si>
    <t>383/SMDHC/2023</t>
  </si>
  <si>
    <t>Locação Conselho Mooca</t>
  </si>
  <si>
    <t>Ari Mota</t>
  </si>
  <si>
    <t>IPTU Conselho Mooca</t>
  </si>
  <si>
    <t>Reembolso de Seguro Contra Incendio - Conselho Mooca</t>
  </si>
  <si>
    <t>166/SMDHC/2024</t>
  </si>
  <si>
    <t xml:space="preserve">IPTU Casa Verde </t>
  </si>
  <si>
    <t>Minas</t>
  </si>
  <si>
    <t>Locação Conselho Casa Verde</t>
  </si>
  <si>
    <t>Minas/Elisangela/Rosangela</t>
  </si>
  <si>
    <t>Reembolso de Seguro Contra Incendio  Conselho Casa Verde</t>
  </si>
  <si>
    <t>245/SMDHC/2023</t>
  </si>
  <si>
    <t>Locação Purificadores CTs</t>
  </si>
  <si>
    <t>0001/SMDHC/2024</t>
  </si>
  <si>
    <t>IPTU Conselho Sé</t>
  </si>
  <si>
    <t>DENISE APARECIDA FRANCO ROCCA</t>
  </si>
  <si>
    <t>Locação Conselho Sé (locação + Condominio)</t>
  </si>
  <si>
    <t>Reembolso de Seguro Contra Incendio Conselho Sé</t>
  </si>
  <si>
    <t>SOLITA TECNOLOGIA E SERVICOS EMPRESARIAIS LTDA</t>
  </si>
  <si>
    <t>Serviços Bancários Auxilio Ampara</t>
  </si>
  <si>
    <t>BANCO DO BRASIL SA</t>
  </si>
  <si>
    <t>005/SMDHC/2025</t>
  </si>
  <si>
    <t>Locação Conselho Lapa</t>
  </si>
  <si>
    <t>Miyoko // Kiyoshi</t>
  </si>
  <si>
    <t>IPTU Conselho Lapa</t>
  </si>
  <si>
    <t>Reembolso de Seguro Contra Incedio- Conselho Lapa</t>
  </si>
  <si>
    <t>MMM SOLUCOES CONSULTORIA E GESTAO EMPRESARIAL LTDA</t>
  </si>
  <si>
    <t>Locação Conselho Guaianases - IPTU</t>
  </si>
  <si>
    <t xml:space="preserve">Reembolso de Seguro Contra Incendio -Locação Conselho Guaianases </t>
  </si>
  <si>
    <t>Água e Esgoto - CT</t>
  </si>
  <si>
    <t>Energia elétrica - CT</t>
  </si>
  <si>
    <t>Manutenção nas unidades do CT</t>
  </si>
  <si>
    <t>34.10.14.243.3013.2.157.33903000.00.1.500.9001.0</t>
  </si>
  <si>
    <t xml:space="preserve">Reembolso de Materiais referente aos  serviços de Manutenção </t>
  </si>
  <si>
    <t>XXX/SMDHC/2025</t>
  </si>
  <si>
    <t>Locação Conselho Perus</t>
  </si>
  <si>
    <t>Jacqueline / Josiane / Vivian</t>
  </si>
  <si>
    <t>xx/xx/2026</t>
  </si>
  <si>
    <t>IPTU Conselho Perus</t>
  </si>
  <si>
    <t>Reembolso de Seguro Contra Incendio Conselho Perus</t>
  </si>
  <si>
    <t>Aquisição de copos de papel 180ml, para atender as necessidades da SMDHC - Conselho Tutetar</t>
  </si>
  <si>
    <t>34.10.08.243.3013.2.033.33903900.00.1.500.9001.0</t>
  </si>
  <si>
    <t>Formação dos Conselhos Tutelares</t>
  </si>
  <si>
    <t>34.10.14.122.3024.2.106.33903900.00.1.500.9001.0</t>
  </si>
  <si>
    <t>DGESP</t>
  </si>
  <si>
    <t>001/SMDHC/2022</t>
  </si>
  <si>
    <t>prestação de serviço de agente de integração de estágios</t>
  </si>
  <si>
    <t>CENTRO DE INTEGRACAO EMPRESA ESCOLA CIEE</t>
  </si>
  <si>
    <t>DTIC</t>
  </si>
  <si>
    <t>Serviço de Locação Sistema PABX com DRD</t>
  </si>
  <si>
    <t>34.10.14.126.3011.2.818.33904000.00.1.500.9001.0</t>
  </si>
  <si>
    <t>Serviço de link de acesso à internet com banda de 100MB, para utilização no auditório SMDHC</t>
  </si>
  <si>
    <t>EDSON RODRIGO MELLADO DE LIMA</t>
  </si>
  <si>
    <t>locação de Computadores</t>
  </si>
  <si>
    <t>Serviços de Acesso à Rede Corporativa PMSP e Internet SD-WAN</t>
  </si>
  <si>
    <t>PRODAM</t>
  </si>
  <si>
    <t>048/SMDHC/2025</t>
  </si>
  <si>
    <t>licença de uso do ChatGPT plus</t>
  </si>
  <si>
    <t>LILIAN ARRUDA DA SILVA</t>
  </si>
  <si>
    <t>34.10.14.422.3018.2.142.33903100.00.1.500.9001.0</t>
  </si>
  <si>
    <t>EDH</t>
  </si>
  <si>
    <t xml:space="preserve">13º Prêmio Educação e Direitos HUmanos e aquisição de Troféus </t>
  </si>
  <si>
    <t>34.10.14.422.3018.2.142.33903600.00.1.500.9001.0</t>
  </si>
  <si>
    <t>Contratação Artística</t>
  </si>
  <si>
    <t>34.10.14.422.3018.4.335.33903900.00.1.500.9001.0</t>
  </si>
  <si>
    <t>EGRESSOS</t>
  </si>
  <si>
    <t>Contratação de Serviços  para atender as necessidades da SMDHC -Coodernação de Egressos</t>
  </si>
  <si>
    <t>34.10.14.422.3007.4.330.33903700.00.1.500.9001.0</t>
  </si>
  <si>
    <t>IDOSO</t>
  </si>
  <si>
    <t xml:space="preserve">Serviço Integrado de Segurança - Polo Cultural do Idoso 1 Segurança  (Diurno Segunda a domingo  das 07 as 19 h) e   1 Segurança  (Noturno  Segunda a domingo  das 19  as 07 h) </t>
  </si>
  <si>
    <t>34.10.14.422.3007.4.330.33903900.00.1.500.9001.0</t>
  </si>
  <si>
    <t>Idoso - 02 Linhas</t>
  </si>
  <si>
    <t>Limpeza e desinfecção de reservatório - Idoso</t>
  </si>
  <si>
    <t>261/SMDHC2024</t>
  </si>
  <si>
    <t>Prestação de Serviços de Limpeza - Polo Cultural do Idoso e CEDPES</t>
  </si>
  <si>
    <t>Serviços de Vigilância e Segurança Patrimonial - CEDPES</t>
  </si>
  <si>
    <t>RENASEB - EMPRESA DE SEGURANCA E VIGILANCIA LTDA</t>
  </si>
  <si>
    <t>Locação Purificadores - Idoso</t>
  </si>
  <si>
    <t>Desinsetização, Desratização e Descupinização - Polo Idoso e CEDPES.</t>
  </si>
  <si>
    <t>Água e Esgoto - CEDPES</t>
  </si>
  <si>
    <t>Energia elétrica - CEDPES</t>
  </si>
  <si>
    <t>Serviço Integrado de Segurança - Polo Cultural do Idoso 1 Segurança  (Diurno Segunda a domingo  das 07 as 19 h)</t>
  </si>
  <si>
    <t>34.10.14.422.3007.4.330.33903000.00.1.500.9001.0</t>
  </si>
  <si>
    <t>Aquisição de copos de papel 180ml, para atender as necessidades da SMDHC -Coodernação dos Idosos</t>
  </si>
  <si>
    <t>Material Grafico ( Cartilha /Folders ) para atender as necessidades da SMDHC -Coodernação dos Idosos</t>
  </si>
  <si>
    <t>34.10.14.422.3018.2.051.33903900.00.1.500.9001.0</t>
  </si>
  <si>
    <t>IMIGRANTES</t>
  </si>
  <si>
    <t>Unidade Móvel de Atendimento - Imigrantes</t>
  </si>
  <si>
    <t>34.10.14.422.3018.2.051.33903700.00.1.500.9001.0</t>
  </si>
  <si>
    <t>Serviço Integrado de Segurança Imigrantes</t>
  </si>
  <si>
    <t>34.10.14.422.3018.2.051.33903000.00.1.500.9001.0</t>
  </si>
  <si>
    <t>Material Gráfico</t>
  </si>
  <si>
    <t>xxxxxxx</t>
  </si>
  <si>
    <t>34.10.14.422.3013.4.322.33903600.00.1.500.9001.0</t>
  </si>
  <si>
    <t>INDIGENA</t>
  </si>
  <si>
    <t>Contratação Palestrante</t>
  </si>
  <si>
    <t>34.10.14.422.3013.4.322.33903900.00.1.500.9001.0</t>
  </si>
  <si>
    <t>Serviços  Diversos</t>
  </si>
  <si>
    <t>34.10.14.422.3018.4.319.33904800.00.1.500.9001.0</t>
  </si>
  <si>
    <t>LGBTI</t>
  </si>
  <si>
    <t>Transferência de Recursos para SMDET - Projeto POT Transcidadnia</t>
  </si>
  <si>
    <t>Diversos Beneficiáriios</t>
  </si>
  <si>
    <t>34.10.14.422.3018.4.326.33903900.00.1.500.9001.0</t>
  </si>
  <si>
    <t>Transporte de Passageiros</t>
  </si>
  <si>
    <t>34.10.14.422.3018.4.319.33804100.00.1.500.9001.0</t>
  </si>
  <si>
    <t>Taxa de participação na Rainbow Cities Network</t>
  </si>
  <si>
    <t>TAXA RAINBOW</t>
  </si>
  <si>
    <t>Contratação de serviços cartoriais, com fins de contratar a Central de Protesto do Estado de São Paulo/Instituto de Estudos de Protesto de Títulos do Brasil-Seção de SP (CENPROT/IEPTB), para o programa Respeito Tem Nome.</t>
  </si>
  <si>
    <t>INSTITUTO DE ESTUDOS DE PROTESTO DE TÍTULOS DO BRASIL - SEÇÃO SÃO PAULO - IEPTB - SP</t>
  </si>
  <si>
    <t>34.10.14.422.3018.4.326.33903000.00.1.500.9001.0</t>
  </si>
  <si>
    <t>xx/SMDHC/2026</t>
  </si>
  <si>
    <t>OUVIDORIA</t>
  </si>
  <si>
    <t>068/SMDHC/2015</t>
  </si>
  <si>
    <t>Locação Ed. Patriarca</t>
  </si>
  <si>
    <t>Atenas Administração de Négocios</t>
  </si>
  <si>
    <t>Condomínio Ed. Patriarca</t>
  </si>
  <si>
    <t>Reembolso Energia Elétrica Ed. Patriarca</t>
  </si>
  <si>
    <t>IPTU Ed. Patriarca</t>
  </si>
  <si>
    <t>Ouvidoria - 02 Linhas</t>
  </si>
  <si>
    <t>34.10.14.422.3023.4.321.33903900.00.1.500.9001.0</t>
  </si>
  <si>
    <t>POP RUA</t>
  </si>
  <si>
    <t>138/SMDHC/2023</t>
  </si>
  <si>
    <t>Prestação de serviços de fornecimento de sopão quente, chá quente, chocolate quente e água para atender a população em situação de rua durante o período de baixas temperaturas</t>
  </si>
  <si>
    <t>FGRSILVA BUFFET E EVENTOS LTDA</t>
  </si>
  <si>
    <t>34.10.14.422.3023.4.321.33903100.00.1.500.9001.0</t>
  </si>
  <si>
    <t>Edital do Prêmio 19 de Agosto de Boas Prática</t>
  </si>
  <si>
    <t>DIVERSOS</t>
  </si>
  <si>
    <t>34.10.14.422.3013.2.431.33903900.00.1.500.9001.0</t>
  </si>
  <si>
    <t>257/SMDHC/20221</t>
  </si>
  <si>
    <t>Água e Esgoto - Pop Rua</t>
  </si>
  <si>
    <t>Energia elétrica - Recifran</t>
  </si>
  <si>
    <t>GRUPO JKM ALIMENTACAO LTDA</t>
  </si>
  <si>
    <t>34.10.14.422.3013.2.431.33903700.00.1.500.9001.0</t>
  </si>
  <si>
    <t>34.10.08.605.3016.4.470.33903900.00.1.500.9001.0</t>
  </si>
  <si>
    <t>SESANA</t>
  </si>
  <si>
    <t>Locação Ed. Conde de Prates</t>
  </si>
  <si>
    <t>SNA PARTICIPACOES LTDA</t>
  </si>
  <si>
    <t>Locação Ed. Conde de Prates - IPTU</t>
  </si>
  <si>
    <t>Locação Ed. Conde de Prates - Condomínio</t>
  </si>
  <si>
    <t>34.10.08.605.3016.4.470.33903700.00.1.500.9001.0</t>
  </si>
  <si>
    <t>Vigilância CRESAN</t>
  </si>
  <si>
    <t>Serviço de Logística - SESANA 10 Vans</t>
  </si>
  <si>
    <t>34.10.08.605.3016.4470.33903900.00.1.500.9001.0</t>
  </si>
  <si>
    <t>Serviços de Controle de Acesso - SESANA</t>
  </si>
  <si>
    <t>Prestação de Serviços de Limpeza - SESANA SEDE</t>
  </si>
  <si>
    <t>295/SMDHC/2023</t>
  </si>
  <si>
    <t>Prestação de serviços de locação de Sistema PABX</t>
  </si>
  <si>
    <t>RA TELECOM LTDA - EPP</t>
  </si>
  <si>
    <t>Locação Purificadores - Sesana</t>
  </si>
  <si>
    <t>404/SMDHC/2023</t>
  </si>
  <si>
    <t>Locação, Instalação e Manutenção - Repelência de pombos</t>
  </si>
  <si>
    <t>ROBOTX ELETRÔNICOS LTDA</t>
  </si>
  <si>
    <t>34.10.08.605.3016.4.470.33903000.00.1.500.9001.0</t>
  </si>
  <si>
    <t>405/SMDHC/2023</t>
  </si>
  <si>
    <t>Fornecimento de garrafões de 20 (vinte) litros de água</t>
  </si>
  <si>
    <t>THHD COMERCIAL LTDA</t>
  </si>
  <si>
    <t>Serviços de Desinsetização - CRESANs</t>
  </si>
  <si>
    <t>AWK AMBIENTAL LTDA</t>
  </si>
  <si>
    <t>Serviços de Limpeza - CRESAN</t>
  </si>
  <si>
    <t>Água e Esgoto - (cresans e Frota)</t>
  </si>
  <si>
    <t>Energia elétrica (Cresans, Sacolão Tiradentes, Frota e City Jaraguá)</t>
  </si>
  <si>
    <t>Serviço Integrado de Segurança - SESANA</t>
  </si>
  <si>
    <t>047/SMDHC/2025</t>
  </si>
  <si>
    <t>serviços de limpeza e desinfecção</t>
  </si>
  <si>
    <t>DESINTEC CONTROLE AMBIENTAL LTDA</t>
  </si>
  <si>
    <t>xx/05/2026</t>
  </si>
  <si>
    <t>Aquisição de copos de papel 180ml, para atender as necessidades da SMDHC -SESANA</t>
  </si>
  <si>
    <t xml:space="preserve">Locação de banheiros </t>
  </si>
  <si>
    <t>PILAR ECOTEC AMBIENTAL LTDA</t>
  </si>
  <si>
    <t>60742026000xxxxx</t>
  </si>
  <si>
    <t>60742026000XXXXX</t>
  </si>
  <si>
    <t>607420260000XXXX</t>
  </si>
  <si>
    <t>606020xx000xxxxx</t>
  </si>
  <si>
    <t>60742026000xxxxxx</t>
  </si>
  <si>
    <t>6074202600000xxx</t>
  </si>
  <si>
    <t>Está na API?</t>
  </si>
  <si>
    <t>Rótulos de Linha</t>
  </si>
  <si>
    <t>Está</t>
  </si>
  <si>
    <t>Não está</t>
  </si>
  <si>
    <t>Total Geral</t>
  </si>
  <si>
    <t>Soma de valAnual</t>
  </si>
  <si>
    <t>Soma de VALOR NECESSÁRIO</t>
  </si>
  <si>
    <t>Contagem de PROCESSO</t>
  </si>
  <si>
    <t>Parcerias</t>
  </si>
  <si>
    <t>34.10.14.422.3018.4.326.33503900.00.1.500.9001.0</t>
  </si>
  <si>
    <t>CPLGBTI</t>
  </si>
  <si>
    <t>TCL/023/2024/SMDHC/CPLGBTI</t>
  </si>
  <si>
    <t>Gestão do Centro de Referência LGBTI+ Claudia Wonder e Unidade Móvel LGBTI+ Oeste (distrito Vila Sônia ou Butantã) - LOTE 4</t>
  </si>
  <si>
    <t>Instituto Claret - Solidariedade e Desenvolvimento Humano</t>
  </si>
  <si>
    <t>TCL/024/2024/SMDHC/CPLGBTI</t>
  </si>
  <si>
    <t>Gestão do Centro de Referência LGBTI+ Brunna Valin e Unidade Móvel LGBTI+ Centro (distrito República ou Sé) - LOTE 5</t>
  </si>
  <si>
    <t>Grupo Pela VIDDA: Valorização Integração e Dignidade do Doente de Aids de São Paulo</t>
  </si>
  <si>
    <t>34.10.14.422.3013.6.178.33503900.00.1.500.9001.0</t>
  </si>
  <si>
    <t>TCL/003/2016/SMPM/CPM</t>
  </si>
  <si>
    <t>Casa de Acolhimento Provisório de Curta Duração, na Zona Norte de São Paulo</t>
  </si>
  <si>
    <t>UPM: União Popular de Mulheres de Campo Limpo e Adjacências</t>
  </si>
  <si>
    <t>TCL/014/2024/SMDHC/CPM</t>
  </si>
  <si>
    <t>Gestão do Centro de Referência e Cidadania da Mulher CRCM - Casa da Mulher Parelheiros</t>
  </si>
  <si>
    <t>Associação Afro-Brasileira Nossa Senhora Aparecida</t>
  </si>
  <si>
    <t>TCL/015/2024/SMDHC/CPM</t>
  </si>
  <si>
    <t>Gestão do Centro de Referência e Cidadania da Mulher CRCM - Casa da Mulher Vila Perus e CRCM – Casa da Mulher Cachoeirinha</t>
  </si>
  <si>
    <t>Centro de Integração Assistencial e Profissional São Patrício</t>
  </si>
  <si>
    <t>TCL/016/2024/SMDHC/CPM</t>
  </si>
  <si>
    <t>Gestão do Centro de Referência e Cidadania da Mulher CRCM - Casa da Mulher Itaquera e CRCM - Casa da Mulher São Miguel</t>
  </si>
  <si>
    <t>Casa de Isabel - Centro de Apoio a Mulher a Criança e o Adolescente Vítimas de Violência Doméstica e Situação de Risco</t>
  </si>
  <si>
    <t>TCL/017/2024/SMDHC/CPM</t>
  </si>
  <si>
    <t>Gestão do Centro de Referência e Cidadania da Mulher CRCM - Casa da Mulher Santo Amaro e CRM Casa da Mulher Capela do Socorro</t>
  </si>
  <si>
    <t>APOIO - Associação de Auxílio Mútuo da Região Leste</t>
  </si>
  <si>
    <t>34.10.14.422.3013.2.053.33503900.00.1.500.9001.0</t>
  </si>
  <si>
    <t>TCL/019/2024/SMDHC/CPM</t>
  </si>
  <si>
    <t>Casa da Mulher Brasileira, Postos Avançados e Unidade Móvel de Atendimento à Mulher</t>
  </si>
  <si>
    <t>Instituto Hera Artemisul / Casa da Mulher Paulistana</t>
  </si>
  <si>
    <t>TCL/025/2022/SMADS/CPM</t>
  </si>
  <si>
    <t>Centro de Defesa e Convivência da Mulher - CDCM Casa Zizi</t>
  </si>
  <si>
    <t>TCL/029/2022/SMADS/CPM</t>
  </si>
  <si>
    <t xml:space="preserve">CDCM - Francisca Franco </t>
  </si>
  <si>
    <t>Fundação Francisca Franco</t>
  </si>
  <si>
    <t>TCL/051/2023/SMDHC/CPM</t>
  </si>
  <si>
    <t>Gestão do Centro de Referência e Cidadania da Mulher CRCM - Casa da Mulher de Brasilândia</t>
  </si>
  <si>
    <t>Instituto Vida São Paulo</t>
  </si>
  <si>
    <t>TCL/052/2023/SMDHC/CPM</t>
  </si>
  <si>
    <t>Gestão do Centro de Referência e Cidadania da Mulher CRCM - Casa da Mulher Maria de Lourdes Rodrigues</t>
  </si>
  <si>
    <t>TCL/053/2023/SMDHC/CPM</t>
  </si>
  <si>
    <t>Centro de Referência e Cidadania da Mulher CRCM - Casa da Mulher Eliane de Grammont</t>
  </si>
  <si>
    <t>TCL/054/2023/SMDHC/CPM</t>
  </si>
  <si>
    <t>Gestão do Centro de Referência e Cidadania da Mulher CRCM - Casa da Mulher 25 de Março</t>
  </si>
  <si>
    <t>TCL/075/2023/SMADS/CPM</t>
  </si>
  <si>
    <t>Centro de Defesa e de Convivência da Mulher - CDCM Casa Sofia</t>
  </si>
  <si>
    <t>Sociedade Santos Mártires</t>
  </si>
  <si>
    <t>TCL/103/2020/SMADS/CPM</t>
  </si>
  <si>
    <t>Centro de Defesa e Convivência da Mulher - CDCM Casa Márcia Martins</t>
  </si>
  <si>
    <t>Associação Fala Mulher</t>
  </si>
  <si>
    <t>TCL/130/2024/SMADS/CPM</t>
  </si>
  <si>
    <t>Centro de Defesa e Convivência da Mulher - CDCM Casa Viviane dos Santos</t>
  </si>
  <si>
    <t>AVIB: Associação de Voluntários Integrados no Brasil</t>
  </si>
  <si>
    <t>TCL/192/2021/SMADS/CPM</t>
  </si>
  <si>
    <t>Centro de Defesa e Convivência da Mulher – CDCM Casa Mariás</t>
  </si>
  <si>
    <t>NCCV: Núcleo Cristão Cidadania e Vida</t>
  </si>
  <si>
    <t>TCL/214/2019/SMADS/CPM</t>
  </si>
  <si>
    <t>Centro de Integração Social da Mulher – CISM II</t>
  </si>
  <si>
    <t>TCL/229/2023/SMADS/CPM</t>
  </si>
  <si>
    <t>Centro de Defesa e Convivência da Mulher - CDCM Casa da Mulher Crê-se</t>
  </si>
  <si>
    <t>GFWC CrêSer</t>
  </si>
  <si>
    <t>TCL/286/2023/SMADS/CPM</t>
  </si>
  <si>
    <t>Centro de Defesa e Convivência da Mulher - CDCM Margarida Maria Alves</t>
  </si>
  <si>
    <t>Associação Comunitária e Beneficente Padre José Augusto Machado Moreira</t>
  </si>
  <si>
    <t>TCL/301/2021/SMADS/CPM</t>
  </si>
  <si>
    <t>Centro de Defesa e Convivência da Mulher - CDCM Marielle Franco</t>
  </si>
  <si>
    <t>TCL/315/2023/SMADS/CPM</t>
  </si>
  <si>
    <t>Centro de Defesa e Convivência da Mulher - CDCM Cidinha Kopcak</t>
  </si>
  <si>
    <t>TCL/459/2023/SMADS/CPM</t>
  </si>
  <si>
    <t>Centro de Defesa e de Convivência da Mulher - CDCM Naná Serafim</t>
  </si>
  <si>
    <t>TCL/503/2023/SMADS/CPM</t>
  </si>
  <si>
    <t>Centro de Defesa e Convivência da Mulher - CDCM Casa Anastácia</t>
  </si>
  <si>
    <t>TCL/566/2023/SMADS/CPM</t>
  </si>
  <si>
    <t>Centro de Defesa e Convivência da Mulher - CDCM Mulheres Vivas</t>
  </si>
  <si>
    <t>TCL/624/2023/SMADS/CPM</t>
  </si>
  <si>
    <t>Centro de Defesa e Convivência da Mulher - CDCM Casa Sonia Maria Batista</t>
  </si>
  <si>
    <t>UNAS: União de Núcleos, Associações dos Moradores de Heliópolis e Região</t>
  </si>
  <si>
    <t>34.10.14.422.3007.4.330.33503900.00.1.500.9001.0</t>
  </si>
  <si>
    <t>CPPI</t>
  </si>
  <si>
    <t>TCL/018/2024/SMDHC/CPPI</t>
  </si>
  <si>
    <t>Centro de Referência de Direitos Humanos e Cidadania da Pessoa Idosa e Posto Avançado de Direitos Humanos e Cidadania da Pessoa Idosa.</t>
  </si>
  <si>
    <t>34.10.14.422.3013.2.431.33503900.00.1.500.9001.0</t>
  </si>
  <si>
    <t>CPPSR</t>
  </si>
  <si>
    <t>TCL/012/2024/SMDHC/CPPSR</t>
  </si>
  <si>
    <t>Gestão do Estação Cidadania</t>
  </si>
  <si>
    <t>TCL/013/2024/SMDHC/CPPSR</t>
  </si>
  <si>
    <t>Centro Assistencial ao Povo Carente do Estado de São Paulo</t>
  </si>
  <si>
    <t>TCL/410/2018/SMADS/CPPSR</t>
  </si>
  <si>
    <t>Serviço de Inclusão Social e Produtiva - SEFRAS/RECIFRAN</t>
  </si>
  <si>
    <t>SEFRAS - Ação Social Franciscana</t>
  </si>
  <si>
    <t>TCL/506/2018/SMDHC/CPPSR</t>
  </si>
  <si>
    <t>Serviço de Inclusão Social e Produtiva - PROGRAMA REVIRAVOLTA/COOPERE</t>
  </si>
  <si>
    <t>CGGDH: Centro Gaspar Garcia de Direitos Humanos</t>
  </si>
  <si>
    <t>34.10.14.122.3018.4.332.33503900.00.1.500.9001.0</t>
  </si>
  <si>
    <t>ODH</t>
  </si>
  <si>
    <t>TCL/061/2023/SMDHC/ODH</t>
  </si>
  <si>
    <t>Gestão do Núcleos de Atendimentos em Direitos Humanos da Lapa, Santana e Ipiranga</t>
  </si>
  <si>
    <t>IASSP: Instituto Atuar Social São Paulo</t>
  </si>
  <si>
    <t>TCL/062/2023/SMDHC/ODH</t>
  </si>
  <si>
    <t>Gestão do Núcleos de Atendimentos em Direitos Humanos NDH(s) da Penha, São Mateus, São Miguel Paulista e Cidade Tiradentes</t>
  </si>
  <si>
    <t>Associação Cultural Poder Negro</t>
  </si>
  <si>
    <t>TCL/063/2023/SMDHC/ODH</t>
  </si>
  <si>
    <t>Gestão do Núcleos de Atendimentos em Direitos Humanos NDH(s) do Butantã, Campo Limpo, Jabaquara e Capela do Socorro</t>
  </si>
  <si>
    <t>Instituto Pesquisa Popular Meu Lugar</t>
  </si>
  <si>
    <t>34.10.08.243.3013.4.328.33503900.00.1.500.9001.0</t>
  </si>
  <si>
    <t>TCL/001/2018/SMDHC/CPCA</t>
  </si>
  <si>
    <t>Apoio Psicossocial a crianças, adolescentes e jovens com diagnóstico de câncer ou transplantados de fígado e rins</t>
  </si>
  <si>
    <t>Associação Pró-Hope Apoio à Criança com Câncer / Casa Hope</t>
  </si>
  <si>
    <t>34.10.14.422.3018.2.051.33503900.00.1.500.9001.0</t>
  </si>
  <si>
    <t>CPIPTD</t>
  </si>
  <si>
    <t>TCL/002/2020/SMDHC/CPIPTD</t>
  </si>
  <si>
    <t>Gestão do Centro de Referência e atendimento para Imigrantes</t>
  </si>
  <si>
    <t>34.10.14.422.3018.4.334.33503900.00.1.500.9001.0</t>
  </si>
  <si>
    <t>TCL/066/2023/SMDHC/CPIR</t>
  </si>
  <si>
    <t>Gestão dos Centros de Referência de Promoção da Igualdade Racial – CRPIR - LOTE 1</t>
  </si>
  <si>
    <t>TCL/067/2023/SMDHC/CPIR</t>
  </si>
  <si>
    <t>Gestão dos Centros de Referência de Promoção da Igualdade Racial – CRPIR - LOTE 2</t>
  </si>
  <si>
    <t>TCL/068/2023/SMDHC/CPIR</t>
  </si>
  <si>
    <t>Gestão dos Centros de Referência de Promoção da Igualdade Racial – CRPIR - LOTE 3</t>
  </si>
  <si>
    <t>Instituto Social Espaço Negro</t>
  </si>
  <si>
    <t>TCL/069/2023/SMDHC/CPIR</t>
  </si>
  <si>
    <t>Gestão dos Centros de Referência de Promoção da Igualdade Racial – CRPIR - LOTE 4</t>
  </si>
  <si>
    <t>34.10.14.422.3018.4.318.33503900.00.1.500.9001.0</t>
  </si>
  <si>
    <t>CPJ</t>
  </si>
  <si>
    <t>TCL/007/2022/SMDHC/CPJ</t>
  </si>
  <si>
    <t>Expansão dos programas de empreendedorismo para as juventudes em vulnerabilidade da cidade de SP</t>
  </si>
  <si>
    <t>Instituto Besouro de Fomento Social e Pesquisa</t>
  </si>
  <si>
    <t>TCL/020/2024/SMDHC/CPLGBTI</t>
  </si>
  <si>
    <t>Gestão do Centro de Referência LGBTI+ Luana Barbosa dos Reis e Unidade Móvel LGBTI+ Norte (distrito Brasilândia ou Pirituba) - LOTE 1</t>
  </si>
  <si>
    <t>Associação Lyra</t>
  </si>
  <si>
    <t>TCL/021/2024/SMDHC/CPLGBTI</t>
  </si>
  <si>
    <t>Gestão do Centro de Referência LGBTI+ Edson Neris e Unidade Móvel LGBTI+ Sul</t>
  </si>
  <si>
    <t>TCL/022/2024/SMDHC/CPLGBTI</t>
  </si>
  <si>
    <t>Gestão do Centro de Referência LGBTI+ Laura Vermont e Unidade Móvel LGBTI+ Leste (distrito São Miguel Paulista) - LOTE 3</t>
  </si>
  <si>
    <t>ACESD: Associação Cultural Educacional e Social Dynamite</t>
  </si>
  <si>
    <t>FAASP</t>
  </si>
  <si>
    <t>78.10.08.605.3016.4.302.33503900.00.1.500.9001.1</t>
  </si>
  <si>
    <t>TCL/073/2023/SMDHC/SESANA</t>
  </si>
  <si>
    <t>Armazém Solidário</t>
  </si>
  <si>
    <t>INTECS: Instituto Nacional de Tecnologia, Educação, Cultural e Saúde</t>
  </si>
  <si>
    <t>78.10.14.422.3023.4.426.33503900.00.1.500.9001.0</t>
  </si>
  <si>
    <t>COSAN</t>
  </si>
  <si>
    <t>TCL/001/2022/SMDHC/COSAN</t>
  </si>
  <si>
    <t>Associação Comunitária Sempre Viva</t>
  </si>
  <si>
    <t>TCL/001/2023/SMDHC/COSAN</t>
  </si>
  <si>
    <t>Associação das Donas de Casa de Guaianases</t>
  </si>
  <si>
    <t>TCL/002/2021/SMDHC/COSAN</t>
  </si>
  <si>
    <t>Instituto Propav</t>
  </si>
  <si>
    <t>TCL/002/2022/SMDHC/COSAN</t>
  </si>
  <si>
    <t>TCL/003/2021/SMDHC/COSAN</t>
  </si>
  <si>
    <t>TCL/004/2021/SMDHC/COSAN</t>
  </si>
  <si>
    <t>Associação Comunitária e Educacional Maria de Nazaré</t>
  </si>
  <si>
    <t>TCL/001/2024/SMDHC/SESANA</t>
  </si>
  <si>
    <t>Cozinha Escola Grajaú - Org. Grupo de Apoio Gaivotas</t>
  </si>
  <si>
    <t>Grupo de Apoio Comunitário Gaivotas</t>
  </si>
  <si>
    <t>TCL/002/2024/SMDHC/SESANA</t>
  </si>
  <si>
    <t>Cozinha Escola Parelheiros - Org. Elo Fraterno</t>
  </si>
  <si>
    <t>Associação Elo Fraterno</t>
  </si>
  <si>
    <t>TCL/003/2024/SMDHC/SESANA</t>
  </si>
  <si>
    <t>Cozinha Escola Jabaquara - Org. Cidade Azul e Adjacentes</t>
  </si>
  <si>
    <t>ACAAD: Associação da Cidade Azul e Adjacências</t>
  </si>
  <si>
    <t>TCL/004/2024/SMDHC/SESANA</t>
  </si>
  <si>
    <t>Cozinha Escola Artur Alvim - Org. Pra Cima Zona Leste</t>
  </si>
  <si>
    <t>Instituto Pra Cima Zona Leste</t>
  </si>
  <si>
    <t>TCL/005/2024/SMDHC/SESANA</t>
  </si>
  <si>
    <t>Cozinha Escola São Rafael - Org. Associação Brasileiras Pipas</t>
  </si>
  <si>
    <t>ABP: Associação Brasileira de Pipas</t>
  </si>
  <si>
    <t>TCL/006/2023/SMDHC/SESANA</t>
  </si>
  <si>
    <t>Gestão de Unidade da Rede Cozinha Escola</t>
  </si>
  <si>
    <t>Instituto Pra Viver Melhor</t>
  </si>
  <si>
    <t>TCL/006/2024/SMDHC/SESANA</t>
  </si>
  <si>
    <t>Cozinha Escola Brasilândia - Org. Educar para Transformar</t>
  </si>
  <si>
    <t>Associação Educar para Transformar</t>
  </si>
  <si>
    <t>TCL/007/2023/SMDHC/SESANA</t>
  </si>
  <si>
    <t>Associação Ethos Sustentável</t>
  </si>
  <si>
    <t>TCL/007/2024/SMDHC/SESANA</t>
  </si>
  <si>
    <t>Cozinha Escola Cidade Dutra - Org. Acezos</t>
  </si>
  <si>
    <t>Associação ACEZOS</t>
  </si>
  <si>
    <t>TCL/008/2023/SMDHC/SESANA</t>
  </si>
  <si>
    <t>Associação Beneficente Folhinhas Verdes</t>
  </si>
  <si>
    <t>TCL/008/2024/SMDHC/SESANA</t>
  </si>
  <si>
    <t>Cozinha Escola Sacomã - Org. Água no Deserto</t>
  </si>
  <si>
    <t>Associação Água no Deserto</t>
  </si>
  <si>
    <t>TCL/009/2023/SMDHC/SESANA</t>
  </si>
  <si>
    <t>União da Periferia do Itaim Paulista</t>
  </si>
  <si>
    <t>TCL/009/2024/SMDHC/SESANA</t>
  </si>
  <si>
    <t>Cozinha Escola José Bonifácio - Org. Unindo Forças</t>
  </si>
  <si>
    <t>Associação Cultural para Desenvolvimento Educacional Unindo Forças</t>
  </si>
  <si>
    <t>TCL/010/2023/SMDHC/SESANA</t>
  </si>
  <si>
    <t>Instituto Fênix Vida e Luz</t>
  </si>
  <si>
    <t>TCL/011/2023/SMDHC/SESANA</t>
  </si>
  <si>
    <t>Associação da Pedra para a Rocha</t>
  </si>
  <si>
    <t>TCL/011/2024/SMDHC/SESANA</t>
  </si>
  <si>
    <t>Cozinha Escola Rio pequeno - Org Instituto Campeão</t>
  </si>
  <si>
    <t>Instituto Brasileiro Campeão de Assistência aos Municípios e Organizações Sociais Públicas e Privadas</t>
  </si>
  <si>
    <t>TCL/012/2023/SMDHC/SESANA</t>
  </si>
  <si>
    <t>Centro Social Padres Paulo de Coppi e Maurilio Maritano / Anjos do Bem</t>
  </si>
  <si>
    <t>TCL/013/2023/SMDHC/SESANA</t>
  </si>
  <si>
    <t>Ação Comunitária Nova Heliópolis</t>
  </si>
  <si>
    <t>TCL/014/2023/SMDHC/SESANA</t>
  </si>
  <si>
    <t>MEPSRSP: Movimento Estadual da População em Situação de Rua de São Paulo</t>
  </si>
  <si>
    <t>TCL/015/2023/SMDHC/SESANA</t>
  </si>
  <si>
    <t>Associação Expansão Cultural</t>
  </si>
  <si>
    <t>TCL/016/2023/SMDHC/SESANA</t>
  </si>
  <si>
    <t>TCL/017/2023/SMDHC/SESANA</t>
  </si>
  <si>
    <t>FUEC: Associação Família Unida em Cristo</t>
  </si>
  <si>
    <t>TCL/018/2023/SMDHC/SESANA</t>
  </si>
  <si>
    <t>Associação Projeto Social Unidos pela Fé</t>
  </si>
  <si>
    <t>TCL/019/2023/SMDHC/SESANA</t>
  </si>
  <si>
    <t>Associação Comunitária Amanhã para Todos do Parque Santo Antônio</t>
  </si>
  <si>
    <t>TCL/020/2023/SMDHC/SESANA</t>
  </si>
  <si>
    <t>Instituto Beneficente Mão Forte</t>
  </si>
  <si>
    <t>TCL/021/2023/SMDHC/SESANA</t>
  </si>
  <si>
    <t>Associação Beneficente Menina dos Olhos de Ouro</t>
  </si>
  <si>
    <t>TCL/022/2023/SMDHC/SESANA</t>
  </si>
  <si>
    <t>SOM@R - Associação de Desenvolvimento Social</t>
  </si>
  <si>
    <t>TCL/023/2023/SMDHC/SESANA</t>
  </si>
  <si>
    <t>ANDDDES: Agência Nacional de Defesa e Garantia dos Direitos Difusos à Educação e à Saúde</t>
  </si>
  <si>
    <t>TCL/024/2023/SMDHC/SESANA</t>
  </si>
  <si>
    <t>Associação Beneficente Juventude Evangélica Unidas por São Paulo</t>
  </si>
  <si>
    <t>TCL/025/2023/SMDHC/SESANA</t>
  </si>
  <si>
    <t>Associação de Moradia Conjunto Teotônio Vilela</t>
  </si>
  <si>
    <t>TCL/026/2023/SMDHC/SESANA</t>
  </si>
  <si>
    <t>Associação Beneficente Luz do Saber</t>
  </si>
  <si>
    <t>TCL/027/2023/SMDHC/SESANA</t>
  </si>
  <si>
    <t>IPCB - Instituto de Pesquisa da Cozinha Brasileira</t>
  </si>
  <si>
    <t>TCL/028/2023/SMDHC/SESANA</t>
  </si>
  <si>
    <t>SEVA: Seguindo a Verdade em Amor</t>
  </si>
  <si>
    <t>TCL/029/2023/SMDHC/SESANA</t>
  </si>
  <si>
    <t>Movimento Organizacional Vencer, Educar e Realizar - MOVER Helipa</t>
  </si>
  <si>
    <t>TCL/030/2023/SMDHC/SESANA</t>
  </si>
  <si>
    <t>Associação dos Moradores do Parque Vera Cruz no Estado de São Paulo</t>
  </si>
  <si>
    <t>TCL/031/2023/SMDHC/SESANA</t>
  </si>
  <si>
    <t>Instituto Macedônia</t>
  </si>
  <si>
    <t>TCL/032/2023/SMDHC/SESANA</t>
  </si>
  <si>
    <t>Associação Cantinho do Céu</t>
  </si>
  <si>
    <t>TCL/033/2023/SMDHC/SESANA</t>
  </si>
  <si>
    <t>TCL/034/2023/SMDHC/SESANA</t>
  </si>
  <si>
    <t>Instituto Escola do Povo / Instituto G10 Favelas</t>
  </si>
  <si>
    <t>TCL/035/2023/SMDHC/SESANA</t>
  </si>
  <si>
    <t>CEI: Centro de Convivência Itatinga</t>
  </si>
  <si>
    <t>TCL/036/2023/SMDHC/SESANA</t>
  </si>
  <si>
    <t>CEDESC: Centro de Desenvolvimento Educacional, Social e Cultural do Parque Fernanda</t>
  </si>
  <si>
    <t>TCL/037/2023/SMDHC/SESANA</t>
  </si>
  <si>
    <t>Instituto Social Aequalitas</t>
  </si>
  <si>
    <t>TCL/038/2023/SMDHC/SESANA</t>
  </si>
  <si>
    <t>Centro Educacional Plantando Vidas</t>
  </si>
  <si>
    <t>TCL/039/2023/SMDHC/SESANA</t>
  </si>
  <si>
    <t>União Popular de Moradia Adão Manoel Da Silva</t>
  </si>
  <si>
    <t>TCL/040/2023/SMDHC/SESANA</t>
  </si>
  <si>
    <t>Associação Nova Cibran</t>
  </si>
  <si>
    <t>TCL/041/2023/SMDHC/SESANA</t>
  </si>
  <si>
    <t>Associação Guarauna de Arte e Cultura</t>
  </si>
  <si>
    <t>TCL/042/2023/SMDHC/SESANA</t>
  </si>
  <si>
    <t>Associação de Moradores Miraguaia Jardim Jaraguá</t>
  </si>
  <si>
    <t>TCL/043/2023/SMDHC/SESANA</t>
  </si>
  <si>
    <t>Comunidade Evangélica Baluarte da Verdade</t>
  </si>
  <si>
    <t>TCL/044/2023/SMDHC/SESANA</t>
  </si>
  <si>
    <t>Organização Comunitária Reage São Paulo</t>
  </si>
  <si>
    <t>TCL/045/2023/SMDHC/SESANA</t>
  </si>
  <si>
    <t>Instituto Educacional e Cultural Silva</t>
  </si>
  <si>
    <t>TCL/046/2023/SMDHC/SESANA</t>
  </si>
  <si>
    <t>Instituto Grande Vitoria Capadócia</t>
  </si>
  <si>
    <t>TCL/047/2023/SMDHC/SESANA</t>
  </si>
  <si>
    <t>Instituto Social MUVT</t>
  </si>
  <si>
    <t>TCL/048/2023/SMDHC/SESANA</t>
  </si>
  <si>
    <t>Associação Comunitária do Bombeiro e Adjacências</t>
  </si>
  <si>
    <t>TCL/049/2023/SMDHC/SESANA</t>
  </si>
  <si>
    <t>Associação de Moradores com Muita Garra</t>
  </si>
  <si>
    <t>TCL/050/2023/SMDHC/SESANA</t>
  </si>
  <si>
    <t>Associação G. Vital</t>
  </si>
  <si>
    <t>TCL/055/2023/SMDHC/SESANA</t>
  </si>
  <si>
    <t>União Pelos Direitos Humanos dos Moradores Do Jardim das Rosas</t>
  </si>
  <si>
    <t>TCL/056/2023/SMDHC/SESANA</t>
  </si>
  <si>
    <t>Associação Cristã Beneficiente do Brasil</t>
  </si>
  <si>
    <t>TCL/057/2023/SMDHC/SESANA</t>
  </si>
  <si>
    <t>Associação da Comunidade do Tiro ao Pombo</t>
  </si>
  <si>
    <t>TCL/058/2023/SMDHC/SESANA</t>
  </si>
  <si>
    <t>Instituto Academia Carolinas - Centro Social, Educacional e Cultural</t>
  </si>
  <si>
    <t>TCL/059/2023/SMDHC/SESANA</t>
  </si>
  <si>
    <t>Associação Unidos do Jangadeiro</t>
  </si>
  <si>
    <t>TCL/060/2023/SMDHC/SESANA</t>
  </si>
  <si>
    <t>IBRASAC: Instituto Brasileiro de Alianças Socioambiental Cultural</t>
  </si>
  <si>
    <t>TCL/064/2023/SMDHC/SESANA</t>
  </si>
  <si>
    <t>Instituto Propor</t>
  </si>
  <si>
    <t>TCL/065/2023/SMDHC/SESANA</t>
  </si>
  <si>
    <t>TCL/071/2023/SMDHC/SESANA</t>
  </si>
  <si>
    <t>Associação Por Uma Semente de Paz</t>
  </si>
  <si>
    <t>TCL/072/2023/SMDHC/SESANA</t>
  </si>
  <si>
    <t>Associação Amigos da Família</t>
  </si>
  <si>
    <t>FUMCAD</t>
  </si>
  <si>
    <t>90.10.08.243.3013.6.160.33503900.08.1.759.0958.0</t>
  </si>
  <si>
    <t>TCL/004/2022/SMDHC/FUMCAD</t>
  </si>
  <si>
    <t>Implantação e Gestão do Centro de Referência da Criança e Adolescente e do Centro de Referência Especializado para Crianças e Adolescentes em Situação de Rua</t>
  </si>
  <si>
    <t xml:space="preserve"> R$ -   </t>
  </si>
  <si>
    <t>TFM/001/2024/SMDHC/FUMCAD</t>
  </si>
  <si>
    <t>Mundo Jovem</t>
  </si>
  <si>
    <t>Instituto Blandina Meirelles - Centro Comunitário e Creche Sinhazinha Meirelles</t>
  </si>
  <si>
    <t>TFM/001/2025/SMDHC/FUMCAD</t>
  </si>
  <si>
    <t>Educacional Vila Cuore</t>
  </si>
  <si>
    <t>Aliança de Misericórdia</t>
  </si>
  <si>
    <t>TFM/002/2025/SMDHC/FUMCAD</t>
  </si>
  <si>
    <t>Projeto Jovens Multiplicadores do Bem-Viver Escolar</t>
  </si>
  <si>
    <t>Fundação Julita</t>
  </si>
  <si>
    <t>TFM/003/2025/SMDHC/FUMCAD</t>
  </si>
  <si>
    <t>Ponte para o Futuro</t>
  </si>
  <si>
    <t>Associação Beneficente Santa Fé</t>
  </si>
  <si>
    <t>TFM/004/2025/SMDHC/FUMCAD</t>
  </si>
  <si>
    <t>Fazendo Música</t>
  </si>
  <si>
    <t>Associação Assistencial Comunitária Azarias</t>
  </si>
  <si>
    <t>TFM/005/2024/SMDHC/FUMCAD</t>
  </si>
  <si>
    <t>Geração TOP - Luz</t>
  </si>
  <si>
    <t>Casa Jesus, Amor e Caridade / Larzinho</t>
  </si>
  <si>
    <t>TFM/005/2025/SMDHC/FUMCAD</t>
  </si>
  <si>
    <t>Programa de Educação Social e Trabalho (PROEST)</t>
  </si>
  <si>
    <t>ANA: Associação Nacional de Administração</t>
  </si>
  <si>
    <t>TFM/006/2024/SMDHC/FUMCAD</t>
  </si>
  <si>
    <t>Acolher</t>
  </si>
  <si>
    <t>Instituto Batista Pr. Simom Horbaczyk</t>
  </si>
  <si>
    <t>TFM/006/2025/SMDHC/FUMCAD</t>
  </si>
  <si>
    <t>Quixote na Escola: Prevenção da Violência e do Uso de Drogas</t>
  </si>
  <si>
    <t>AAPQ: Associação de Apoio ao Projeto Quixote</t>
  </si>
  <si>
    <t>TFM/007/2024/SMDHC/FUMCAD</t>
  </si>
  <si>
    <t>Centro de Memória Therezinha Helena dos Direitos da Criança e Adolescente</t>
  </si>
  <si>
    <t>Instituto Pedro Macambira</t>
  </si>
  <si>
    <t>TFM/007/2025/SMDHC/FUMCAD</t>
  </si>
  <si>
    <t>Educar para Transformar</t>
  </si>
  <si>
    <t>Instituto Alicerce</t>
  </si>
  <si>
    <t>TFM/008/2024/SMDHC/FUMCAD</t>
  </si>
  <si>
    <t>Livros Sensoriais: experiências literárias desde a primeira infância</t>
  </si>
  <si>
    <t>Fundação Dorina Nowill para Cegos</t>
  </si>
  <si>
    <t>TFM/008/2025/SMDHC/FUMCAD</t>
  </si>
  <si>
    <t>Crê-Ser: Criança protegida</t>
  </si>
  <si>
    <t>Ação Comunitária do Brasil – São Paulo / Vocação</t>
  </si>
  <si>
    <t>TFM/009/2024/SMDHC/FUMCAD</t>
  </si>
  <si>
    <t>Brincando e Incluindo – Recursos Acessíveis para Ensino Fundamental</t>
  </si>
  <si>
    <t>TFM/009/2025/SMDHC/FUMCAD</t>
  </si>
  <si>
    <t>Educando para a Vida - Empregabilidade 23.1</t>
  </si>
  <si>
    <t>TFM/010/2024/SMDHC/FUMCAD</t>
  </si>
  <si>
    <t>PAJE - Projeto - Acolhimento - Jovens - Equilíbrio</t>
  </si>
  <si>
    <t>Ágape Philos: Instituto de Apoio ao Crescimento e Desenvolvimento Infantojuvenil</t>
  </si>
  <si>
    <t>TFM/010/2025/SMDHC/FUMCAD</t>
  </si>
  <si>
    <t>Bonde Cultural a Pé</t>
  </si>
  <si>
    <t>Organização para Produção e Democratização de Informação Canto Cidadão</t>
  </si>
  <si>
    <t>TFM/011/2025/SMDHC/FUMCAD</t>
  </si>
  <si>
    <t>Asas Pra Voar: Consciência, Prevenção Combate ao Uso de Substâncias e Ferramentas Tecnológicas Nocivas</t>
  </si>
  <si>
    <t>Instituto Asas Para Voar</t>
  </si>
  <si>
    <t>TFM/012/2025/SMDHC/FUMCAD</t>
  </si>
  <si>
    <t>Caminhos de Sucesso: Infância na Escola</t>
  </si>
  <si>
    <t>CCA: Associação Casa dos Curumins</t>
  </si>
  <si>
    <t>TFM/013/2025/SMDHC/FUMCAD</t>
  </si>
  <si>
    <t>Fortalecimento de Vínculos Prevenindo o Uso e Abuso de Álcool e Drogas e a Violência nas Escolas</t>
  </si>
  <si>
    <t>Associação União Beneficente das Irmãs de São Vicente Paulo Gysegem / Centro Comunitário Nossa Senhora de Fátima</t>
  </si>
  <si>
    <t>TFM/014/2024/SMDHC/FUMCAD</t>
  </si>
  <si>
    <t>Recuperação da Aprendizagem</t>
  </si>
  <si>
    <t>Associação Lar da Benção Divina</t>
  </si>
  <si>
    <t>TFM/014/2025/SMDHC/FUMCAD</t>
  </si>
  <si>
    <t>Assistência às Crianças e Adolescentes com Câncer Criticamente Doentes na Unidade de Terapia Intensiva Oncológica Pediátrica do Hospital do GRAACC</t>
  </si>
  <si>
    <t>GRAACC: Grupo de Apoio ao Adolescente e a Criança com Câncer</t>
  </si>
  <si>
    <t>TFM/015/2024/SMDHC/FUMCAD</t>
  </si>
  <si>
    <t>Letras que encantam</t>
  </si>
  <si>
    <t>Instituto Encantos Sócio Cultural e Beneficente</t>
  </si>
  <si>
    <t>TFM/015/2025/SMDHC/FUMCAD</t>
  </si>
  <si>
    <t>Projeto Acolher</t>
  </si>
  <si>
    <t>SOMAR - Associação Solidariedade em Marcha</t>
  </si>
  <si>
    <t>TFM/016/2025/SMDHC/FUMCAD</t>
  </si>
  <si>
    <t>Conexão Acolhedora: Enfrentando a Violência e a Evasão Escolar</t>
  </si>
  <si>
    <t>Associação Comunitária Despertar</t>
  </si>
  <si>
    <t>TFM/017/2024/SMDHC/FUMCAD</t>
  </si>
  <si>
    <t>Escolas de Música e Cidadania – Música e Direitos Humanos em todos os Cantos</t>
  </si>
  <si>
    <t>Agência do Bem</t>
  </si>
  <si>
    <t>TFM/017/2025/SMDHC/FUMCAD</t>
  </si>
  <si>
    <t>Doutores da Alegria – Do Direito à Arte ao Direito de Brincar</t>
  </si>
  <si>
    <t>Doutores da Alegria - Arte na Promoção da Saúde, na Formação e no Desenvolvimento Social</t>
  </si>
  <si>
    <t>TFM/018/2024/SMDHC/FUMCAD</t>
  </si>
  <si>
    <t>Trilhas da Inclusão</t>
  </si>
  <si>
    <t>TFM/018/2025/SMDHC/FUMCAD</t>
  </si>
  <si>
    <t>Vozes da Infância – O protagonismo juvenil no combate ao trabalho infantil</t>
  </si>
  <si>
    <t>TFM/019/2025/SMDHC/FUMCAD</t>
  </si>
  <si>
    <t>Esperança à caminho para crianças e adolescentes em tratamento oncológico</t>
  </si>
  <si>
    <t>AHPAS: Associação Helena Piccardi de Andrade Silva / Instituto Heleninha</t>
  </si>
  <si>
    <t>TFM/020/2024/SMDHC/FUMCAD</t>
  </si>
  <si>
    <t>Recuperando Talentos – Reforço Escolar e Cursinhos</t>
  </si>
  <si>
    <t>Instituto Toca do Coelho</t>
  </si>
  <si>
    <t>TFM/020/2025/SMDHC/FUMCAD</t>
  </si>
  <si>
    <t>Atividades Socioeducativas e Culturais para Crianças e Adolescentes em Tratamento Oncológico</t>
  </si>
  <si>
    <t>TFM/021/2025/SMDHC/FUMCAD</t>
  </si>
  <si>
    <t>Escola Segura, Fututo Digital Consciente</t>
  </si>
  <si>
    <t>CEJA BRASIL: Centro Educacional Jovem Aprendiz do Brasil</t>
  </si>
  <si>
    <t>TFM/022/2025/SMDHC/FUMCAD</t>
  </si>
  <si>
    <t>Infância Protegida, Futuro Digital Seguro</t>
  </si>
  <si>
    <t xml:space="preserve">IGEVE: Instituto de Gestão Educacional e Valorização do Ensino </t>
  </si>
  <si>
    <t>TFM/023/2025/SMDHC/FUMCAD</t>
  </si>
  <si>
    <t>EPT - Ensino Profissionalizante Técnico</t>
  </si>
  <si>
    <t>OSUC: Obras Sociais Universitárias e Culturais</t>
  </si>
  <si>
    <t>TFM/026/2024/SMDHC/FUMCAD</t>
  </si>
  <si>
    <t>Histórias em Movimento</t>
  </si>
  <si>
    <t>Associação Fazendo História</t>
  </si>
  <si>
    <t>TFM/027/2025/SMDHC/FUMCAD</t>
  </si>
  <si>
    <t>Educar para Incluir Escola, Família e a Criança com Deficiência</t>
  </si>
  <si>
    <t>TFM/028/2024/SMDHC/FUMCAD</t>
  </si>
  <si>
    <t>Centro de Referência e Convivência para Crianças e Adolescentes Vítimas de Violência - Casa da Criança e do Adolescente</t>
  </si>
  <si>
    <t>TFM/028/2025/SMDHC/FUMCAD</t>
  </si>
  <si>
    <t>Casa na Luz - Crianças e Adolescentes</t>
  </si>
  <si>
    <t>AMAS: Associação Metodista de Ação Social</t>
  </si>
  <si>
    <t>TFM/030/2025/SMDHC/FUMCAD</t>
  </si>
  <si>
    <t>Identidade e Autonomia</t>
  </si>
  <si>
    <t>AMHD: Associação Maria Helen Drexel</t>
  </si>
  <si>
    <t>TFM/032/2024/SMDHC/FUMCAD</t>
  </si>
  <si>
    <t>Educação em Direitos Humanos</t>
  </si>
  <si>
    <t>Associação Escola Comum - MF</t>
  </si>
  <si>
    <t>TFM/032/2025/SMDHC/FUMCAD</t>
  </si>
  <si>
    <t>AFESU Veleiros – Construindo Conhecimento</t>
  </si>
  <si>
    <t>AFESU: Associação Feminina de Estudos Sociais e Universitário</t>
  </si>
  <si>
    <t>TFM/033/2025/SMDHC/FUMCAD</t>
  </si>
  <si>
    <t>Comunidade Ativa – Ritmo e Movimento</t>
  </si>
  <si>
    <t>Movimento Comunitário Estrela Nova</t>
  </si>
  <si>
    <t>TFM/034/2025/SMDHC/FUMCAD</t>
  </si>
  <si>
    <t>Tecendo Futuros</t>
  </si>
  <si>
    <t>CIP: Congregação Israelita Paulista</t>
  </si>
  <si>
    <t>TFM/035/2025/SMDHC/FUMCAD</t>
  </si>
  <si>
    <t>Programa de Habilitação e Reabilitação para Crianças e Adolescentes com Deficiência Visual</t>
  </si>
  <si>
    <t>TFM/036/2025/SMDHC/FUMCAD</t>
  </si>
  <si>
    <t>Arte de Expor - Carimbos e Gravuras</t>
  </si>
  <si>
    <t>IOK: Instituto Olga Kos de Inclusão Social</t>
  </si>
  <si>
    <t>TFM/037/2025/SMDHC/FUMCAD</t>
  </si>
  <si>
    <t>Projeto Quixote Jovem Mundo do Trabalho</t>
  </si>
  <si>
    <t>TFM/038/2024/SMDHC/FUMCAD</t>
  </si>
  <si>
    <t>Adolescentes em Ação: Educação para Liberdade</t>
  </si>
  <si>
    <t>TFM/038/2025/SMDHC/FUMCAD</t>
  </si>
  <si>
    <t>Esporte para Vida: Incluindo com Práticas Esportivas</t>
  </si>
  <si>
    <t>TFM/039/2024/SMDHC/FUMCAD</t>
  </si>
  <si>
    <t>Corujinhas</t>
  </si>
  <si>
    <t>Instituto Social Arca da Aliança</t>
  </si>
  <si>
    <t>TFM/045/2024/SMDHC/FUMCAD</t>
  </si>
  <si>
    <t>O autoconhecimento como facilitador na promoção de autonomia, protagonismo e cidadania do adolescente surdo</t>
  </si>
  <si>
    <t>FUNDASP: Fundação São Paulo</t>
  </si>
  <si>
    <t>TFM/064/2024/SMDHC/FUMCAD</t>
  </si>
  <si>
    <t>Favela da Erundina uma Comunidade Leitora</t>
  </si>
  <si>
    <t>Associação Cultural Recreativa Esportiva Bloco do Beco</t>
  </si>
  <si>
    <t>TFM/066/2024/SMDHC/FUMCAD</t>
  </si>
  <si>
    <t>Futuro em Foco</t>
  </si>
  <si>
    <t>UNIBES: União Brasileiro-Israelita do Bem-Estar Social</t>
  </si>
  <si>
    <t>TFM/083/2024/SMDHC/FUMCAD</t>
  </si>
  <si>
    <t>Muvuca no Teatro: LedAzeda na Cidade Tiradentes !</t>
  </si>
  <si>
    <t>Cooperativa da CT: Acolhimento, Formação e Garantia de Direitos / Cooperativa de Trabalho de Artistas</t>
  </si>
  <si>
    <t>TFM/095/2024/SMDHC/FUMCAD</t>
  </si>
  <si>
    <t>Miopia e Outras Doenças Oculares em Crianças</t>
  </si>
  <si>
    <t>e Adolescentes</t>
  </si>
  <si>
    <t>Fundação Oftalmológica Dr. Rubem Cunha</t>
  </si>
  <si>
    <t>6074.2021/0004230-8</t>
  </si>
  <si>
    <t>TFM/110/2024/SMDHC/FUMCAD</t>
  </si>
  <si>
    <t>Laços de Família</t>
  </si>
  <si>
    <t>6074.2022/0001098-0</t>
  </si>
  <si>
    <t>TFM/111/2024/SMDHC/FUMCAD</t>
  </si>
  <si>
    <t>Educando para a Vida</t>
  </si>
  <si>
    <t>6074.2022/0001724-0</t>
  </si>
  <si>
    <t>TFM/141/2024/SMDHC/FUMCAD</t>
  </si>
  <si>
    <t xml:space="preserve">Tecnologias para o Futuro </t>
  </si>
  <si>
    <t>Instituto Reciclar / Instituto de Reciclagem do Adolescente</t>
  </si>
  <si>
    <t>6074.2022/0001003-3</t>
  </si>
  <si>
    <t>TFM/150/2024/SMDHC/FUMCAD</t>
  </si>
  <si>
    <t>A Criança com Transtorno do Espectro Autista, sua Singularidade, Autonomia, Protagonismo,</t>
  </si>
  <si>
    <t>Convívio Social e Rede de Apoio</t>
  </si>
  <si>
    <t>Associação dos Cavaleiros da Soberana Ordem Militar de Malta de São Paulo e Brasil Meridional</t>
  </si>
  <si>
    <t>6074.2021/0004213-8</t>
  </si>
  <si>
    <t>TFM/190/2024/SMDHC/FUMCAD</t>
  </si>
  <si>
    <t>Formação em Redes</t>
  </si>
  <si>
    <t>6074.2022/0001707-0</t>
  </si>
  <si>
    <t>TFM/198/2024/SMDHC/FUMCAD</t>
  </si>
  <si>
    <t>Programa Despertar Empregabilidade para Adolescente de Cidade Ademar e Região</t>
  </si>
  <si>
    <t>6074.2022/0001839-5</t>
  </si>
  <si>
    <t>TFM/029/2025/SMDHC/FUMCAD</t>
  </si>
  <si>
    <t>Transformação Social Através da Música</t>
  </si>
  <si>
    <t>Instituto Baccarelli - Sociedade de Concertos São Paulo</t>
  </si>
  <si>
    <t>FMID</t>
  </si>
  <si>
    <t>6074.2023/0000375-6</t>
  </si>
  <si>
    <t>08.10.14.122.3012.2.803.33503900.08.1.759.1183.0</t>
  </si>
  <si>
    <t>TFM/024/2025/SMDHC/FMID</t>
  </si>
  <si>
    <t>Capacitação Turbinada</t>
  </si>
  <si>
    <t>ABRATI: Associação Brasileira de Apoio à Terceira Idade</t>
  </si>
  <si>
    <t>6074.2023/0000436-1</t>
  </si>
  <si>
    <t>TFM/025/2025/SMDHC/FMID</t>
  </si>
  <si>
    <t>Curso EAD: Participação Social e Cidadania ao Longo da Vida</t>
  </si>
  <si>
    <t>6074.2023/0000430-2</t>
  </si>
  <si>
    <t>TFM/026/2025/SMDHC/FMID</t>
  </si>
  <si>
    <t>Espaço Conviver</t>
  </si>
  <si>
    <t>6074.2023/0000504-0</t>
  </si>
  <si>
    <t>TFM/084/2024/SMDHC/FMID</t>
  </si>
  <si>
    <t>Cuidando e capacitando</t>
  </si>
  <si>
    <t>INOVHA: Instituto Nacional de Valorização Humana, Ambiental e Assistencial</t>
  </si>
  <si>
    <t>6074.2023/0000468-0</t>
  </si>
  <si>
    <t>TFM/094/2024/SMDHC/FMID</t>
  </si>
  <si>
    <t>Terceiro Sinal: Promovendo o protagonismo</t>
  </si>
  <si>
    <t>da pessoa idosa em produções</t>
  </si>
  <si>
    <t>artísticas e culturais.</t>
  </si>
  <si>
    <t>6074.2023/0000314-4</t>
  </si>
  <si>
    <t>TFM/105/2024/SMDHC/FMID</t>
  </si>
  <si>
    <t>Agente de Cidadania 60+</t>
  </si>
  <si>
    <t>Associação de Amparo ao Idoso</t>
  </si>
  <si>
    <t>6074.2023/0000470-1</t>
  </si>
  <si>
    <t>TFM/189/2024/SMDHC/FMID</t>
  </si>
  <si>
    <t>Inclusão Digital de Pessoas idosas no Cine Favela Heliópolis</t>
  </si>
  <si>
    <t>Associação Cultural e Artística Cine Favela</t>
  </si>
  <si>
    <t>6074.2023/0000525-2</t>
  </si>
  <si>
    <t>TFM/197/2024/SMDHC/FMID</t>
  </si>
  <si>
    <t>Cultura Afro-Brasileira e a Práxis da Capoeira na Prevenção de Doenças e Melhoria da Qualidade de Vida da Pessoa Idosa</t>
  </si>
  <si>
    <t>Grupo Malungo (Irmãos de Viagem)</t>
  </si>
  <si>
    <t>6074.2023/0000495-7</t>
  </si>
  <si>
    <t>TFM/199/2024/SMDHC/FMID</t>
  </si>
  <si>
    <t>Universidade da Vida</t>
  </si>
  <si>
    <t>Associação Atados</t>
  </si>
  <si>
    <t>6074.2023/0000320-9</t>
  </si>
  <si>
    <t>TFM/224/2024/SMDHC/FMID</t>
  </si>
  <si>
    <t>Horta Orgânica, Alimentação Saudável</t>
  </si>
  <si>
    <t>INCT: Instituto Nacional Cidadania e Trabalho</t>
  </si>
  <si>
    <t>6074.2023/0000376-4</t>
  </si>
  <si>
    <t>PROJETO 1</t>
  </si>
  <si>
    <t>ABRATI Cultura +60</t>
  </si>
  <si>
    <t>2º Semestre 2025</t>
  </si>
  <si>
    <t>6074.2023/0000425-6</t>
  </si>
  <si>
    <t>PROJETO 2</t>
  </si>
  <si>
    <t>Academia da Longevidade</t>
  </si>
  <si>
    <t>Associação Vem Ser de Apoio à Inclusão e Assistência ao Indivíduo com Necessidades Especiais</t>
  </si>
  <si>
    <t>6074.2023/0000479-5</t>
  </si>
  <si>
    <t>PROJETO 3</t>
  </si>
  <si>
    <t>CIDI - Centro de lnclusão Digital do ldoso</t>
  </si>
  <si>
    <t>Instituto Irmã Dulce</t>
  </si>
  <si>
    <t>6074.2023/0000348-9</t>
  </si>
  <si>
    <t>PROJETO 4</t>
  </si>
  <si>
    <t>Conexão Dourada</t>
  </si>
  <si>
    <t>Associação Idade Dourada de Pinheiros</t>
  </si>
  <si>
    <t>6074.2023/0000311-0</t>
  </si>
  <si>
    <t>PROJETO 5</t>
  </si>
  <si>
    <t>Educação Financeira para a Longevidade</t>
  </si>
  <si>
    <t>OLHE: Observatório da Longevidade Humana e Envelhecimento</t>
  </si>
  <si>
    <t>6074.2023/0000313-6</t>
  </si>
  <si>
    <t>PROJETO 6</t>
  </si>
  <si>
    <t>Empreende 60+</t>
  </si>
  <si>
    <t>6074.2023/0000469-8</t>
  </si>
  <si>
    <t>PROJETO 7</t>
  </si>
  <si>
    <t>Espaço intergeracional e educacional para alimentação saudável de pessoas idosas</t>
  </si>
  <si>
    <t>Casa dos Velhinhos de Ondina Lobo</t>
  </si>
  <si>
    <t>6074.2023/0000506-6</t>
  </si>
  <si>
    <t>PROJETO 8</t>
  </si>
  <si>
    <t>Espaço intergeracional itinerante para inclusão digital da de pessoas idosas (Comunicação em Movimento)</t>
  </si>
  <si>
    <t>6074.2023/0000427-2</t>
  </si>
  <si>
    <t>PROJETO 9</t>
  </si>
  <si>
    <t>Idoso Digital</t>
  </si>
  <si>
    <t>Liga das Senhoras Católicas de São Paulo / Liga Solidária</t>
  </si>
  <si>
    <t>6074.2023/0000462-0</t>
  </si>
  <si>
    <t>PROJETO 10</t>
  </si>
  <si>
    <t>Inclusão Digital para Pessoas Idosas</t>
  </si>
  <si>
    <t>ASA: Associação Santo Agostinho</t>
  </si>
  <si>
    <t>6074.2023/0000490-6</t>
  </si>
  <si>
    <t>PROJETO 11</t>
  </si>
  <si>
    <t>Kujua Wazee nas escolas - memorar e existir , histórias afro atlanticas</t>
  </si>
  <si>
    <t>ICC: Instituto Casa Comum</t>
  </si>
  <si>
    <t>6074.2023/0000523-6</t>
  </si>
  <si>
    <t>PROJETO 12</t>
  </si>
  <si>
    <t>Longevidade com Autonomia</t>
  </si>
  <si>
    <t>ACIRMESP: Associação dos Cuidadores de Idosos da Região Metropolitana de São Paulo</t>
  </si>
  <si>
    <t>6074.2023/0000408-6</t>
  </si>
  <si>
    <t>PROJETO 13</t>
  </si>
  <si>
    <t>NUTRI-VÓS</t>
  </si>
  <si>
    <t>Grupo Beneficente Divino Amigo</t>
  </si>
  <si>
    <t>6074.2023/0000472-8</t>
  </si>
  <si>
    <t>PROJETO 14</t>
  </si>
  <si>
    <t>PROJETO INTEGRAR: Integrando saberes para o atendimento da pessoa idosa</t>
  </si>
  <si>
    <t>6074.2023/0000429-9</t>
  </si>
  <si>
    <t>PROJETO 15</t>
  </si>
  <si>
    <t>Transformar Para Cuidar</t>
  </si>
  <si>
    <t>6074.2023/0000312-8</t>
  </si>
  <si>
    <t>PROJETO 16</t>
  </si>
  <si>
    <t>Velho é o seu Preconceito</t>
  </si>
  <si>
    <t>6074.2022/0001687-2</t>
  </si>
  <si>
    <t>PROJETO 17</t>
  </si>
  <si>
    <t>Diagnóstico de Deficiência Intelectual, Direito de todos</t>
  </si>
  <si>
    <t>APAE: Associação de Pais e Amigos dos Excepcionais de São Paulo / Instituto Jô Clemente</t>
  </si>
  <si>
    <t>6074.2023/0002252-1</t>
  </si>
  <si>
    <t>PROJETO 18</t>
  </si>
  <si>
    <t>A música e o psicodrama no desenvolvimento de habilidades sociais e emocionais dos adolescentes da Cidade Ademar.</t>
  </si>
  <si>
    <t>6074.2022/0000981-7</t>
  </si>
  <si>
    <t>PROJETO 19</t>
  </si>
  <si>
    <t>AFESU Veleiros – She Works</t>
  </si>
  <si>
    <t>6074.2023/0002097-9</t>
  </si>
  <si>
    <t>PROJETO 20</t>
  </si>
  <si>
    <t>APOIO ESCOLAR</t>
  </si>
  <si>
    <t>Associação Amigos da Casa da Amizade</t>
  </si>
  <si>
    <t>6074.2022/0000986-8</t>
  </si>
  <si>
    <t>PROJETO 21</t>
  </si>
  <si>
    <t>Atendimento de enfermagem no tratamento de crianças e adolescentes com câncer nos setores de internação do hospital do GRAACC</t>
  </si>
  <si>
    <t>6074.2023/0001856-7</t>
  </si>
  <si>
    <t>PROJETO 22</t>
  </si>
  <si>
    <t>Capoeira - Expressões do Gingado</t>
  </si>
  <si>
    <t>6074.2023/0002189-4</t>
  </si>
  <si>
    <t>PROJETO 23</t>
  </si>
  <si>
    <t>CEIs ASA, famílias e comunidades</t>
  </si>
  <si>
    <t>6074.2023/0001954-7</t>
  </si>
  <si>
    <t>PROJETO 24</t>
  </si>
  <si>
    <t>Coletivo - Reflexões em Cena</t>
  </si>
  <si>
    <t>6074.2018/0003249-8</t>
  </si>
  <si>
    <t>PROJETO 25</t>
  </si>
  <si>
    <t>Comunidade de Responsa</t>
  </si>
  <si>
    <t>6074.2019/0002148-0</t>
  </si>
  <si>
    <t>PROJETO 26</t>
  </si>
  <si>
    <t>Comunidade na Responsa</t>
  </si>
  <si>
    <t>6074.2023/0002080-4</t>
  </si>
  <si>
    <t>PROJETO 27</t>
  </si>
  <si>
    <t>Crescer e Aprender - CEI São Miguel</t>
  </si>
  <si>
    <t>Associação Aliança de Misericórdia</t>
  </si>
  <si>
    <t>6074.2021/0004246-4</t>
  </si>
  <si>
    <t>PROJETO 28</t>
  </si>
  <si>
    <t>Criança Cidadã</t>
  </si>
  <si>
    <t>6074.2023/0002198-3</t>
  </si>
  <si>
    <t>PROJETO 29</t>
  </si>
  <si>
    <t>Despertando Vocações</t>
  </si>
  <si>
    <t>6074.2022/0000987-6</t>
  </si>
  <si>
    <t>PROJETO 30</t>
  </si>
  <si>
    <t>Garantia do atendimento no Serviço de Radioterapia Pediátrica do Hospital do GRAACC</t>
  </si>
  <si>
    <t>6074.2022/0001082-3</t>
  </si>
  <si>
    <t>PROJETO 31</t>
  </si>
  <si>
    <t>Jovem Hoje, Chef Amanhã</t>
  </si>
  <si>
    <t>Associação Barão de Souza Queiroz de Proteção à Infância e à Juventude</t>
  </si>
  <si>
    <t>6074.2023/0002078-2</t>
  </si>
  <si>
    <t>PROJETO 32</t>
  </si>
  <si>
    <t>Jovens programadores formados e preparados para o mundo do trabalho.</t>
  </si>
  <si>
    <t>IOS: Instituto da Oportunidade Social</t>
  </si>
  <si>
    <t>6074.2023/0002057-0</t>
  </si>
  <si>
    <t>PROJETO 33</t>
  </si>
  <si>
    <t>Mentoria e Apoio à Empregabilidade</t>
  </si>
  <si>
    <t>6074.2023/0002155-0</t>
  </si>
  <si>
    <t>PROJETO 34</t>
  </si>
  <si>
    <t>Nas Trilhas do Conhecimento</t>
  </si>
  <si>
    <t>6074.2019/0003531-6</t>
  </si>
  <si>
    <t>PROJETO 35</t>
  </si>
  <si>
    <t>Nucleo Comunitario de Justiça Restaurativa</t>
  </si>
  <si>
    <t>6074.2021/0004250-2</t>
  </si>
  <si>
    <t>PROJETO 36</t>
  </si>
  <si>
    <t>O Meio Ambiente em: Natureza, Sociedade e Diversidade</t>
  </si>
  <si>
    <t>Lar Sírio Pró-Infância</t>
  </si>
  <si>
    <t>6074.2023/0002196-7</t>
  </si>
  <si>
    <t>PROJETO 37</t>
  </si>
  <si>
    <t>Periferia no Futuro II</t>
  </si>
  <si>
    <t>Arrastão Movimento de Promoção Humana</t>
  </si>
  <si>
    <t>6074.2019/0002609-0</t>
  </si>
  <si>
    <t>PROJETO 38</t>
  </si>
  <si>
    <t>PhotoPower</t>
  </si>
  <si>
    <t>ImageMagica</t>
  </si>
  <si>
    <t>6074.2023/0002307-2</t>
  </si>
  <si>
    <t>PROJETO 39</t>
  </si>
  <si>
    <t>Pós Escola Aconchego II</t>
  </si>
  <si>
    <t>APAF: Associação Paulista de Apoio à Família</t>
  </si>
  <si>
    <t>6074.2022/0001850-6</t>
  </si>
  <si>
    <t>PROJETO 40</t>
  </si>
  <si>
    <t>Projeto Novo Olhar Prevenção e Tratamento III</t>
  </si>
  <si>
    <t>6074.2022/0001006-8</t>
  </si>
  <si>
    <t>PROJETO 41</t>
  </si>
  <si>
    <t>Redes de Conhecimento</t>
  </si>
  <si>
    <t>Instituto Fazendo História</t>
  </si>
  <si>
    <t>6074.2024/0007706-9</t>
  </si>
  <si>
    <t>PROJETO 42</t>
  </si>
  <si>
    <t>Se Liga Jovem</t>
  </si>
  <si>
    <t>Aldeia do Futuro</t>
  </si>
  <si>
    <t>6074.2021/0004199-9</t>
  </si>
  <si>
    <t>PROJETO 43</t>
  </si>
  <si>
    <t>Tecnologia Assitiva de Baixo Custo: Dispositivos em Papelão</t>
  </si>
  <si>
    <t>CIAM: Centro Israelita de Apoio Multidisciplinar</t>
  </si>
  <si>
    <t>6074.2023/0002022-7</t>
  </si>
  <si>
    <t>PROJETO 44</t>
  </si>
  <si>
    <t>Todos os Tons</t>
  </si>
  <si>
    <t>Bom Prato M'Boi Mirim (NECESSITA REVISÃO)</t>
  </si>
  <si>
    <t>Bom Prato - Unidade Guaianases (refeitório Cidade Tiradentes) (NECESSITA REVISÃO)</t>
  </si>
  <si>
    <t>Bom Prato - Unidade Limão (refeitório Mauá) (NECESSITA REVISÃO)</t>
  </si>
  <si>
    <t>Bom Prato Parelheiros (NECESSITA REVISÃO)</t>
  </si>
  <si>
    <t>Bom Prato - Unidade Brás (refeitório Mauá) (NECESSITA REVISÃO)</t>
  </si>
  <si>
    <t>Bom Prato - Unidade Santana (refeitório Canindé) (NECESSITA REVISÃO)</t>
  </si>
  <si>
    <t>607420170000708-4</t>
  </si>
  <si>
    <t>Detalhes do Soma de VALOR NECESSÁRIO - Está na API?: Não está, Orgão: SMDHC</t>
  </si>
  <si>
    <t>Detalhes do Soma de valAnual - situacaoContrato: Desconhecida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</si>
</sst>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14" fontId="0" fillId="0" borderId="0" xfId="0" applyNumberFormat="1"/>
    <xf numFmtId="4" fontId="0" fillId="0" borderId="0" xfId="0" applyNumberFormat="1"/>
    <xf numFmtId="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2" fillId="0" borderId="0" xfId="0" applyFont="1"/>
    <xf numFmtId="0" fontId="0" fillId="0" borderId="0" xfId="0" applyAlignment="1">
      <alignment wrapText="1"/>
    </xf>
  </cellXfs>
  <cellStyles count="1">
    <cellStyle name="Normal" xfId="0" builtinId="0"/>
  </cellStyles>
  <dxfs count="39">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9" formatCode="dd/mm/yyyy"/>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2" formatCode="&quot;R$&quot;\ #,##0.00;[Red]\-&quot;R$&quot;\ #,##0.00"/>
    </dxf>
    <dxf>
      <numFmt numFmtId="19" formatCode="dd/mm/yyyy"/>
    </dxf>
    <dxf>
      <numFmt numFmtId="12" formatCode="&quot;R$&quot;\ #,##0.00;[Red]\-&quot;R$&quot;\ #,##0.00"/>
    </dxf>
    <dxf>
      <numFmt numFmtId="12" formatCode="&quot;R$&quot;\ #,##0.00;[Red]\-&quot;R$&quot;\ #,##0.00"/>
    </dxf>
    <dxf>
      <numFmt numFmtId="0" formatCode="General"/>
    </dxf>
    <dxf>
      <numFmt numFmtId="0" formatCode="General"/>
    </dxf>
    <dxf>
      <numFmt numFmtId="12" formatCode="&quot;R$&quot;\ #,##0.00;[Red]\-&quot;R$&quot;\ #,##0.00"/>
    </dxf>
    <dxf>
      <numFmt numFmtId="12" formatCode="&quot;R$&quot;\ #,##0.00;[Red]\-&quot;R$&quot;\ #,##0.00"/>
    </dxf>
    <dxf>
      <numFmt numFmtId="19" formatCode="dd/mm/yyyy"/>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 de Sousa Faita" refreshedDate="45845.694729050927" createdVersion="8" refreshedVersion="8" minRefreshableVersion="3" recordCount="390" xr:uid="{765ABC46-35DE-4C6D-9BAE-72DFD004CB6E}">
  <cacheSource type="worksheet">
    <worksheetSource name="Tabela1"/>
  </cacheSource>
  <cacheFields count="43">
    <cacheField name="codEmpresa" numFmtId="0">
      <sharedItems/>
    </cacheField>
    <cacheField name="txtDescricaoOrgao" numFmtId="0">
      <sharedItems/>
    </cacheField>
    <cacheField name="codOrgao" numFmtId="0">
      <sharedItems/>
    </cacheField>
    <cacheField name="UO" numFmtId="0">
      <sharedItems/>
    </cacheField>
    <cacheField name="Funcao" numFmtId="0">
      <sharedItems containsSemiMixedTypes="0" containsString="0" containsNumber="1" containsInteger="1" minValue="8" maxValue="14"/>
    </cacheField>
    <cacheField name="SubFuncao" numFmtId="0">
      <sharedItems containsSemiMixedTypes="0" containsString="0" containsNumber="1" containsInteger="1" minValue="122" maxValue="605"/>
    </cacheField>
    <cacheField name="Programa" numFmtId="0">
      <sharedItems containsSemiMixedTypes="0" containsString="0" containsNumber="1" containsInteger="1" minValue="3007" maxValue="3024"/>
    </cacheField>
    <cacheField name="ProjAtiv" numFmtId="0">
      <sharedItems containsSemiMixedTypes="0" containsString="0" containsNumber="1" containsInteger="1" minValue="2051" maxValue="6178"/>
    </cacheField>
    <cacheField name="Despesa" numFmtId="0">
      <sharedItems/>
    </cacheField>
    <cacheField name="dotacao_completa" numFmtId="0">
      <sharedItems/>
    </cacheField>
    <cacheField name="codTipoContratacao" numFmtId="0">
      <sharedItems/>
    </cacheField>
    <cacheField name="txtTipoContratacao" numFmtId="0">
      <sharedItems/>
    </cacheField>
    <cacheField name="codModalidade" numFmtId="0">
      <sharedItems containsSemiMixedTypes="0" containsString="0" containsNumber="1" containsInteger="1" minValue="3" maxValue="12"/>
    </cacheField>
    <cacheField name="txtDescricaoModalidade" numFmtId="0">
      <sharedItems/>
    </cacheField>
    <cacheField name="anoContrato" numFmtId="0">
      <sharedItems containsSemiMixedTypes="0" containsString="0" containsNumber="1" containsInteger="1" minValue="2018" maxValue="2025"/>
    </cacheField>
    <cacheField name="codContrato" numFmtId="0">
      <sharedItems containsSemiMixedTypes="0" containsString="0" containsNumber="1" containsInteger="1" minValue="185" maxValue="42334"/>
    </cacheField>
    <cacheField name="numOriginalContrato" numFmtId="0">
      <sharedItems containsBlank="1"/>
    </cacheField>
    <cacheField name="codProcesso" numFmtId="0">
      <sharedItems/>
    </cacheField>
    <cacheField name="Está em CAF?" numFmtId="0">
      <sharedItems count="2">
        <s v="Não está"/>
        <s v="Está"/>
      </sharedItems>
    </cacheField>
    <cacheField name="txtObjetoContrato" numFmtId="0">
      <sharedItems count="369" longText="1">
        <s v="Pagamento do Auxílio Ampara Exercício 2025, por intermédio do Banco do Brasil."/>
        <s v="prestação de serviços de fornecimento de de Coffee Break Tipo I ,  para atender os participantes do evento que celebrará o dia Nacional de Combate à Intolerância Religiosa, realizado pela  da Coordenação de Promoção da Igualdade Racial- SMDHC"/>
        <s v="Prestação de Serviços por empresa especializada na prestação de serviços de assistência técnica e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ede da Secretaria Municipal de Direitos Humanos e Cidadania – SMDHC."/>
        <s v="Prestação de serviços técnicos especializados para manutenção preventiva e corretiva de 1 (um) elevador instalado na Casa de Passagem, incluindo assistência técnica, fornecimento de mão de obra especializada e todo o material, tais como ferramentas e equipamentos a serem utilizados nessa prestação de serviço."/>
        <s v="Contratação de empresa especializada para a prestação de serviços continuados de locação de Computadores de uso Corporativos  para suprir a necessidade da Secretaria Municipal de Direitos Humanos e Cidadania, conforme especificações"/>
        <s v="Contratação de empresa especializada em locação de impressoras corporativas, incluindo a prestação de serviços de manutenção preventiva e corretiva, fornecimento de peças e suprimentos necessários, para atender as necessidades dos equipamentos da Secretaria Municipal de Direito Humanos e Cidadania - SMDHC."/>
        <s v="Prestação de serviços de agenciamento de Passagens Aéreas Nacionais, mediante disponibilização de sistema de gestão de viagens corporativas - ATA DE REGISTRO DE PREÇOS n. 003/SEGES-COBES/2021"/>
        <s v="Prestação de serviços de agenciamento de passagens aéreas, mediante disponibilização de sistema de gestão de viagens corporativas - ATA DE REGISTRO DE PREÇOS nº 004/SEGES-COBES/2021 - Passagens Aéreas Internacionais"/>
        <s v="Contratação de empresa para prestação de serviços postais"/>
        <s v="Termo de Colaboração. Edital de Chamamento Público Nº CPB/003/2024/SMDHC/CPM. Objeto. Gestão da Casa da Mulher Brasileira, Postos Avançados de Atendimento à Mulher e Unidade Móvel de Atendimento à Mulher."/>
        <s v="Celebração de Termo de Colaboração com a entidade “Associação Franciscana de Solidariedade” -  advindo da seleção de proposta do edital de chamamento público nº dital CPB/005/2020/SMDHC/CPIPTD, para gerenciar o Centro de Referência e Atendimento para Imigrantes (CRAI)."/>
        <s v="Contratação de empresa especializada na prestação de serviços de Coffee Break, de Brunch e de Kit Lanche - ATA DE REGISTRO DE PREÇOS Nº 009/SMDHC/2023 (LOTE 1 – item 1 e item 2 )– Processo nº 6074.2024/0003669-9"/>
        <s v="prestação de serviços fornecimento de Coffee Break Tipo I para atender os participantes do Dia Nacional do Combate ao Trabalho Escravo realizado pela Coordenação de Políticas para Imigrantes e Promoção do Trabalho Decente."/>
        <s v="Contratação de empresa para prestação de serviços de manutenção preventiva e corretiva da Unidade Móvel de atendimento às Mulheres Vitimas de Violência Doméstica, incluindo fornecimento de peças e acessórios"/>
        <s v="Objeto &quot;Gestão do Núcleos de Atendimentos em Direitos Humanos NDH(s) de São Mateus, São Miguel Paulista e Cidade Tiradentes&quot;"/>
        <s v="Parceria. Termo de Colaboração. Edital de Chamamento Público Nº CPB/010/2023/SMDHC/ODH. Projeto &quot;Núcleo de Direitos Humanos Lapa, Núcleo de Direitos Humanos Santana e Núcleo de Direitos Humanos Ipiranga”."/>
        <s v="Parceria. Termo de Colaboração. Edital de Chamamento Público Nº CPB/010/2023/SMDHC/ODH. Projeto &quot; Gestão do Núcleos de Atendimentos em Direitos Humanos NDH(s) do Butantã, Campo Limpo, Jabaquara e Capela do Socorro”."/>
        <s v="Contratação de uma empresa especializada na prestação de serviços de manutenção predial, abrangendo as preventivas, corretivas referente à alvenaria, carpintaria, vidros e assistência técnica das instalações elétricas, das hidráulicas, da civil, de telefonia interna, do sistema de detecção de fumaça, de alarme, de combate a incêndio, de iluminação de emergência, de  pára-raios, gás para fogão, ar condicionado e de serviços gerais conexos, com fornecimento de mão de obra, peças e materiais necessários, inclusive ferramentas, equipamentos aparelhagens e acessórios necessários para a execução dos serviços, incluindo eventual necessidade de deslocamento de mobiliários e materiais de suporte necessários, para a Casa da Mulher Brasileira, situada na Rua Vieira Ravasco s/nº, Cambuci, CEP 01518 030, São Paulo – SP"/>
        <s v="Reembolso de materiais que serão substituídos, quando da manutenção da Unidade - MATERIAIS. "/>
        <s v="Contratação de empresa especializada na prestação de serviços de Coffee Break , de Brunch e de Kit Lanche - ATA DE REGISTRO DE PREÇOS Nº 008/SMDHC/2023 (LOTE 1 – item 1 e item 2)– Processo nº 6074.2024/0003669-9"/>
        <s v="Contratação de empresa especializada para prestação de serviço de empresa especializada na prestação de serviços de manutenção predial, abrangendo as preventivas, corretivas e assistência técnica das instalações elétricas, das hidráulicas, da civil, de telefonia interna, do sistema de detecção de fumaça, de alarme, de combate a incêndio, de iluminação de emergência, de para-raios, ar condicionado e de serviços gerais conexos, com fornecimento estimado de peças e equipamentos, incluindo eventual necessidade de deslocamento de mobiliários e materiais de suporte necessários, nos imóveis de uso dos 52 Conselhos Tutelares do Município de São Paulo, localizados nos endereços constantes no Anexo I, supervisionados pela “Coordenação de Políticas para Crianças e Adolescentes - CPCA” da Secretaria Municipal de Direitos Humanos e Cidadania"/>
        <s v="Contratação de empresa especializada para a prestação de Serviços de Impressão Corporativa, incluindo a prestação de serviços de manutenção preventiva e corretiva, fornecimento de peças e suprimentos necessários, para atender as necessidades da Secretaria Municipal de Direito Humanos e Cidadania - SMDHC."/>
        <s v="Prestação de serviços de comunicação de Voz VoIP para a Secretaria Municipal de Direitos Humanos e Cidadania – SMDHC."/>
        <s v="Consumo de Energia Elétrica - Exercício de 2025"/>
        <s v="Recursos (estimados) para o Consumo de Energia Elétrica - Exercício de 2025."/>
        <s v="Fornecimento de kits-hidratação para a população em situação de rua durante os dias de operação de Altas Temperaturas"/>
        <s v="Contratação especializada na Prestação de Serviços Técnicos Especializados de Tecnologia da Informação, pela CONTRATADA, para Sustentação de TIC, para suporte dos negócios da CONTRATANTE, compatíveis com a sua finalidade e relacionados na Proposta Comercial PC-SMDHC-230301-26 – Versão 3.0."/>
        <s v=" Consumo de serviços de Água e Esgoto - Exercício de 2025."/>
        <s v="Plataforma de Colaboração e Produtividade."/>
        <s v="Prestação de Serviços de Acesso à Rede Corporativa PMSP e Internet SD-WAN para o suporte dos negócios para a Secretaria Municipal de Direitos Humanos e Cidadania – SMDHC._x000a__x000a_ "/>
        <s v="Aquisição de pedestais de aço para televisores."/>
        <s v="Consumo de Água e Esgoto 2025 Conselho tutelar"/>
        <s v="Implantação e gestão do “Centro de Cidadania LGBTI”, na Região Oeste, do “Programa Transcidadania” Regionalizado, estabelecido no Decreto Municipal n. 58.227/2018, bem como a operacionalização de uma “Unidade Móvel” prevista no Programa, pelo período de 24 (vinte e quatro) meses"/>
        <s v="Celebração de Termo de Colaboração com a entidade “ASSOCIAÇÃO CULTURAL EDUCACIONAL E SOCIAL DYNAMITE - ACESD”, inscrita no CNPJ/MF nº. 07.157.970/0001-44, advindo da seleção de proposta do edital de chamamento público nº CPB/005/2019/SMDHC/CPLGBTI, para gerenciar o Centro de Cidadania Região Norte pelo período de 24 (vinte e quatro) meses."/>
        <s v="Parceria. Termo de Colaboração. Objeto: &quot;Gestão do Centro de Referência LGBTI+ Edson Neris e Unidade Móvel LGBTI+ Sul (distrito Campo Limpo) - LOTE 2 , vinculado à Coordenação de Políticas para LGBTI+.&quot;"/>
        <s v="Parceria. Termo de Colaboração. Edital de Chamamento Público Nº CPB/001/2024/SMDHC/CPLGBTI. Objeto : &quot;Gestão do Centro de Referência LGBTI+ Claudia Wonder e Unidade Móvel LGBTI+ Oeste (distrito Vila Sônia ou Butantã) - LOTE 4.&quot;"/>
        <s v="Parceria. Termo de Colaboração. Objeto: &quot;Gestão do Centro de Referência LGBTI+ Luana Barbosa dos Reis e Unidade Móvel LGBTI+ Norte (distrito Brasilândia ou Pirituba) - LOTE 1&quot;"/>
        <s v="Parceria. Termo de Colaboração. Edital de Chamamento Público Nº CPB/001/2024/SMDHC/CPLGBTI. Objeto: &quot;Gestão do Centro Laura Vermont e Unidade Móvel de Referência em Direitos Humanos e Cidadania LGBTI+ - Lote 3.&quot;"/>
        <s v="Parceria. Termo de Colaboração. Edital de Chamamento Público Nº CPB/003/2023/SMDHC/CPM. Projeto &quot;Gestão do Centro de Referência e Cidadania da Mulher CRCM - Casa da Mulher Distrito da Zona Oeste - Distrito Barra Funda”"/>
        <s v="Parceria. Termo de Colaboração. Edital de Chamamento Público Nº CPB/003/2023/SMDHC/CPM. Projeto &quot;Gestão do Centro de Referência e Cidadania da Mulher CRCM - Casa da Mulher Rua Dr. Bacelar, 20 – Vila Clementino”"/>
        <s v="Parceria. Termo de Colaboração. Edital de Chamamento Público Nº CPB/003/2023/SMDHC/CPM, Projeto &quot;Gestão do Centro de Referência e Cidadania da Mulher CRCM - Casa da Mulher de Brasilândia”"/>
        <s v="Parceria. Termo de Colaboração. Edital de Chamamento Público Nº CPB/003/2023/SMDHC/CPM. Projeto &quot;Gestão do Centro de Referência e Cidadania da Mulher CRCM - Casa da Mulher Distrito Campo Limpo - Capão Redondo&quot;"/>
        <s v="Objeto Gestão do Centro de Referência e Cidadania da Mulher CRCM - Casa da Mulher Itaquera e Casa da Mulher São Miguel."/>
        <s v="Objeto Gestão do Centro de Referência e Cidadania da Mulher CRCM - Casa da Mulher Parelheiros."/>
        <s v="Objeto  Gestão do Centro de Referência e Cidadania da Mulher CRCM - Casa da Mulher Vila Perus e Casa da Mulher Cachoeirinha."/>
        <s v="Objeto  Gestão do Centro de Referência e Cidadania da Mulher CRCM - Casa da Mulher Santo Amaro e Casa da Mulher Grajaú."/>
        <s v="Termo de Colaboração - Gestão do Centro de Referência de Promoção da Igualdade Racial da Região Norte - Lote 1."/>
        <s v="Termo de Colaboração - Gestão do Centro de Referência de Promoção da Igualdade Racial da Região Leste - Lote 3."/>
        <s v="Termo de Colaboração - Gestão do Centro de Referência de Promoção da Igualdade Racial da Região Sul - Lote 2."/>
        <s v="Gestão do Centros de Referência de Promoção da Igualdade Racial da Região Centro e Oeste - Lote 4."/>
        <s v="Contratação de empresa especializada na administração e gerenciamento de frota veicular, incluindo motorista, combustível, quilometragem livre, central de chamadas, estacionamento 24 (vinte e quatro) horas, para o atendimento de 05 (cinco) veículos, sendo destes 03 (três) da Coordenação de Promoção da Igualdade Racial – CPIR e 02 (dois) da Coordenação de Políticas paras as Mulheres – CPM, unidades afeitas à Secretaria Municipal de Direitos Humanos e Cidadania – SMDHC"/>
        <s v="Contratação de empresa especializada na prestação de Serviços de Controle de Pragas Urbanas e Vetores, compreendendo Desinsetização, Desratização e Descupinização em todas as áreas internas e externas adjacentes aos equipamentos da Secretaria Municipal de Direitos Humanos e Cidadania – SMDHC, com fornecimento de todos os materiais, equipamentos e ferramentas necessários."/>
        <s v="Contratação de empresa especializada na prestação de serviços contínuos de locação de vagas em garagens cobertas, para a guarda de 43 (quarenta e três) veículos oficiais, automotores pertencentes à Secretaria Municipal de Direitos Humanos e Cidadania – SMDHC."/>
        <s v="Contratação de empresa especializada na prestação de serviços contínuos de Controle de Acesso ao Edifício São Joaquim, com efetiva cobertura das portarias, disponibilização de equipamentos de informática, emissão de crachás, e manutenção preventiva e corretiva dos módulos de passagem."/>
        <s v="Contratação de empresa especializada na Prestação de Serviços de Vigilância e Segurança Patrimonial, com a finalidade de exercer preventivamente a proteção do patrimônio e das pessoas que se encontram nos limites da localidade a ser vigiada, com a efetiva cobertura dos postos dos equipamentos pertencentes à Secretaria Municipal de Direitos Humanos e Cidadania – SMDHC."/>
        <s v="Contratação de um Serviço Integrado de Segurança incluindo, em dois lotes, serviços de vigilância e segurança patrimonial armada e vigilância para atender os Centros de Cidadania da Mulher, Centros de Referência da Mulher, Centros de Referência da Igualdade Racial, Centro Público de Direitos Humanos e Economia Solidária, Pólo Cultural José Lewgoy, Centro de Referência da Diversidade, Centro de Cidadania LGBTI – Norte, Centro de Cidadania LGBTI – Zona Leste e Conselhos Tutelares do Município de São Paulo, em conformidade com as disposições do Edital e os seus respectivos anexos."/>
        <s v="Constitui objeto do presente colaboração junto à entidade para prestar moradia temporária, apoio psicossocial a crianças, adolescentes e jovens com diagnóstico de câncer ou transplantados de fígado e rins, em tratamento ou acompanhamento, vindos de todo Brasil para serem atendidos nos grandes centros especializados de tratamento do Sistema Único de Saúde/Hospitais Filantrópicos da Cidade de São Paulo, e seus  acompanhantes, ofertando no mínimo 80 vagas por mês, pelo período de 12 (doze ) meses da data de assinatura."/>
        <s v="Contratação de empresa especializada para a confecção de 10 (dez) unidades de  tapetes  tipo capacho personalizados para as portas de entrada e elevadores ."/>
        <s v="Contratação de empresa especializada na Prestação de Serviços de Vigilância e Segurança Patrimonial, por lotes, com a finalidade de exercer preventivamente a proteção do patrimônio e das pessoas que se encontram nos limites da localidade a ser vigiada, com a efetiva cobertura dos postos dos equipamentos pertencentes à Secretaria Municipal de Direitos Humanos e Cidadania – SMDHC."/>
        <s v="Termo de Aditamento com o CENTRO GASPAR GARCIA DE DIREITOS HUMANOS, inscrita no CNPJ sob o nº 59.940.080/0001-08, formalizando a adequação do plano de trabalho do Serviço de Inclusão Social existente ao modelo de gestão previsto pela Portaria SMDHC nº 121/2019, tendo em vista a transferência do equipamento pela Secretaria Municipal de Assistência e Desenvolvimento Social para a Secretaria Municipal de Diretos Humanos e Cidadania, via despacho de transferência, devidamente publicado no Diário Oficial da Cidade de São Paulo -  DOC de 30/12/2020, página 50."/>
        <s v="Parceria. Termo de Colaboração. Edital de Chamamento Público Nº CPB/017/2023/SMDHC/CPPSR. "/>
        <s v="Contratação de empresa para prestação de serviços de Kit Lanche (LOTE 1 – item 1 e item 2) para atender a 122ª Reunião Ordinária do Comitê Intersetorial da Política Municipal para a População em Situação de Rua realizado pela SMDHC/CPDDH/CPPSR/ComitePopRua, pasta desta Secretaria Municipal de Direitos Humanos e Cidadania - ATA DE REGISTRO DE PREÇOS Nº 009/SMDHC/2023"/>
        <s v="Contratação de empresa especializada na prestação de serviços de manutenção preventiva e corretiva, incluindo lavagem e fornecimento de peças e acessórios, para 05 (cinco) veículos, sendo destes 03 (três) da Coordenação de Promoção da Igualdade Racial – CPIR e 02 (dois) da Coordenação de Políticas para as Mulheres – CPM, unidades afeitas à SMDHC."/>
        <s v="Aquisição de Materiais de Consumo (Ferramentas) para pequenos reparos e manutenção predial (LOTE 1),  para atender as necessidades da Secretaria Municipal de Direitos Humanos e Cidadania – SMDHC."/>
        <s v="Aquisição de Materiais de Consumo (Ferramentas) para pequenos reparos e manutenção predial(LOTE 2),  para atender as necessidades da Secretaria Municipal de Direitos Humanos e Cidadania – SMDHC._x000a_"/>
        <s v="Termo de Colaboração. Edital de Chamamento Público Nº CPB/017/2023/SMDHC/CPPSR. "/>
        <s v="Termo de Colaboração. Edital de Chamamento Público Nº CPB/002/2024/SMDHC/CPPI. Objeto &quot;Gestão do Centro de Referência de Direitos Humanos e Cidadania da Pessoa Idosa e Posto Avançado de Direitos Humanos e Cidadania da Pessoa Idosa&quot;."/>
        <s v="Termo de Colaboração. Edital CPB/011/2022/SMDHC/CPJ. Projeto: Oferta de cursos de capacitação em empreendedorismo, focados prioritariamente nas juventudes da cidade de São Paulo que empreendem por necessidade e precisam de formação para que expandam e formalizem seus negócios."/>
        <s v="Termo de Aditamento com a ASSOCIAÇÃO FRANCISCANA DE SOLIDARIEDADE (SEFRAS), inscrita no CNPJ sob o nº 11.861.086/0001-63, formalizando a adequação do plano de trabalho do Serviço de Inclusão Social existente ao modelo de gestão previsto pela Portaria SMDHC nº 121/2019, tendo em vista a transferência do equipamento pela Secretaria Municipal de Assistência e Desenvolvimento Social para a Secretaria Municipal de Diretos Humanos e Cidadania, via despacho de transferência, devidamente publicado no Diário Oficial da Cidade de São Paulo -  DOC de 30/12/2020, página 50,  que tem por objeto a conjugação de esforços e recursos para promover, sob a coordenação e supervisão da Coordenação de Políticas para População em Situação de Rua da Secretaria Municipal de Direitos Humanos e Cidadania (CPPSR/SMDHC) e com apoio do Centro Público de Economia Solidária e Direitos Humanos, a saída qualificada da situação de rua."/>
        <s v="Contratação de empresa para prestação de Serviço Telefônico Fixo Comutado – STFC (fixo-fixo e fixo-móvel) e de Serviço Móvel Pessoal - SMP (Móvel-Móvel, Móvel-Fixo e dados), nas modalidades Local, Longa Distância Nacional (LDN) e Longa Distância Internacional (LDI) a ser executado de forma contínua"/>
        <s v="Contratação de empresa especializada em confecção de carimbos, para atender as necessidades da Secretaria de Direitos Humanos e Cidadania - SMDHC no exercício de 2025."/>
        <s v="Contratação de serviços de infraestrutura de rede com manutenção corretiva, manutenção preventiva, instalações, desinstalações, remanejamentos e execução de projetos em rede de telefonia e lógica, por demanda, na Secretaria Municipal de Direitos Humanos e Cidadania e demais equipamentos externos."/>
        <s v="Contratação de empresa especializada para a prestação de serviço de transporte mediante locação de veículo, com manutenção preventiva e corretiva, com condutor, ajudante e combustível, objetivando o deslocamento para apoio a atividades técnico-administrativas para transporte de cargas."/>
        <s v="Prestação de serviços de Coffee Break Tipo II para atender os participantes do Encontro de Planejamento com as equipes que compõem os Centros de Referência e Promoção da Igualdade Racial CRPIR. realizado pela Coordenação de Promoção da Igualdade Racial."/>
        <s v="Prestação de serviços de limpeza e desinfecção de reservatório predial às unidades da Prefeitura do Município de São Paulo - Grupo 1 (Centro) - ATA DE REGISTRO DE PREÇOS N. 002/SEGES-COBES/2022."/>
        <s v="Contratação de Sacolas (ecobag), Squeeze e Camisetas personalizadas para os conferencistas da Conferência Municipal de Promoção da Igualdade Racial de São Paulo – Edição 2025."/>
        <s v="Contratação de empresa especializada para a prestação de serviços, sob demanda, de confecção e impressão de material gráfico."/>
        <s v="Contratação de empresa especializada na prestação de serviços de transporte através de fretamento por micro-ônibus, em caráter eventual, com fornecimento de veículo, condutor, combustível, manutenção preventiva e corretiva, estacionamento e pedágio, objetivando atender às necessidades de deslocamentos coletivos da Secretaria Municipal de Direitos Humanos e Cidadania – SMDHC_x000a__x000a_ "/>
        <s v="Aquisição de lâmpadas de LED para atender à sede e às unidades afeitas à Secretaria Municipal de Direitos Humanos e Cidadania – SMDHC."/>
        <s v="Aquisição de Nominata (sem dados) e com (RESERVADO) com vistas ao atendimento da Secretaria Municipal de Direitos Humanos e Cidadania – SMDHC – EDITAL 90013/2025"/>
        <s v="Contratação de empresa especializada para prestação de serviços de Impressão Corporativa, incluindo a prestação de serviços de manutenção preventiva e corretiva, fornecimento de peças e suprimentos necessários (inclusive papel), para atender as necessidades de todas as 52 (cinquenta e duas) unidades dos Conselhos Tutelares localizados no Município de São Paulo"/>
        <s v="Aquisição de refrigerador e forno micro-ondas com vistas ao atendimento das necessidades do Edifício São Joaquim, sede da Secretaria Municipal de Direitos Humanos e Cidadania – SMDHC."/>
        <s v="Aquisição de sacos plásticos transparentes para manipulação de alimentos no Banco de Alimentos, para atender os equipamentos afeitos à Secretaria Municipal de Direitos Humanos e Cidadania - SMDHC."/>
        <s v="Prestação de serviços de locação, instalação e manutenção de aparelhos purificadores de água, conforme especificações, requisitos e condições constantes do Anexo I - Termo de Referência, através da ARP Nº 001/SEGES-COBES/2023."/>
        <s v="Serviços de locação, incluindo a manutenção preventiva e corretiva, bem como o fornecimento e reposição de peças e a instalação de máquinas automatizadas que disponibilizem café expresso e bebidas quentes, cumulada com a venda de doses abrangendo todos os insumos, para atender pelo sistema de livre consumo, para os servidores da Secretaria Municipal de Direitos Humanos e Cidadania – SMDHC, conforme especificações constantes no Termo de Referência - ANEXO I do Edital, "/>
        <s v="Contratação de empresa especializada na Prestação de Serviços de Locação de Veículos Novos, sendo 01 (um) veículo do Tipo “B”/ Grupo S-1, e 01 (um) veículo do Tipo “C”, em caráter não eventual, sem condutor, quilometragem livre, incluindo, combustível, despesas com pedágios, avarias, multas e manutenção; objetivando atender às necessidades de deslocamentos."/>
        <s v="Contratação de empresa especializada na prestação de serviços de manutenção preventiva e corretiva no sistema/aparelho de telefonia PABX (Private Automatic Branch Exchange), pertencente à Secretaria Municipal de Direitos Humanos e Cidadania – SMDHC."/>
        <s v="Aquisição de 06 (seis) unidades de Paleteira Hidráulica Manual , Rodas Duplas Nylon , 2,5 TON Carrinho Transpalete Hidráulico Manual - 2.500kg e 01 (um) unidade de Paleteira Hidráulica Manual com Balança Digital , Rodas Duplas em Nylon ou PU , 3 TON Carrinho Transpalete com Balança Integrada - 3.000kg, para atender ao Programa Municipal Banco de Alimentos."/>
        <s v="Prestação de serviços técnicos especializados de tecnologia da informação, pela PRODAM, para SUSTENÇÃO DE TIC para os Conselhos Tutelares, compatíveis com sua finalidade e relacionados na proposta PCSMDHC-210113-3 Versão 1.1, pelo período de 12 (doze) meses."/>
        <s v="Ata de Registro de Preços nº ATA/RP 008/SG-COBES/2019- Contratação para prestação de Serviço Telefônico Fixo Comutado (STFC) por meio de entroncamentos digitais e serviços de discagem direta a ramal (DDR) (Item I), aos 52 (cinquenta e dois) Conselhos Tutelares do Município de São Paulo."/>
        <s v="Contratação de empresa especializada em prestação de serviços de motofrete para as unidades da Prefeitura de São Paulo, com entrega e coleta de pequenas cargas, por meio de motocicletas, com fundamento no disposto na Lei Federal n. 8.666/93, Lei Municipal n. 13.278/02 e o Decreto Municipal n. 44.279/03"/>
        <s v="Registro de Preços para a prestação de serviços, sob demanda, de confecção e impressão de material gráfico. - ATA DE REGISTRO DE PREÇOS Nº 001/SMDHC/2024._x000a__x000a_ "/>
        <s v="Contratação de empresa especializada para a prestação de serviços, sob demanda, de confecção e impressão de material gráfico - Ata de Registro de Preços nº 001/SMDHC/2024"/>
        <s v="Contratação de Kit Lanches (Lote 03), para a população do distrito do Jardim Pantanal."/>
        <s v="Pagamento das parcelas do Auxílio Aluguel para Mulheres Vítimas de Violência, por intermédio do BANCO_x000a_DO BRASIL S/A."/>
        <s v="ontratação de empresa especializada na prestação de serviços de manutenção preventiva e corretiva de aparelhos de ar condicionado (unidades externa e interna), incluindo mão de obra, equipamentos, fornecimento de peças e materiais necessários para a execução do presente objeto, para atender a Casa da Mulher Brasileira – CMB, unidade operacional da Coordenação Municipal de Políticas para as Mulheres – CPM."/>
        <s v="Pregão Eletrônico nº 011/SMDHC/2019, OFERTA DE COMPRAS nº 801022801002019OC00013, cujo objeto consiste na contratação de empresa especializada na prestação de serviços de Locação de Sistema de PABX com DDR, Serviço de Instalação, Gerenciamento e Manutenção, para atender as necessidades da Secretaria Municipal de Direitos Humanos e Cidadania, conforme especificações constantes no Termo de Referência - ANEXO I do Edital, à empresa: RA TELECOM LTDA, inscrita no CNPJ/MF nº 10.312.101/0001-51, no valor global de R$ 35.990,00 (trinta e cinco mil novecentos e noventa reais) pelo período de 12(doze) meses."/>
        <s v="Prestação de Serviços de Transporte, através de Locação de 66 (sessenta e seis) veículos, Tipo “C”, em caráter não eventual, com condutor e quilometragem livre; incluindo, combustível, despesas com pedágios, avarias, multas e manutenção, para atender às necessidades da Secretaria Municipal de Direitos Humanos e Cidadania – SMDHC e de suas Coordenações."/>
        <s v="Edital de Credenciamento nº 003-B/SMDHC/2021 - Programa “Respeito Tem Nome” - Contratação dos serviços cartoriais."/>
        <s v="CONTRATAÇÃO DE EMPRESA ESPECIALIZADA EM PRESTAÇÃO DE SERVIÇOS DE LOCAÇÃO DE VEÍCULOS ADAPTADOS, SIMILARES AO MODELO Sprinter, TIPO VAN, COM MOTORISTA, SEGURANÇA PESSOAL, COMBUSTÍVEL e GERADOR DE ENERGIA, COM QUILOMETRAGEM LIVRE e SEGURO."/>
        <s v="Contratação de empresa especializada na prestação de serviços de locação de veículos adaptados, com fornecimento de combustível e quilometragem livre, motorista, segurança e seguro para a unidade móvel do Centro de Referência e Atendimento para Imigrantes - CRAI Móvel."/>
        <s v=" Prestação de serviços, sob demanda, de confecção e impressão de material gráfico. - ATA DE REGISTRO DE PREÇOS Nº 001/SMDHC/2024."/>
        <s v="Despacho - 07/08/2019 - Contratação de empresa especializada na prestação de serviço de operação de telefonia fixa, de natureza continuada, com a utilização de equipamento com sistema de Troca Automática de Ramais Privados, designado PABX (Private Automatic Branch Exchange), nas dependências da Casa da Mulher Brasileira – CMB, unidade operacional supervisionada pela “Coordenação Municipal de Políticas para Mulheres” pertencente à Secretaria Municipal de Direitos Humanos e Cidadania - SMDHC."/>
        <s v="Prestação de Serviços por empresa especializada em locação de Sistema PABX (Private Automatic Branch Exchange), com DDR, incluídos os serviços de instalação, gerenciamento e manutenção, visando atender as necessidades da Secretaria Municipal de Direitos Humanos e Cidadania – SMDHC e da Casa da Mulher Brasileira – CMB."/>
        <s v="Aquisição de 162 (cento e sessenta e dois) unidades de PROTETOR SOLAR FPS 60 LINHA SUN EMBALAGEM DE 1 LITRO. MARCA: ALGSUN "/>
        <s v="Fornecimento de Gás Canalizado - COMGÁS, para atender o Centro Público de Economia Solidária e_x000a_ Edifício São Joaquim (SEDE)"/>
        <s v="Contratação de empresa para prestação de serviços de locação, instalação e manutenção de equipamentos de sistema de sistemas de interação neuro-sensorial para repelência de pombos para atender o CRESAN VILA MARIA."/>
        <s v="Contratação de empresa especializada para prestação de serviços de locação de Sistema PABX (Private Automatic Branch Exchange), com DDR, incluídos os serviços de instalação, gerenciamento e manutenção, visando atender aos equipamentos desta – SMDHC._x000a__x000a_ "/>
        <s v="ontratação de empresa especializada na prestação de serviços de assistência técnica e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 v="Contratação referente aos reembolsos dos materiais que serão substituídos, quando da manutenção preventiva e corretiva para bombas hidráulicas e suas respectivas tubulações, abrangendo tubos, conexões, boias (manuais e elétricas) e válvulas, desde a captação até as bombas, bem como os motores elétricos, a fiação elétrica e os quadros de comando das referidas bombas no Edifício São Joaquim, sede da Secretaria Municipal de Direitos Humanos e Cidadania – SMDHC."/>
        <s v="Contratação de prestação de serviços para fornecimento mensal estimado de 52.000 doses de café e outras bebidas quentes, através de 52 (cinquenta e duas) máquinas de autoatendimento para atender aos 52 (cinquenta e dois) Conselhos Tutelares do Município de São Paulo."/>
        <s v="Contratação de empresa especializada na prestação de serviços contínuos de copeiragem, com fornecimento de mão de obra uniformizada, materiais, equipamentos e utensílios necessários ao perfeito atendimento das necessidades da Secretaria Municipal de Direitos Humanos e Cidadania – SMDHC."/>
        <s v="Serviço de logística de recebimento e distribuição de refeições no Projeto Rede Cozinha Cidadã da Secretaria Municipal de Direitos Humanos e Cidadania – SMDHC mediante locação de 18 (dezoito) veículos, com fechamento isotérmico para transportar refeições prontas e acondicionadas, com 18 (dezoito) motoristas e 36 (trinta e seis) ajudantes - dois ajudantes por veículo."/>
        <s v="Aquisição de materiais de consumo para pequenos reparos e manutenção predial, para atender às necessidades das unidades desta Secretaria Municipal de Direitos Humanos e Cidadania – SMDHC."/>
        <s v="Contratação de empresa especializada operacionalização e desenvolvimento de todas as atividades para o fornecimento de refeições e desjejuns destinados aos atendimentos do público que se encontra em situação de risco e de extrema vulnerabilidade socioeconômica, que faz uso do alojamento de passagem da Casa da Mulher Brasileira, equipamento de atendimento da Secretaria Municipal de Direitos Humanos e Cidadania - SMDHC, assegurando uma alimentação balanceada e em condições higiênicosanitárias adequadas, conforme especificações constantes no Termo de Referência - ANEXO I do Edital, à empresa CASA BADEN ROTISSERIE LTDA ME, inscrita no CNPJ/MF nº 26.624.602/0001-03"/>
        <s v="Contratação da empresa TELEFÔNICA BRASIL S/A, inscrita no CNPJ. nº 02.558.157/0001-62, detentora da Ata de Registro de Preços n 008/SG-COBES/2019, para a prestação de Serviço Telefônico Fixo Comutado (STFC) por meio de entroncamentos digitais (links E1 com_x000a_sinalização CAS-R2/DTMF) e serviços de discagem direta a ramal (DDR), serviços estes destinados ao tráfego de chamadas locais, de longa distância nacional e de longa distância internacional, pelo período de 12 (doze) meses"/>
        <s v="Prestação de Serviço por empresa especializada em manutenção preventiva e corretiva de 03 (três) elevadores instalados no prédio Sede da Secretaria Municipal de Direitos Humanos e Cidadania – SMDHC."/>
        <s v="Pregão Eletrônico nº 029/SMDHC/2019, OFERTA DE COMPRAS nº 801022801002019OC00035, cujo objeto consiste na Contratação de empresa especializada em locação de veículos, em caráter não eventual, com a inclusão de condutor, combustível, despesas com pedágios, pagamentos de multas, manutenção, quilometragem livre e quaisquer outras despesas inerentes aos veículos, para atender as necessidades da Casa da Mulher Brasileira, conforme especificações constantes no Termo de Referência - ANEXO I - para o Lote 1"/>
        <s v="Pregão Eletrônico nº 029/SMDHC/2019, OFERTA DE COMPRAS nº 801022801002019OC00035, cujo objeto consiste na Contratação de empresa especializada em locação de veículos, em caráter não eventual, com a inclusão de condutor, combustível, despesas com pedágios, pagamentos de multas, manutenção, quilometragem livre e quaisquer outras despesas inerentes aos veículos, para atender as necessidades da Casa da Mulher Brasileira, conforme especificações constantes no Termo de Referência - ANEXO I do Edital - Lote 2"/>
        <s v="Aquisição de tatuagens autoadesivas temporárias personalizadas de transferência a base de água."/>
        <s v="Aquisição de leques personalizado em papel couche brilho, gramatura: 300gr, frente e verso, medidas: 20x19, cor: na quantidade de 10.000 (dez mil ) unidades, para atender as necessidades da Secretaria Executiva do CMDCA, pasta desta Secretaria Municipal de Direitos Humanos e Cidadania - SMDHC."/>
        <s v=" Contratação de empresa especializada em serviços de confecção, impressão de bonés e viseiras"/>
        <s v="Contratação de empresa especializada em serviços de confecção, impressão de bonés e viseiras_x000a__x000a_ "/>
        <s v=" Contratação de Serviço Telefônico Fixo Comutado – STFC (fixo-fixo e fixo-móvel) e de Serviço Móvel Pessoal - SMP (Móvel-Móvel, Móvel-Fixo e dados), nas modalidades Local, Longa Distância Nacional (LDN) e Longa Distância Internacional (LDI) a ser executado de forma contínua."/>
        <s v="Contratação de empresa especializada para prestação de serviços contínuos de Copeiragem e Garçonaria para atender a estrutura administrativa em geral da Casa da Mulher Brasileira, situada na Rua Vieira Ravasco s/n., Cambuci, CEP 01518-030, São Paulo – SP, unidade operacional supervisionada pela Coordenação de Políticas para Mulheres pertencente à Secretaria Municipal de Direitos Humanos"/>
        <s v="Confecção e fornecimento de 15.000 (quinze mil) unidades de pulseiras de identificação em vinil, com pino de fechamento, para a realização do Carnaval Oficial de Rua 2025, atendendo as necessidades da Assessoria Técnica - Eventos, pasta desta Secretaria Municipal de Direitos Humanos e Cidadania-SMDHC."/>
        <s v="Contratação de Instituição Financeira para prestação de serviços de pagamento de benefício assistencial referente ao Auxílio-aluguel concedido às mulheres vítimas de violência doméstica no Município de São Paulo, instituído pela Lei nº 17.320/2020, e emissão, às beneficiárias, de cartão magnético, em todas as agências da Instituição Financeira contratada."/>
        <s v="O presente pregão tem por objeto a Contratação de empresa especializada no ramo de Tecnologia de Informação para 02 (dois) postos de serviço na Casa da Mulher Brasileira – CMB, situada na Rua Vieira Ravasco s/nº, Cambuci, CEP 01518-030, São Paulo – SP, unidade operacional da Coordenadoria Municipal de Políticas para Mulheres, da Secretaria Municipal de Direitos Humanos e Cidadania – SMDHC, cujas características e especificações técnicas encontram-se descritas no Termo de Referência, ANEXO I deste edital de Pregão."/>
        <s v="Contratação de Empresa Especializada na Prestação de Serviços de Transporte, através de Locação de veículos Tipo “C” e Tipo “D”, em caráter não eventual, com condutor e quilometragem livre; incluindo, combustível, despesas com pedágios, avarias, multas e manutenção, para atender às necessidades da unidade operacional supervisionada pela Coordenação de Políticas para Mulheres SMDHC – Casa da Mulher Brasileira."/>
        <s v="Prestação de Serviços de RECEPÇÃO para as sedes dos 52 (cinquenta e dois) Conselhos Tutelares do Município de São Paulo."/>
        <s v="Prestação de serviços por Instituição Financeira de serviços de pagamento do benefício referente ao Auxílio Ampara concedido às crianças e adolescentes em situação de orfandade decorrente de feminicídio no Município de São Paulo, instituído pela Lei nº 17.851/2022, e emissão, aos beneficiários, de cartão magnético, em todas as agências da Instituição Financeira, bem como pagamento de benefícios eventuais e/ou emergenciais e a emissão, aos beneficiários."/>
        <s v="Prestação de Serviços por empresa especializada em Serviço de Telefonia Fixa Comutada – STFC, por meio de entroncamento digitais (links E1/SIP)."/>
        <s v="Contratação de empresa especializada na prestação de serviços de gerenciamento de abastecimento de veículos, máquinas e equipamentos, por meio de cartão de pagamento magnético ou microprocessado, pelo período de 12 (doze) meses, pela taxa de administração de -4,75% (quatro inteiros e setenta e cinco centésimos por cento negativos)"/>
        <s v="Fornecimento de mobiliários para escritório - Ata de Registro de Preços nº 008/2024."/>
        <s v="Contratação de empresa especializada na Prestação de Serviços de Limpeza, Asseio e Conservação Predial, visando à obtenção de adequadas condições de salubridade e higiene, com disponibilização de mão-de-obra, saneantes domissanitários, materiais e equipamentos na sede e nas unidades afeitas à Secretaria Municipal de Direitos Humanos e Cidadania – SMDHC."/>
        <s v="Prestação de Serviço Telefônico Fixo Comutado - STFC por meio de linhas diretas não residenciais, destinado ao tráfego de chamadas locais e longa distância nacional, através de plano ilimitado, pelo período de 12 (doze) meses, para atender à Secretaria Municipal de Direitos Humanos e Cidadania - SMDHC e seus equipamentos."/>
        <s v="Contratação de empresa especializada na prestação de serviços de Coffee Break -  ATA DE REGISTRO DE PREÇOS Nº 008/SMDHC/2023.- Coordenação de Políticas para LGBTI."/>
        <s v=" Contratação de empresa especializada na prestação de serviços de Coffee Break, de Brunch e de Kit Lanche - ATA DE REGISTRO DE PREÇOS Nº 009/SMDHC/2023 (LOTE 1 – item 1 e item 2)."/>
        <s v="Confecção e impressão de material gráfico - Credencial/Crachá e Banner."/>
        <s v="Contratação de empresa especializada na prestação de serviços de locação, instalação e manutenção de aparelhos purificadores de água."/>
        <s v="Contratação de empresa especializada cujas pessoas trabalhadoras sejam técnicas e aptas em relação às especificidades dos diferentes públicos que compõem grandes eventos e atuam de acordo com as diretrizes da SMDHC no combate às violências de gênero, étnico-raciais, LGBTI+ e demais populações vulneráveis, como crianças e adolescentes."/>
        <s v=" Fornecimento – sob demanda – de garrafões de 20 (vinte) litros de água para Centro de Referência em Segurança Alimentar e Nutricional – CRESAN Vila Maria e do Centro de Referência em Segurança Alimentar e Nutricional – CRESAN Butanta."/>
        <s v="Prestação de Serviços de Limpeza, Asseio e Conservação Predial das áreas internas e externas, para atendimento dos 52 (cinquenta e dois) Conselhos Tutelares."/>
        <s v="Contratação de empresa especializada em locação de microcomputadores tipo desktop, com estabilizador bivolt para cada equipamento instalado."/>
        <s v="Prestação de Serviços de Limpeza, Asseio e Conservação Predial das áreas internas e externas, visando à obtenção de adequadas condições de salubridade e higiene, com disponibilização de mão-de-obra em regime de dedicação exclusiva, saneantes domissanitários, materiais e equipamentos, nas unidades pertencentes à SMDHC."/>
        <s v="Contratação de empresa especializada em telecomunicação para prestação de serviço de link de acesso à internet com banda de 100MB, para utilização no auditório da Secretaria Municipal de Direitos Humanos e Cidadania."/>
        <s v="Prestação de serviços de concepção, organização, produção e execução de eventos com viabilização de infraestrutura e fornecimento de apoio logístico para concepção, e execução de eventos para a Administração Direta durante as ações do Carnaval 2025 na Cidade de São Paulo pela Secretaria Municipal de Direitos Humanos e Cidadania considerando as atividades em Blocos de Rua, Sambódromo e ações na União das Escolas de Samba Paulistanas (UESP)."/>
        <s v="Contratação de empresa especializada em LOCAÇÃO DE BANHEIROS QUÍMICOS tipo padrão e para portadores de necessidades especiais (PNE) e LAVATÓRIOS MÓVEIS tipo portátil para higienização das mãos, com fornecimento de água, sabonete líquido e toalhas descartáveis, incluindo os serviços de instalação, montagem e desmontagem, ações de manutenção diária, tais como, saneamento de avarias, serviços de limpeza e reposição de insumos."/>
        <s v="Confecção e impressão de bottons personalizados  para  os conferencistas da Conferência Municipal de Promoção da Igualdade Racial de São Paulo – Edição 2025, atendendo as necessidades do Departamento de Participação Social, pasta desta Secretaria Municipal de Direitos Humanos e Cidadania-SMDHC"/>
        <s v="Aquisição de Troféus para cerimônia do Prêmio de Direitos Humanos Dom Paulo Evaristo Arns, atendendo as necessidades do Departamento de Educação em Direitos Humanos, pasta desta Secretaria Municipal de Direitos Humanos e Cidadania - SMDHC."/>
        <s v="TA 001 - Prestação de serviços de vigilância e segurança patrimonial desarmada, para fazer constar o acréscimo de 03 (três) postos equivalentes ao percentual de 24,92%, correspondente ao valor de R$ 51.997,88 (cinquenta e um mil novecentos e noventa e sete reais e oitenta e oito centavos) - CRM Vila Nova Cachoeirinha e CCM Itaquera - Relacionado ao Termo de Contrato nº 02/2023/SMDET - Contratação 3036/2023_x000a_"/>
        <s v="Contratação de empresa especializada na prestação de serviços de monitoramento e rastreamento veicular via satélite por GPS/GSM/GPRS, compreendendo a instalação de módulos rastreadores em comodato e a disponibilização de software de gerenciamento com acesso via Web para gestão da frota de veículos pertencentes à Secretaria Municipal de Direitos Humanos e Cidadania – SMDHC."/>
        <s v=" Contratação de empresa especializada na prestação de serviços  de Kit Lanche -Carnaval 2025"/>
        <s v="Prestação de Serviços de Transporte Mediante Locação de Veículo Seminovo (com até três anos), sendo 01 (um) veículo do Tipo “D” (Grupo - D1), em caráter não eventual, com condutor e quilometragem livre, incluindo, combustível, despesas com pedágios, avarias, multas e manutenção, objetivando o deslocamento para apoio das atividades técnico-administrativas da SMDHC."/>
        <s v="Prestação de Serviços por empresa especializada em serviços contínuos de lavanderia - Casa da Mulher Brasileira."/>
        <s v="Consumo de serviços de Água e Esgoto - Exercício de 2025 - Casa de Passagem _x000a_"/>
        <s v=" Consumo de Água e Esgoto - Casa da Mulher Brasileira - Exercício de 2025."/>
        <s v="Contratação para fornecimento de Kit Lanche, para atender os participantes da reunião ordinária do COMPISP (Conselho Municipal dos Povos Indígenas do Município de São Paulo), realizada pela Coordenação dos Povos Indígenas, pasta desta Secretaria Municipal de Direitos Humanos e Cidadania."/>
        <s v="Prestação de serviços contínuos de copeiragem, com fornecimento de mão de obra uniformizada, materiais, equipamentos e utensílios necessários ao perfeito atendimento das necessidades da Secretaria Municipal de Direitos Humanos e Cidadania – SMDHC."/>
        <s v="Contratação para fornecimento de Kit Lanche para atender os participantes da 125ª Reunião Ordinária do Comitê Intersetorial da Política para População em Situação de Rua, organizado pelo Comitê Intersetoria de Política Municipal para a População em Situação de Rua, pasta da SMDHC."/>
        <s v="Serviços por empresa especializada na prestação de serviços de locação de veículos adaptados, com fornecimento de combustível e quilometragem livre, motorista, vigilante e seguro para a Unidade Móvel de Atendimento às Mulheres."/>
        <s v="Contratação de empresa especializada em ministrar curso teórico e prático de Brigada de Incêndio, para adequação de segurança nas dependências do Edifício São Joaquim, sede da Secretaria Municipal de Direitos Humanos e Cidadania – SMDHC e para adequação de segurança nas dependências da Casa da Mulher Brasileira – CMB."/>
        <s v="Contratação de um Serviço Integrado de Segurança incluindo serviços de vigilância e segurança patrimonial desarmada, para atender a estação pertencente à Ação Vidas no Centro do Município de São Paulo."/>
        <s v="Contratação, de empresa especializada na prestação de serviços de fornecimento de Seguro Total, na modalidade compreensiva, para 05 (cinco) veículos, sendo destes 03 (três) da Coordenação de Promoção da Igualdade Racial – CPIR e 02 (dois) da Coordenação de Políticas paras as Mulheres – CPM, unidades afeitas à Secretaria Municipal de Direitos Humanos e Cidadania – SMDHC."/>
        <s v="Serviço Telefônico Fixo Comutado – STFC por meio de linhas diretas não residenciais, destinado ao tráfego de chamadas locais e longa distância nacional, pelo período de 12 (doze) meses, para atender a Coordenação de Políticas para as Mulheres e seus equipamentos, afeitos à Secretaria Municipal de Direitos Humanos e Cidadania"/>
        <s v="Contratação de empresa especializada na prestação de serviços de Coffee Break para atender os participantes do evento &quot;Empregabilidade LGBTI&quot; com previsão para ocorrer no dia 25 de fevereiro de 2025, atendendo á solicitação da Coordenação de Políticas para LGBTI, pasta da SMDHC."/>
        <s v="Aquisição de material de consumo para o exercício de 2025, chás de diversos sabores, adoçante liquido, garrafa térmica, filtro de papel e guardanapo de papel, para atender a sede da Secretaria de Direitos Humanos e Cidadania-SMDHC."/>
        <s v="Contratação de empresa especializada na prestação de serviços – de natureza continuada – de controle sanitário integrado no combate a vetores e pragas urbanas (baratas, formigas, pombos, morcegos, dentre outras), compreendendo também a desinsetização, desratização, descupinização e controle ambiental em todas as áreas internas e externas adjacentes à equipamentos pertencentes à Secretaria Municipal de Direitos Humanos e Cidadania – SMDHC."/>
        <s v="Consumo de Energia Elétrica - Casa de Passagem - Exercício de 2025."/>
        <s v="Contratação de empresa especializada para a prestação de serviços de locação e instalação de equipamentos e software (sistema informatizado) necessários e suficientes para o funcionamento de um Circuito Fechado de Televisão – CFTV, incluindo sua manutenção preventiva e corretiva e uma Central de Monitoramento Remoto (período noturno), visando à efetiva cobertura das 52 (cinquenta e duas) sedes dos Conselhos Tutelares, pertencentes à Secretaria Municipal de Direitos Humanos e Cidadania"/>
        <s v=" Contratação de empresa especializada na prestação de serviços de Coffe Break Tipo 1 para os eventos voltados à formação da rede de enfrentamento à violência de gênero, em parceria a Coordenação de Pronto Atendimento Social da Secretaria Municipal de Assistência e Desenvolvimento Social (SMADS) e o Grupo de Atuação Especial de Enfrentamento À Violência Doméstica (GEVID)."/>
        <s v=" Prestação de Serviços, sob demanda, de empresa especializada para elaboração de laudo de avaliação de locação de imóveis"/>
        <s v="Fornecimento e instalação de 05 (cinco) aparelhos de ar condicionado para o atendimento das necessidades do Edifício Patriarca, sede da Ouvidoria da Secretaria Municipal de Direitos Humanos e Cidadania – SMDHC."/>
        <s v="Contratação de empresa especializada para a prestação de serviços de locação de Sistema PABX, com DDR, incluídos os serviços de instalação, gerenciamento e manutenção, visando atender aos 52 (cinquenta e dois) dos Conselhos Tutelares, pertencentes à Secretaria Municipal de Direitos Humanos e Cidadania."/>
        <s v="Contratação de licença de acesso ao sistema de pesquisa e comparação de preços praticados pela Administração Pública, denominada BANCO DE PREÇOS."/>
        <s v="fornecimento de energia elétrica - Casa de Passagem - Exercício de 2025."/>
        <s v="Parceria. Termo de Colaboração. Objeto Gestão do Centro de Referência LGBTI+ Brunna Valin e Unidade Móvel LGBTI+ Centro."/>
        <s v="Fornecimento de açúcar refinado para o Exercício de 2025- Ata de Registro de Preços nº 001/SEGES-COBES/2025."/>
        <s v="Prestação de Serviços por empresa especializada em Controle de Pragas Urbanas e Vetores, compreendendo Desinsetização, Desratização e Descupinização para todas as áreas internas e externas adjacentes aos equipamentos da Secretaria Municipal de Direitos Humanos e Cidadania – SMDHC, com fornecimento de todos os materiais, equipamentos e ferramentas necessários, de acordo com as especificações e condições constantes do ANEXO I do Edital de Pregão."/>
        <s v="Contratação de empresa especializada no fornecimento de gás liquefeito de petróleo (GLP) botijão de 45 kg. para as unidades: Casa da Mulher Brasileira e Casa Helenira Rezende, supervisionado pela Coordenação de Políticas para Mulheres."/>
        <s v="Contratação de empresa especializada na prestação de  serviços de impressão de material gráfico, cartão de visita frente e verso - ATA DE REGISTRO DE PREÇOS Nº 001/SMDHC/2024"/>
        <s v="Contratação de empresa especializada na prestação de serviços de Kit Lanche, para atender os_x000a_participantes da Reunião Extraordinária que acontecerá dia 06 de março na Secretaria Municipal de Direitos Humanos e Cidadania (SMDHC), evento esse realizado pela Coordenação dos Povos Indígenas."/>
        <s v="Contratação de empresa especializada na prestação de serviços de Coffee Break, de Brunch e de Kit Lanche - ATA DE REGISTRO DE PREÇOS Nº 008/SMDHC/2023 - atender aos participantes do Evento &quot;Dia Internacional da Mulher&quot;, na Casa da Mulher Brasileira  realizado pela SMDHC/GAB,  Gabinete desta desta Secretaria Municipal de Direitos Humanos e Cidadania."/>
        <s v="Contratação de empresa especializada na prestação de serviços, sob demanda, de confecção e impressão de material gráfico - ATA DE REGISTRO DE PREÇOS Nº 003/SMDHC/2024._x000a__x000a_ "/>
        <s v="Contratação de empresa especializada na prestação de serviços, sob demanda, de confecção e impressão de material gráfico - ATA DE REGISTRO DE PREÇOS Nº 004/SMDHC/2024 "/>
        <s v=" Prestação de serviços de limpeza e desinfecção de reservatório predial às unidades da Prefeitura do Município de São Paulo - Grupo 1 (Centro)- ATA DE REGISTRO DE PREÇÕS nº 002/SEGES-COBES/2022."/>
        <s v="Contratação para aquisição de vaso sanitário para caixa acoplada com vistas ao atendimento das_x000a_necessidades do Edifício São Joaquim, sede da Secretaria Municipal de Direitos Humanos e Cidadania –_x000a_SMDHC - AVISO DE DISPENSA ELETRÔNICA Nº 90030/2025."/>
        <s v="Contratação para aquisição de 03 (três) unidades de Escadas de Alumínio para atendimento das necessidades da Secretaria Municipal de Direitos Humanos e Cidadania – SMDHC - AVISO DE DISPENSA ELETRÔNICA Nº 90029/2025."/>
        <s v="Contratação de empresa especializada na prestação de serviços de Kit Lanche  - ARP nº 009/SMDHC/2023 (LOTE 3)."/>
        <s v="Pagamento de Multa de Trânsito Carro Oficial –  FIAT/UNO MILLE FIRE – Placa CMW0326"/>
        <s v="Aquisição de 400 (quatrocentos) unidades de Bloco de Notas com Capa Blocado e 350 (trezentos e cinquenta ) unidades de Folder / 3 Dobra / A4 / horizontal - para o evento Seminário de Comunicação Não Violenta e Justiça Restaurativa."/>
        <s v="Fornecimento de 01(uma) licença do software Canvas Pro, pelo período de 12 (doze) meses, para o setor de comunicação, para desenvolvimento de projetos na Secretaria de Direitos Humanos e Cidadania."/>
        <s v="Contratação de empresa especializada na prestação de serviços de Coffee Break, Tipo II&lt; para atender aos participantes da atividade intitulada &quot;Dia Internacional da Mulher&quot; - ATA DE REGISTRO DE PREÇOS Nº 008/SMDHC/2023"/>
        <s v="Assinatura do jornal O Estado de S.Paulo (digital+impresso) pelo período de 12 (doze) meses."/>
        <s v="Contratação do INSTITUTO DE ESTUDOS DE PROTESTO DE TÍTULOS DO BRASIL - SEÇÃO SÃO PAULO - IEPTB - SP para serviços cartoriais voltados para o programa Respeito Tem Nome."/>
        <s v="Contratação por inexigibilidade de licitação com a EMPRESA FOLHA DA MANHA S.A., inscrita sob CNPJ nº 60.579.703/0001-48, para o fornecimento de 01 (uma) assinatura anual do jornal &quot;Folha de S.Paulo.&quot;, impresso de segunda a Domingo + digital diário."/>
        <s v="Contratação de empresa especializada na prestação de serviços de Kit Lanche para atender aos participantes da Reunião Extraordinária da SMDHC/CPDDH/COPIND."/>
        <s v="Contratação de empresa especializada na prestação de serviços de Kit Lanche para atender aos participantes da 126ª Reunião Ordinária do Comitê Intersetorial da Política para População em Situação de Rua - ATA DE REGISTRO DE PREÇOS Nº 009/SMDHC/2023"/>
        <s v="Contratação de empresa especializada na prestação de serviços de Coffee Break Tipo I para o evento de mulheres que será celebrado na Assembleia Legislativa do Estado de São Paulo - Alesp - ATA DE REGISTRO DE PREÇOS Nº 008/SMDHC/2023."/>
        <s v="Contratação de empresa especializada para a prestação de serviços, sob demanda, de confecção e impressão de material gráfico pelo período de 1 (um) mês contados da data da assinatura do contrato."/>
        <s v="Contratação de empresa especializada na prestação de serviços de Coffee Break, Tipo II, para atender aos participantes do evento &quot;Café com a Coordenadora&quot; de Políticas para LGBTI+, juntamente de outras personalidades importantes da comunidade Trans e Travesti, em comemoração ao dia Internacional da Visibilidade Trans, realizado pela SMDHC/CPDDH/CPLGBTI - Coordenação de Políticas para LGBTI."/>
        <s v="Aquisição de café torrado e moído embalado em alto vácuo, de qualidade mínima superior."/>
        <s v="Aquisição de 156 (cento e cinquenta e seis) unidades de Ventiladores de coluna; Potência de 170W;  para o atendimento das dependências dos estabelecimentos que funcionam como sede dos Conselhos Tutelares."/>
        <s v="Assinatura do jornal O Globo  impresso pelo período de 12 (doze) meses."/>
        <s v="Assinatura do jornal O Globo digital pelo período de 12 (doze) meses"/>
        <s v="Assinatura do jornal Valor Econômico (digital+impresso) pelo período de 12 (doze) meses"/>
        <s v="Aquisição de materiais de limpeza para higienização das instalações, equipamentos e cuidados pessoais dos agentes operacionais do Banco de Alimentos e CRESANs Butantã e Vila Maria_x000a__x000a_ "/>
        <s v="Aquisição de materiais de papelaria para a equipe disponível no CRESAN Butantã."/>
        <s v="Aquisição de materiais para manipulação de alimentos no Banco de alimentos, atendendo as necessidades da SMDHC/SESANA/COSAN/CRESAN/VILA, pasta desta Secretaria Municipal de Direitos Humanos e Cidadania-SMDHC."/>
        <s v="Contratação de empresa especializada na prestação de serviços de Coffee Break, de Brunch e de Kit Lanche - ATA DE REGISTRO DE PREÇOS Nº 008/SMDHC/2023 - para atender aos participantes do evento, referente a atividade intitulada &quot;Integração Serviços de Assistência Social, Direitos Humanos e Órgãos do Sistema de Justiça - Termo de Cooperação Técnica nº 21/2023&quot;"/>
        <s v="Contratação de empresa para prestação de serviço de relatoria e metodologia incluída mão-de-obra e todos os materiais necessários à execução das atividades previstas para a conferência a ocorrer em 2025."/>
        <s v="Contratação de prestação de serviços, de natureza artística, para o “Abril Indígena 2025: “Rodas De Saberes Multiétnicas”."/>
        <s v="Contratação de prestação de serviços, de natureza artística, para o “Abril Indígena 2025: “Rodas De Saberes Multiétnicas”"/>
        <s v="Prestação de serviços, sob demanda, de confecção e impressão de material gráfico. - ATA DE REGISTRO DE PREÇOS Nº 002/SMDHC/2024"/>
        <s v="Abril Indígena 2025: “Rodas De Saberes Multiétnicas”"/>
        <s v="Contratação de prestação de serviços, de natureza artística, para o “Abril Indígena 2025: “Rodas De Saberes Multiétnicas”_x000a_"/>
        <s v="Contratação direta por Inexigibilidade de Licitação, do Sr. ADILSON LUIS DO NASCIMENTO, inscrito no CPF sob o nº ***.833.984 - ** , para a prestação de serviços, de natureza artística, para o “Abril Indígena 2025: “Rodas De Saberes Multiétnicas”."/>
        <s v="Prestação de serviços, de natureza artística, para o “Abril Indígena 2025: “Rodas De Saberes Multiétnicas” "/>
        <s v="Contratação de prestação de serviços, de natureza artística, para o “Abril Indígena 2025: “Rodas De Saberes Multiétnicas, a ser firmado atravès da palestrante Vanuzia Costa Santos - com objetivo de promover a &quot; Roda de Saberes Multiétnicos&quot;"/>
        <s v=" Prestação de serviços, de natureza artística, para o “Abril Indígena 2025: “Rodas De Saberes Multiétnicas”."/>
        <s v="Contratação de empresa especializada na prestação de serviços de limpeza e desinfecção, preventiva e periódica, de reservatórios de água (caixas d’água), pertencentes aos equipamentos afeitos à Secretaria Municipal de Direitos Humanos e Cidadania – SMDHC."/>
        <s v="Contratação de duas licenças de uso do ChatGPT Plus pelo período de 12 meses, para atender às demandas da instituição em atividades de suporte, automação de tarefas, redação de conteúdo, análise de dados e desenvolvimento de soluções baseadas em inteligência artificial (IA), para atender o departamento de comunicação da Secretaria de Direitos Humanos e Cidadania - SMDHC."/>
        <s v="Contratação de prestação de serviços, de natureza artística, para o “Abril Indígena 2025: “Rodas De Saberes Multiétnicas” "/>
        <s v="Contratação de prestação de serviços, de natureza artística, para o “Abril Indígena 2025: “Rodas De Saberes Multiétnicas”._x000a_"/>
        <s v="Contratação de empresa especializada na prestação de serviços de digitalização com conversão de processos físicos em digitais, no formato PDF, compreendendo as operações de preparação, organização, higienização, digitalização, conferência, validação, gestão de qualidade e tratamento, recomposição e com regime de execução por empreitada por preço unitário, com a finalidade de atender às necessidades do Banco de Alimentos, equipamento pertencente à Secretaria Executiva de Segurança Alimentar, Nutricional e de Abastecimento, da Secretaria Municipal de Direitos Humanos e Cidadania – SMDHC."/>
        <s v="Contratação de empresa especializada na prestação de serviços de Coffee Break, - ATA DE REGISTRO DE PREÇOS Nº 008/SMDHC/2023._x000a__x000a_ "/>
        <s v="Contratação de empresa especializada na prestação de serviços de fornecimento de Kit Lanche, para atender os participantes da 127ª Reunião Ordinária do Comitê Intersetorial da Política para População em Situação de Rua - ATA DE REGISTRO DE PREÇOS Nº 009/SMDHC/2023."/>
        <s v="Fornecimento de kit-lanche para atender aos participantes do lançamento do filme &quot;Inferno de Pedra&quot;."/>
        <s v="Contratação de empresa especializada na prestação de serviços de fornecimento de 4.000 (quatro mil) kits lanches, para atender os imigrantes vítimas do incêndio do prédio da praça da República"/>
        <s v="Contratação de empresa especializada na prestação de serviços de confecção de material gráfico - ATA DE REGISTRO DE PREÇOS Nº 002/SMDHC/2024."/>
        <s v="Contratação de empresa especializada na prestação de serviços de confecção de material gráfico - ATA DE REGISTRO DE PREÇOS Nº 002/SMDHC/2024"/>
        <s v="CONTRATADO: Paulo Henrique Alves (CPF nº 327.762.038-70), conforme Contrato/Declaração de Exclusividade, por intermédio de Produtora Ines Oliveira Ltda, inscrita no CNPJ sob o nº 24.496.217/0001-00_x000a__x000a_ _x000a__x000a_OBJETO: Espetáculo Musical/Show - PH ZABUMBADA - PH ZABUMBADA_x000a__x000a_ _x000a__x000a_PERÍODO DE EXECUÇÃO DOS SERVIÇOS: 27/04/2025 - totalizando 1 (uma) apresentação conforme cronograma:_x000a__x000a_ _x000a__x000a_LOCAL e HORÁRIO: Avenida Vieira de Carvalho_x000a__x000a_ _x000a__x000a_VALOR GLOBAL: R$ 20.000,00 (vinte mil reais), a ser pago após a confirmação da execução dos serviços pela unidade requisitante._x000a__x000a_ _x000a__x000a_FORMA DE PAGAMENTO: O pagamento se dará no 30º (trigésimo) dia após a data de entrega de toda documentação correta relativa ao pagamento._x000a__x000a_ _x000a__x000a_DOTAÇÃO ORÇAMENTÁRIA: 34.10.14.122.3024.2.100.3.3.90.39.00.00, conforme Nota de Reserva com Transferência N° 31.804/2025 (124261890)_x000a__x000a_ "/>
        <s v="CONTRATADO: DAVID ASSUNÇÃO LOPES (CPF nº 475.296.998-06), conforme Contrato/Declaração de Exclusividade, por intermédio de Produtora Ines Oliveira Ltda, inscrita no CNPJ sob o nº 24.496.217/0001-00_x000a_OBJETO: Espetáculo Musical / Show - Banda 4Jam - Banda4Jam_x000a_PERÍODO DE EXECUÇÃO DOS SERVIÇOS: de 27/04/2025 a 18/05/2025 - totalizando 2 apresentações conforme cronograma:"/>
        <s v="Aquisição por Dispensa de Licitação de mesa de canto om vistas ao atendimento das necessidades do Gabinete da Secretaria Municipal de Direitos Humanos e Cidadania – SMDHC."/>
        <s v="Aquisição, por dispensa de licitação, de 275 (duzentas e setenta e cinco) unidades de toalhas de banho."/>
        <s v="CONTRATADO: Valquiria Affonso Aguilera  (CPF nº 128.934.078-11), conforme Contrato/Declaração de Exclusividade, por intermédio de Produtora Ines Oliveira Ltda, inscrita no CNPJ sob o nº 24.496.217/0001-00_x000a__x000a_ _x000a__x000a_OBJETO: Performance - Cia da Alegria &quot; As Aventuras da Madame Mim Mim&quot; - As Aventuras da Madame Mim Mim_x000a__x000a_ _x000a__x000a_PERÍODO DE EXECUÇÃO DOS SERVIÇOS: de 27/04/2025 a 18/05/2025 - totalizando 2 apresentações conforme cronograma:_x000a__x000a_ _x000a__x000a_LOCAL e HORÁRIO: Avenida Vieira de Carvalho_x000a__x000a_ _x000a__x000a_VALOR GLOBAL: R$ 10.000,00 (dez mil reais), a ser pago após a confirmação da execução dos serviços pela unidade requisitante._x000a__x000a_ _x000a__x000a_FORMA DE PAGAMENTO: O pagamento se dará no 30º (trigésimo) dia após a data de entrega de toda documentação correta relativa ao pagamento._x000a__x000a_ _x000a__x000a_DOTAÇÃO ORÇAMENTÁRIA: 34.10.14.122.3024.2.100.3.3.90.39.00.00, conforme nota de reserva com transferência nº 31.804/24"/>
        <s v="Contratação para a prestação de serviços de confecção e impressão frente e verso de 500 (quinhentas ) unidades de Cartão de visita para atender as necessidades do Gabinete desta Secretaria Municipal de Direitos Humanos e Cidadania - ATA DE REGISTRO DE PREÇOS Nº 001/SMDHC/2024"/>
        <s v="Aquisição de materiais de limpeza, para atendimento das demandas da CMB_x000a_"/>
        <s v="Aquisição de itens para manutenções e reposições de materiais de informática e ferramentas, atendendo as necessidades do Departamento de Tecnologia da Informação e Comunicação - SMDHC."/>
        <s v="Apresentação &quot;TORÉ&quot;, para V Conferência Municipal de Promoção de Igualdade Racial, com o tema “Igualdade e Democracia: Reparação e Justiça Racial”."/>
        <s v="Contratação de intervenção artística de dança étnica de povos ciganos, para V Conferência Municipal de Promoção de Igualdade Racial, com o tema “Igualdade e Democracia: Reparação e Justiça Racial”"/>
        <s v="Realização da atividade de dança étnica de povos ciganos para abertura da &quot;V Conferência Municipal de Promoção de Igualdade Racial - Edição 2025._x000a_"/>
        <s v="Apresentação de dança étnica de povos ciganos, para V Conferência Municipal de Promoção de Igualdade Racial, com o tema “Igualdade e Democracia: Reparação e Justiça Racial”."/>
        <s v="Performance voz e violão do cantor Reinaldo Bruno Nascimento para a apresentação artística na V Conferência Municipal de Promoção de Igualdade Racial, com o tema “Igualdade e Democracia: Reparação e Justiça Racial”."/>
        <s v="Contratação de Mestre de Cerimônia para V Conferência Municipal de Promoção de Igualdade Racial, com o tema “Igualdade e Democracia: Reparação e Justiça Racial”."/>
        <s v="Contratação de empresa especializada na prestação de Serviços de Controle de Pragas Urbanas e Vetores para a Casa da Mulher Brasileira - CMB."/>
        <s v="Contratação para aquisição de itens de higiene pessoal para atendimento das demandas da CMB, pertencente à Secretaria Municipal de Direitos Humanos e Cidadania (SMDHC)."/>
        <s v="Contratação de empresa especializada no fornecimento de serviços de Kit Lanche - ATA DE REGISTRO DE PREÇOS Nº 009/SMDHC/2023"/>
        <s v="Contratação de empresa especializada na prestação de serviços de Coffee Break para atender a atividade intitulada Encontro Pankararu - ATA DE REGISTRO DE PREÇOS Nº 008/SMDHC/2023"/>
        <s v="Contratação de empresa para a aquisição com fornecimento parcelado de itens de alimentação classificados como Materiais de Consumo, para atendimento da Casa da Mulher Brasileira, pertencente à Secretaria Municipal de Direitos humanos e Cidadania - SMDHC."/>
        <s v="Pagamento da taxa anual de participação na rede internacional Rainbow Cities Network - RCN - Exercício 2025"/>
        <s v="Contratação de empresa especializada na prestação de serviços de fornecimento de 4.093 (quatro mil noventa e três) kits lanches, para atender os dias 12, 13,14,15 e 16 de maio 2025 onde serão realizadas atividades nos equipamentos desta Secretaria Municipal de Direitos Humanos e Cidadania-SMDHC."/>
        <s v="Confecção e impressão de 5000 (cinco mil) unidades de cartazes A2 (42,0x59,4cm); impressão: frente; cores: 4x) (colorido), papel: couché fosco 170g; acabamento: refile; sem enobrecimento; sem Extras."/>
        <s v="Contratação de empresa especializada na prestação de serviços, sob demanda, de confecção e impressão de material gráfico, para o fornecimento de 40 (quarenta) unidades de camisetas personalizadas, 450 (quatrocentos e cinquenta) unidades de Squeeze e de 450 (quatrocentos e cinquenta) unidade de sacolas (ecobag) ecológicas com profundidade e laterais em algodão cru para a IV Conferência Municipal dos Direitos das Pessoas LGBTQIA+."/>
        <s v="Contratação de empresa especializada na prestação de serviços de confecção de material gráfico "/>
        <s v="Contratação de empresa especializada na prestação de serviços, sob demanda, de confecção e impressão de material gráfico "/>
        <s v="Aquisição de 05 (cinco) Certificado DigitaL e-CNPJ, para atender as necessidades do FUMCAD, FMID, FAASP, FUMCAF e o gabinete da Secretaria Municipal de Direitos Humanos e Cidadania - SMDHC."/>
        <s v="Contratação de empresa especializada em serviços gráficos para para a Coordenadoria da Pessoa Idosa - CPPI na realização da  VI Conferência Municipal dos Direitos da Pessoa Idosa , para o atendimento às desta Secretaria Municipal de Direitos Humanos e Cidadania."/>
        <s v="Locação de espaço do Centro Universitario das Faculdades Metropolitanas Unidas a para VI Conferência Municipal dos Direitos da Pessoa Idosa, com o tema “Envelhecimento Multicultural e Democracia: Urgência por Equidade, Direitos e Participação”"/>
        <s v="Contratação de empresa especializada na prestação de serviços de fornecimento de  kits lanches, para atender os dias 16, 17 e 18 de maio de 2025, para a VI Conferência Municipal dos Direitos da Pessoa Idosa, organizada por esta Secretaria Municipal de Direitos Humanos e Cidadania-SMDHC."/>
        <s v="Aquisição de torneiras e demais acessórios ."/>
        <s v="Aquisição de caixas plásticas vazadas."/>
        <s v=" Fornecimento de Gás Liquefeito de Petróleo (GLP) envasado em Botijão (P13 e P45), para o atendimento das necessidades de unidades afetas à SMDHC."/>
        <s v="Contratação de empresa especializada em Manutenção de Ar condicionado Central marca Hitachi, modelo SPLITÃO 20TR, localizados na rua Libero Badaró, nº 293, 25°andar Blocos A e B, com fornecimento de material, mão de obra e equipamentos."/>
        <s v="Contratação de empresa especializada de serviço de gráfica para impressão de de 1000 (mil) unidades de livreto Guia de Serviços e Direitos da Pessoa Egressa e Familiares"/>
        <s v="Contratação por Dispensa de Licitação, da empresa PRYME VENDAS &amp; SERVICOS LTDA, inscrita no C.N.P.J. sob o nº 49.219.570/0001-66, para a confecção de 20.000 (vinte mil) tatuagens autoadesivas temporárias personalizadas de transferência a base de água cortadas individualmente com película de proteção plástica removível. Em conformidade com o Aviso de Dispensa Eletrônica nº 90053/2025 (SEI 125663912) e em consonância com as especificações detalhadas no Termo de Referência (SEI 125656256) e na proposta apresentada pela contratada (SEI 125962584), com prazo de entrega, dia 23/05/2025."/>
        <s v="Contratação de empresa especializada para a prestação de serviço de relatoria e mediação, incluindo mão-de-obra e todos os materiais necessários à execução das atividades previstas para as conferências a ocorrer em 2025._x000a__x000a_ "/>
        <s v=" Contratação de empresa especializada na prestação de serviços de Kit Lanche"/>
        <s v="Contratação de empresa especializada na prestação de serviços de Kit Lanche - ATA DE REGISTRO DE PREÇOS Nº 009/SMDHC/2023"/>
        <s v="Contratação de Mestre de Cerimônia para abertura da &quot;IV Conferência Municipal dos Direitos das Pessoas LGBTQIA+ de São Paulo&quot;"/>
        <s v="Contratação de intervenção artística - Cantora para a &quot;IV Conferência Municipal dos Direitos das Pessoas LGBTQIA+ de São Paulo&quot;."/>
        <s v="Contratação de serviços de mixagem e som - DJ, para a &quot;IV Conferência Municipal dos Direitos das Pessoas LGBTQIA+ de São Paulo&quot;"/>
        <s v="Aquisição de equipamentos audiovisuais e de áudio para o departamento de comunicação da Secretaria Municipal de Direitos Humanos e Cidadania - SMDHC."/>
        <s v="Contratação de apresentação artística para a &quot;IV Conferência Municipal dos Direitos das Pessoas LGBTQIA+ de São Paulo."/>
        <s v="Contratação de apresentação artística para a IV Conferência Municipal dos Direitos das Pessoas LGBTQIA+ de São Paulo."/>
        <s v="Contratação de apresentação artística, para a IV Conferência Municipal dos Direitos das Pessoas LGBTQIA+ de São Paulo."/>
        <s v="Contratação de apresentação artística, para a IV Conferência Municipal dos Direitos das Pessoas LGBTQIA+ de São Paulo"/>
        <s v="Contratação de intervenção artística - Cantora, para a &quot;IV Conferência Municipal dos Direitos das Pessoas LGBTQIA+ de São Paulo&quot;"/>
        <s v="Contratação de empresa especializada na prestação de serviços de Kit Lanche"/>
        <s v="Contratação de empresa especializada na prestação de serviços de fornecimento de kits lanches para a IV Conferência Municipal dos Direitos da Pessoa LGBTQIA+."/>
        <s v="Contratação de empresa especializada na prestação de serviços de confecção de material gráfico - ATA DE REGISTRO DE PREÇO nº 001/SMDHC/2024"/>
        <s v="Contratação de estudos técnicos e assessoria para a elaboração do Diagnóstico Técnico Legal e Plano de Ação com objetivo de diagnosticar as necessidades legais, executivas e adequações físicas para obtenção do Auto de Vistoria do Corpo de Bombeiros (AVCB) das 52 (cinquenta e dois) edificações dos Conselhos Tutelares do Município de São Paulo da Secretaria Municipal de Direitos Humanos e Cidadania - SMDHC."/>
        <s v="Aquisição de agasalhos, roupas e vestuários de inverno, por meio de Ata de Registro de Preços, visando atender às necessidades da Coordenação de Políticas para População em Situação de Rua da Secretaria Municipal de Direitos Humanos e Cidadania (SMDHC)."/>
        <s v="Fornecimento de agasalhos, roupas e vestuários de inverno, por meio de Ata de Registro de Preços, visando atender às necessidades da Coordenação de Políticas para População em Situação de Rua Ata de Registro de Preços 004/SMDHC/2023."/>
        <s v="Fornecimento de agasalhos, roupas e vestuários de inverno, por meio de Ata de Registro de Preços, visando atender às necessidades da Coordenação de Políticas para População em Situação de Rua - Ata de Registro de Preços 006/SMDHC/2023."/>
        <s v="Contratação de empresa especializada em capacitação profissionais para atender mulheres vítimas de violência, assédio e importunação sexual durante a Virada Cultural de São Paulo, ofertando atendimento humanizado e qualificado, orientações gerais sobre os seus direitos, promovendo espaços seguros e acolhedores, e de respeito e proteção às ampliando o alcance do Programa Protocolo &quot;Não Se Cale&quot;."/>
        <s v="Aquisição, por Dispensa de Licitação, de itens de copa. "/>
        <s v="Contratação de empresa especializada na prestação de serviços de confecção de material gráfico - ATA DE REGISTRO DE PREÇOS Nº 001/SMDHC/2024"/>
        <s v="Contratação de empresa especializada na prestação de serviços de Coffee Break -Ata de Registro de Preços nº 008/SMDHC/2023"/>
        <s v="Contratação de empresa especializada na prestação de serviços de Coffee Break - ATA DE REGISTRO DE PREÇOS Nº 008/SMDHC/2023"/>
        <s v="Aquisição, por Dispensa de Licitação, de material de construção."/>
        <s v="Parceria. Termo de Fomento. Emenda Parlamentar. Projeto &quot;Aracne&quot;."/>
        <s v="Contração de kits lanche para a 4ª Edição da Virada ODS 2025."/>
        <s v="Contratação de palestrante para Virada ODS 2025: “Contação de Historias do povo Guarani Mbyá”."/>
        <s v="Fornecimento de 60 (sessenta) coletes operacionais personalizados, a serem utilizados pelos(as) servidores(as) da Secretaria Municipal de Direitos Humanos e Cidadania de São Paulo, com o objetivo de padronizar a identificação visual nas ações de campo e assim garantir maior segurança e profissionalismo no atendimento às demandas da Pasta."/>
        <s v="Pagamento débito multa - Inscrito em Dívida Ativa - ausência do Certificado de Licença do Corpo de Bombeiro- imóvel Conselho Tutelar Brasilândia- Despesa de Exercícios Anteriores - DEA"/>
        <s v="Aquisição, por Dispensa de Licitação, de itens de alimentação."/>
        <s v="Termo de Fomento. Emenda Parlamentar. Projeto &quot;Metamorfose&quot;"/>
        <s v="Contratação de empresa especializada na prestação de serviços de Coffee Break - ATA DE REGISTRO DE PREÇO nº 008/SMDHC/2023"/>
        <s v="Contratação de empresa especializada na prestação de serviços de Coffee Break para atender ao evento de &quot;Miss Brasil Diversidade 2025 (A VOZ DO SOCIAL)&quot; - ATA DE REGISTRO DE PREÇO nº 008/SMDHC/2023."/>
        <s v="TELEFONICA BRASIL S.A- Despesa de Exercícios Anteriores - DEA Transferido de Unidade._x000a_Contratação Original 348/2023  Encerrada na Unidade de Origem Anterior. _x000a_Decreto de Transferência 62.361 de 04 de Maio/2023"/>
        <s v="Elaboração De Material Técnico Para Desapropriação, Os Imóveis Particulares Que Especifica, Situados No Distrito Do Bom Retiro, Subprefeitura Da Sé, Necessários À Implantação De Equipamento Público."/>
        <s v="Contratação de empresa especializada na prestação de serviços de Kit Lanche para reunião com coordenadores e servidores - ATA DE REGISTRO DE PREÇOS Nº 009/SMDHC/2023"/>
        <s v="CONTRATADO: JULIANA MARTINS SANTOS (CPF nº 394.737.728-23), conforme Contrato/Declaração de Exclusividade, por intermédio de 28.168.057 Juliana Martins Santos, inscrita no CNPJ sob o nº 54.166.008/0001-51_x000a__x000a_ _x000a__x000a_OBJETO: Cultura Popular: Bloco de Carnaval - Raizes do Samba - 24° Feira da Diversidade LGBT+_x000a__x000a_ _x000a__x000a_PERÍODO DE EXECUÇÃO DOS SERVIÇOS: 19/06/2025 - totalizando 1 apresentação conforme cronograma:"/>
        <s v="19/06/2025 a 22/06/2025 -  Av. Mário de Andrade, 664 - Intervenção Artística - Reginaldo Aguilera LGBTQIA+ - Palavra Corpo Memória_x000a__x000a_ "/>
        <s v="19/06/2025   - Cultura Popular: Bloco de Carnaval - Mocidade Unida da Mooca - 24° Feira da Diversidade LGBT+"/>
        <s v="Contratação de empresa especializada para o fornecimento de 650 (seiscentos e cinquenta) unidades de sacolas (ecobag), 650 (seiscentos e cinquenta) unidades de squeeze e 50 (cinquenta) unidades de camisetas personalizadas, para os conferencistas da VI Conferência Municipal de Políticas para as Mulheres."/>
        <s v="CONTRATADO: LUARA DOS SANTOS FIDELIS (CPF nº 433.597.278-43), conforme Contrato/Declaração de Exclusividade, por intermédio de DOG MUSIC LAB PRODUCOES LTDA, inscrita no CNPJ sob o nº 35.646.556/0001-34_x000a__x000a_ _x000a__x000a_OBJETO: Espetáculo Musical/Show - Boombeat - 24° Feira da Diversidade LGBT+_x000a__x000a_ _x000a__x000a_PERÍODO DE EXECUÇÃO DOS SERVIÇOS:19/06/2025 - totalizando 1 apresentação conforme cronograma:_x000a__x000a_ _x000a__x000a_LOCAL e HORÁRIO: Av. Mário de Andrade, 664 - 17:40h às 18:40h_x000a__x000a_VALOR GLOBAL: R$ 2.000,00 (dois mil reais), a ser pago após a confirmação da execução dos serviços pela unidade requisitante._x000a__x000a_ _x000a__x000a_FORMA DE PAGAMENTO: O pagamento se dará no 30º (trigésimo) dia após a data de entrega de toda documentação correta relativa ao pagamento."/>
        <s v="19/06/2025 a 22/06/2025 - Av. Mário de Andrade, 664 -  Performance - Leticia Goes - Espelhos da Verdade"/>
        <s v="19/06/2025 a 22/06/2025 - Av. Mário de Andrade, 664 -  Performance - Leandro Junior - 24 Feira Cultural LGBT 2025"/>
        <s v="19/06/2025 a 22/06/2025 -  Performance - Cia da Alegria As Aventuras da Madame Mim Mim&quot; LGBT - As Aventuras da Madame Mim Mim"/>
        <s v="19/06/2025 - Av. Mário de Andrade, 664 - 16:00h às 17:00h - Performance - Coletivo Drag Memória - 24 Feira da Diversidade LGBT+_x000a__x000a_ "/>
        <s v="22/06/2025 - Av. Paulista, 1578 - 10:00h às 11:00h - Performance - Daniel Pires - 24ª Feira Cultural LGBT 2025 Parada do Orgulho LGBT+ 2025"/>
        <s v="19/06/2025 a 22/06/2025 - Av. Mário de Andrade, 664 -  Performance - Patricia Maruccio - Presença e Performance"/>
        <s v="CONTRATADO: Alexsander Vaz do Nascimento (CPF nº135.919.878-40), conforme Contrato/Declaração de Exclusividade, por intermédio de 28.168.057 Juliana Martins Santos, inscrita no CNPJ sob o nº 28.168.057/0001-13_x000a__x000a_ _x000a__x000a_OBJETO: Performance - Lysa Bombom - 24° Feira da Diversidade LGBT+_x000a__x000a_ _x000a__x000a_PERÍODO DE EXECUÇÃO DOS SERVIÇOS:19/06/2025 - totalizando 1 apresentação conforme cronograma:_x000a__x000a_ _x000a__x000a_LOCAL e HORÁRIO: Av. Mário de Andrade, 664 - 16:00h às 20:00h"/>
        <s v=" 22/06/2025 - Av. Paulista, 1578 - 13:10h às 14:10h - Espetáculo Musical / Show - Laksmi e Banda - Show Terra"/>
        <s v="CONTRATADO: JULIANA MARTINS SANTOS (CPF nº 394.737.728-23), conforme Contrato/Declaração de Exclusividade, por intermédio de 28.168.057 Juliana Martins Santos, inscrita no CNPJ sob o nº 28.168.057/0001-13_x000a_OBJETO: Cultura popular : Maracatu, jongo, congadas e similares - Abada Capoeira Show - 24 Feira da Diversidade LGBT+_x000a_PERÍODO DE EXECUÇÃO DOS SERVIÇOS:19/06/2025 - totalizando 1 apresentação conforme cronograma:"/>
        <s v="CONTRATADO: GIULIA LAGES BODERONE (CPF nº 162.485.517-23), conforme Contrato/Declaração de Exclusividade, por intermédio de 53.105.869 GIULIA LAGES BODERONE, inscrita no CNPJ sob o nº 53.105.869/0001-67_x000a__x000a_ _x000a__x000a_OBJETO: Espetáculo Musical / Show - Giulia Boderone - 24° Feira da Diversidade LGBT+_x000a__x000a_ _x000a__x000a_PERÍODO DE EXECUÇÃO DOS SERVIÇOS:19/06/2025 - totalizando 1 apresentação conforme cronograma:_x000a__x000a_ "/>
        <s v="19/06/2025 - Av. Mário de Andrade, 664 - 17:00h às 18:00h - Performance - Aline Gior - 24° Feira da Diversidade LGBT+"/>
        <s v="CONTRATADO: MILENA FONSECA FONTES (CPF nº 334.735.118-54), conforme Contrato/Declaração de Exclusividade, por intermédio de 41.882.509 Milena Fonseca Fontes, inscrita no CNPJ sob o nº 41.882.509/0001-92_x000a__x000a_ _x000a__x000a_OBJETO: Espetáculo Musical / Show - Bloco Siriricando - Show Bloco Siriricando_x000a__x000a_ _x000a__x000a_PERÍODO DE EXECUÇÃO DOS SERVIÇOS:19/06/2025 - totalizando 1 apresentação conforme cronograma:"/>
        <s v="CONTRATADO: ANDRÉ ARAÚJO (CPF nº 331.401.868-19), conforme Contrato/Declaração de Exclusividade, por intermédio de 46.250.182 Valquiria Affonso Aguilera, inscrita no CNPJ sob o nº 46.250.182/0001-50_x000a_OBJETO: Intervenção artística - cultura popular - Andre Araujo - Feira LGBT 2025_x000a_PERÍODO DE EXECUÇÃO DOS SERVIÇOS: de 19/06/2025 a 22/06/2025 - totalizando 2 apresentações conforme cronograma::"/>
        <s v=" 22/06/2025 -  Espetáculo Musical / Show - Analu Caldas - Show Maré Raízes"/>
        <s v="CONTRATADO: HIAGO TRINDADE DE SOUSA CRUZ (CPF nº 407.175.238-61), conforme Contrato/Declaração de Exclusividade, por intermédio de HIAGO TRINDADE DE SOUSA CRUZ 40717523861, inscrita no CNPJ sob o nº 28.859.354/0001-05_x000a__x000a_ _x000a__x000a_OBJETO: Espetáculo Musical / Show - As Cheers - 24° Feira da Diversidade LGBT+_x000a__x000a_ _x000a__x000a_PERÍODO DE EXECUÇÃO DOS SERVIÇOS:19/06/2025 - totalizando 1 apresentação conforme cronograma:_x000a__x000a_ _x000a__x000a_LOCAL e HORÁRIO: Av. Mário de Andrade, 664 - 17:00h às 18:00h_x000a__x000a_VALOR GLOBAL: R$ 3.000,00 (três mil reais), a ser pago após a confirmação da execução dos serviços pela unidade requisitante._x000a__x000a_ _x000a__x000a_FORMA DE PAGAMENTO: O pagamento se dará no 30º (trigésimo) dia após a data de entrega de toda documentação correta relativa ao pagamento."/>
        <s v="19/06/2025 - Performance - Coletivo Drag Resistencia - 24 Feira da Diversidade LGBT+"/>
        <s v="19/06/2025 - Av. Mário de Andrade, 664 - 14:00h às 15:00h - Performance - Dafny Delano - 24° Feira da Diversidade LGBT+"/>
        <s v="19/06/2025 a 22/06/2025 -  Espetáculo Musical / Show - Neide Nazaré - Vivência Musical: Forró e Equidade - Vivência Musical - Forró e Equidade"/>
        <s v="CONTRATADO: GUSTAVO DOS SANTOS ANDRADE (CPF nº 461.845.438-57), conforme Contrato/Declaração de Exclusividade, por intermédio de 50.947.198 GUSTAVO DOS SANTOS ANDRADE, inscrita no CNPJ sob o nº 50.947.198/0001-93_x000a__x000a_ _x000a__x000a_OBJETO: Performance - Satanaja Vermillion - 24ª Feira da Diversidade – PARADA LGBT+ SP_x000a__x000a_ _x000a__x000a_PERÍODO DE EXECUÇÃO DOS SERVIÇOS:19/06/2025 - totalizando 1 apresentação conforme cronograma:_x000a__x000a_ _x000a__x000a_LOCAL e HORÁRIO: Av. Mário de Andrade, 664 - 15:00h às 16:00h_x000a__x000a_VALOR GLOBAL: R$ 1.000,00 (hum mil reais), a ser pago após a confirmação da execução dos serviços pela unidade requisitante._x000a__x000a_ _x000a__x000a_FORMA DE PAGAMENTO: O pagamento se dará no 30º (trigésimo) dia após a data de entrega de toda documentação correta relativa ao pagamento."/>
        <s v="19/06/2025 - Av. Mário de Andrade, 664 - 14:40h às 15:40h - Espetáculo Musical / Show - Marco Santos - 24ª Feira Cultural LGBT 2025 Parada do Orgulho LGBT+ 2025"/>
        <s v="19/06/2025 - Espetáculo Musical / Show - Gidaia - 24° Feira da Diversidade LGBT+"/>
        <s v="19/06/2025 - Espetáculo Musical/Show - Beto Marden e Banda - Será um Grito Musical"/>
        <s v="19/06/2025 a 22/06/2025 - Performance - Erick Quadros - Corpos em Cena: Resistência e Poesia"/>
        <s v="19/06/2025 a 22/06/2025 -  Av. Mário de Andrade, 664 - Espetáculo Musical / Show - Ana Dutra - 24° Feira Cultura LGBT 2025"/>
        <s v="19/06/2025 - Performance - Coletivo Drag Futuro - 24 Feira da Diversidade LGBT+"/>
        <s v="19/06/2025 -  Av. Mário de Andrade, 664 - 14:40h às 15:40h - Performance - Grupo de Capoeira Guerreiros da ilha - Grupo de Capoeira Guerreiros da ilha"/>
        <s v="CONTRATADO: ANA FLÁVIA NUNES COUTINHO (CPF nº 470.230.338-40), conforme Contrato/Declaração de Exclusividade, por intermédio de Diversidade Projetos LTDA, inscrita no CNPJ sob o nº 30.707.925/0001-38_x000a__x000a_ _x000a__x000a_OBJETO: Espetáculo Musical / Show - Forro Sapatão - 24° Feira da Diversidade LGBT+_x000a__x000a_ _x000a__x000a_PERÍODO DE EXECUÇÃO DOS SERVIÇOS:19/06/2025 - totalizando 1 apresentação conforme cronograma:_x000a__x000a_ "/>
        <s v="19/06/2025 a 22/06/2025 - Av. Mário de Andrade, 664 - Espetáculo Musical/Show - Trio Malaquias Evento LGBTQIA - 24° Feira Cultura LGBT 2025"/>
        <s v="CONTRATADO: TAMARA FERREIRA FONSECA (CPF nº 135.045.807-47), conforme Contrato/Declaração de Exclusividade, por intermédio de TAMARA F FONSECA - ANGEL SHOWS, inscrita no CNPJ sob o nº 21.467.775/0001-41_x000a__x000a_ _x000a__x000a_OBJETO: Espetáculo Musical / Show - Tamara Angel - 24 Feira da Diversidade LGBT+_x000a__x000a_ _x000a__x000a_PERÍODO DE EXECUÇÃO DOS SERVIÇOS:19/06/2025 - totalizando 1 apresentação conforme cronograma:"/>
        <s v="CONTRATADO: MARCELO DELFINO DA SILVA (CPF nº 349.260.958-90), conforme Contrato/Declaração de Exclusividade, por intermédio de Marcelo Delfino da Silva 34926095890, inscrita no CNPJ sob o nº 45.065.820/0001-08_x000a__x000a_ _x000a__x000a_OBJETO: Espetáculo Musical / Show - Batucada do Nasce - Batucada do Nasce_x000a__x000a_ _x000a__x000a_PERÍODO DE EXECUÇÃO DOS SERVIÇOS:19/06/2025 - totalizando 1 apresentação conforme cronograma:_x000a__x000a_ _x000a__x000a_LOCAL e HORÁRIO: Av. Mário de Andrade, 664 - 14:00h às 15:00h"/>
        <s v="19/06/2025 a 22/06/2025 - Espetáculo Musical / Show - Alexandre Jesus 24 Feira LGBT 2025 - 24° Feira Cultura LGBT 2025"/>
        <s v="19/06/2025  -  Performance - Xênia Star - 24° Feira da Diversidade LGBT+"/>
        <s v="19/06/2025 - Performance - Antara Gold - 24° Feira da Diversidade LGBT+"/>
        <s v="19/06/2025 a 22/06/2025 - Performance - Giovana Tome - 24ª Feira Cultural LGBT 2025 Parada do Orgulho LGBT+ 2025"/>
        <s v="19/06/2025 a 22/06/2025 - Espetáculo Musical / Show - NATHALIA CORTE - Nathalia Corte"/>
        <s v="19/06/2025 -  Performance - RODA DE CAPOEIRA MESTRE PIT BULL - 24ª Feira Cultural LGBT 2025 Parada do Orgulho LGBT+ 2025"/>
        <s v="19/06/2025 - Espetáculo Musical/Show - PH ZABUMBADA - PH ZABUMBADA"/>
        <s v="19/06/2025 a 22/06/2025  - Performance - Bruna Alves LGBTQIA+ - 24ª Feira Cultural LGBT 2025 e Parada do Orgulho LGBT+ 2025"/>
        <s v="19/06/2025 a 22/06/2025 - Av. Mário de Andrade, 664 - Performance - Juan Ferreira LGBTQIA+ - Vozes Visíveis"/>
        <s v="CONTRATADO: ALBERT ROGGENBUCK NETO (CPF nº 734.837.966-49), conforme Contrato/Declaração de Exclusividade, por intermédio de 18.266.990/0001-70 Albert Roggenbuck Neto, inscrita no CNPJ sob o nº 18.266.990/0001-70_x000a__x000a_ _x000a__x000a_OBJETO: Performance - Esquadrão das Drags - Feira da Cultural da Diversidade LGBT+_x000a__x000a_ _x000a__x000a_PERÍODO DE EXECUÇÃO DOS SERVIÇOS:19/06/2025 - totalizando 1 apresentação conforme cronograma:_x000a__x000a_ "/>
        <s v="19/06/2025 - Av. Mário de Andrade, 664 - 16:50h às 17:50h - Espetáculo Musical / Show - Samuel de Abreu 24 Feira LGBT 2025 - 24° Feira Cultura LGBT 2025_x000a__x000a_ "/>
        <s v="19/06/2025  - Espetáculo Musical / Show - Worta Ziagio - 24° Feira da Diversidade LGBT+"/>
        <s v="CONTRATADO: EDUARDO NOBEL ALVES (CPF nº 483.124.118-01), conforme Contrato/Declaração de Exclusividade, por intermédio de PRODUTORA SUPERATIVA LTDA, inscrita no CNPJ sob o nº 01.811.101/0001-05_x000a__x000a_ _x000a__x000a_OBJETO: Performance - Eduardo Nobel - Poema em Movimento_x000a__x000a_ _x000a__x000a_PERÍODO DE EXECUÇÃO DOS SERVIÇOS:de 19/06/2025 a 22/06/2025 - totalizando 2 apresentações conforme cronograma:_x000a__x000a_quinta-feira: 19/06/2025 (1 apresentação)_x000a__x000a_Carga Horária: 01:00 horas_x000a_Horário: 14:40 às 15:40_x000a_Classificação etária: LIVRE (L)_x000a_Local: Av. Mário de Andrade, 664_x000a_ _x000a__x000a_domingo: 22/06/2025 (1 apresentação)_x000a__x000a_Carga Horária: 01:00 horas_x000a_Horário: 15:00 às 16:00_x000a_Classificação etária: LIVRE (L)_x000a_Local: Av. Paulista, 1578_x000a_ _x000a__x000a_VALOR GLOBAL: R$ 14.200,00 (quatorze mil e duzentos reais), a ser pago após a confirmação da execução dos serviços pela unidade requisitante._x000a__x000a_ _x000a__x000a_FORMA DE PAGAMENTO: O pagamento se dará no 30º (trigésimo) dia após a data de entrega de toda documentação correta relativa ao pagamento."/>
        <s v="Fornecimento de 100 (cem) unidades de kits lanches, destinados ao atendimento da 129ª Reunião Ordinária do Comitê Intersetorial da Política Municipal para a População em Situação de Rua."/>
        <s v="19/06/2025 - Av. Mário de Andrade, 664 - 12:20h às 13:20h - Performance - Grupo de Capoeira Quilombolas de luz - 24ª Feira Cultural LGBT 2025 Parada do Orgulho LGBT+ 2025"/>
        <s v="19/06/2025 - Espetáculo Musical / Show - Trajano - Pocket show &quot;Trança&quot; – Trajano (voz e violão)"/>
        <s v="CONTRATADO: LETÍCIA GOMES DE ALMEIDA (CPF nº 292.578.418-63), conforme Contrato/Declaração de Exclusividade, por intermédio de 27.770.432 Letícia Gomes de Almeida, inscrita no CNPJ sob o nº 27.770.432/0001-38_x000a__x000a_ _x000a__x000a_OBJETO: Performance - Letícia Venturine - 24ª Feira da Diversidade do Orgulho LGBTQIA+ (19/06/2025)_x000a__x000a_ _x000a__x000a_PERÍODO DE EXECUÇÃO DOS SERVIÇOS: 19/06/2025 - totalizando 1 apresentação conforme cronograma:_x000a__x000a_LOCAL e HORÁRIO: Av. Mário de Andrade, 664 - 19:20h às 20:20h_x000a__x000a_VALOR GLOBAL: R$ 1.500,00 (hum mil e quinhentos reais), a ser pago após a confirmação da execução dos serviços pela unidade requisitante._x000a__x000a_FORMA DE PAGAMENTO: O pagamento se dará no 30º (trigésimo) dia após a data de entrega de toda documentação correta relativa ao pagamento."/>
        <s v=" 22/06/2025 - Av. Paulista, 1578 - 15:00h às 16:00h - Espetáculo Musical/Show - Nicolau Araujo Evento Festa Junina - 24° Feira Cultura LGBT 2025"/>
        <s v="CONTRATADO: MARILIA GABRIELA CORREA (CPF nº 379.121.658-94), conforme Contrato/Declaração de Exclusividade, por intermédio de 13.072.024 LAZARO OLIVEIRA DE SOUZA, inscrita no CNPJ sob o nº 13.072.024/0001-06_x000a__x000a_ _x000a__x000a_OBJETO: Espetáculo Musical/Show - Marília Corrêa - 24º Feira Cultural LGBT 2025_x000a__x000a_ _x000a__x000a_PERÍODO DE EXECUÇÃO DOS SERVIÇOS: 19/06/2025 - totalizando 1 apresentação conforme cronograma:_x000a__x000a_ _x000a__x000a_LOCAL e HORÁRIO: Av. Mário de Andrade, 664 - 16:50h às 17:50h_x000a__x000a_VALOR GLOBAL: R$ 1.000,00 (hum mil reais), a ser pago após a confirmação da execução dos serviços pela unidade requisitante._x000a__x000a_ _x000a__x000a_FORMA DE PAGAMENTO: O pagamento se dará no 30º (trigésimo) dia após a data de entrega de toda documentação correta relativa ao pagamento."/>
        <s v="22/06/2025 -  Performance - Mariana Neves - Grito Invisível"/>
        <s v="Prestação de serviços, sob demanda, de confecção e impressão de material gráfico - ATA DE REGISTRO DE PREÇO nº 001/SMDHC/2024"/>
        <s v="19/06/2025 a 22/06/2025 - Av. Mário de Andrade, 664 e Av. Paulista, 1578, com datas e horários previstos na proposta - Espetáculo Musical / Show - Marie Gabriella - SHOW ÁGUAS - MARIE GABRIELLA_x000a__x000a_ "/>
        <s v="CONTRATADO: JULIANA BARBOSA DE ARAUJO (CPF nº 078.216.804-35), conforme Contrato/Declaração de Exclusividade, por intermédio de VIXE-VERSA PRODUCOES CULTURAIS LTDA, inscrita no CNPJ sob o nº 17.290.720/0001-31_x000a__x000a_ _x000a__x000a_OBJETO: Espetáculo Musical / Show - Juliana Linhares - Juliana Linhares_x000a__x000a_ _x000a__x000a_PERÍODO DE EXECUÇÃO DOS SERVIÇOS: 19/06/2025 - totalizando 1 apresentação conforme cronograma:_x000a__x000a_ _x000a__x000a_LOCAL e HORÁRIO: Av. Mário de Andrade, 664 - 11:00h às 12:00h_x000a__x000a_VALOR GLOBAL: R$ 9.000,00 (nove mil reais), a ser pago após a confirmação da execução dos serviços pela unidade requisitante._x000a__x000a_ _x000a__x000a_FORMA DE PAGAMENTO: O pagamento se dará no 30º (trigésimo) dia após a data de entrega de toda documentação correta relativa ao pagamento."/>
        <s v="Prestação de serviços de Coffee Break II, para atender 150 (cento e cinquenta) pessoas participantes da cerimônia de entrega do Prêmio Luísa Mahin - Edição 2025."/>
        <s v="Aquisição, por Dispensa de Licitação, de Cordões para crachás personalizados."/>
        <s v="CONTRATADO: LUIS RODRIGO MOISSOPOULOS CALDAS (CPF nº 114.344.138-96), nome artístico “Kiko Caldas” e os demais integrantes do grupo, conforme Contrato/Declaração de Exclusividade (127875131), por intermédio de ACAS CULTURAL, EVENTOS E PRODUCOES ARTISTICAS LTDA, inscrita no CNPJ sob o nº 60.516.694/0001-46._x000a__x000a_ _x000a__x000a_OBJETO: Artes Cênicas - Intervenção Artística - CIA K - CIRCO AÉREO_x000a__x000a_ _x000a__x000a_PERÍODO DE EXECUÇÃO DOS SERVIÇOS: 22/06/2025 - totalizando 4 apresentações conforme cronograma:"/>
        <s v="Emenda Parlamentar. Projeto &quot;Informática do Futuro – Capacitação digital de jovens&quot;"/>
        <s v="Contratação de sistema digital que comporte 06 (seis) eleições para: COMPLIR - Conselho Municipal de Defesa e Promoção da Liberdade_x000a_Religiosa; CMI- SP - Conselho Municipal de Direitos da Pessoa Idosa de São Paulo; CMI -Conselho Municipal de Imigrantes; COMPIR - Conselho Municipal de Promoção da Igualdade Racial, CMPCN - Conselho Municipal de Participação da Comunidade Nordestina e COMTRAE - Comissão Municipal para a Erradicação do Trabalho Escravo que totalizam uma previsão de 5.000 (cinco mil) votantes."/>
        <s v="Objetivando a contratação de empresa especializada em serviços de Infraestrutura com manutenção corretiva, manutenção preventiva, instalações, desinstalações, remanejamentos e execução de projetos em rede de telefonia, lógica e elétrica, compreendendo ainda, o fornecimento e instalação de equipamentos GPON (Gigabit Passive Optical Network), para a Administração Direta e Indireta do Município de São Paulo, pelo período de 12 (doze) meses¿."/>
        <s v="Contratação de empresa especializada na prestação de serviços de Coffee Break para atender os participantes da reunião e vista técnica da equipe da Secretaria Nacional de Enfrentamento à Violência contra Mulheres do Ministério de Milheres - Ata de Registro de Preços nº 008/SMDHC/2023"/>
        <s v="Contratação de serviço de Despachante Credenciado junto ao Detran de São Paulo, para realização de trâmites para regularização de documentação veicular (Transferência de propriedade, multas, segunda via DUT e licenciamento), com realização de vistoria e emplacamento de 02 (dois) veículos oficiais."/>
      </sharedItems>
    </cacheField>
    <cacheField name="datAssinaturaContrato" numFmtId="0">
      <sharedItems containsBlank="1"/>
    </cacheField>
    <cacheField name="datPublicacaoContrato" numFmtId="0">
      <sharedItems containsBlank="1"/>
    </cacheField>
    <cacheField name="datVigencia" numFmtId="0">
      <sharedItems containsBlank="1"/>
    </cacheField>
    <cacheField name="VigenciaMeses" numFmtId="0">
      <sharedItems containsSemiMixedTypes="0" containsString="0" containsNumber="1" containsInteger="1" minValue="0" maxValue="85"/>
    </cacheField>
    <cacheField name="situacaoContrato" numFmtId="0">
      <sharedItems count="3">
        <s v="Desconhecida"/>
        <s v="Vigente"/>
        <s v="Encerrado"/>
      </sharedItems>
    </cacheField>
    <cacheField name="valPrincipal" numFmtId="0">
      <sharedItems containsSemiMixedTypes="0" containsString="0" containsNumber="1" minValue="100" maxValue="60551377.200000003"/>
    </cacheField>
    <cacheField name="valReajustes" numFmtId="0">
      <sharedItems containsSemiMixedTypes="0" containsString="0" containsNumber="1" minValue="0" maxValue="4619318.18"/>
    </cacheField>
    <cacheField name="valAditamentos" numFmtId="0">
      <sharedItems containsSemiMixedTypes="0" containsString="0" containsNumber="1" minValue="0" maxValue="34428020"/>
    </cacheField>
    <cacheField name="valAnulacao" numFmtId="0">
      <sharedItems containsSemiMixedTypes="0" containsString="0" containsNumber="1" minValue="0" maxValue="4680"/>
    </cacheField>
    <cacheField name="valTotal" numFmtId="0">
      <sharedItems containsSemiMixedTypes="0" containsString="0" containsNumber="1" minValue="100" maxValue="62172879.760000013"/>
    </cacheField>
    <cacheField name="valMensal" numFmtId="0">
      <sharedItems containsSemiMixedTypes="0" containsString="0" containsNumber="1" minValue="8.3333333333333339" maxValue="1550575"/>
    </cacheField>
    <cacheField name="valAnual" numFmtId="0">
      <sharedItems containsSemiMixedTypes="0" containsString="0" containsNumber="1" minValue="100" maxValue="18606900"/>
    </cacheField>
    <cacheField name="valTotal_proporcional" numFmtId="0">
      <sharedItems containsSemiMixedTypes="0" containsString="0" containsNumber="1" minValue="0" maxValue="30887454"/>
    </cacheField>
    <cacheField name="valMensal_proporcional" numFmtId="0">
      <sharedItems containsSemiMixedTypes="0" containsString="0" containsNumber="1" minValue="0" maxValue="1286977.25"/>
    </cacheField>
    <cacheField name="valAnual_proporcional" numFmtId="0">
      <sharedItems containsSemiMixedTypes="0" containsString="0" containsNumber="1" minValue="0" maxValue="15443727"/>
    </cacheField>
    <cacheField name="valTotalEmpenhado" numFmtId="0">
      <sharedItems containsSemiMixedTypes="0" containsString="0" containsNumber="1" minValue="0" maxValue="39675591.399999999"/>
    </cacheField>
    <cacheField name="valAnuladoEmpenho" numFmtId="0">
      <sharedItems containsSemiMixedTypes="0" containsString="0" containsNumber="1" minValue="0" maxValue="7950406.8499999996"/>
    </cacheField>
    <cacheField name="valEmpenhadoLiquido" numFmtId="0">
      <sharedItems containsSemiMixedTypes="0" containsString="0" containsNumber="1" minValue="0" maxValue="39675583"/>
    </cacheField>
    <cacheField name="valLiquidado" numFmtId="0">
      <sharedItems containsSemiMixedTypes="0" containsString="0" containsNumber="1" minValue="0" maxValue="39675583"/>
    </cacheField>
    <cacheField name="valPago" numFmtId="0">
      <sharedItems containsSemiMixedTypes="0" containsString="0" containsNumber="1" minValue="0" maxValue="39675583"/>
    </cacheField>
    <cacheField name="datExtracao" numFmtId="0">
      <sharedItems/>
    </cacheField>
    <cacheField name="chave" numFmtId="0">
      <sharedItems/>
    </cacheField>
    <cacheField name="percentual_pivot" numFmtId="0">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 de Sousa Faita" refreshedDate="45845.694782060185" createdVersion="8" refreshedVersion="8" minRefreshableVersion="3" recordCount="550" xr:uid="{C9039154-4C28-4034-B37D-9F4F4AAA72E9}">
  <cacheSource type="worksheet">
    <worksheetSource name="Tabela2"/>
  </cacheSource>
  <cacheFields count="25">
    <cacheField name="Orgão" numFmtId="0">
      <sharedItems containsBlank="1" count="5">
        <s v="SMDHC"/>
        <m/>
        <s v="FAASP"/>
        <s v="FUMCAD"/>
        <s v="FMID"/>
      </sharedItems>
    </cacheField>
    <cacheField name="Tipo" numFmtId="0">
      <sharedItems containsBlank="1"/>
    </cacheField>
    <cacheField name="PAPA" numFmtId="0">
      <sharedItems containsBlank="1"/>
    </cacheField>
    <cacheField name="PROCESSO" numFmtId="0">
      <sharedItems containsBlank="1" containsMixedTypes="1" containsNumber="1" containsInteger="1" minValue="6012202300112290" maxValue="6074202500047180"/>
    </cacheField>
    <cacheField name="Está na API?" numFmtId="0">
      <sharedItems count="16">
        <s v="Está"/>
        <s v="Não está"/>
        <s v="34.10.08.243.3013.4.328.33503900.00.1.500.9001.0" u="1"/>
        <s v="34.10.14.422.3018.2.051.33503900.00.1.500.9001.0" u="1"/>
        <s v="34.10.14.422.3018.4.334.33503900.00.1.500.9001.0" u="1"/>
        <s v="34.10.14.422.3018.4.318.33503900.00.1.500.9001.0" u="1"/>
        <s v="34.10.14.422.3018.4.326.33503900.00.1.500.9001.0" u="1"/>
        <s v="34.10.14.422.3013.6.178.33503900.00.1.500.9001.0" u="1"/>
        <s v="34.10.14.422.3013.2.053.33503900.00.1.500.9001.0" u="1"/>
        <s v="34.10.14.422.3007.4.330.33503900.00.1.500.9001.0" u="1"/>
        <s v="34.10.14.422.3013.2.431.33503900.00.1.500.9001.0" u="1"/>
        <s v="34.10.14.122.3018.4.332.33503900.00.1.500.9001.0" u="1"/>
        <s v="78.10.08.605.3016.4.302.33503900.00.1.500.9001.1" u="1"/>
        <s v="78.10.14.422.3023.4.426.33503900.00.1.500.9001.0" u="1"/>
        <s v="90.10.08.243.3013.6.160.33503900.08.1.759.0958.0" u="1"/>
        <s v="08.10.14.122.3012.2.803.33503900.08.1.759.1183.0" u="1"/>
      </sharedItems>
    </cacheField>
    <cacheField name="DOTAÇÃO ORÇAMENTÁRIA" numFmtId="0">
      <sharedItems containsBlank="1"/>
    </cacheField>
    <cacheField name="COORDENAÇÃO" numFmtId="0">
      <sharedItems containsBlank="1"/>
    </cacheField>
    <cacheField name="CONTRATO" numFmtId="0">
      <sharedItems containsBlank="1" containsMixedTypes="1" containsNumber="1" containsInteger="1" minValue="9912565743" maxValue="9912565743"/>
    </cacheField>
    <cacheField name="OBJETO CONTRATUAL" numFmtId="0">
      <sharedItems/>
    </cacheField>
    <cacheField name="CONTRATADO (A)" numFmtId="0">
      <sharedItems containsBlank="1"/>
    </cacheField>
    <cacheField name="TÉRMINO" numFmtId="0">
      <sharedItems containsDate="1" containsBlank="1" containsMixedTypes="1" minDate="2025-02-27T00:00:00" maxDate="2029-11-26T00:00:00"/>
    </cacheField>
    <cacheField name="VALOR NECESSÁRIO" numFmtId="0">
      <sharedItems containsString="0" containsBlank="1" containsNumber="1" minValue="0" maxValue="38820625.079999998"/>
    </cacheField>
    <cacheField name="VALOR MENSAL NECESSÁRIO" numFmtId="0">
      <sharedItems containsBlank="1" containsMixedTypes="1" containsNumber="1" minValue="0" maxValue="3235052.09"/>
    </cacheField>
    <cacheField name="JANEIRO" numFmtId="0">
      <sharedItems containsBlank="1" containsMixedTypes="1" containsNumber="1" minValue="0" maxValue="3235052.09"/>
    </cacheField>
    <cacheField name="FEVEREIRO" numFmtId="0">
      <sharedItems containsBlank="1" containsMixedTypes="1" containsNumber="1" minValue="0" maxValue="3235052.09"/>
    </cacheField>
    <cacheField name="MARÇO" numFmtId="0">
      <sharedItems containsBlank="1" containsMixedTypes="1" containsNumber="1" minValue="0" maxValue="3235052.09"/>
    </cacheField>
    <cacheField name="ABRIL" numFmtId="0">
      <sharedItems containsBlank="1" containsMixedTypes="1" containsNumber="1" minValue="0" maxValue="3235052.09"/>
    </cacheField>
    <cacheField name="MAIO" numFmtId="0">
      <sharedItems containsBlank="1" containsMixedTypes="1" containsNumber="1" minValue="0" maxValue="3235052.09"/>
    </cacheField>
    <cacheField name="JUNHO" numFmtId="0">
      <sharedItems containsBlank="1" containsMixedTypes="1" containsNumber="1" minValue="0" maxValue="3235052.09"/>
    </cacheField>
    <cacheField name="JULHO" numFmtId="0">
      <sharedItems containsBlank="1" containsMixedTypes="1" containsNumber="1" minValue="0" maxValue="3235052.09"/>
    </cacheField>
    <cacheField name="AGOSTO" numFmtId="0">
      <sharedItems containsBlank="1" containsMixedTypes="1" containsNumber="1" minValue="0" maxValue="3235052.09"/>
    </cacheField>
    <cacheField name="SETEMBRO" numFmtId="0">
      <sharedItems containsBlank="1" containsMixedTypes="1" containsNumber="1" minValue="0" maxValue="3235052.09"/>
    </cacheField>
    <cacheField name="OUTUBRO" numFmtId="0">
      <sharedItems containsBlank="1" containsMixedTypes="1" containsNumber="1" minValue="0" maxValue="3235052.09"/>
    </cacheField>
    <cacheField name="NOVEMBRO" numFmtId="0">
      <sharedItems containsBlank="1" containsMixedTypes="1" containsNumber="1" minValue="0" maxValue="3235052.09"/>
    </cacheField>
    <cacheField name="DEZEMBRO" numFmtId="0">
      <sharedItems containsBlank="1" containsMixedTypes="1" containsNumber="1" minValue="0" maxValue="3235052.0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 de Sousa Faita" refreshedDate="45845.741787500003" createdVersion="8" refreshedVersion="8" minRefreshableVersion="3" recordCount="353" xr:uid="{3CC22840-DD00-4C95-BB31-658B056851E2}">
  <cacheSource type="worksheet">
    <worksheetSource name="Tabela6"/>
  </cacheSource>
  <cacheFields count="25">
    <cacheField name="Orgão" numFmtId="0">
      <sharedItems/>
    </cacheField>
    <cacheField name="Tipo" numFmtId="0">
      <sharedItems/>
    </cacheField>
    <cacheField name="PAPA" numFmtId="0">
      <sharedItems/>
    </cacheField>
    <cacheField name="PROCESSO" numFmtId="0">
      <sharedItems containsMixedTypes="1" containsNumber="1" containsInteger="1" minValue="6012202300112290" maxValue="6074202500047180"/>
    </cacheField>
    <cacheField name="Está na API?" numFmtId="0">
      <sharedItems/>
    </cacheField>
    <cacheField name="DOTAÇÃO ORÇAMENTÁRIA" numFmtId="0">
      <sharedItems count="66">
        <s v="34.10.14.126.3024.2.171.33904000.00.1.500.9001.0"/>
        <s v="34.10.14.122.3024.2.100.33903900.00.1.500.9001.0"/>
        <s v="34.10.14.122.3024.2.100.33904700.00.1.500.9001.0"/>
        <s v="34.10.14.122.3018.4.332.33903900.00.1.500.9001.0"/>
        <s v="34.10.14.122.3024.2.100.33903300.00.1.500.9001.0"/>
        <s v=" 34.10.14.243.3013.2157.3.3.90.39.00.00.1.500.9001.0"/>
        <s v="34.10.14.122.3024.2.100.33903000.00.1.500.9001.0"/>
        <s v="34.10.14.122.3024.2.100.33903700.00.1.500.9001.0"/>
        <s v="34.10.14.122.3024.2.100.33901400.00.1.500.9001.0"/>
        <s v="34.10.14.422.3013.2.053.33903900.00.1.500.9001.0"/>
        <s v="34.10.14.422.3013.2.053.33903700.00.1.500.9001.0"/>
        <s v="34.10.14.422.3013.2.053.33903000.00.1.500.9001.0"/>
        <s v="34.10.08.243.3013.4.328.33904800.00.1.500.9001.0"/>
        <s v="34.10.08.243.3013.4.328.33903000.00.1.500.9001.0"/>
        <s v="34.10.14.422.3018.4.333.33903900.00.1.500.9001.0"/>
        <s v="34.10.14.422.3018.4.333.33903700.00.1.500.9001.0"/>
        <s v="34.10.14.422.3018.4.334.33903900.00.1.500.9001.0"/>
        <s v="34.10.14.422.3018.4.334.33903100.00.1.500.9001.0"/>
        <s v="34.10.14.422.3013.6.178.33903700.00.1.500.9001.0"/>
        <s v="34.10.14.422.3013.6.178.33903600.00.1.500.9001.0"/>
        <s v="34.10.14.422.3013.6.178.33904700.00.1.500.9001.0"/>
        <s v="34.10.14.422.3013.6.178.33903900.00.1.500.9001.0"/>
        <s v="34.10.14.244.3013.4.329.33904800.00.1.500.9001.0"/>
        <s v="34.10.14.422.3013.6.178.33903000.00.1.500.9001.0"/>
        <s v="34.10.14.243.3013.2.157.33903600.00.1.500.9001.0"/>
        <s v="34.10.14.243.3013.2.157.33904700.00.1.500.9001.0"/>
        <s v="34.10.14.243.3013.2.157.33903900.00.1.500.9001.0"/>
        <s v="34.10.14.243.3013.2.157.33903700.00.1.500.9001.0"/>
        <s v="34.10.14.243.3013.2.157.33903300.00.1.500.9001.0"/>
        <s v="34.10.14.243.3013.2.157.33903000.00.1.500.9001.0"/>
        <s v="34.10.08.243.3013.2.033.33903900.00.1.500.9001.0"/>
        <s v="34.10.14.122.3024.2.106.33903900.00.1.500.9001.0"/>
        <s v="34.10.14.126.3011.2.818.33904000.00.1.500.9001.0"/>
        <s v="34.10.14.422.3018.2.142.33903100.00.1.500.9001.0"/>
        <s v="34.10.14.422.3018.2.142.33903600.00.1.500.9001.0"/>
        <s v="34.10.14.422.3018.4.335.33903900.00.1.500.9001.0"/>
        <s v="34.10.14.422.3007.4.330.33903700.00.1.500.9001.0"/>
        <s v="34.10.14.422.3007.4.330.33903900.00.1.500.9001.0"/>
        <s v="34.10.14.422.3007.4.330.33903000.00.1.500.9001.0"/>
        <s v="34.10.14.422.3018.2.051.33903900.00.1.500.9001.0"/>
        <s v="34.10.14.422.3018.2.051.33903700.00.1.500.9001.0"/>
        <s v="34.10.14.422.3018.2.051.33903000.00.1.500.9001.0"/>
        <s v="34.10.14.422.3013.4.322.33903600.00.1.500.9001.0"/>
        <s v="34.10.14.422.3013.4.322.33903900.00.1.500.9001.0"/>
        <s v="34.10.14.422.3018.4.319.33904800.00.1.500.9001.0"/>
        <s v="34.10.14.422.3018.4.326.33903900.00.1.500.9001.0"/>
        <s v="34.10.14.422.3018.4.319.33804100.00.1.500.9001.0"/>
        <s v="34.10.14.422.3018.4.326.33903000.00.1.500.9001.0"/>
        <s v="34.10.14.422.3023.4.321.33903900.00.1.500.9001.0"/>
        <s v="34.10.14.422.3023.4.321.33903100.00.1.500.9001.0"/>
        <s v="34.10.14.422.3013.2.431.33903900.00.1.500.9001.0"/>
        <s v="34.10.14.422.3013.2.431.33903700.00.1.500.9001.0"/>
        <s v="34.10.08.605.3016.4.470.33903900.00.1.500.9001.0"/>
        <s v="34.10.08.605.3016.4.470.33903700.00.1.500.9001.0"/>
        <s v="34.10.08.605.3016.4470.33903900.00.1.500.9001.0"/>
        <s v="34.10.08.605.3016.4.470.33903000.00.1.500.9001.0"/>
        <s v="34.10.08.243.3013.4.328.33503900.00.1.500.9001.0"/>
        <s v="34.10.14.422.3018.2.051.33503900.00.1.500.9001.0"/>
        <s v="34.10.14.422.3018.4.334.33503900.00.1.500.9001.0"/>
        <s v="34.10.14.422.3018.4.318.33503900.00.1.500.9001.0"/>
        <s v="34.10.14.422.3018.4.326.33503900.00.1.500.9001.0"/>
        <s v="34.10.14.422.3013.6.178.33503900.00.1.500.9001.0"/>
        <s v="34.10.14.422.3013.2.053.33503900.00.1.500.9001.0"/>
        <s v="34.10.14.422.3007.4.330.33503900.00.1.500.9001.0"/>
        <s v="34.10.14.422.3013.2.431.33503900.00.1.500.9001.0"/>
        <s v="34.10.14.122.3018.4.332.33503900.00.1.500.9001.0"/>
      </sharedItems>
    </cacheField>
    <cacheField name="COORDENAÇÃO" numFmtId="0">
      <sharedItems count="25">
        <s v="DTIC "/>
        <s v="ADM"/>
        <s v="CMB"/>
        <s v="CPCA"/>
        <s v="CPESDH"/>
        <s v="CPIR"/>
        <s v="CPM"/>
        <s v="CT"/>
        <s v="DGESP"/>
        <s v="DTIC"/>
        <s v="EDH"/>
        <s v="EGRESSOS"/>
        <s v="IDOSO"/>
        <s v="IMIGRANTES"/>
        <s v="INDIGENA"/>
        <s v="LGBTI"/>
        <s v="OUVIDORIA"/>
        <s v="POP RUA"/>
        <s v="SESANA"/>
        <s v="CPIPTD"/>
        <s v="CPJ"/>
        <s v="CPLGBTI"/>
        <s v="CPPI"/>
        <s v="CPPSR"/>
        <s v="ODH"/>
      </sharedItems>
    </cacheField>
    <cacheField name="CONTRATO" numFmtId="0">
      <sharedItems containsBlank="1" containsMixedTypes="1" containsNumber="1" containsInteger="1" minValue="9912565743" maxValue="9912565743"/>
    </cacheField>
    <cacheField name="OBJETO CONTRATUAL" numFmtId="0">
      <sharedItems count="329">
        <s v="Serviços Sustentação de TIC"/>
        <s v="SERVIÇOS DE IMPRESSÃO - Cresan, CRMs, SMDHC"/>
        <s v="Plataforma de Colaboração e Produtividade"/>
        <s v="SERVIÇOS DE IMPRESSÃO (Sede, CPIR, CPESDH, Idoso, Ban. De Alimentos, CMB)"/>
        <s v="Serviços de comunicação de Voz VoIP - SMDHC"/>
        <s v="Manutenção de Ar Condicionado - SEDE"/>
        <s v="Locação de Imóvel da Sede - Seguro"/>
        <s v="Locação de Imóvel da Sede -IPTU"/>
        <s v="Locação de Imóvel da Sede"/>
        <s v="Prestação de Serviço Telefônico Fixo Comutado – STFC, para atender as necessidades desta SMDHC."/>
        <s v="serviço de transporte mediante locação de veículo"/>
        <s v="Locação de máquinas de Café - Ouvidoria"/>
        <s v="Serviços de infraestrutura de rede - Sede SMDHC"/>
        <s v="Serviços Postais -  Sede"/>
        <s v="Locação de máquinas de Café Sede"/>
        <s v="Limpeza e desinfecção de reservatório"/>
        <s v="Prestação de serviços técnicos especializados para manutenção preventiva e corretiva de 03 elevadores - Sede SMDHC"/>
        <s v="Transporte por fretamento"/>
        <s v="Locação de Veículos Novos"/>
        <s v="Passagens Aéreas Nacionais"/>
        <s v="Passagens aéreas"/>
        <s v="Locação de veículos - com motoristas - SMDHC"/>
        <s v="Serviços de Controle de Acesso Sede"/>
        <s v="Prestação de Serviços de Limpeza - SMDHC (Edif. São Joaquim e Patriarca)"/>
        <s v="Locação Purificadores - Sede"/>
        <s v="Assistência técnica e manutenção preventiva e corretiva para bombas"/>
        <s v="Serviços de Telefonia "/>
        <s v="Serviços de PABX"/>
        <s v="Prestação de Serviços, sob demanda, de empresa especializada para elaboração de laudo de avaliação de locação de imóveis"/>
        <s v="Serviços contínuos de copeiragem"/>
        <s v="Serviços de Controle de Pragas Urbanas e Vetores (Sede e Antenas)"/>
        <s v="Assistência técnica e manutenção preventiva e corretiva para bombas hidráulicas e suas respectivas tubulações"/>
        <s v="Água e Esgoto - SEDE e Ouvidoria"/>
        <s v="Fornecimento de Gás Canalisado"/>
        <s v="Energia elétrica - Sede e Ouvidoria"/>
        <s v="Aquisição de Carimbos"/>
        <s v="Licença de acesso ao sistema de pesquisa e comparação de preços praticados pela Administração Pública, denominada BANCO DE PREÇOSL"/>
        <s v="Serviço Integrado de Segurança"/>
        <s v="Manutenção nas unidades SMDHC e Demais Coordenações"/>
        <s v="Reembolso de Materiais  nas unidades SMDHC e Demais Coordenações referente aos serviços de manutenção"/>
        <s v="Prestação de serviços  de  motofrete para atender as Unidades de SMDHC"/>
        <s v="serviço de motofrete"/>
        <s v="Prestação de serviços  de Taxi  para atender os Servidores  de SMDHC"/>
        <s v="Aquisição de Materiais de Escritório  para atender as Unidades de SMDHC"/>
        <s v="Aquisição de copos de papel 180ml, para atender as necessidades da SMDHC"/>
        <s v="Aquisição de copos de café, para atender as necessidades da SMDHC"/>
        <s v="Aquisição de copos de Lâmpadas, para atender as necessidades da SMDHC"/>
        <s v="Aquisição de açucar, para atender as necessidades da SMDHC"/>
        <s v="Aquisção de Materiiais gráfico, protetor solar , boton, boné  etc"/>
        <s v="Contratação de Empresa especializada em Manutenção de  Extintores para atender as necessidades da SMDHC"/>
        <s v="diárias"/>
        <s v="Manutenção de Ar Condicionado - CMB"/>
        <s v="Operação de telefonia fixa - PABX"/>
        <s v="Copeiragem e Garçonaria"/>
        <s v="Tecnologia de Informação"/>
        <s v="Telefonia Fixa - CMB"/>
        <s v="Limpeza e desinfecção de reservatório - CMB"/>
        <s v="Serviços de Vigilância e Segurança Patrimonial"/>
        <s v="Prestação de Serviços de Transporte"/>
        <s v="Serviços de Limpeza - CMB"/>
        <s v="Água e Esgoto - CMB"/>
        <s v="Serviços de Manutenção "/>
        <s v="Serviços de Manutenção - Materiais"/>
        <s v="Energia elétrica - CMB"/>
        <s v="Serviços de Controle de Pragas"/>
        <s v="Fornecimento de Gás"/>
        <s v="Aquisição de Materiais de Consumo"/>
        <s v="Auxílio Ampara"/>
        <s v="Cartilhas ECA"/>
        <s v="Serviços de Telefonia"/>
        <s v="Energia elétrica - Centro Público"/>
        <s v="Limpeza e desinfecção de reservatório - Centro Publico"/>
        <s v="Prestação de Serviços de Limpeza -Centro Público"/>
        <s v="Locação Purificadores - C. Público"/>
        <s v="Serviços de Controle de Pragas Urbanas e Vetores, compreendendo"/>
        <s v="Serviço Integrado de Segurança Centro Público"/>
        <s v="Contratação de Empresa especializada em Manutenção de  Extintores para atender as necessidades da SMDHC - Centro Público"/>
        <s v="Aquisição de copos de papel 180ml, para atender as necessidades da SMDHC - Centro Público"/>
        <s v="Serviços de Telefonia -CPIR"/>
        <s v="Gerenciamento de frotas veicular - Coodenação Igualdade Racial"/>
        <s v="Seguro de Veículos - CPIR"/>
        <s v="serviços de manutenção preventiva e corretiva "/>
        <s v="serviços de monitoramento e rastreamento veicular"/>
        <s v="Locação Purificadores - CPIR"/>
        <s v="Prestação de Serviços por empresa especializada em Controle de Pragas Urbanas e Vetores, compreendendo Desinsetização, Desratização e Descupinização"/>
        <s v="Prêmio Luiza Mahin - Edição 2026"/>
        <s v="Vigilância Mulheres"/>
        <s v="Locação do imóvel Casa de Passagem "/>
        <s v="Reembolso  do imóvel Casa de Passagem "/>
        <s v="IPTU do imóvel Casa de Passagem "/>
        <s v="Serviços de gerenciamento de abastecimento de veículos"/>
        <s v="Locação de veículo  &quot;Tipo D&quot;"/>
        <s v="Telefonia Fixa - Mulheres - 01 linha - Casa Helenira"/>
        <s v="Serviço de vigilância e segurança"/>
        <s v="Gerenciamento de frotas veicular - Coodenação de Mulheres"/>
        <s v="Seguro de Veículos - Mulheres"/>
        <s v="Contratação Instituição Financeira  - Serviços Pagamento Auxílio aluguel"/>
        <s v="Locação Purificadores - Mulheres"/>
        <s v="Serviço de manutenção de elevadores CPM"/>
        <s v="Unidade Móvel de Atendimento às Mulheres"/>
        <s v="Água e Esgoto - Mulheres"/>
        <s v="Auxílio Aluguel"/>
        <s v="Água e Esgoto Casa de Passagem "/>
        <s v="Energia elétrica - Casa de Passagem "/>
        <s v="Aquisição de copos de papel 180ml, para atender as necessidades da SMDHC Coordenação de Mulheres"/>
        <s v="Aquisição de Material Gráfico e Tatuagens, para atender as necessidades da SMDHC Coordenação de Mulheres"/>
        <s v="Locação Conselho Jd. São Luiz"/>
        <s v="IPTU Conselho Jd. São Luiz"/>
        <s v="Reembolso de Seguro Contra Incendio - Conselho Jd. São Luiz"/>
        <s v="IPTU Conselho Rio Pequeno"/>
        <s v="Locação Conselho Rio Pequeno "/>
        <s v="Reembolso de Seguro Contra IncendioLocação Conselho Rio Pequeno "/>
        <s v="Locação Conselho Pedreira"/>
        <s v="IPTU Conselho Pedreira"/>
        <s v="IPTU -  Freguesia do Ó"/>
        <s v="Locação Conselho Freguesia do Ó"/>
        <s v="Locação Conselho Ipiranga"/>
        <s v="IPTU Ipiranga"/>
        <s v="Locação Conselho Itaim Paulista"/>
        <s v="IPTU Conselho Itaim Paulista"/>
        <s v="Remmbolso de Seguro Contra Incendio Conselho Itaim Paulista"/>
        <s v="Locação Conselho M Boi Mirim"/>
        <s v="IPTU M Boi Mirim"/>
        <s v="Locação Conselho Cangaíba"/>
        <s v="IPTU -Locação Conselho Cangaíba"/>
        <s v="Reembolso de Seguro - Conselho Tutelar Cangaiba"/>
        <s v="Locação Conselho Anhanguera"/>
        <s v="IPTU Conselho Anhanguera"/>
        <s v="Reembolso de Seguro contra Incendio Conselho Anhanguera"/>
        <s v="IPTU Conselho Jd. Helena"/>
        <s v="Locação Conselho Jd. Helena"/>
        <s v="Reembolso de Seguro contra incendio - Conselho Jd. Helena"/>
        <s v="IPTU Conselho  Vila Prudente"/>
        <s v="Reembolso de Seguro Contra Incendio - Conselho  Vila Prudente"/>
        <s v="Locação Conselho  Vila Prudente"/>
        <s v="INSS PATRONAL Pagamento Conslheiros Tutelares"/>
        <s v="impressão corporativa"/>
        <s v="Locação Conselho Pinheiros"/>
        <s v="IPTU Conselho Pinheiros"/>
        <s v="Reembolso de Seguro Contra Incêncdio - Conselho Pinheiros"/>
        <s v="IPTU Conselho São Mateus"/>
        <s v="Locação Conselho São Mateus"/>
        <s v="Reembolso de Seguro Contra Incendio Conselho São Mateus"/>
        <s v="Locação Cidade Tiradentes I"/>
        <s v="IPTU Cidade Tiradentes I"/>
        <s v="Reembolso de Seguro Contra Incendio"/>
        <s v="Telefonia Fixa - Conselho Tutelar"/>
        <s v="Central de Monitoramento Remoto"/>
        <s v="Locação Conselho Pirituba"/>
        <s v="IPTU Conselho Pirituba"/>
        <s v="Serviços de PABX - CT"/>
        <s v="Locação de máquinas de Café CT"/>
        <s v="Locação Conselho Sacomã"/>
        <s v="IPTU Conselho Sacomã"/>
        <s v="Reembolso de  Seguro Contra Incendio- Conselho Sacomã"/>
        <s v="Serviços de infraestrutura de rede - Conselho Tutelar"/>
        <s v="Serviço Móvel Pessoal"/>
        <s v="Locação de vagas garagem"/>
        <s v="Locação de microcomputadores tipo desktop"/>
        <s v="IPTU Conselho Butantã"/>
        <s v="Locação Conselho Butantã"/>
        <s v="Reembolso de Seguro Contra Incendio Conselho Butantã"/>
        <s v="Locação Conselho Cidade Lider"/>
        <s v="IPTU Cidade Lider"/>
        <s v="Locação Conselho Ermelino Matarazzo"/>
        <s v="IPTU Conselho Ermelino Matarazzo"/>
        <s v="Reembolso de Segueo Contra Incendio - Conselho Ermelino Matarazzo"/>
        <s v="IPTU Conselho Tremembé"/>
        <s v="Locação Conselho Tremembé"/>
        <s v="Reembolso de Seguro Contra Incendio - Conselho Tremembé"/>
        <s v="Locação Conselho Brasilândia "/>
        <s v="IPTU Conselho Brasilândia "/>
        <s v="IPTU Conselho São Rafael"/>
        <s v="Locação Conselho São Rafael"/>
        <s v="Reembolso de Seguro Contra Incendio Conselho São Rafael"/>
        <s v="Locação Conselho Lajeado"/>
        <s v="IPTU Conselho Lajeado"/>
        <s v="Reembolso de Seguro Contra Incendio -Conselho Lajeado"/>
        <s v="Locação Conselho Aricanduva"/>
        <s v="IPTU Conselho Aricanduva"/>
        <s v="Reembolso de Seguro Contra Incendio Conselho Aricanduva"/>
        <s v="Serviços de Limpeza, Asseio e Conservação Predial 52 Conselhos Tutelares"/>
        <s v="Serviços Postais - Conselho Tutelar"/>
        <s v="Locação Conselho Cidade Ademar"/>
        <s v="IPTU Conselho Cidade Ademar"/>
        <s v="Condomínio - Conselho Bela Vista"/>
        <s v="IPTU - Conselho Bela Vista"/>
        <s v="Locação - Conselho Bela Vista"/>
        <s v="IPTU Conselho Jaraguá"/>
        <s v="Locação Conselho Jaraguá"/>
        <s v="Reembolso de Seguro Contra Incendio Conselho Jaraguá"/>
        <s v="Locação Conselho Curuçá"/>
        <s v="Reembolso de seguro contra incendio  Conselho Curuçá"/>
        <s v="Locação de veículos com motoristas - CT"/>
        <s v="Locação Conselho Campo Limpo + Condominio"/>
        <s v="IPTU - Locação Conselho Campo Limpo"/>
        <s v="Reembolso Enel + Sabesp - Locação Conselho Campo Limpo"/>
        <s v="IPTU Jaçana"/>
        <s v="Locação Conselho Jaçana"/>
        <s v="Reembolso de Seguro Contra Incendio locação Conselho Jaçana"/>
        <s v="Locação Conselho Guaianases"/>
        <s v="Locação Conselho Mooca"/>
        <s v="IPTU Conselho Mooca"/>
        <s v="Reembolso de Seguro Contra Incendio - Conselho Mooca"/>
        <s v="IPTU Casa Verde "/>
        <s v="Locação Conselho Casa Verde"/>
        <s v="Reembolso de Seguro Contra Incendio  Conselho Casa Verde"/>
        <s v="Locação Purificadores CTs"/>
        <s v="IPTU Conselho Sé"/>
        <s v="Locação Conselho Sé (locação + Condominio)"/>
        <s v="Reembolso de Seguro Contra Incendio Conselho Sé"/>
        <s v="Prestação de Serviços de RECEPÇÃO para as sedes dos 52 (cinquenta e dois) Conselhos Tutelares do Município de São Paulo."/>
        <s v="Serviços Bancários Auxilio Ampara"/>
        <s v="Locação Conselho Lapa"/>
        <s v="IPTU Conselho Lapa"/>
        <s v="Reembolso de Seguro Contra Incedio- Conselho Lapa"/>
        <s v="Locação Conselho Guaianases - IPTU"/>
        <s v="Reembolso de Seguro Contra Incendio -Locação Conselho Guaianases "/>
        <s v="Água e Esgoto - CT"/>
        <s v="Energia elétrica - CT"/>
        <s v="Manutenção nas unidades do CT"/>
        <s v="Reembolso de Materiais referente aos  serviços de Manutenção "/>
        <s v="Locação Conselho Perus"/>
        <s v="IPTU Conselho Perus"/>
        <s v="Reembolso de Seguro Contra Incendio Conselho Perus"/>
        <s v="Aquisição de copos de papel 180ml, para atender as necessidades da SMDHC - Conselho Tutetar"/>
        <s v="Formação dos Conselhos Tutelares"/>
        <s v="prestação de serviço de agente de integração de estágios"/>
        <s v="Serviço de Locação Sistema PABX com DRD"/>
        <s v="Serviço de link de acesso à internet com banda de 100MB, para utilização no auditório SMDHC"/>
        <s v="locação de Computadores"/>
        <s v="Serviços de Acesso à Rede Corporativa PMSP e Internet SD-WAN"/>
        <s v="licença de uso do ChatGPT plus"/>
        <s v="13º Prêmio Educação e Direitos HUmanos e aquisição de Troféus "/>
        <s v="Contratação Artística"/>
        <s v="Contratação de Serviços  para atender as necessidades da SMDHC -Coodernação de Egressos"/>
        <s v="Serviço Integrado de Segurança - Polo Cultural do Idoso 1 Segurança  (Diurno Segunda a domingo  das 07 as 19 h) e   1 Segurança  (Noturno  Segunda a domingo  das 19  as 07 h) "/>
        <s v="Idoso - 02 Linhas"/>
        <s v="Limpeza e desinfecção de reservatório - Idoso"/>
        <s v="Prestação de Serviços de Limpeza - Polo Cultural do Idoso e CEDPES"/>
        <s v="Serviços de Vigilância e Segurança Patrimonial - CEDPES"/>
        <s v="Locação Purificadores - Idoso"/>
        <s v="Água e Esgoto - CEDPES"/>
        <s v="Energia elétrica - CEDPES"/>
        <s v="Serviço Integrado de Segurança - Polo Cultural do Idoso 1 Segurança  (Diurno Segunda a domingo  das 07 as 19 h)"/>
        <s v="Aquisição de copos de papel 180ml, para atender as necessidades da SMDHC -Coodernação dos Idosos"/>
        <s v="Material Grafico ( Cartilha /Folders ) para atender as necessidades da SMDHC -Coodernação dos Idosos"/>
        <s v="Unidade Móvel de Atendimento - Imigrantes"/>
        <s v="Serviço Integrado de Segurança Imigrantes"/>
        <s v="Material Gráfico"/>
        <s v="Contratação Palestrante"/>
        <s v="Serviços  Diversos"/>
        <s v="Transferência de Recursos para SMDET - Projeto POT Transcidadnia"/>
        <s v="Transporte de Passageiros"/>
        <s v="Taxa de participação na Rainbow Cities Network"/>
        <s v="Contratação de serviços cartoriais, com fins de contratar a Central de Protesto do Estado de São Paulo/Instituto de Estudos de Protesto de Títulos do Brasil-Seção de SP (CENPROT/IEPTB), para o programa Respeito Tem Nome."/>
        <s v="Locação Ed. Patriarca"/>
        <s v="Condomínio Ed. Patriarca"/>
        <s v="Reembolso Energia Elétrica Ed. Patriarca"/>
        <s v="IPTU Ed. Patriarca"/>
        <s v="Ouvidoria - 02 Linhas"/>
        <s v="Prestação de serviços de fornecimento de sopão quente, chá quente, chocolate quente e água para atender a população em situação de rua durante o período de baixas temperaturas"/>
        <s v="Edital do Prêmio 19 de Agosto de Boas Prática"/>
        <s v="Água e Esgoto - Pop Rua"/>
        <s v="Energia elétrica - Recifran"/>
        <s v="Fornecimento de kits-hidratação para a população em situação de rua durante os dias de operação de Altas Temperaturas"/>
        <s v="Locação Ed. Conde de Prates"/>
        <s v="Locação Ed. Conde de Prates - IPTU"/>
        <s v="Locação Ed. Conde de Prates - Condomínio"/>
        <s v="Vigilância CRESAN"/>
        <s v="Serviço de Logística - SESANA 10 Vans"/>
        <s v="Serviços de Controle de Acesso - SESANA"/>
        <s v="Prestação de Serviços de Limpeza - SESANA SEDE"/>
        <s v="Prestação de serviços de locação de Sistema PABX"/>
        <s v="Locação Purificadores - Sesana"/>
        <s v="Locação, Instalação e Manutenção - Repelência de pombos"/>
        <s v="Fornecimento de garrafões de 20 (vinte) litros de água"/>
        <s v="Serviços de Desinsetização - CRESANs"/>
        <s v="Serviços de Limpeza - CRESAN"/>
        <s v="Água e Esgoto - (cresans e Frota)"/>
        <s v="Energia elétrica (Cresans, Sacolão Tiradentes, Frota e City Jaraguá)"/>
        <s v="Serviço Integrado de Segurança - SESANA"/>
        <s v="serviços de limpeza e desinfecção"/>
        <s v="Aquisição de copos de papel 180ml, para atender as necessidades da SMDHC -SESANA"/>
        <s v="Locação de banheiros "/>
        <s v="Apoio Psicossocial a crianças, adolescentes e jovens com diagnóstico de câncer ou transplantados de fígado e rins"/>
        <s v="Gestão do Centro de Referência e atendimento para Imigrantes"/>
        <s v="Gestão dos Centros de Referência de Promoção da Igualdade Racial – CRPIR - LOTE 1"/>
        <s v="Gestão dos Centros de Referência de Promoção da Igualdade Racial – CRPIR - LOTE 2"/>
        <s v="Gestão dos Centros de Referência de Promoção da Igualdade Racial – CRPIR - LOTE 3"/>
        <s v="Gestão dos Centros de Referência de Promoção da Igualdade Racial – CRPIR - LOTE 4"/>
        <s v="Expansão dos programas de empreendedorismo para as juventudes em vulnerabilidade da cidade de SP"/>
        <s v="Gestão do Centro de Referência LGBTI+ Luana Barbosa dos Reis e Unidade Móvel LGBTI+ Norte (distrito Brasilândia ou Pirituba) - LOTE 1"/>
        <s v="Gestão do Centro de Referência LGBTI+ Edson Neris e Unidade Móvel LGBTI+ Sul"/>
        <s v="Gestão do Centro de Referência LGBTI+ Laura Vermont e Unidade Móvel LGBTI+ Leste (distrito São Miguel Paulista) - LOTE 3"/>
        <s v="Gestão do Centro de Referência LGBTI+ Claudia Wonder e Unidade Móvel LGBTI+ Oeste (distrito Vila Sônia ou Butantã) - LOTE 4"/>
        <s v="Gestão do Centro de Referência LGBTI+ Brunna Valin e Unidade Móvel LGBTI+ Centro (distrito República ou Sé) - LOTE 5"/>
        <s v="Casa de Acolhimento Provisório de Curta Duração, na Zona Norte de São Paulo"/>
        <s v="Gestão do Centro de Referência e Cidadania da Mulher CRCM - Casa da Mulher Parelheiros"/>
        <s v="Gestão do Centro de Referência e Cidadania da Mulher CRCM - Casa da Mulher Vila Perus e CRCM – Casa da Mulher Cachoeirinha"/>
        <s v="Gestão do Centro de Referência e Cidadania da Mulher CRCM - Casa da Mulher Itaquera e CRCM - Casa da Mulher São Miguel"/>
        <s v="Gestão do Centro de Referência e Cidadania da Mulher CRCM - Casa da Mulher Santo Amaro e CRM Casa da Mulher Capela do Socorro"/>
        <s v="Casa da Mulher Brasileira, Postos Avançados e Unidade Móvel de Atendimento à Mulher"/>
        <s v="Centro de Defesa e Convivência da Mulher - CDCM Casa Zizi"/>
        <s v="CDCM - Francisca Franco "/>
        <s v="Gestão do Centro de Referência e Cidadania da Mulher CRCM - Casa da Mulher de Brasilândia"/>
        <s v="Gestão do Centro de Referência e Cidadania da Mulher CRCM - Casa da Mulher Maria de Lourdes Rodrigues"/>
        <s v="Centro de Referência e Cidadania da Mulher CRCM - Casa da Mulher Eliane de Grammont"/>
        <s v="Gestão do Centro de Referência e Cidadania da Mulher CRCM - Casa da Mulher 25 de Março"/>
        <s v="Centro de Defesa e de Convivência da Mulher - CDCM Casa Sofia"/>
        <s v="Centro de Defesa e Convivência da Mulher - CDCM Casa Márcia Martins"/>
        <s v="Centro de Defesa e Convivência da Mulher - CDCM Casa Viviane dos Santos"/>
        <s v="Centro de Defesa e Convivência da Mulher – CDCM Casa Mariás"/>
        <s v="Centro de Integração Social da Mulher – CISM II"/>
        <s v="Centro de Defesa e Convivência da Mulher - CDCM Casa da Mulher Crê-se"/>
        <s v="Centro de Defesa e Convivência da Mulher - CDCM Margarida Maria Alves"/>
        <s v="Centro de Defesa e Convivência da Mulher - CDCM Marielle Franco"/>
        <s v="Centro de Defesa e Convivência da Mulher - CDCM Cidinha Kopcak"/>
        <s v="Centro de Defesa e de Convivência da Mulher - CDCM Naná Serafim"/>
        <s v="Centro de Defesa e Convivência da Mulher - CDCM Casa Anastácia"/>
        <s v="Centro de Defesa e Convivência da Mulher - CDCM Mulheres Vivas"/>
        <s v="Centro de Defesa e Convivência da Mulher - CDCM Casa Sonia Maria Batista"/>
        <s v="Centro de Referência de Direitos Humanos e Cidadania da Pessoa Idosa e Posto Avançado de Direitos Humanos e Cidadania da Pessoa Idosa."/>
        <s v="Gestão do Estação Cidadania"/>
        <s v="Serviço de Inclusão Social e Produtiva - SEFRAS/RECIFRAN"/>
        <s v="Serviço de Inclusão Social e Produtiva - PROGRAMA REVIRAVOLTA/COOPERE"/>
        <s v="Gestão do Núcleos de Atendimentos em Direitos Humanos da Lapa, Santana e Ipiranga"/>
        <s v="Gestão do Núcleos de Atendimentos em Direitos Humanos NDH(s) da Penha, São Mateus, São Miguel Paulista e Cidade Tiradentes"/>
        <s v="Gestão do Núcleos de Atendimentos em Direitos Humanos NDH(s) do Butantã, Campo Limpo, Jabaquara e Capela do Socorro"/>
      </sharedItems>
    </cacheField>
    <cacheField name="CONTRATADO (A)" numFmtId="0">
      <sharedItems/>
    </cacheField>
    <cacheField name="TÉRMINO" numFmtId="14">
      <sharedItems containsDate="1" containsBlank="1" containsMixedTypes="1" minDate="2025-07-23T00:00:00" maxDate="2029-11-26T00:00:00"/>
    </cacheField>
    <cacheField name="VALOR NECESSÁRIO" numFmtId="8">
      <sharedItems containsSemiMixedTypes="0" containsString="0" containsNumber="1" minValue="0" maxValue="18606900"/>
    </cacheField>
    <cacheField name="VALOR MENSAL NECESSÁRIO" numFmtId="8">
      <sharedItems containsBlank="1" containsMixedTypes="1" containsNumber="1" minValue="0" maxValue="2000000"/>
    </cacheField>
    <cacheField name="JANEIRO" numFmtId="8">
      <sharedItems containsBlank="1" containsMixedTypes="1" containsNumber="1" minValue="0" maxValue="1674621"/>
    </cacheField>
    <cacheField name="FEVEREIRO" numFmtId="8">
      <sharedItems containsBlank="1" containsMixedTypes="1" containsNumber="1" minValue="0" maxValue="1674621"/>
    </cacheField>
    <cacheField name="MARÇO" numFmtId="8">
      <sharedItems containsBlank="1" containsMixedTypes="1" containsNumber="1" minValue="0" maxValue="1674621"/>
    </cacheField>
    <cacheField name="ABRIL" numFmtId="8">
      <sharedItems containsBlank="1" containsMixedTypes="1" containsNumber="1" minValue="0" maxValue="2000000"/>
    </cacheField>
    <cacheField name="MAIO" numFmtId="8">
      <sharedItems containsBlank="1" containsMixedTypes="1" containsNumber="1" minValue="0" maxValue="2000000"/>
    </cacheField>
    <cacheField name="JUNHO" numFmtId="8">
      <sharedItems containsBlank="1" containsMixedTypes="1" containsNumber="1" minValue="0" maxValue="2000000"/>
    </cacheField>
    <cacheField name="JULHO" numFmtId="8">
      <sharedItems containsBlank="1" containsMixedTypes="1" containsNumber="1" minValue="0" maxValue="2000000"/>
    </cacheField>
    <cacheField name="AGOSTO" numFmtId="8">
      <sharedItems containsBlank="1" containsMixedTypes="1" containsNumber="1" minValue="0" maxValue="2000000"/>
    </cacheField>
    <cacheField name="SETEMBRO" numFmtId="8">
      <sharedItems containsBlank="1" containsMixedTypes="1" containsNumber="1" minValue="0" maxValue="2000000"/>
    </cacheField>
    <cacheField name="OUTUBRO" numFmtId="8">
      <sharedItems containsBlank="1" containsMixedTypes="1" containsNumber="1" minValue="0" maxValue="1674621"/>
    </cacheField>
    <cacheField name="NOVEMBRO" numFmtId="8">
      <sharedItems containsBlank="1" containsMixedTypes="1" containsNumber="1" minValue="0" maxValue="2914667"/>
    </cacheField>
    <cacheField name="DEZEMBRO" numFmtId="8">
      <sharedItems containsBlank="1" containsMixedTypes="1" containsNumber="1" minValue="0" maxValue="291466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s v="01"/>
    <s v="Secretaria Municipal de Direitos Humanos e Cidadania"/>
    <s v="34"/>
    <s v="10"/>
    <n v="8"/>
    <n v="243"/>
    <n v="3013"/>
    <n v="4328"/>
    <s v="33489000"/>
    <s v="34.10.14.244.3013.4329.33904800"/>
    <s v="55"/>
    <s v="Nota de Empenho Transferência Valores para Cta Única-Tesouro Municipal"/>
    <n v="8"/>
    <s v="Não Aplicável"/>
    <n v="2025"/>
    <n v="482"/>
    <m/>
    <s v="6074202400106042"/>
    <x v="0"/>
    <x v="0"/>
    <m/>
    <m/>
    <s v="01/01/2026 00:00:00"/>
    <n v="12"/>
    <x v="0"/>
    <n v="99200"/>
    <n v="0"/>
    <n v="627750"/>
    <n v="0"/>
    <n v="726950"/>
    <n v="60579.166666666657"/>
    <n v="726950"/>
    <n v="101773"/>
    <n v="8481.0833333333339"/>
    <n v="101773"/>
    <n v="726950"/>
    <n v="0"/>
    <n v="726950"/>
    <n v="726950"/>
    <n v="618450"/>
    <s v="07-07-2025"/>
    <s v="6074202400106042|34.10.14.244.3013.4329.33904800"/>
    <n v="0.14000000000000001"/>
  </r>
  <r>
    <s v="01"/>
    <s v="Secretaria Municipal de Direitos Humanos e Cidadania"/>
    <s v="34"/>
    <s v="10"/>
    <n v="14"/>
    <n v="422"/>
    <n v="3018"/>
    <n v="4326"/>
    <s v="33399000"/>
    <s v="34.10.14.244.3013.4329.33904800"/>
    <s v="41"/>
    <s v="Nota de Empenho de Serviços com fornecimento de materiais / peças"/>
    <n v="12"/>
    <s v="Pregão"/>
    <n v="2025"/>
    <n v="490"/>
    <m/>
    <s v="6074202500001293"/>
    <x v="0"/>
    <x v="1"/>
    <m/>
    <m/>
    <s v="22/01/2025 00:00:00"/>
    <n v="12"/>
    <x v="0"/>
    <n v="6596"/>
    <n v="0"/>
    <n v="0"/>
    <n v="0"/>
    <n v="6596"/>
    <n v="549.66666666666663"/>
    <n v="6596"/>
    <n v="6596"/>
    <n v="549.66666666666663"/>
    <n v="6596"/>
    <n v="6596"/>
    <n v="0"/>
    <n v="6596"/>
    <n v="6596"/>
    <n v="6596"/>
    <s v="07-07-2025"/>
    <s v="6074202500001293|34.10.14.244.3013.4329.33904800"/>
    <n v="1"/>
  </r>
  <r>
    <s v="01"/>
    <s v="Secretaria Municipal de Direitos Humanos e Cidadania"/>
    <s v="34"/>
    <s v="10"/>
    <n v="14"/>
    <n v="122"/>
    <n v="3024"/>
    <n v="2100"/>
    <s v="33399000"/>
    <s v="34.10.14.244.3013.4329.33904800"/>
    <s v="2"/>
    <s v="Termo de Contrato - Serviços"/>
    <n v="12"/>
    <s v="Pregão"/>
    <n v="2025"/>
    <n v="250"/>
    <s v="003/SMDHC/2025"/>
    <s v="6074202400089385"/>
    <x v="1"/>
    <x v="2"/>
    <s v="27/01/2025 00:00:00"/>
    <s v="30/01/2025 00:00:00"/>
    <s v="16/02/2030 00:00:00"/>
    <n v="61"/>
    <x v="1"/>
    <n v="111996"/>
    <n v="0"/>
    <n v="0"/>
    <n v="0"/>
    <n v="111996"/>
    <n v="1836"/>
    <n v="22032"/>
    <n v="111996"/>
    <n v="1836"/>
    <n v="22032"/>
    <n v="17857.14"/>
    <n v="0"/>
    <n v="17857.14"/>
    <n v="4790.9399999999996"/>
    <n v="4790.9399999999996"/>
    <s v="07-07-2025"/>
    <s v="6074202400089385|34.10.14.244.3013.4329.33904800"/>
    <n v="1"/>
  </r>
  <r>
    <s v="01"/>
    <s v="Secretaria Municipal de Direitos Humanos e Cidadania"/>
    <s v="34"/>
    <s v="10"/>
    <n v="14"/>
    <n v="422"/>
    <n v="3013"/>
    <n v="6178"/>
    <s v="33399000"/>
    <s v="34.10.14.244.3013.4329.33904800"/>
    <s v="2"/>
    <s v="Termo de Contrato - Serviços"/>
    <n v="12"/>
    <s v="Pregão"/>
    <n v="2024"/>
    <n v="680"/>
    <s v="002/SMDHC/2024"/>
    <s v="6074202300102770"/>
    <x v="1"/>
    <x v="3"/>
    <s v="22/01/2024 00:00:00"/>
    <s v="08/02/2024 00:00:00"/>
    <s v="19/02/2026 00:00:00"/>
    <n v="25"/>
    <x v="1"/>
    <n v="18000"/>
    <n v="843.24"/>
    <n v="26035.439999999999"/>
    <n v="0"/>
    <n v="44878.68"/>
    <n v="1795.1472000000001"/>
    <n v="21541.7664"/>
    <n v="31415.076000000001"/>
    <n v="1256.60304"/>
    <n v="15079.23648"/>
    <n v="44013.91"/>
    <n v="1700"/>
    <n v="42313.91"/>
    <n v="31322.02"/>
    <n v="31322.02"/>
    <s v="07-07-2025"/>
    <s v="6074202300102770|34.10.14.244.3013.4329.33904800"/>
    <n v="0.7"/>
  </r>
  <r>
    <s v="01"/>
    <s v="Secretaria Municipal de Direitos Humanos e Cidadania"/>
    <s v="34"/>
    <s v="10"/>
    <n v="14"/>
    <n v="126"/>
    <n v="3024"/>
    <n v="2171"/>
    <s v="33409000"/>
    <s v="34.10.14.244.3013.4329.33904800"/>
    <s v="2"/>
    <s v="Termo de Contrato - Serviços"/>
    <n v="12"/>
    <s v="Pregão"/>
    <n v="2022"/>
    <n v="4726"/>
    <s v="030/SMDHC/2022"/>
    <s v="6074202100075184"/>
    <x v="1"/>
    <x v="4"/>
    <s v="09/03/2022 00:00:00"/>
    <s v="11/03/2022 00:00:00"/>
    <s v="08/03/2026 00:00:00"/>
    <n v="48"/>
    <x v="1"/>
    <n v="104719.8"/>
    <n v="42851.95"/>
    <n v="376991.28"/>
    <n v="0"/>
    <n v="524563.03"/>
    <n v="10928.396458333331"/>
    <n v="131140.75750000001"/>
    <n v="94421.345400000006"/>
    <n v="1967.1113625"/>
    <n v="23605.336350000001"/>
    <n v="491450.09"/>
    <n v="20441.84"/>
    <n v="471008.25"/>
    <n v="382439.61"/>
    <n v="382439.61"/>
    <s v="07-07-2025"/>
    <s v="6074202100075184|34.10.14.244.3013.4329.33904800"/>
    <n v="0.18"/>
  </r>
  <r>
    <s v="01"/>
    <s v="Fundo de Abastecimento Alimentar de São Paulo"/>
    <s v="78"/>
    <s v="10"/>
    <n v="14"/>
    <n v="126"/>
    <n v="3024"/>
    <n v="2171"/>
    <s v="33409000"/>
    <s v="34.10.14.244.3013.4329.33904800"/>
    <s v="2"/>
    <s v="Termo de Contrato - Serviços"/>
    <n v="12"/>
    <s v="Pregão"/>
    <n v="2023"/>
    <n v="26118"/>
    <s v="293/SMDHC/2023"/>
    <s v="6074202300067967"/>
    <x v="1"/>
    <x v="5"/>
    <s v="29/08/2023 00:00:00"/>
    <s v="12/09/2023 00:00:00"/>
    <s v="28/08/2024 00:00:00"/>
    <n v="12"/>
    <x v="2"/>
    <n v="21334.560000000001"/>
    <n v="0"/>
    <n v="0"/>
    <n v="0"/>
    <n v="21334.560000000001"/>
    <n v="1777.88"/>
    <n v="21334.560000000001"/>
    <n v="21334.560000000001"/>
    <n v="1777.88"/>
    <n v="21334.560000000001"/>
    <n v="7289.31"/>
    <n v="5701.55"/>
    <n v="1587.76"/>
    <n v="1587.76"/>
    <n v="1587.76"/>
    <s v="07-07-2025"/>
    <s v="6074202300067967|34.10.14.244.3013.4329.33904800"/>
    <n v="1"/>
  </r>
  <r>
    <s v="01"/>
    <s v="Secretaria Municipal de Direitos Humanos e Cidadania"/>
    <s v="34"/>
    <s v="10"/>
    <n v="14"/>
    <n v="126"/>
    <n v="3024"/>
    <n v="2171"/>
    <s v="33409000"/>
    <s v="34.10.14.244.3013.4329.33904800"/>
    <s v="2"/>
    <s v="Termo de Contrato - Serviços"/>
    <n v="12"/>
    <s v="Pregão"/>
    <n v="2023"/>
    <n v="26119"/>
    <s v="293/SMDHC/2023"/>
    <s v="6074202300067967"/>
    <x v="1"/>
    <x v="5"/>
    <s v="29/08/2023 00:00:00"/>
    <s v="12/09/2023 00:00:00"/>
    <s v="28/08/2025 00:00:00"/>
    <n v="12"/>
    <x v="2"/>
    <n v="117265.32"/>
    <n v="5679.51"/>
    <n v="159487.21"/>
    <n v="0"/>
    <n v="282432.03999999998"/>
    <n v="23536.00333333333"/>
    <n v="282432.03999999998"/>
    <n v="282432.03999999998"/>
    <n v="23536.00333333333"/>
    <n v="282432.03999999998"/>
    <n v="255870.46"/>
    <n v="108938.68"/>
    <n v="146931.78"/>
    <n v="102324.79"/>
    <n v="102324.79"/>
    <s v="07-07-2025"/>
    <s v="6074202300067967|34.10.14.244.3013.4329.33904800"/>
    <n v="1"/>
  </r>
  <r>
    <s v="01"/>
    <s v="Secretaria Municipal de Direitos Humanos e Cidadania"/>
    <s v="34"/>
    <s v="10"/>
    <n v="14"/>
    <n v="243"/>
    <n v="3013"/>
    <n v="2157"/>
    <s v="33339000"/>
    <s v="34.10.14.244.3013.4329.33904800"/>
    <s v="2"/>
    <s v="Termo de Contrato - Serviços"/>
    <n v="12"/>
    <s v="Pregão"/>
    <n v="2023"/>
    <n v="6548"/>
    <s v="065/SMDHC/2023"/>
    <s v="6074202300019210"/>
    <x v="1"/>
    <x v="6"/>
    <s v="28/03/2023 00:00:00"/>
    <s v="30/03/2023 00:00:00"/>
    <s v="01/07/2026 00:00:00"/>
    <n v="39"/>
    <x v="1"/>
    <n v="120000"/>
    <n v="0"/>
    <n v="240000"/>
    <n v="0"/>
    <n v="360000"/>
    <n v="9230.7692307692305"/>
    <n v="110769.23076923079"/>
    <n v="36000"/>
    <n v="923.07692307692309"/>
    <n v="11076.92307692308"/>
    <n v="392850.32"/>
    <n v="225199.16"/>
    <n v="167651.16"/>
    <n v="162321.25"/>
    <n v="162321.25"/>
    <s v="07-07-2025"/>
    <s v="6074202300019210|34.10.14.244.3013.4329.33904800"/>
    <n v="0.1"/>
  </r>
  <r>
    <s v="01"/>
    <s v="Secretaria Municipal de Direitos Humanos e Cidadania"/>
    <s v="34"/>
    <s v="10"/>
    <n v="14"/>
    <n v="122"/>
    <n v="3024"/>
    <n v="2100"/>
    <s v="33339000"/>
    <s v="34.10.14.244.3013.4329.33904800"/>
    <s v="2"/>
    <s v="Termo de Contrato - Serviços"/>
    <n v="12"/>
    <s v="Pregão"/>
    <n v="2023"/>
    <n v="10549"/>
    <s v="079/SMDHC/2023"/>
    <s v="6074202300020634"/>
    <x v="1"/>
    <x v="7"/>
    <s v="24/04/2023 00:00:00"/>
    <s v="26/04/2023 00:00:00"/>
    <s v="01/07/2026 00:00:00"/>
    <n v="38"/>
    <x v="1"/>
    <n v="100000"/>
    <n v="0"/>
    <n v="200000"/>
    <n v="0"/>
    <n v="300000"/>
    <n v="7894.7368421052633"/>
    <n v="94736.84210526316"/>
    <n v="3000"/>
    <n v="78.94736842105263"/>
    <n v="947.36842105263167"/>
    <n v="370222.57"/>
    <n v="131388.20000000001"/>
    <n v="238834.37"/>
    <n v="143808.82999999999"/>
    <n v="143808.82999999999"/>
    <s v="07-07-2025"/>
    <s v="6074202300020634|34.10.14.244.3013.4329.33904800"/>
    <n v="0.01"/>
  </r>
  <r>
    <s v="01"/>
    <s v="Secretaria Municipal de Direitos Humanos e Cidadania"/>
    <s v="34"/>
    <s v="10"/>
    <n v="14"/>
    <n v="122"/>
    <n v="3024"/>
    <n v="2100"/>
    <s v="33399000"/>
    <s v="34.10.14.244.3013.4329.33904800"/>
    <s v="2"/>
    <s v="Termo de Contrato - Serviços"/>
    <n v="6"/>
    <s v="Dispensa de Licitação"/>
    <n v="2022"/>
    <n v="1379"/>
    <s v="9912565743"/>
    <s v="6074202100086755"/>
    <x v="1"/>
    <x v="8"/>
    <s v="05/02/2022 00:00:00"/>
    <s v="05/02/2022 00:00:00"/>
    <s v="01/02/2025 00:00:00"/>
    <n v="36"/>
    <x v="2"/>
    <n v="636000"/>
    <n v="0"/>
    <n v="1272000"/>
    <n v="0"/>
    <n v="1908000"/>
    <n v="53000"/>
    <n v="636000"/>
    <n v="1908000"/>
    <n v="53000"/>
    <n v="636000"/>
    <n v="2221000"/>
    <n v="1291284.0900000001"/>
    <n v="929715.91"/>
    <n v="770995.76"/>
    <n v="770995.76"/>
    <s v="07-07-2025"/>
    <s v="6074202100086755|34.10.14.244.3013.4329.33904800"/>
    <n v="1"/>
  </r>
  <r>
    <s v="01"/>
    <s v="Secretaria Municipal de Direitos Humanos e Cidadania"/>
    <s v="34"/>
    <s v="10"/>
    <n v="14"/>
    <n v="422"/>
    <n v="3013"/>
    <n v="2053"/>
    <s v="33395000"/>
    <s v="34.10.14.244.3013.4329.33904800"/>
    <s v="22"/>
    <s v="Termo de Colaboração - Lei Federal 13.019/2014"/>
    <n v="8"/>
    <s v="Não Aplicável"/>
    <n v="2024"/>
    <n v="35771"/>
    <s v="019/2024/SMDHC/CPM"/>
    <s v="6074202400085533"/>
    <x v="1"/>
    <x v="9"/>
    <s v="31/10/2024 00:00:00"/>
    <s v="04/11/2024 00:00:00"/>
    <s v="31/10/2029 00:00:00"/>
    <n v="60"/>
    <x v="1"/>
    <n v="29261923.18"/>
    <n v="0"/>
    <n v="0"/>
    <n v="0"/>
    <n v="29261923.18"/>
    <n v="487698.71966666658"/>
    <n v="5852384.6359999999"/>
    <n v="23702157.775800001"/>
    <n v="395035.96292999998"/>
    <n v="4740431.55516"/>
    <n v="4081736.16"/>
    <n v="82650.899999999994"/>
    <n v="3999085.26"/>
    <n v="3901589.74"/>
    <n v="3901589.74"/>
    <s v="07-07-2025"/>
    <s v="6074202400085533|34.10.14.244.3013.4329.33904800"/>
    <n v="0.81"/>
  </r>
  <r>
    <s v="01"/>
    <s v="Secretaria Municipal de Direitos Humanos e Cidadania"/>
    <s v="34"/>
    <s v="10"/>
    <n v="14"/>
    <n v="422"/>
    <n v="3018"/>
    <n v="2051"/>
    <s v="33395000"/>
    <s v="34.10.14.244.3013.4329.33904800"/>
    <s v="22"/>
    <s v="Termo de Colaboração - Lei Federal 13.019/2014"/>
    <n v="8"/>
    <s v="Não Aplicável"/>
    <n v="2020"/>
    <n v="8367"/>
    <s v="TCL/002/2020/SMDHC"/>
    <s v="6074202000012180"/>
    <x v="1"/>
    <x v="10"/>
    <s v="19/05/2020 00:00:00"/>
    <s v="03/06/2020 00:00:00"/>
    <s v="26/05/2026 00:00:00"/>
    <n v="73"/>
    <x v="1"/>
    <n v="3388569.69"/>
    <n v="0"/>
    <n v="6302425.54"/>
    <n v="0"/>
    <n v="9690995.2300000004"/>
    <n v="132753.35931506849"/>
    <n v="1593040.311780822"/>
    <n v="9690995.2300000004"/>
    <n v="132753.35931506849"/>
    <n v="1593040.311780822"/>
    <n v="9058620.5800000001"/>
    <n v="471486.23"/>
    <n v="8587134.3499999996"/>
    <n v="8018336.1900000004"/>
    <n v="7848541.9100000001"/>
    <s v="07-07-2025"/>
    <s v="6074202000012180|34.10.14.244.3013.4329.33904800"/>
    <n v="1"/>
  </r>
  <r>
    <s v="01"/>
    <s v="Secretaria Municipal de Direitos Humanos e Cidadania"/>
    <s v="34"/>
    <s v="10"/>
    <n v="14"/>
    <n v="422"/>
    <n v="3013"/>
    <n v="4322"/>
    <s v="33399000"/>
    <s v="34.10.14.244.3013.4329.33904800"/>
    <s v="41"/>
    <s v="Nota de Empenho de Serviços com fornecimento de materiais / peças"/>
    <n v="12"/>
    <s v="Pregão"/>
    <n v="2025"/>
    <n v="942"/>
    <s v="009/SMDHC/2023"/>
    <s v="6074202500005183"/>
    <x v="0"/>
    <x v="11"/>
    <s v="24/01/2025 00:00:00"/>
    <m/>
    <s v="26/01/2025 00:00:00"/>
    <n v="0"/>
    <x v="2"/>
    <n v="753.6"/>
    <n v="0"/>
    <n v="0"/>
    <n v="0"/>
    <n v="753.6"/>
    <n v="62.8"/>
    <n v="753.6"/>
    <n v="753.6"/>
    <n v="62.8"/>
    <n v="753.6"/>
    <n v="753.6"/>
    <n v="0"/>
    <n v="753.6"/>
    <n v="753.6"/>
    <n v="753.6"/>
    <s v="07-07-2025"/>
    <s v="6074202500005183|34.10.14.244.3013.4329.33904800"/>
    <n v="1"/>
  </r>
  <r>
    <s v="01"/>
    <s v="Secretaria Municipal de Direitos Humanos e Cidadania"/>
    <s v="34"/>
    <s v="10"/>
    <n v="14"/>
    <n v="422"/>
    <n v="3018"/>
    <n v="2051"/>
    <s v="33399000"/>
    <s v="34.10.14.244.3013.4329.33904800"/>
    <s v="41"/>
    <s v="Nota de Empenho de Serviços com fornecimento de materiais / peças"/>
    <n v="12"/>
    <s v="Pregão"/>
    <n v="2025"/>
    <n v="946"/>
    <m/>
    <s v="6074202500002877"/>
    <x v="0"/>
    <x v="12"/>
    <m/>
    <m/>
    <s v="31/01/2025 00:00:00"/>
    <n v="12"/>
    <x v="0"/>
    <n v="3298"/>
    <n v="0"/>
    <n v="0"/>
    <n v="0"/>
    <n v="3298"/>
    <n v="274.83333333333331"/>
    <n v="3298"/>
    <n v="3298"/>
    <n v="274.83333333333331"/>
    <n v="3298"/>
    <n v="3298"/>
    <n v="0"/>
    <n v="3298"/>
    <n v="3298"/>
    <n v="3298"/>
    <s v="07-07-2025"/>
    <s v="6074202500002877|34.10.14.244.3013.4329.33904800"/>
    <n v="1"/>
  </r>
  <r>
    <s v="01"/>
    <s v="Secretaria Municipal de Direitos Humanos e Cidadania"/>
    <s v="34"/>
    <s v="10"/>
    <n v="14"/>
    <n v="422"/>
    <n v="3013"/>
    <n v="6178"/>
    <s v="33399000"/>
    <s v="34.10.14.244.3013.4329.33904800"/>
    <s v="2"/>
    <s v="Termo de Contrato - Serviços"/>
    <n v="12"/>
    <s v="Pregão"/>
    <n v="2022"/>
    <n v="18776"/>
    <s v="147/SMDHC/2022"/>
    <s v="6074202200028994"/>
    <x v="0"/>
    <x v="13"/>
    <s v="02/08/2022 00:00:00"/>
    <s v="05/08/2022 00:00:00"/>
    <s v="02/02/2025 00:00:00"/>
    <n v="30"/>
    <x v="2"/>
    <n v="148800"/>
    <n v="2232"/>
    <n v="223200"/>
    <n v="0"/>
    <n v="374232"/>
    <n v="12474.4"/>
    <n v="149692.79999999999"/>
    <n v="374232"/>
    <n v="12474.4"/>
    <n v="149692.79999999999"/>
    <n v="436434.27"/>
    <n v="265618.98"/>
    <n v="170815.29"/>
    <n v="106377.49"/>
    <n v="106377.49"/>
    <s v="07-07-2025"/>
    <s v="6074202200028994|34.10.14.244.3013.4329.33904800"/>
    <n v="1"/>
  </r>
  <r>
    <s v="01"/>
    <s v="Secretaria Municipal de Direitos Humanos e Cidadania"/>
    <s v="34"/>
    <s v="10"/>
    <n v="14"/>
    <n v="122"/>
    <n v="3018"/>
    <n v="4332"/>
    <s v="33395000"/>
    <s v="34.10.14.244.3013.4329.33904800"/>
    <s v="22"/>
    <s v="Termo de Colaboração - Lei Federal 13.019/2014"/>
    <n v="8"/>
    <s v="Não Aplicável"/>
    <n v="2023"/>
    <n v="33095"/>
    <s v="62/203/SMDHC/ODH"/>
    <s v="6074202300097688"/>
    <x v="1"/>
    <x v="14"/>
    <s v="30/10/2023 00:00:00"/>
    <s v="31/10/2023 00:00:00"/>
    <s v="01/11/2026 00:00:00"/>
    <n v="36"/>
    <x v="1"/>
    <n v="6726968.0499999998"/>
    <n v="0"/>
    <n v="0"/>
    <n v="0"/>
    <n v="6726968.0499999998"/>
    <n v="186860.22361111111"/>
    <n v="2242322.683333334"/>
    <n v="6726968.0499999998"/>
    <n v="186860.22361111111"/>
    <n v="2242322.683333334"/>
    <n v="3958188.8"/>
    <n v="186575.42"/>
    <n v="3771613.38"/>
    <n v="3585037.97"/>
    <n v="3211887.13"/>
    <s v="07-07-2025"/>
    <s v="6074202300097688|34.10.14.244.3013.4329.33904800"/>
    <n v="1"/>
  </r>
  <r>
    <s v="01"/>
    <s v="Secretaria Municipal de Direitos Humanos e Cidadania"/>
    <s v="34"/>
    <s v="10"/>
    <n v="14"/>
    <n v="122"/>
    <n v="3018"/>
    <n v="4332"/>
    <s v="33395000"/>
    <s v="34.10.14.244.3013.4329.33904800"/>
    <s v="22"/>
    <s v="Termo de Colaboração - Lei Federal 13.019/2014"/>
    <n v="8"/>
    <s v="Não Aplicável"/>
    <n v="2023"/>
    <n v="33112"/>
    <s v="61/2023/SMDHC/ODH"/>
    <s v="6074202300097670"/>
    <x v="1"/>
    <x v="15"/>
    <s v="30/10/2023 00:00:00"/>
    <s v="06/11/2023 00:00:00"/>
    <s v="13/08/2026 00:00:00"/>
    <n v="33"/>
    <x v="1"/>
    <n v="5380551"/>
    <n v="0"/>
    <n v="0"/>
    <n v="0"/>
    <n v="5380551"/>
    <n v="163047"/>
    <n v="1956564"/>
    <n v="5380551"/>
    <n v="163047"/>
    <n v="1956564"/>
    <n v="3865057.88"/>
    <n v="865181.93"/>
    <n v="2999875.95"/>
    <n v="2999875.95"/>
    <n v="2552380.65"/>
    <s v="07-07-2025"/>
    <s v="6074202300097670|34.10.14.244.3013.4329.33904800"/>
    <n v="1"/>
  </r>
  <r>
    <s v="01"/>
    <s v="Secretaria Municipal de Direitos Humanos e Cidadania"/>
    <s v="34"/>
    <s v="10"/>
    <n v="14"/>
    <n v="122"/>
    <n v="3018"/>
    <n v="4332"/>
    <s v="33395000"/>
    <s v="34.10.14.244.3013.4329.33904800"/>
    <s v="22"/>
    <s v="Termo de Colaboração - Lei Federal 13.019/2014"/>
    <n v="8"/>
    <s v="Não Aplicável"/>
    <n v="2023"/>
    <n v="33101"/>
    <s v="63/2023/SMDHC/ODH"/>
    <s v="6074202300097696"/>
    <x v="1"/>
    <x v="16"/>
    <s v="30/10/2023 00:00:00"/>
    <s v="31/10/2023 00:00:00"/>
    <s v="01/11/2026 00:00:00"/>
    <n v="36"/>
    <x v="1"/>
    <n v="6726968.0499999998"/>
    <n v="0"/>
    <n v="0"/>
    <n v="0"/>
    <n v="6726968.0499999998"/>
    <n v="186860.22361111111"/>
    <n v="2242322.683333334"/>
    <n v="6726968.0499999998"/>
    <n v="186860.22361111111"/>
    <n v="2242322.683333334"/>
    <n v="3958188.8"/>
    <n v="186575.42"/>
    <n v="3771613.38"/>
    <n v="3585037.97"/>
    <n v="3211887.13"/>
    <s v="07-07-2025"/>
    <s v="6074202300097696|34.10.14.244.3013.4329.33904800"/>
    <n v="1"/>
  </r>
  <r>
    <s v="01"/>
    <s v="Secretaria Municipal de Direitos Humanos e Cidadania"/>
    <s v="34"/>
    <s v="10"/>
    <n v="14"/>
    <n v="422"/>
    <n v="3013"/>
    <n v="2053"/>
    <s v="33399000"/>
    <s v="34.10.14.244.3013.4329.33904800"/>
    <s v="2"/>
    <s v="Termo de Contrato - Serviços"/>
    <n v="12"/>
    <s v="Pregão"/>
    <n v="2021"/>
    <n v="6410"/>
    <s v="018/SMDHC/2021"/>
    <s v="6074202000057290"/>
    <x v="0"/>
    <x v="17"/>
    <s v="09/04/2021 00:00:00"/>
    <s v="27/04/2021 00:00:00"/>
    <s v="19/10/2025 00:00:00"/>
    <n v="55"/>
    <x v="1"/>
    <n v="221515.82"/>
    <n v="152169.95000000001"/>
    <n v="979875.65"/>
    <n v="0"/>
    <n v="1353561.42"/>
    <n v="24610.20763636363"/>
    <n v="295322.49163636361"/>
    <n v="771530.00939999986"/>
    <n v="14027.81835272727"/>
    <n v="168333.82023272719"/>
    <n v="1673497.58"/>
    <n v="342890.95"/>
    <n v="1330606.6299999999"/>
    <n v="1216225.1599999999"/>
    <n v="1216225.1599999999"/>
    <s v="07-07-2025"/>
    <s v="6074202000057290|34.10.14.244.3013.4329.33904800"/>
    <n v="0.56999999999999995"/>
  </r>
  <r>
    <s v="01"/>
    <s v="Secretaria Municipal de Direitos Humanos e Cidadania"/>
    <s v="34"/>
    <s v="10"/>
    <n v="14"/>
    <n v="422"/>
    <n v="3013"/>
    <n v="2053"/>
    <s v="33399000"/>
    <s v="34.10.14.244.3013.4329.33904800"/>
    <s v="2"/>
    <s v="Termo de Contrato - Serviços"/>
    <n v="12"/>
    <s v="Pregão"/>
    <n v="2021"/>
    <n v="10319"/>
    <s v="TC 018/SMDHC/2022"/>
    <s v="6074202000057290"/>
    <x v="0"/>
    <x v="18"/>
    <s v="26/04/2021 00:00:00"/>
    <s v="27/04/2021 00:00:00"/>
    <s v="19/10/2025 00:00:00"/>
    <n v="55"/>
    <x v="1"/>
    <n v="55378.95"/>
    <n v="0"/>
    <n v="267077.52"/>
    <n v="0"/>
    <n v="322456.46999999997"/>
    <n v="5862.8449090909098"/>
    <n v="70354.138909090922"/>
    <n v="183800.18789999999"/>
    <n v="3341.821598181818"/>
    <n v="40101.859178181818"/>
    <n v="383823.46"/>
    <n v="61433.32"/>
    <n v="322390.14"/>
    <n v="295120.57"/>
    <n v="295120.57"/>
    <s v="07-07-2025"/>
    <s v="6074202000057290|34.10.14.244.3013.4329.33904800"/>
    <n v="0.56999999999999995"/>
  </r>
  <r>
    <s v="01"/>
    <s v="Secretaria Municipal de Direitos Humanos e Cidadania"/>
    <s v="34"/>
    <s v="10"/>
    <n v="14"/>
    <n v="422"/>
    <n v="3018"/>
    <n v="4326"/>
    <s v="33399000"/>
    <s v="34.10.14.244.3013.4329.33904800"/>
    <s v="41"/>
    <s v="Nota de Empenho de Serviços com fornecimento de materiais / peças"/>
    <n v="12"/>
    <s v="Pregão"/>
    <n v="2025"/>
    <n v="1021"/>
    <m/>
    <s v="6074202500002109"/>
    <x v="0"/>
    <x v="19"/>
    <m/>
    <m/>
    <s v="31/01/2025 00:00:00"/>
    <n v="12"/>
    <x v="0"/>
    <n v="9002"/>
    <n v="0"/>
    <n v="0"/>
    <n v="0"/>
    <n v="9002"/>
    <n v="750.16666666666663"/>
    <n v="9002"/>
    <n v="9002"/>
    <n v="750.16666666666663"/>
    <n v="9002"/>
    <n v="9002"/>
    <n v="0"/>
    <n v="9002"/>
    <n v="9002"/>
    <n v="9002"/>
    <s v="07-07-2025"/>
    <s v="6074202500002109|34.10.14.244.3013.4329.33904800"/>
    <n v="1"/>
  </r>
  <r>
    <s v="01"/>
    <s v="Secretaria Municipal de Direitos Humanos e Cidadania"/>
    <s v="34"/>
    <s v="10"/>
    <n v="14"/>
    <n v="243"/>
    <n v="3013"/>
    <n v="2157"/>
    <s v="33399000"/>
    <s v="34.10.14.244.3013.4329.33904800"/>
    <s v="2"/>
    <s v="Termo de Contrato - Serviços"/>
    <n v="12"/>
    <s v="Pregão"/>
    <n v="2020"/>
    <n v="14321"/>
    <s v="028/SMDHC/2020"/>
    <s v="6074202000025363"/>
    <x v="0"/>
    <x v="20"/>
    <s v="31/07/2020 00:00:00"/>
    <s v="07/08/2020 00:00:00"/>
    <s v="02/08/2027 00:00:00"/>
    <n v="85"/>
    <x v="1"/>
    <n v="816999.92"/>
    <n v="803424.44"/>
    <n v="5449623.4000000004"/>
    <n v="0"/>
    <n v="7070047.7599999998"/>
    <n v="83177.032470588238"/>
    <n v="998124.38964705891"/>
    <n v="7070047.7599999998"/>
    <n v="83177.032470588238"/>
    <n v="998124.38964705891"/>
    <n v="7454279.29"/>
    <n v="549850.74"/>
    <n v="6904428.5499999998"/>
    <n v="6748969.04"/>
    <n v="6748969.04"/>
    <s v="07-07-2025"/>
    <s v="6074202000025363|34.10.14.244.3013.4329.33904800"/>
    <n v="1"/>
  </r>
  <r>
    <s v="01"/>
    <s v="Secretaria Municipal de Direitos Humanos e Cidadania"/>
    <s v="34"/>
    <s v="10"/>
    <n v="14"/>
    <n v="126"/>
    <n v="3024"/>
    <n v="2171"/>
    <s v="33409000"/>
    <s v="34.10.14.244.3013.4329.33904800"/>
    <s v="2"/>
    <s v="Termo de Contrato - Serviços"/>
    <n v="12"/>
    <s v="Pregão"/>
    <n v="2024"/>
    <n v="22235"/>
    <s v="238/SMDHC/2024"/>
    <s v="6074202400026510"/>
    <x v="1"/>
    <x v="21"/>
    <s v="16/07/2024 00:00:00"/>
    <s v="24/07/2024 00:00:00"/>
    <s v="01/08/2026 00:00:00"/>
    <n v="24"/>
    <x v="1"/>
    <n v="506030.4"/>
    <n v="0"/>
    <n v="0"/>
    <n v="0"/>
    <n v="506030.4"/>
    <n v="21084.6"/>
    <n v="253015.2"/>
    <n v="506030.4"/>
    <n v="21084.6"/>
    <n v="253015.2"/>
    <n v="199965.3"/>
    <n v="70747.72"/>
    <n v="129217.58"/>
    <n v="89948.36"/>
    <n v="89948.36"/>
    <s v="07-07-2025"/>
    <s v="6074202400026510|34.10.14.244.3013.4329.33904800"/>
    <n v="1"/>
  </r>
  <r>
    <s v="01"/>
    <s v="Secretaria Municipal de Direitos Humanos e Cidadania"/>
    <s v="34"/>
    <s v="10"/>
    <n v="14"/>
    <n v="126"/>
    <n v="3024"/>
    <n v="2171"/>
    <s v="33409000"/>
    <s v="34.10.14.244.3013.4329.33904800"/>
    <s v="2"/>
    <s v="Termo de Contrato - Serviços"/>
    <n v="6"/>
    <s v="Dispensa de Licitação"/>
    <n v="2024"/>
    <n v="23762"/>
    <s v="241/SMDHC/2024"/>
    <s v="6074202400044934"/>
    <x v="1"/>
    <x v="22"/>
    <s v="01/08/2024 00:00:00"/>
    <s v="06/08/2024 00:00:00"/>
    <s v="01/08/2025 00:00:00"/>
    <n v="12"/>
    <x v="1"/>
    <n v="169136"/>
    <n v="0"/>
    <n v="0"/>
    <n v="0"/>
    <n v="169136"/>
    <n v="14094.66666666667"/>
    <n v="169136"/>
    <n v="169136"/>
    <n v="14094.66666666667"/>
    <n v="169136"/>
    <n v="118580.99"/>
    <n v="40574.99"/>
    <n v="78006"/>
    <n v="69263.22"/>
    <n v="69263.22"/>
    <s v="07-07-2025"/>
    <s v="6074202400044934|34.10.14.244.3013.4329.33904800"/>
    <n v="1"/>
  </r>
  <r>
    <s v="01"/>
    <s v="Secretaria Municipal de Direitos Humanos e Cidadania"/>
    <s v="34"/>
    <s v="10"/>
    <n v="14"/>
    <n v="422"/>
    <n v="3013"/>
    <n v="2431"/>
    <s v="33399000"/>
    <s v="34.10.14.244.3013.4329.33904800"/>
    <s v="64"/>
    <s v="Nota de Empenho-Fornecitº Serviços de Concessionárias de Abast.Público"/>
    <n v="6"/>
    <s v="Dispensa de Licitação"/>
    <n v="2025"/>
    <n v="188"/>
    <m/>
    <s v="6074202400099151"/>
    <x v="1"/>
    <x v="23"/>
    <m/>
    <m/>
    <s v="31/12/2024 00:00:00"/>
    <n v="12"/>
    <x v="0"/>
    <n v="540000"/>
    <n v="0"/>
    <n v="30000"/>
    <n v="0"/>
    <n v="570000"/>
    <n v="47500"/>
    <n v="570000"/>
    <n v="307800"/>
    <n v="25650"/>
    <n v="307800"/>
    <n v="892500"/>
    <n v="341714.89"/>
    <n v="550785.11"/>
    <n v="151164.49"/>
    <n v="150784.07999999999"/>
    <s v="07-07-2025"/>
    <s v="6074202400099151|34.10.14.244.3013.4329.33904800"/>
    <n v="0.54"/>
  </r>
  <r>
    <s v="01"/>
    <s v="Secretaria Municipal de Direitos Humanos e Cidadania"/>
    <s v="34"/>
    <s v="10"/>
    <n v="14"/>
    <n v="422"/>
    <n v="3013"/>
    <n v="2431"/>
    <s v="33399000"/>
    <s v="34.10.14.244.3013.4329.33904800"/>
    <s v="64"/>
    <s v="Nota de Empenho-Fornecitº Serviços de Concessionárias de Abast.Público"/>
    <n v="6"/>
    <s v="Dispensa de Licitação"/>
    <n v="2025"/>
    <n v="1097"/>
    <m/>
    <s v="6074202400099151"/>
    <x v="1"/>
    <x v="24"/>
    <m/>
    <m/>
    <m/>
    <n v="12"/>
    <x v="0"/>
    <n v="540000"/>
    <n v="0"/>
    <n v="0"/>
    <n v="0"/>
    <n v="540000"/>
    <n v="45000"/>
    <n v="540000"/>
    <n v="291600"/>
    <n v="24300"/>
    <n v="291600"/>
    <n v="30000"/>
    <n v="30000"/>
    <n v="0"/>
    <n v="0"/>
    <n v="0"/>
    <s v="07-07-2025"/>
    <s v="6074202400099151|34.10.14.244.3013.4329.33904800"/>
    <n v="0.54"/>
  </r>
  <r>
    <s v="01"/>
    <s v="Secretaria Municipal de Direitos Humanos e Cidadania"/>
    <s v="34"/>
    <s v="10"/>
    <n v="14"/>
    <n v="243"/>
    <n v="3013"/>
    <n v="2157"/>
    <s v="33399000"/>
    <s v="34.10.14.422.3007.4330.33903900"/>
    <s v="64"/>
    <s v="Nota de Empenho-Fornecitº Serviços de Concessionárias de Abast.Público"/>
    <n v="6"/>
    <s v="Dispensa de Licitação"/>
    <n v="2025"/>
    <n v="191"/>
    <m/>
    <s v="6074202400099143"/>
    <x v="1"/>
    <x v="23"/>
    <m/>
    <m/>
    <s v="01/01/2026 00:00:00"/>
    <n v="12"/>
    <x v="0"/>
    <n v="210000"/>
    <n v="0"/>
    <n v="0"/>
    <n v="0"/>
    <n v="210000"/>
    <n v="17500"/>
    <n v="210000"/>
    <n v="210000"/>
    <n v="17500"/>
    <n v="210000"/>
    <n v="210000"/>
    <n v="0"/>
    <n v="210000"/>
    <n v="69722.59"/>
    <n v="69544.960000000006"/>
    <s v="07-07-2025"/>
    <s v="6074202400099143|34.10.14.422.3007.4330.33903900"/>
    <n v="1"/>
  </r>
  <r>
    <s v="01"/>
    <s v="Secretaria Municipal de Direitos Humanos e Cidadania"/>
    <s v="34"/>
    <s v="10"/>
    <n v="14"/>
    <n v="422"/>
    <n v="3023"/>
    <n v="4321"/>
    <s v="33399000"/>
    <s v="34.10.14.422.3007.4330.33903900"/>
    <s v="2"/>
    <s v="Termo de Contrato - Serviços"/>
    <n v="12"/>
    <s v="Pregão"/>
    <n v="2025"/>
    <n v="1139"/>
    <s v="002/SMDHC/2025"/>
    <s v="6074202500004810"/>
    <x v="1"/>
    <x v="25"/>
    <s v="27/01/2025 00:00:00"/>
    <s v="29/01/2025 00:00:00"/>
    <s v="27/01/2026 00:00:00"/>
    <n v="12"/>
    <x v="1"/>
    <n v="10374000"/>
    <n v="0"/>
    <n v="0"/>
    <n v="0"/>
    <n v="10374000"/>
    <n v="864500"/>
    <n v="10374000"/>
    <n v="6743100"/>
    <n v="561925"/>
    <n v="6743100"/>
    <n v="10608767.35"/>
    <n v="7950406.8499999996"/>
    <n v="2658360.5"/>
    <n v="2057510"/>
    <n v="2057510"/>
    <s v="07-07-2025"/>
    <s v="6074202500004810|34.10.14.422.3007.4330.33903900"/>
    <n v="0.65"/>
  </r>
  <r>
    <s v="01"/>
    <s v="Secretaria Municipal de Direitos Humanos e Cidadania"/>
    <s v="34"/>
    <s v="10"/>
    <n v="14"/>
    <n v="126"/>
    <n v="3024"/>
    <n v="2171"/>
    <s v="33409000"/>
    <s v="34.10.14.422.3007.4330.33903900"/>
    <s v="2"/>
    <s v="Termo de Contrato - Serviços"/>
    <n v="6"/>
    <s v="Dispensa de Licitação"/>
    <n v="2023"/>
    <n v="32745"/>
    <s v="333/SMDHC/2020"/>
    <s v="6074202300035836"/>
    <x v="1"/>
    <x v="26"/>
    <s v="01/11/2023 00:00:00"/>
    <s v="07/11/2023 00:00:00"/>
    <s v="31/10/2025 00:00:00"/>
    <n v="24"/>
    <x v="1"/>
    <n v="3973115.56"/>
    <n v="159622.9"/>
    <n v="4019685.56"/>
    <n v="0"/>
    <n v="8152424.0199999996"/>
    <n v="339684.33416666673"/>
    <n v="4076212.01"/>
    <n v="7907851.299399999"/>
    <n v="329493.80414166668"/>
    <n v="3953925.649699999"/>
    <n v="6143113.2699999996"/>
    <n v="940140.47"/>
    <n v="5202972.8"/>
    <n v="4570080"/>
    <n v="4570080"/>
    <s v="07-07-2025"/>
    <s v="6074202300035836|34.10.14.422.3007.4330.33903900"/>
    <n v="0.97"/>
  </r>
  <r>
    <s v="01"/>
    <s v="Secretaria Municipal de Direitos Humanos e Cidadania"/>
    <s v="34"/>
    <s v="10"/>
    <n v="14"/>
    <n v="422"/>
    <n v="3013"/>
    <n v="2431"/>
    <s v="33399000"/>
    <s v="34.10.14.422.3007.4330.33903900"/>
    <s v="64"/>
    <s v="Nota de Empenho-Fornecitº Serviços de Concessionárias de Abast.Público"/>
    <n v="6"/>
    <s v="Dispensa de Licitação"/>
    <n v="2025"/>
    <n v="185"/>
    <m/>
    <s v="6074202400099127"/>
    <x v="1"/>
    <x v="27"/>
    <m/>
    <m/>
    <s v="01/01/2026 00:00:00"/>
    <n v="12"/>
    <x v="0"/>
    <n v="570000"/>
    <n v="0"/>
    <n v="80000"/>
    <n v="0"/>
    <n v="650000"/>
    <n v="54166.666666666657"/>
    <n v="650000"/>
    <n v="305500"/>
    <n v="25458.333333333328"/>
    <n v="305500"/>
    <n v="650000"/>
    <n v="12331.43"/>
    <n v="637668.56999999995"/>
    <n v="167823.7"/>
    <n v="126921.19"/>
    <s v="07-07-2025"/>
    <s v="6074202400099127|34.10.14.422.3007.4330.33903900"/>
    <n v="0.47"/>
  </r>
  <r>
    <s v="01"/>
    <s v="Secretaria Municipal de Direitos Humanos e Cidadania"/>
    <s v="34"/>
    <s v="10"/>
    <n v="14"/>
    <n v="126"/>
    <n v="3024"/>
    <n v="2171"/>
    <s v="33409000"/>
    <s v="34.10.14.422.3007.4330.33903900"/>
    <s v="2"/>
    <s v="Termo de Contrato - Serviços"/>
    <n v="6"/>
    <s v="Dispensa de Licitação"/>
    <n v="2023"/>
    <n v="32733"/>
    <s v="334/SMDHC/2023"/>
    <s v="6074202300090888"/>
    <x v="1"/>
    <x v="28"/>
    <s v="01/11/2023 00:00:00"/>
    <s v="07/11/2023 00:00:00"/>
    <s v="30/06/2026 00:00:00"/>
    <n v="32"/>
    <x v="1"/>
    <n v="412521.12"/>
    <n v="16510.650000000001"/>
    <n v="933945.62"/>
    <n v="0"/>
    <n v="1362977.39"/>
    <n v="42593.043437499997"/>
    <n v="511116.52124999999"/>
    <n v="1131271.2337"/>
    <n v="35352.226053124999"/>
    <n v="424226.71263750002"/>
    <n v="870570.48"/>
    <n v="127314.33"/>
    <n v="743256.15"/>
    <n v="596376.30000000005"/>
    <n v="596376.30000000005"/>
    <s v="07-07-2025"/>
    <s v="6074202300090888|34.10.14.422.3007.4330.33903900"/>
    <n v="0.83"/>
  </r>
  <r>
    <s v="01"/>
    <s v="Secretaria Municipal de Direitos Humanos e Cidadania"/>
    <s v="34"/>
    <s v="10"/>
    <n v="14"/>
    <n v="126"/>
    <n v="3024"/>
    <n v="2171"/>
    <s v="33409000"/>
    <s v="34.10.14.422.3007.4330.33903900"/>
    <s v="2"/>
    <s v="Termo de Contrato - Serviços"/>
    <n v="6"/>
    <s v="Dispensa de Licitação"/>
    <n v="2024"/>
    <n v="30364"/>
    <s v="262/SMDHC/2024"/>
    <s v="6074202400042915"/>
    <x v="1"/>
    <x v="29"/>
    <s v="18/09/2024 00:00:00"/>
    <s v="20/09/2024 00:00:00"/>
    <s v="18/09/2025 00:00:00"/>
    <n v="12"/>
    <x v="1"/>
    <n v="1652562.8"/>
    <n v="0"/>
    <n v="0"/>
    <n v="0"/>
    <n v="1652562.8"/>
    <n v="137713.56666666671"/>
    <n v="1652562.8"/>
    <n v="1652562.8"/>
    <n v="137713.56666666671"/>
    <n v="1652562.8"/>
    <n v="1561997.5"/>
    <n v="576098.49"/>
    <n v="985899.01"/>
    <n v="181780.83"/>
    <n v="181780.83"/>
    <s v="07-07-2025"/>
    <s v="6074202400042915|34.10.14.422.3007.4330.33903900"/>
    <n v="1"/>
  </r>
  <r>
    <s v="01"/>
    <s v="Secretaria Municipal de Direitos Humanos e Cidadania"/>
    <s v="34"/>
    <s v="10"/>
    <n v="14"/>
    <n v="122"/>
    <n v="3024"/>
    <n v="2100"/>
    <s v="44529000"/>
    <s v="34.10.14.422.3007.4330.33903900"/>
    <s v="5"/>
    <s v="Nota de Empenho Fornecimento de Bens de Consumo e/ou Permanente"/>
    <n v="6"/>
    <s v="Dispensa de Licitação"/>
    <n v="2025"/>
    <n v="1370"/>
    <m/>
    <s v="6074202500001595"/>
    <x v="0"/>
    <x v="30"/>
    <m/>
    <m/>
    <s v="08/02/2025 00:00:00"/>
    <n v="12"/>
    <x v="0"/>
    <n v="1407"/>
    <n v="0"/>
    <n v="0"/>
    <n v="0"/>
    <n v="1407"/>
    <n v="117.25"/>
    <n v="1407"/>
    <n v="1407"/>
    <n v="117.25"/>
    <n v="1407"/>
    <n v="1407"/>
    <n v="0"/>
    <n v="1407"/>
    <n v="1407"/>
    <n v="1407"/>
    <s v="07-07-2025"/>
    <s v="6074202500001595|34.10.14.422.3007.4330.33903900"/>
    <n v="1"/>
  </r>
  <r>
    <s v="01"/>
    <s v="Secretaria Municipal de Direitos Humanos e Cidadania"/>
    <s v="34"/>
    <s v="10"/>
    <n v="14"/>
    <n v="243"/>
    <n v="3013"/>
    <n v="2157"/>
    <s v="33399000"/>
    <s v="34.10.14.422.3007.4330.33903900"/>
    <s v="64"/>
    <s v="Nota de Empenho-Fornecitº Serviços de Concessionárias de Abast.Público"/>
    <n v="6"/>
    <s v="Dispensa de Licitação"/>
    <n v="2025"/>
    <n v="1399"/>
    <m/>
    <s v="6074202400099119"/>
    <x v="1"/>
    <x v="31"/>
    <m/>
    <m/>
    <s v="01/01/2026 00:00:00"/>
    <n v="12"/>
    <x v="0"/>
    <n v="200000"/>
    <n v="0"/>
    <n v="0"/>
    <n v="0"/>
    <n v="200000"/>
    <n v="16666.666666666672"/>
    <n v="200000"/>
    <n v="200000"/>
    <n v="16666.666666666672"/>
    <n v="200000"/>
    <n v="200000"/>
    <n v="0"/>
    <n v="200000"/>
    <n v="64697.89"/>
    <n v="51727.81"/>
    <s v="07-07-2025"/>
    <s v="6074202400099119|34.10.14.422.3007.4330.33903900"/>
    <n v="1"/>
  </r>
  <r>
    <s v="01"/>
    <s v="Secretaria Municipal de Direitos Humanos e Cidadania"/>
    <s v="34"/>
    <s v="10"/>
    <n v="14"/>
    <n v="422"/>
    <n v="3018"/>
    <n v="4326"/>
    <s v="33395000"/>
    <s v="34.10.14.422.3007.4330.33903900"/>
    <s v="22"/>
    <s v="Termo de Colaboração - Lei Federal 13.019/2014"/>
    <n v="8"/>
    <s v="Não Aplicável"/>
    <n v="2020"/>
    <n v="16119"/>
    <s v="TLC/004/2020/SMDHC"/>
    <s v="6074202000035504"/>
    <x v="0"/>
    <x v="32"/>
    <s v="27/08/2020 00:00:00"/>
    <s v="02/09/2020 00:00:00"/>
    <s v="15/08/2025 00:00:00"/>
    <n v="60"/>
    <x v="1"/>
    <n v="1621392.96"/>
    <n v="0"/>
    <n v="2708214.33"/>
    <n v="0"/>
    <n v="4329607.29"/>
    <n v="72160.121499999994"/>
    <n v="865921.45799999987"/>
    <n v="4329607.29"/>
    <n v="72160.121499999994"/>
    <n v="865921.45799999987"/>
    <n v="5413200.8700000001"/>
    <n v="1251035.44"/>
    <n v="4162165.43"/>
    <n v="4162165.43"/>
    <n v="4162165.43"/>
    <s v="07-07-2025"/>
    <s v="6074202000035504|34.10.14.422.3007.4330.33903900"/>
    <n v="1"/>
  </r>
  <r>
    <s v="01"/>
    <s v="Secretaria Municipal de Direitos Humanos e Cidadania"/>
    <s v="34"/>
    <s v="10"/>
    <n v="14"/>
    <n v="422"/>
    <n v="3018"/>
    <n v="4326"/>
    <s v="33395000"/>
    <s v="34.10.14.422.3007.4330.33903900"/>
    <s v="22"/>
    <s v="Termo de Colaboração - Lei Federal 13.019/2014"/>
    <n v="8"/>
    <s v="Não Aplicável"/>
    <n v="2019"/>
    <n v="16821"/>
    <s v="006/2019/SMDHC"/>
    <s v="6074201900015846"/>
    <x v="0"/>
    <x v="33"/>
    <s v="18/07/2019 00:00:00"/>
    <s v="23/07/2019 00:00:00"/>
    <s v="16/08/2025 00:00:00"/>
    <n v="74"/>
    <x v="1"/>
    <n v="1897214.75"/>
    <n v="0"/>
    <n v="4661064.38"/>
    <n v="0"/>
    <n v="6558279.1299999999"/>
    <n v="88625.393648648649"/>
    <n v="1063504.7237837841"/>
    <n v="6558279.1299999999"/>
    <n v="88625.393648648649"/>
    <n v="1063504.7237837841"/>
    <n v="7293277.8899999997"/>
    <n v="965855.38"/>
    <n v="6327422.5099999998"/>
    <n v="6327422.5099999998"/>
    <n v="6327422.5099999998"/>
    <s v="07-07-2025"/>
    <s v="6074201900015846|34.10.14.422.3007.4330.33903900"/>
    <n v="1"/>
  </r>
  <r>
    <s v="01"/>
    <s v="Secretaria Municipal de Direitos Humanos e Cidadania"/>
    <s v="34"/>
    <s v="10"/>
    <n v="14"/>
    <n v="422"/>
    <n v="3018"/>
    <n v="4326"/>
    <s v="33395000"/>
    <s v="34.10.14.422.3007.4330.33903900"/>
    <s v="22"/>
    <s v="Termo de Colaboração - Lei Federal 13.019/2014"/>
    <n v="8"/>
    <s v="Não Aplicável"/>
    <n v="2024"/>
    <n v="40416"/>
    <s v="21/24/SMDHC/CPLGBI"/>
    <s v="6074202400105305"/>
    <x v="1"/>
    <x v="34"/>
    <s v="19/12/2024 00:00:00"/>
    <s v="23/12/2024 00:00:00"/>
    <s v="19/12/2029 00:00:00"/>
    <n v="60"/>
    <x v="1"/>
    <n v="10734226.390000001"/>
    <n v="0"/>
    <n v="0"/>
    <n v="0"/>
    <n v="10734226.390000001"/>
    <n v="178903.77316666671"/>
    <n v="2146845.2779999999"/>
    <n v="10734226.390000001"/>
    <n v="178903.77316666671"/>
    <n v="2146845.2779999999"/>
    <n v="1357574.09"/>
    <n v="160813.62"/>
    <n v="1196760.47"/>
    <n v="1035946.85"/>
    <n v="1035946.85"/>
    <s v="07-07-2025"/>
    <s v="6074202400105305|34.10.14.422.3007.4330.33903900"/>
    <n v="1"/>
  </r>
  <r>
    <s v="01"/>
    <s v="Secretaria Municipal de Direitos Humanos e Cidadania"/>
    <s v="34"/>
    <s v="10"/>
    <n v="14"/>
    <n v="422"/>
    <n v="3018"/>
    <n v="4326"/>
    <s v="33395000"/>
    <s v="34.10.14.422.3007.4330.33903900"/>
    <s v="22"/>
    <s v="Termo de Colaboração - Lei Federal 13.019/2014"/>
    <n v="8"/>
    <s v="Não Aplicável"/>
    <n v="2024"/>
    <n v="40397"/>
    <s v="23/24/SMDHC/CPLGBTI"/>
    <s v="6074202400105321"/>
    <x v="1"/>
    <x v="35"/>
    <s v="23/12/2024 00:00:00"/>
    <s v="27/12/2024 00:00:00"/>
    <s v="23/12/2029 00:00:00"/>
    <n v="60"/>
    <x v="1"/>
    <n v="10973446.390000001"/>
    <n v="0"/>
    <n v="0"/>
    <n v="0"/>
    <n v="10973446.390000001"/>
    <n v="182890.77316666671"/>
    <n v="2194689.2779999999"/>
    <n v="10973446.390000001"/>
    <n v="182890.77316666671"/>
    <n v="2194689.2779999999"/>
    <n v="1552248.17"/>
    <n v="173029.58"/>
    <n v="1379218.59"/>
    <n v="1206189"/>
    <n v="1206189"/>
    <s v="07-07-2025"/>
    <s v="6074202400105321|34.10.14.422.3007.4330.33903900"/>
    <n v="1"/>
  </r>
  <r>
    <s v="01"/>
    <s v="Secretaria Municipal de Direitos Humanos e Cidadania"/>
    <s v="34"/>
    <s v="10"/>
    <n v="14"/>
    <n v="422"/>
    <n v="3018"/>
    <n v="4326"/>
    <s v="33395000"/>
    <s v="34.10.14.422.3007.4330.33903900"/>
    <s v="22"/>
    <s v="Termo de Colaboração - Lei Federal 13.019/2014"/>
    <n v="8"/>
    <s v="Não Aplicável"/>
    <n v="2024"/>
    <n v="40431"/>
    <s v="20/24/SMDHC/CPLGBTI"/>
    <s v="6074202400105283"/>
    <x v="1"/>
    <x v="36"/>
    <s v="26/12/2024 00:00:00"/>
    <s v="27/12/2024 00:00:00"/>
    <s v="26/12/2029 00:00:00"/>
    <n v="60"/>
    <x v="1"/>
    <n v="10499746.390000001"/>
    <n v="0"/>
    <n v="0"/>
    <n v="0"/>
    <n v="10499746.390000001"/>
    <n v="174995.77316666671"/>
    <n v="2099949.2779999999"/>
    <n v="10499746.390000001"/>
    <n v="174995.77316666671"/>
    <n v="2099949.2779999999"/>
    <n v="1400634.17"/>
    <n v="118486.96"/>
    <n v="1282147.21"/>
    <n v="1115910.03"/>
    <n v="1115910.03"/>
    <s v="07-07-2025"/>
    <s v="6074202400105283|34.10.14.422.3007.4330.33903900"/>
    <n v="1"/>
  </r>
  <r>
    <s v="01"/>
    <s v="Secretaria Municipal de Direitos Humanos e Cidadania"/>
    <s v="34"/>
    <s v="10"/>
    <n v="14"/>
    <n v="422"/>
    <n v="3018"/>
    <n v="4326"/>
    <s v="33395000"/>
    <s v="34.10.14.422.3007.4330.33903900"/>
    <s v="22"/>
    <s v="Termo de Colaboração - Lei Federal 13.019/2014"/>
    <n v="8"/>
    <s v="Não Aplicável"/>
    <n v="2024"/>
    <n v="40399"/>
    <s v="22/24/SMDHC/CPLGBTI"/>
    <s v="6074202400105313"/>
    <x v="1"/>
    <x v="37"/>
    <s v="19/12/2024 00:00:00"/>
    <s v="23/12/2024 00:00:00"/>
    <s v="19/12/2029 00:00:00"/>
    <n v="60"/>
    <x v="1"/>
    <n v="10634446.390000001"/>
    <n v="0"/>
    <n v="0"/>
    <n v="0"/>
    <n v="10634446.390000001"/>
    <n v="177240.77316666671"/>
    <n v="2126889.2779999999"/>
    <n v="9039279.4315000009"/>
    <n v="150654.65719166669"/>
    <n v="1807855.8862999999"/>
    <n v="1557633.79"/>
    <n v="272954.51"/>
    <n v="1284679.28"/>
    <n v="1116058.48"/>
    <n v="1116058.48"/>
    <s v="07-07-2025"/>
    <s v="6074202400105313|34.10.14.422.3007.4330.33903900"/>
    <n v="0.85"/>
  </r>
  <r>
    <s v="01"/>
    <s v="Secretaria Municipal de Direitos Humanos e Cidadania"/>
    <s v="34"/>
    <s v="10"/>
    <n v="14"/>
    <n v="422"/>
    <n v="3013"/>
    <n v="6178"/>
    <s v="33395000"/>
    <s v="34.10.14.422.3007.4330.33903900"/>
    <s v="22"/>
    <s v="Termo de Colaboração - Lei Federal 13.019/2014"/>
    <n v="8"/>
    <s v="Não Aplicável"/>
    <n v="2023"/>
    <n v="29695"/>
    <s v="54/2023/SMDHC/CPM"/>
    <s v="6074202300078993"/>
    <x v="1"/>
    <x v="38"/>
    <s v="29/09/2023 00:00:00"/>
    <s v="04/10/2023 00:00:00"/>
    <s v="26/12/2026 00:00:00"/>
    <n v="39"/>
    <x v="1"/>
    <n v="6012103.6500000004"/>
    <n v="0"/>
    <n v="0"/>
    <n v="0"/>
    <n v="6012103.6500000004"/>
    <n v="154156.50384615379"/>
    <n v="1849878.046153846"/>
    <n v="6012103.6500000004"/>
    <n v="154156.50384615379"/>
    <n v="1849878.046153846"/>
    <n v="4051983.56"/>
    <n v="0.15"/>
    <n v="4051983.41"/>
    <n v="4051983.41"/>
    <n v="4051983.41"/>
    <s v="07-07-2025"/>
    <s v="6074202300078993|34.10.14.422.3007.4330.33903900"/>
    <n v="1"/>
  </r>
  <r>
    <s v="01"/>
    <s v="Secretaria Municipal de Direitos Humanos e Cidadania"/>
    <s v="34"/>
    <s v="10"/>
    <n v="14"/>
    <n v="422"/>
    <n v="3013"/>
    <n v="6178"/>
    <s v="33395000"/>
    <s v="34.10.14.422.3007.4330.33903900"/>
    <s v="22"/>
    <s v="Termo de Colaboração - Lei Federal 13.019/2014"/>
    <n v="8"/>
    <s v="Não Aplicável"/>
    <n v="2023"/>
    <n v="29524"/>
    <s v="53/SMDHC/CPM"/>
    <s v="6074202300078985"/>
    <x v="1"/>
    <x v="39"/>
    <s v="29/09/2023 00:00:00"/>
    <s v="04/10/2023 00:00:00"/>
    <s v="30/09/2026 00:00:00"/>
    <n v="36"/>
    <x v="1"/>
    <n v="5513779.7699999996"/>
    <n v="0"/>
    <n v="0"/>
    <n v="0"/>
    <n v="5513779.7699999996"/>
    <n v="153160.54916666669"/>
    <n v="1837926.59"/>
    <n v="5513779.7699999996"/>
    <n v="153160.54916666669"/>
    <n v="1837926.59"/>
    <n v="3842316.3"/>
    <n v="119456.82"/>
    <n v="3722859.48"/>
    <n v="3722859.48"/>
    <n v="3722859.48"/>
    <s v="07-07-2025"/>
    <s v="6074202300078985|34.10.14.422.3007.4330.33903900"/>
    <n v="1"/>
  </r>
  <r>
    <s v="01"/>
    <s v="Secretaria Municipal de Direitos Humanos e Cidadania"/>
    <s v="34"/>
    <s v="10"/>
    <n v="14"/>
    <n v="422"/>
    <n v="3013"/>
    <n v="6178"/>
    <s v="33395000"/>
    <s v="34.10.14.422.3007.4330.33903900"/>
    <s v="22"/>
    <s v="Termo de Colaboração - Lei Federal 13.019/2014"/>
    <n v="8"/>
    <s v="Não Aplicável"/>
    <n v="2023"/>
    <n v="30130"/>
    <s v="51/2023/SMDHC/CPM"/>
    <s v="6074202300078969"/>
    <x v="1"/>
    <x v="40"/>
    <s v="05/10/2023 00:00:00"/>
    <s v="11/10/2023 00:00:00"/>
    <s v="02/10/2026 00:00:00"/>
    <n v="36"/>
    <x v="1"/>
    <n v="3907158.25"/>
    <n v="0"/>
    <n v="0"/>
    <n v="0"/>
    <n v="3907158.25"/>
    <n v="108532.17361111109"/>
    <n v="1302386.083333333"/>
    <n v="3907158.25"/>
    <n v="108532.17361111109"/>
    <n v="1302386.083333333"/>
    <n v="2690897.17"/>
    <n v="119523.69"/>
    <n v="2571373.48"/>
    <n v="2571373.4700000002"/>
    <n v="2571373.4700000002"/>
    <s v="07-07-2025"/>
    <s v="6074202300078969|34.10.14.422.3007.4330.33903900"/>
    <n v="1"/>
  </r>
  <r>
    <s v="01"/>
    <s v="Secretaria Municipal de Direitos Humanos e Cidadania"/>
    <s v="34"/>
    <s v="10"/>
    <n v="14"/>
    <n v="422"/>
    <n v="3013"/>
    <n v="6178"/>
    <s v="33395000"/>
    <s v="34.10.14.422.3013.6178.33503900"/>
    <s v="22"/>
    <s v="Termo de Colaboração - Lei Federal 13.019/2014"/>
    <n v="8"/>
    <s v="Não Aplicável"/>
    <n v="2023"/>
    <n v="29552"/>
    <s v="52/2023/SMDHC/CPM"/>
    <s v="6074202300078977"/>
    <x v="1"/>
    <x v="41"/>
    <s v="29/09/2023 00:00:00"/>
    <s v="02/10/2023 00:00:00"/>
    <s v="27/09/2026 00:00:00"/>
    <n v="36"/>
    <x v="1"/>
    <n v="5678779.6500000004"/>
    <n v="0"/>
    <n v="0"/>
    <n v="0"/>
    <n v="5678779.6500000004"/>
    <n v="157743.87916666671"/>
    <n v="1892926.55"/>
    <n v="5678779.6500000004"/>
    <n v="157743.87916666671"/>
    <n v="1892926.55"/>
    <n v="3999324.24"/>
    <n v="383433.61"/>
    <n v="3615890.63"/>
    <n v="3615890.63"/>
    <n v="3615890.63"/>
    <s v="07-07-2025"/>
    <s v="6074202300078977|34.10.14.422.3013.6178.33503900"/>
    <n v="1"/>
  </r>
  <r>
    <s v="01"/>
    <s v="Secretaria Municipal de Direitos Humanos e Cidadania"/>
    <s v="34"/>
    <s v="10"/>
    <n v="14"/>
    <n v="422"/>
    <n v="3013"/>
    <n v="6178"/>
    <s v="33395000"/>
    <s v="34.10.14.422.3013.6178.33503900"/>
    <s v="22"/>
    <s v="Termo de Colaboração - Lei Federal 13.019/2014"/>
    <n v="8"/>
    <s v="Não Aplicável"/>
    <n v="2024"/>
    <n v="9969"/>
    <s v="16/2023/SMDHC/CPM"/>
    <s v="6074202400022337"/>
    <x v="1"/>
    <x v="42"/>
    <s v="11/04/2024 00:00:00"/>
    <s v="16/04/2024 00:00:00"/>
    <s v="11/04/2027 00:00:00"/>
    <n v="36"/>
    <x v="1"/>
    <n v="11313942.029999999"/>
    <n v="0"/>
    <n v="0"/>
    <n v="0"/>
    <n v="11313942.029999999"/>
    <n v="314276.16749999998"/>
    <n v="3771314.01"/>
    <n v="11313942.029999999"/>
    <n v="314276.16749999998"/>
    <n v="3771314.01"/>
    <n v="5844042.0199999996"/>
    <n v="0.05"/>
    <n v="5844041.9699999997"/>
    <n v="5844041.9699999997"/>
    <n v="5844041.9699999997"/>
    <s v="07-07-2025"/>
    <s v="6074202400022337|34.10.14.422.3013.6178.33503900"/>
    <n v="1"/>
  </r>
  <r>
    <s v="01"/>
    <s v="Secretaria Municipal de Direitos Humanos e Cidadania"/>
    <s v="34"/>
    <s v="10"/>
    <n v="14"/>
    <n v="422"/>
    <n v="3013"/>
    <n v="6178"/>
    <s v="33395000"/>
    <s v="34.10.14.422.3013.6178.33503900"/>
    <s v="22"/>
    <s v="Termo de Colaboração - Lei Federal 13.019/2014"/>
    <n v="8"/>
    <s v="Não Aplicável"/>
    <n v="2024"/>
    <n v="10115"/>
    <s v="14/2024/SMDHC/CPM"/>
    <s v="6074202400022310"/>
    <x v="1"/>
    <x v="43"/>
    <s v="11/04/2024 00:00:00"/>
    <s v="16/04/2024 00:00:00"/>
    <s v="11/04/2027 00:00:00"/>
    <n v="36"/>
    <x v="1"/>
    <n v="5330621.67"/>
    <n v="0"/>
    <n v="0"/>
    <n v="0"/>
    <n v="5330621.67"/>
    <n v="148072.82416666669"/>
    <n v="1776873.89"/>
    <n v="5330621.67"/>
    <n v="148072.82416666669"/>
    <n v="1776873.89"/>
    <n v="2720760.5"/>
    <n v="0.02"/>
    <n v="2720760.48"/>
    <n v="2720760.48"/>
    <n v="2720760.48"/>
    <s v="07-07-2025"/>
    <s v="6074202400022310|34.10.14.422.3013.6178.33503900"/>
    <n v="1"/>
  </r>
  <r>
    <s v="01"/>
    <s v="Secretaria Municipal de Direitos Humanos e Cidadania"/>
    <s v="34"/>
    <s v="10"/>
    <n v="14"/>
    <n v="422"/>
    <n v="3013"/>
    <n v="6178"/>
    <s v="33395000"/>
    <s v="34.10.14.422.3013.6178.33503900"/>
    <s v="22"/>
    <s v="Termo de Colaboração - Lei Federal 13.019/2014"/>
    <n v="8"/>
    <s v="Não Aplicável"/>
    <n v="2024"/>
    <n v="9982"/>
    <s v="15/2023/SMDHC/CPM"/>
    <s v="6074202400022329"/>
    <x v="1"/>
    <x v="44"/>
    <s v="11/04/2024 00:00:00"/>
    <s v="17/04/2024 00:00:00"/>
    <s v="06/04/2027 00:00:00"/>
    <n v="36"/>
    <x v="1"/>
    <n v="10661243.34"/>
    <n v="0"/>
    <n v="0"/>
    <n v="0"/>
    <n v="10661243.34"/>
    <n v="296145.64833333332"/>
    <n v="3553747.78"/>
    <n v="10661243.34"/>
    <n v="296145.64833333332"/>
    <n v="3553747.78"/>
    <n v="7699673.5199999996"/>
    <n v="1953884.81"/>
    <n v="5745788.71"/>
    <n v="5745788.71"/>
    <n v="5745788.71"/>
    <s v="07-07-2025"/>
    <s v="6074202400022329|34.10.14.422.3013.6178.33503900"/>
    <n v="1"/>
  </r>
  <r>
    <s v="01"/>
    <s v="Secretaria Municipal de Direitos Humanos e Cidadania"/>
    <s v="34"/>
    <s v="10"/>
    <n v="14"/>
    <n v="422"/>
    <n v="3013"/>
    <n v="6178"/>
    <s v="33395000"/>
    <s v="34.10.14.422.3013.6178.33503900"/>
    <s v="22"/>
    <s v="Termo de Colaboração - Lei Federal 13.019/2014"/>
    <n v="8"/>
    <s v="Não Aplicável"/>
    <n v="2024"/>
    <n v="10136"/>
    <s v="17/2024/SMDHC/CPM"/>
    <s v="6074202400022353"/>
    <x v="1"/>
    <x v="45"/>
    <s v="11/04/2024 00:00:00"/>
    <s v="17/04/2024 00:00:00"/>
    <s v="11/04/2027 00:00:00"/>
    <n v="36"/>
    <x v="1"/>
    <n v="10661243.34"/>
    <n v="0"/>
    <n v="0"/>
    <n v="0"/>
    <n v="10661243.34"/>
    <n v="296145.64833333332"/>
    <n v="3553747.78"/>
    <n v="10661243.34"/>
    <n v="296145.64833333332"/>
    <n v="3553747.78"/>
    <n v="5642023.2699999996"/>
    <n v="427625.04"/>
    <n v="5214398.2300000004"/>
    <n v="5214398.2300000004"/>
    <n v="5214398.2300000004"/>
    <s v="07-07-2025"/>
    <s v="6074202400022353|34.10.14.422.3013.6178.33503900"/>
    <n v="1"/>
  </r>
  <r>
    <s v="01"/>
    <s v="Secretaria Municipal de Direitos Humanos e Cidadania"/>
    <s v="34"/>
    <s v="10"/>
    <n v="14"/>
    <n v="422"/>
    <n v="3018"/>
    <n v="4334"/>
    <s v="33395000"/>
    <s v="34.10.14.422.3013.6178.33503900"/>
    <s v="22"/>
    <s v="Termo de Colaboração - Lei Federal 13.019/2014"/>
    <n v="8"/>
    <s v="Não Aplicável"/>
    <n v="2023"/>
    <n v="37869"/>
    <s v="66/2023/SMDHC/CPIR"/>
    <s v="6074202300110722"/>
    <x v="1"/>
    <x v="46"/>
    <s v="05/12/2023 00:00:00"/>
    <s v="06/12/2023 00:00:00"/>
    <s v="05/12/2026 00:00:00"/>
    <n v="36"/>
    <x v="1"/>
    <n v="6423004.4900000002"/>
    <n v="0"/>
    <n v="0"/>
    <n v="0"/>
    <n v="6423004.4900000002"/>
    <n v="178416.7913888889"/>
    <n v="2141001.4966666671"/>
    <n v="6423004.4900000002"/>
    <n v="178416.7913888889"/>
    <n v="2141001.4966666671"/>
    <n v="4483232.7"/>
    <n v="914896.9"/>
    <n v="3568335.8"/>
    <n v="3211502.22"/>
    <n v="3211502.22"/>
    <s v="07-07-2025"/>
    <s v="6074202300110722|34.10.14.422.3013.6178.33503900"/>
    <n v="1"/>
  </r>
  <r>
    <s v="01"/>
    <s v="Secretaria Municipal de Direitos Humanos e Cidadania"/>
    <s v="34"/>
    <s v="10"/>
    <n v="14"/>
    <n v="422"/>
    <n v="3018"/>
    <n v="4334"/>
    <s v="33395000"/>
    <s v="34.10.14.422.3013.6178.33503900"/>
    <s v="22"/>
    <s v="Termo de Colaboração - Lei Federal 13.019/2014"/>
    <n v="8"/>
    <s v="Não Aplicável"/>
    <n v="2023"/>
    <n v="37726"/>
    <s v="068/SMDHC/CPIR"/>
    <s v="6074202300110749"/>
    <x v="1"/>
    <x v="47"/>
    <s v="05/12/2023 00:00:00"/>
    <s v="06/12/2023 00:00:00"/>
    <s v="05/12/2026 00:00:00"/>
    <n v="36"/>
    <x v="1"/>
    <n v="6106129.8700000001"/>
    <n v="0"/>
    <n v="0"/>
    <n v="0"/>
    <n v="6106129.8700000001"/>
    <n v="169614.71861111111"/>
    <n v="2035376.6233333331"/>
    <n v="6106129.8700000001"/>
    <n v="169614.71861111111"/>
    <n v="2035376.6233333331"/>
    <n v="3392294.39"/>
    <n v="0"/>
    <n v="3392294.39"/>
    <n v="3053064.95"/>
    <n v="3053064.95"/>
    <s v="07-07-2025"/>
    <s v="6074202300110749|34.10.14.422.3013.6178.33503900"/>
    <n v="1"/>
  </r>
  <r>
    <s v="01"/>
    <s v="Secretaria Municipal de Direitos Humanos e Cidadania"/>
    <s v="34"/>
    <s v="10"/>
    <n v="14"/>
    <n v="422"/>
    <n v="3018"/>
    <n v="4334"/>
    <s v="33395000"/>
    <s v="34.10.14.422.3013.6178.33503900"/>
    <s v="22"/>
    <s v="Termo de Colaboração - Lei Federal 13.019/2014"/>
    <n v="8"/>
    <s v="Não Aplicável"/>
    <n v="2023"/>
    <n v="37790"/>
    <s v="67/2023/SMDHC/CPIR"/>
    <s v="6074202300110730"/>
    <x v="1"/>
    <x v="48"/>
    <s v="05/12/2023 00:00:00"/>
    <s v="06/12/2023 00:00:00"/>
    <s v="05/12/2026 00:00:00"/>
    <n v="36"/>
    <x v="1"/>
    <n v="6597624.29"/>
    <n v="0"/>
    <n v="0"/>
    <n v="0"/>
    <n v="6597624.29"/>
    <n v="183267.34138888889"/>
    <n v="2199208.0966666671"/>
    <n v="6597624.29"/>
    <n v="183267.34138888889"/>
    <n v="2199208.0966666671"/>
    <n v="4155457.01"/>
    <n v="306842.86"/>
    <n v="3848614.15"/>
    <n v="3298812.12"/>
    <n v="3298812.12"/>
    <s v="07-07-2025"/>
    <s v="6074202300110730|34.10.14.422.3013.6178.33503900"/>
    <n v="1"/>
  </r>
  <r>
    <s v="01"/>
    <s v="Secretaria Municipal de Direitos Humanos e Cidadania"/>
    <s v="34"/>
    <s v="10"/>
    <n v="14"/>
    <n v="422"/>
    <n v="3018"/>
    <n v="4334"/>
    <s v="33395000"/>
    <s v="34.10.14.422.3013.6178.33503900"/>
    <s v="23"/>
    <s v="Termo de Fomento - Lei Federal 13.019/2014"/>
    <n v="8"/>
    <s v="Não Aplicável"/>
    <n v="2023"/>
    <n v="37613"/>
    <s v="069/2023/SMDHC/CPIR"/>
    <s v="6074202300110757"/>
    <x v="1"/>
    <x v="49"/>
    <s v="05/12/2023 00:00:00"/>
    <s v="06/12/2023 00:00:00"/>
    <s v="05/12/2026 00:00:00"/>
    <n v="36"/>
    <x v="1"/>
    <n v="6760192.3700000001"/>
    <n v="0"/>
    <n v="0"/>
    <n v="0"/>
    <n v="6760192.3700000001"/>
    <n v="187783.12138888889"/>
    <n v="2253397.456666667"/>
    <n v="6760192.3700000001"/>
    <n v="187783.12138888889"/>
    <n v="2253397.456666667"/>
    <n v="4538290.38"/>
    <n v="594844.81000000006"/>
    <n v="3943445.57"/>
    <n v="3380096.2"/>
    <n v="3380096.2"/>
    <s v="07-07-2025"/>
    <s v="6074202300110757|34.10.14.422.3013.6178.33503900"/>
    <n v="1"/>
  </r>
  <r>
    <s v="01"/>
    <s v="Secretaria Municipal de Direitos Humanos e Cidadania"/>
    <s v="34"/>
    <s v="10"/>
    <n v="14"/>
    <n v="422"/>
    <n v="3013"/>
    <n v="6178"/>
    <s v="33399000"/>
    <s v="34.10.14.243.3013.2157.33904600"/>
    <s v="2"/>
    <s v="Termo de Contrato - Serviços"/>
    <n v="6"/>
    <s v="Dispensa de Licitação"/>
    <n v="2023"/>
    <n v="1892"/>
    <s v="059/SMDHC/2023"/>
    <s v="6074202200032010"/>
    <x v="1"/>
    <x v="50"/>
    <s v="08/02/2023 00:00:00"/>
    <s v="10/02/2023 00:00:00"/>
    <s v="09/02/2026 00:00:00"/>
    <n v="36"/>
    <x v="1"/>
    <n v="707616"/>
    <n v="74678.759999999995"/>
    <n v="1415232"/>
    <n v="0"/>
    <n v="2197526.7599999998"/>
    <n v="61042.41"/>
    <n v="732508.91999999993"/>
    <n v="1758021.4080000001"/>
    <n v="48833.928"/>
    <n v="586007.13599999994"/>
    <n v="1963358.45"/>
    <n v="44285.42"/>
    <n v="1919073.03"/>
    <n v="1671014.35"/>
    <n v="1671014.35"/>
    <s v="07-07-2025"/>
    <s v="6074202200032010|34.10.14.243.3013.2157.33904600"/>
    <n v="0.8"/>
  </r>
  <r>
    <s v="01"/>
    <s v="Secretaria Municipal de Direitos Humanos e Cidadania"/>
    <s v="34"/>
    <s v="10"/>
    <n v="14"/>
    <n v="422"/>
    <n v="3018"/>
    <n v="4333"/>
    <s v="33399000"/>
    <s v="34.10.14.422.3018.4334.33903900"/>
    <s v="2"/>
    <s v="Termo de Contrato - Serviços"/>
    <n v="12"/>
    <s v="Pregão"/>
    <n v="2024"/>
    <n v="33670"/>
    <s v="336/SMDHC/2024"/>
    <s v="6074202400065419"/>
    <x v="1"/>
    <x v="51"/>
    <s v="21/10/2024 00:00:00"/>
    <s v="08/11/2024 00:00:00"/>
    <s v="04/12/2025 00:00:00"/>
    <n v="13"/>
    <x v="1"/>
    <n v="4000"/>
    <n v="0"/>
    <n v="0"/>
    <n v="0"/>
    <n v="4000"/>
    <n v="307.69230769230768"/>
    <n v="3692.3076923076919"/>
    <n v="4000"/>
    <n v="307.69230769230768"/>
    <n v="3692.3076923076919"/>
    <n v="4000"/>
    <n v="1750"/>
    <n v="2250"/>
    <n v="2000"/>
    <n v="2000"/>
    <s v="07-07-2025"/>
    <s v="6074202400065419|34.10.14.422.3018.4334.33903900"/>
    <n v="1"/>
  </r>
  <r>
    <s v="01"/>
    <s v="Secretaria Municipal de Direitos Humanos e Cidadania"/>
    <s v="34"/>
    <s v="10"/>
    <n v="14"/>
    <n v="243"/>
    <n v="3013"/>
    <n v="2157"/>
    <s v="33399000"/>
    <s v="34.10.14.422.3018.4334.33903900"/>
    <s v="2"/>
    <s v="Termo de Contrato - Serviços"/>
    <n v="12"/>
    <s v="Pregão"/>
    <n v="2021"/>
    <n v="15405"/>
    <s v="192/SMDHC/2021"/>
    <s v="6074202100037762"/>
    <x v="1"/>
    <x v="52"/>
    <s v="20/08/2021 00:00:00"/>
    <s v="31/08/2021 00:00:00"/>
    <s v="21/08/2025 00:00:00"/>
    <n v="48"/>
    <x v="1"/>
    <n v="71179.62"/>
    <n v="39773.339999999997"/>
    <n v="411565.77"/>
    <n v="0"/>
    <n v="522518.73"/>
    <n v="10885.806875"/>
    <n v="130629.6825"/>
    <n v="522518.73"/>
    <n v="10885.806875"/>
    <n v="130629.6825"/>
    <n v="579356"/>
    <n v="91078.36"/>
    <n v="488277.64"/>
    <n v="477807"/>
    <n v="471396.4"/>
    <s v="07-07-2025"/>
    <s v="6074202100037762|34.10.14.422.3018.4334.33903900"/>
    <n v="1"/>
  </r>
  <r>
    <s v="01"/>
    <s v="Secretaria Municipal de Direitos Humanos e Cidadania"/>
    <s v="34"/>
    <s v="10"/>
    <n v="14"/>
    <n v="122"/>
    <n v="3024"/>
    <n v="2100"/>
    <s v="33309000"/>
    <s v="34.10.14.422.3018.4334.33903900"/>
    <s v="2"/>
    <s v="Termo de Contrato - Serviços"/>
    <n v="12"/>
    <s v="Pregão"/>
    <n v="2023"/>
    <n v="26849"/>
    <s v="314/SMDHC/2023"/>
    <s v="6074202300027639"/>
    <x v="1"/>
    <x v="53"/>
    <s v="12/09/2023 00:00:00"/>
    <s v="15/09/2023 00:00:00"/>
    <s v="22/10/2025 00:00:00"/>
    <n v="25"/>
    <x v="1"/>
    <n v="471600"/>
    <n v="18417.560000000001"/>
    <n v="517781.7"/>
    <n v="0"/>
    <n v="1007799.26"/>
    <n v="40311.970399999998"/>
    <n v="483743.64480000001"/>
    <n v="776005.43020000006"/>
    <n v="31040.217207999998"/>
    <n v="372482.60649600002"/>
    <n v="1074641.02"/>
    <n v="78529.63"/>
    <n v="996111.39"/>
    <n v="774748.81"/>
    <n v="728709.2"/>
    <s v="07-07-2025"/>
    <s v="6074202300027639|34.10.14.422.3018.4334.33903900"/>
    <n v="0.77"/>
  </r>
  <r>
    <s v="01"/>
    <s v="Secretaria Municipal de Direitos Humanos e Cidadania"/>
    <s v="34"/>
    <s v="10"/>
    <n v="14"/>
    <n v="422"/>
    <n v="3007"/>
    <n v="4330"/>
    <s v="33379000"/>
    <s v="34.10.14.422.3018.4334.33903900"/>
    <s v="2"/>
    <s v="Termo de Contrato - Serviços"/>
    <n v="7"/>
    <s v="Inexigibilidade"/>
    <n v="2024"/>
    <n v="30342"/>
    <s v="329/SMDHC/2024"/>
    <s v="6074202300066928"/>
    <x v="1"/>
    <x v="54"/>
    <s v="01/10/2024 00:00:00"/>
    <s v="07/10/2024 00:00:00"/>
    <s v="24/05/2027 00:00:00"/>
    <n v="32"/>
    <x v="1"/>
    <n v="3089646"/>
    <n v="0"/>
    <n v="0"/>
    <n v="0"/>
    <n v="3089646"/>
    <n v="96551.4375"/>
    <n v="1158617.25"/>
    <n v="1204961.94"/>
    <n v="37655.060624999998"/>
    <n v="451860.72749999998"/>
    <n v="1056547.44"/>
    <n v="454920.64"/>
    <n v="601626.80000000005"/>
    <n v="544544.68999999994"/>
    <n v="544544.68999999994"/>
    <s v="07-07-2025"/>
    <s v="6074202300066928|34.10.14.422.3018.4334.33903900"/>
    <n v="0.39"/>
  </r>
  <r>
    <s v="01"/>
    <s v="Secretaria Municipal de Direitos Humanos e Cidadania"/>
    <s v="34"/>
    <s v="10"/>
    <n v="14"/>
    <n v="243"/>
    <n v="3013"/>
    <n v="2157"/>
    <s v="33379000"/>
    <s v="34.10.14.422.3018.4334.33903900"/>
    <s v="2"/>
    <s v="Termo de Contrato - Serviços"/>
    <n v="12"/>
    <s v="Pregão"/>
    <n v="2020"/>
    <n v="14453"/>
    <s v="030/SMDHC/2020"/>
    <s v="6074202000015376"/>
    <x v="0"/>
    <x v="55"/>
    <s v="03/08/2020 00:00:00"/>
    <s v="06/08/2020 00:00:00"/>
    <s v="01/08/2025 00:00:00"/>
    <n v="60"/>
    <x v="1"/>
    <n v="4547566.08"/>
    <n v="4619318.18"/>
    <n v="23594128.710000001"/>
    <n v="0"/>
    <n v="32761012.969999999"/>
    <n v="546016.88283333334"/>
    <n v="6552202.5940000014"/>
    <n v="24570759.727499999"/>
    <n v="409512.66212499997"/>
    <n v="4914151.9455000004"/>
    <n v="38550736.119999997"/>
    <n v="6021268.0899999999"/>
    <n v="32529468.030000001"/>
    <n v="31272068.93"/>
    <n v="30673064.559999999"/>
    <s v="07-07-2025"/>
    <s v="6074202000015376|34.10.14.422.3018.4334.33903900"/>
    <n v="0.75"/>
  </r>
  <r>
    <s v="01"/>
    <s v="Secretaria Municipal de Direitos Humanos e Cidadania"/>
    <s v="34"/>
    <s v="10"/>
    <n v="8"/>
    <n v="243"/>
    <n v="3013"/>
    <n v="4328"/>
    <s v="33395000"/>
    <s v="34.10.14.422.3013.6178.33903700"/>
    <s v="23"/>
    <s v="Termo de Fomento - Lei Federal 13.019/2014"/>
    <n v="8"/>
    <s v="Não Aplicável"/>
    <n v="2018"/>
    <n v="18372"/>
    <s v="001/2018/SMDHC/CPDDH"/>
    <s v="6074201700007084"/>
    <x v="0"/>
    <x v="56"/>
    <s v="27/07/2018 00:00:00"/>
    <s v="02/08/2019 00:00:00"/>
    <s v="25/07/2025 00:00:00"/>
    <n v="85"/>
    <x v="1"/>
    <n v="1167461.76"/>
    <n v="0"/>
    <n v="7004770.6200000001"/>
    <n v="0"/>
    <n v="8172232.3799999999"/>
    <n v="96143.91035294118"/>
    <n v="1153726.9242352941"/>
    <n v="8172232.3799999999"/>
    <n v="96143.91035294118"/>
    <n v="1153726.9242352941"/>
    <n v="8853251.3699999992"/>
    <n v="681019.36"/>
    <n v="8172232.0099999998"/>
    <n v="8172232.0099999998"/>
    <n v="8172232.0099999998"/>
    <s v="07-07-2025"/>
    <s v="6074201700007084|34.10.14.422.3013.6178.33903700"/>
    <n v="1"/>
  </r>
  <r>
    <s v="01"/>
    <s v="Secretaria Municipal de Direitos Humanos e Cidadania"/>
    <s v="34"/>
    <s v="10"/>
    <n v="14"/>
    <n v="122"/>
    <n v="3024"/>
    <n v="2100"/>
    <s v="33309000"/>
    <s v="34.10.14.422.3013.6178.33903700"/>
    <s v="5"/>
    <s v="Nota de Empenho Fornecimento de Bens de Consumo e/ou Permanente"/>
    <n v="6"/>
    <s v="Dispensa de Licitação"/>
    <n v="2025"/>
    <n v="2408"/>
    <m/>
    <s v="6074202500002230"/>
    <x v="0"/>
    <x v="57"/>
    <m/>
    <m/>
    <s v="03/04/2025 00:00:00"/>
    <n v="12"/>
    <x v="0"/>
    <n v="3690"/>
    <n v="0"/>
    <n v="0"/>
    <n v="0"/>
    <n v="3690"/>
    <n v="307.5"/>
    <n v="3690"/>
    <n v="3690"/>
    <n v="307.5"/>
    <n v="3690"/>
    <n v="3690"/>
    <n v="0"/>
    <n v="3690"/>
    <n v="3690"/>
    <n v="3690"/>
    <s v="07-07-2025"/>
    <s v="6074202500002230|34.10.14.422.3013.6178.33903700"/>
    <n v="1"/>
  </r>
  <r>
    <s v="01"/>
    <s v="Secretaria Municipal de Direitos Humanos e Cidadania"/>
    <s v="34"/>
    <s v="10"/>
    <n v="14"/>
    <n v="422"/>
    <n v="3018"/>
    <n v="4334"/>
    <s v="33379000"/>
    <s v="34.10.14.422.3013.6178.33903700"/>
    <s v="2"/>
    <s v="Termo de Contrato - Serviços"/>
    <n v="12"/>
    <s v="Pregão"/>
    <n v="2022"/>
    <n v="31010"/>
    <m/>
    <s v="6074202200031731"/>
    <x v="1"/>
    <x v="58"/>
    <m/>
    <m/>
    <s v="31/10/2022 00:00:00"/>
    <n v="12"/>
    <x v="0"/>
    <n v="747999.84"/>
    <n v="0"/>
    <n v="0"/>
    <n v="0"/>
    <n v="747999.84"/>
    <n v="62333.32"/>
    <n v="747999.84"/>
    <n v="613359.86879999994"/>
    <n v="51113.322399999997"/>
    <n v="613359.86879999994"/>
    <n v="124666.64"/>
    <n v="124666.64"/>
    <n v="0"/>
    <n v="0"/>
    <n v="0"/>
    <s v="07-07-2025"/>
    <s v="6074202200031731|34.10.14.422.3013.6178.33903700"/>
    <n v="0.82"/>
  </r>
  <r>
    <s v="01"/>
    <s v="Secretaria Municipal de Direitos Humanos e Cidadania"/>
    <s v="34"/>
    <s v="10"/>
    <n v="14"/>
    <n v="422"/>
    <n v="3018"/>
    <n v="4334"/>
    <s v="33379000"/>
    <s v="34.10.14.422.3013.6178.33903700"/>
    <s v="2"/>
    <s v="Termo de Contrato - Serviços"/>
    <n v="12"/>
    <s v="Pregão"/>
    <n v="2022"/>
    <n v="31014"/>
    <s v="215/SMDHC/2022"/>
    <s v="6074202200031731"/>
    <x v="1"/>
    <x v="58"/>
    <s v="09/11/2022 00:00:00"/>
    <s v="17/11/2022 00:00:00"/>
    <s v="06/12/2025 00:00:00"/>
    <n v="12"/>
    <x v="0"/>
    <n v="317999.88"/>
    <n v="33911.279999999999"/>
    <n v="635999.86"/>
    <n v="0"/>
    <n v="987911.02"/>
    <n v="82325.918333333335"/>
    <n v="987911.02"/>
    <n v="810087.03639999998"/>
    <n v="67507.253033333327"/>
    <n v="810087.03639999998"/>
    <n v="1377134.79"/>
    <n v="392168.58"/>
    <n v="984966.21"/>
    <n v="780207.94"/>
    <n v="780207.94"/>
    <s v="07-07-2025"/>
    <s v="6074202200031731|34.10.14.422.3013.6178.33903700"/>
    <n v="0.82"/>
  </r>
  <r>
    <s v="01"/>
    <s v="Secretaria Municipal de Direitos Humanos e Cidadania"/>
    <s v="34"/>
    <s v="10"/>
    <n v="14"/>
    <n v="422"/>
    <n v="3013"/>
    <n v="2431"/>
    <s v="33395000"/>
    <s v="34.10.14.422.3013.6178.33903700"/>
    <s v="22"/>
    <s v="Termo de Colaboração - Lei Federal 13.019/2014"/>
    <n v="8"/>
    <s v="Não Aplicável"/>
    <n v="2021"/>
    <n v="10879"/>
    <s v="506/SMADS/2018"/>
    <s v="6074202000060606"/>
    <x v="1"/>
    <x v="59"/>
    <s v="11/06/2021 00:00:00"/>
    <s v="18/06/2021 00:00:00"/>
    <s v="29/09/2025 00:00:00"/>
    <n v="52"/>
    <x v="1"/>
    <n v="2381378.06"/>
    <n v="0"/>
    <n v="1713296.07"/>
    <n v="0"/>
    <n v="4094674.13"/>
    <n v="78743.733269230768"/>
    <n v="944924.79923076928"/>
    <n v="900828.30859999999"/>
    <n v="17323.62131923077"/>
    <n v="207883.45583076921"/>
    <n v="4445695.41"/>
    <n v="351021.28"/>
    <n v="4094674.13"/>
    <n v="3943555.2"/>
    <n v="3867995.73"/>
    <s v="07-07-2025"/>
    <s v="6074202000060606|34.10.14.422.3013.6178.33903700"/>
    <n v="0.22"/>
  </r>
  <r>
    <s v="01"/>
    <s v="Secretaria Municipal de Direitos Humanos e Cidadania"/>
    <s v="34"/>
    <s v="10"/>
    <n v="14"/>
    <n v="422"/>
    <n v="3013"/>
    <n v="2431"/>
    <s v="33395000"/>
    <s v="34.10.14.422.3013.6178.33903700"/>
    <s v="22"/>
    <s v="Termo de Colaboração - Lei Federal 13.019/2014"/>
    <n v="8"/>
    <s v="Não Aplicável"/>
    <n v="2024"/>
    <n v="9156"/>
    <s v="13/2024/SMHDC/CPPSR"/>
    <s v="6074202400008334"/>
    <x v="1"/>
    <x v="60"/>
    <s v="01/04/2024 00:00:00"/>
    <s v="05/04/2024 00:00:00"/>
    <s v="27/03/2027 00:00:00"/>
    <n v="36"/>
    <x v="1"/>
    <n v="14272370.550000001"/>
    <n v="0"/>
    <n v="0"/>
    <n v="0"/>
    <n v="14272370.550000001"/>
    <n v="396454.73749999999"/>
    <n v="4757456.8500000006"/>
    <n v="0"/>
    <n v="0"/>
    <n v="0"/>
    <n v="8428383.9800000004"/>
    <n v="4207217.51"/>
    <n v="4221166.47"/>
    <n v="3784884.6"/>
    <n v="3056500.29"/>
    <s v="07-07-2025"/>
    <s v="6074202400008334|34.10.14.422.3013.6178.33903700"/>
    <n v="0"/>
  </r>
  <r>
    <s v="01"/>
    <s v="Secretaria Municipal de Direitos Humanos e Cidadania"/>
    <s v="34"/>
    <s v="10"/>
    <n v="14"/>
    <n v="422"/>
    <n v="3023"/>
    <n v="4321"/>
    <s v="33399000"/>
    <s v="34.10.14.422.3023.4321.33903900"/>
    <s v="41"/>
    <s v="Nota de Empenho de Serviços com fornecimento de materiais / peças"/>
    <n v="12"/>
    <s v="Pregão"/>
    <n v="2025"/>
    <n v="2482"/>
    <m/>
    <s v="6074202500002966"/>
    <x v="0"/>
    <x v="61"/>
    <m/>
    <m/>
    <s v="06/02/2025 00:00:00"/>
    <n v="12"/>
    <x v="0"/>
    <n v="2009.6"/>
    <n v="0"/>
    <n v="0"/>
    <n v="0"/>
    <n v="2009.6"/>
    <n v="167.4666666666667"/>
    <n v="2009.6"/>
    <n v="2009.6"/>
    <n v="167.4666666666667"/>
    <n v="2009.6"/>
    <n v="2009.6"/>
    <n v="0"/>
    <n v="2009.6"/>
    <n v="2009.6"/>
    <n v="2009.6"/>
    <s v="07-07-2025"/>
    <s v="6074202500002966|34.10.14.422.3023.4321.33903900"/>
    <n v="1"/>
  </r>
  <r>
    <s v="01"/>
    <s v="Secretaria Municipal de Direitos Humanos e Cidadania"/>
    <s v="34"/>
    <s v="10"/>
    <n v="14"/>
    <n v="422"/>
    <n v="3018"/>
    <n v="4334"/>
    <s v="33399000"/>
    <s v="34.10.14.422.3023.4321.33903900"/>
    <s v="2"/>
    <s v="Termo de Contrato - Serviços"/>
    <n v="12"/>
    <s v="Pregão"/>
    <n v="2022"/>
    <n v="31724"/>
    <s v="218/SMDHC/2022"/>
    <s v="6074202200034161"/>
    <x v="1"/>
    <x v="62"/>
    <s v="17/11/2022 00:00:00"/>
    <s v="06/12/2022 00:00:00"/>
    <s v="16/11/2025 00:00:00"/>
    <n v="36"/>
    <x v="1"/>
    <n v="113400"/>
    <n v="4503.6000000000004"/>
    <n v="226800"/>
    <n v="0"/>
    <n v="344703.6"/>
    <n v="9575.0999999999985"/>
    <n v="114901.2"/>
    <n v="344703.6"/>
    <n v="9575.0999999999985"/>
    <n v="114901.2"/>
    <n v="295141.44"/>
    <n v="86193.38"/>
    <n v="208948.06"/>
    <n v="150510.35"/>
    <n v="150510.35"/>
    <s v="07-07-2025"/>
    <s v="6074202200034161|34.10.14.422.3023.4321.33903900"/>
    <n v="1"/>
  </r>
  <r>
    <s v="01"/>
    <s v="Secretaria Municipal de Direitos Humanos e Cidadania"/>
    <s v="34"/>
    <s v="10"/>
    <n v="14"/>
    <n v="122"/>
    <n v="3024"/>
    <n v="2100"/>
    <s v="33309000"/>
    <s v="34.10.14.422.3023.4321.33903900"/>
    <s v="5"/>
    <s v="Nota de Empenho Fornecimento de Bens de Consumo e/ou Permanente"/>
    <n v="6"/>
    <s v="Dispensa de Licitação"/>
    <n v="2025"/>
    <n v="2475"/>
    <m/>
    <s v="6074202400101865"/>
    <x v="0"/>
    <x v="63"/>
    <m/>
    <m/>
    <s v="14/02/2025 00:00:00"/>
    <n v="12"/>
    <x v="0"/>
    <n v="1451.28"/>
    <n v="0"/>
    <n v="0"/>
    <n v="0"/>
    <n v="1451.28"/>
    <n v="120.94"/>
    <n v="1451.28"/>
    <n v="1451.28"/>
    <n v="120.94"/>
    <n v="1451.28"/>
    <n v="1451.28"/>
    <n v="0"/>
    <n v="1451.28"/>
    <n v="1451.28"/>
    <n v="1451.28"/>
    <s v="07-07-2025"/>
    <s v="6074202400101865|34.10.14.422.3023.4321.33903900"/>
    <n v="1"/>
  </r>
  <r>
    <s v="01"/>
    <s v="Secretaria Municipal de Direitos Humanos e Cidadania"/>
    <s v="34"/>
    <s v="10"/>
    <n v="14"/>
    <n v="122"/>
    <n v="3024"/>
    <n v="2100"/>
    <s v="33309000"/>
    <s v="34.10.14.422.3023.4321.33903900"/>
    <s v="5"/>
    <s v="Nota de Empenho Fornecimento de Bens de Consumo e/ou Permanente"/>
    <n v="6"/>
    <s v="Dispensa de Licitação"/>
    <n v="2025"/>
    <n v="2477"/>
    <m/>
    <s v="6074202400101865"/>
    <x v="0"/>
    <x v="64"/>
    <m/>
    <m/>
    <s v="18/02/2025 00:00:00"/>
    <n v="12"/>
    <x v="0"/>
    <n v="3389.95"/>
    <n v="0"/>
    <n v="0"/>
    <n v="0"/>
    <n v="3389.95"/>
    <n v="282.49583333333328"/>
    <n v="3389.95"/>
    <n v="3389.95"/>
    <n v="282.49583333333328"/>
    <n v="3389.95"/>
    <n v="4841.2299999999996"/>
    <n v="1451.28"/>
    <n v="3389.95"/>
    <n v="3389.95"/>
    <n v="3389.95"/>
    <s v="07-07-2025"/>
    <s v="6074202400101865|34.10.14.422.3023.4321.33903900"/>
    <n v="1"/>
  </r>
  <r>
    <s v="01"/>
    <s v="Secretaria Municipal de Direitos Humanos e Cidadania"/>
    <s v="34"/>
    <s v="10"/>
    <n v="14"/>
    <n v="422"/>
    <n v="3013"/>
    <n v="2431"/>
    <s v="33395000"/>
    <s v="34.10.14.422.3023.4321.33903900"/>
    <s v="22"/>
    <s v="Termo de Colaboração - Lei Federal 13.019/2014"/>
    <n v="8"/>
    <s v="Não Aplicável"/>
    <n v="2024"/>
    <n v="9176"/>
    <s v="12/2024/SMDHC/CPPSR"/>
    <s v="6074202400008326"/>
    <x v="1"/>
    <x v="65"/>
    <s v="28/03/2024 00:00:00"/>
    <s v="03/04/2024 00:00:00"/>
    <s v="23/03/2027 00:00:00"/>
    <n v="36"/>
    <x v="1"/>
    <n v="16304045.5"/>
    <n v="0"/>
    <n v="0"/>
    <n v="0"/>
    <n v="16304045.5"/>
    <n v="452890.15277777781"/>
    <n v="5434681.833333333"/>
    <n v="3749930.4649999999"/>
    <n v="104164.73513888889"/>
    <n v="1249976.821666667"/>
    <n v="8547828.3100000005"/>
    <n v="769037.64"/>
    <n v="7778790.6699999999"/>
    <n v="6679123.2300000004"/>
    <n v="6679123.2300000004"/>
    <s v="07-07-2025"/>
    <s v="6074202400008326|34.10.14.422.3023.4321.33903900"/>
    <n v="0.23"/>
  </r>
  <r>
    <s v="01"/>
    <s v="Secretaria Municipal de Direitos Humanos e Cidadania"/>
    <s v="34"/>
    <s v="10"/>
    <n v="14"/>
    <n v="422"/>
    <n v="3007"/>
    <n v="4330"/>
    <s v="33395000"/>
    <s v="34.10.14.422.3023.4321.33903900"/>
    <s v="22"/>
    <s v="Termo de Colaboração - Lei Federal 13.019/2014"/>
    <n v="8"/>
    <s v="Não Aplicável"/>
    <n v="2024"/>
    <n v="34998"/>
    <s v="018/2024/SMDHC/CPPI"/>
    <s v="6074202400084448"/>
    <x v="1"/>
    <x v="66"/>
    <s v="23/10/2024 00:00:00"/>
    <s v="29/10/2024 00:00:00"/>
    <s v="22/10/2029 00:00:00"/>
    <n v="60"/>
    <x v="1"/>
    <n v="9999124.3399999999"/>
    <n v="0"/>
    <n v="0"/>
    <n v="0"/>
    <n v="9999124.3399999999"/>
    <n v="166652.07233333329"/>
    <n v="1999824.868"/>
    <n v="4199632.2227999996"/>
    <n v="69993.870380000008"/>
    <n v="839926.44456000009"/>
    <n v="1884124.57"/>
    <n v="0"/>
    <n v="1884124.57"/>
    <n v="1406771.65"/>
    <n v="1406771.65"/>
    <s v="07-07-2025"/>
    <s v="6074202400084448|34.10.14.422.3023.4321.33903900"/>
    <n v="0.42"/>
  </r>
  <r>
    <s v="01"/>
    <s v="Secretaria Municipal de Direitos Humanos e Cidadania"/>
    <s v="34"/>
    <s v="10"/>
    <n v="14"/>
    <n v="422"/>
    <n v="3018"/>
    <n v="4318"/>
    <s v="33395000"/>
    <s v="34.10.14.422.3023.4321.33903900"/>
    <s v="22"/>
    <s v="Termo de Colaboração - Lei Federal 13.019/2014"/>
    <n v="8"/>
    <s v="Não Aplicável"/>
    <n v="2022"/>
    <n v="36535"/>
    <s v="007/2022/SMDHC/CPJ"/>
    <s v="6074202200048430"/>
    <x v="1"/>
    <x v="67"/>
    <s v="21/12/2022 00:00:00"/>
    <s v="22/12/2022 00:00:00"/>
    <s v="25/03/2026 00:00:00"/>
    <n v="39"/>
    <x v="1"/>
    <n v="14027720"/>
    <n v="0"/>
    <n v="34428020"/>
    <n v="0"/>
    <n v="48455740"/>
    <n v="1242454.871794872"/>
    <n v="14909458.46153846"/>
    <n v="7268361"/>
    <n v="186368.23076923081"/>
    <n v="2236418.769230769"/>
    <n v="39675591.399999999"/>
    <n v="8.4"/>
    <n v="39675583"/>
    <n v="39675583"/>
    <n v="39675583"/>
    <s v="07-07-2025"/>
    <s v="6074202200048430|34.10.14.422.3023.4321.33903900"/>
    <n v="0.15"/>
  </r>
  <r>
    <s v="01"/>
    <s v="Secretaria Municipal de Direitos Humanos e Cidadania"/>
    <s v="34"/>
    <s v="10"/>
    <n v="14"/>
    <n v="422"/>
    <n v="3013"/>
    <n v="2431"/>
    <s v="33395000"/>
    <s v="34.10.14.422.3023.4321.33903900"/>
    <s v="22"/>
    <s v="Termo de Colaboração - Lei Federal 13.019/2014"/>
    <n v="8"/>
    <s v="Não Aplicável"/>
    <n v="2021"/>
    <n v="7511"/>
    <s v="410/SMADS/2018"/>
    <s v="6074202000060592"/>
    <x v="1"/>
    <x v="68"/>
    <s v="19/04/2021 00:00:00"/>
    <s v="23/04/2021 00:00:00"/>
    <s v="15/08/2025 00:00:00"/>
    <n v="52"/>
    <x v="1"/>
    <n v="1510937.4"/>
    <n v="0"/>
    <n v="1287634.4099999999"/>
    <n v="0"/>
    <n v="2798571.81"/>
    <n v="53818.688653846148"/>
    <n v="645824.26384615374"/>
    <n v="699642.9524999999"/>
    <n v="13454.672163461541"/>
    <n v="161456.06596153841"/>
    <n v="3645826.7"/>
    <n v="847435.49"/>
    <n v="2798391.21"/>
    <n v="2798391.21"/>
    <n v="2798391.21"/>
    <s v="07-07-2025"/>
    <s v="6074202000060592|34.10.14.422.3023.4321.33903900"/>
    <n v="0.25"/>
  </r>
  <r>
    <s v="01"/>
    <s v="Secretaria Municipal de Direitos Humanos e Cidadania"/>
    <s v="34"/>
    <s v="10"/>
    <n v="14"/>
    <n v="122"/>
    <n v="3024"/>
    <n v="2100"/>
    <s v="33399000"/>
    <s v="34.10.14.243.3013.2157.33903600"/>
    <s v="2"/>
    <s v="Termo de Contrato - Serviços"/>
    <n v="8"/>
    <s v="Não Aplicável"/>
    <n v="2019"/>
    <n v="14295"/>
    <s v="012/smdhc/2019"/>
    <s v="6074201900011301"/>
    <x v="1"/>
    <x v="69"/>
    <s v="07/06/2019 00:00:00"/>
    <s v="12/06/2019 00:00:00"/>
    <s v="06/06/2025 00:00:00"/>
    <n v="73"/>
    <x v="2"/>
    <n v="39498"/>
    <n v="0"/>
    <n v="78996"/>
    <n v="0"/>
    <n v="118494"/>
    <n v="1623.205479452055"/>
    <n v="19478.465753424662"/>
    <n v="118494"/>
    <n v="1623.205479452055"/>
    <n v="19478.465753424662"/>
    <n v="126221.03"/>
    <n v="74003.12"/>
    <n v="52217.91"/>
    <n v="45300.75"/>
    <n v="45060.41"/>
    <s v="07-07-2025"/>
    <s v="6074201900011301|34.10.14.243.3013.2157.33903600"/>
    <n v="1"/>
  </r>
  <r>
    <s v="01"/>
    <s v="Secretaria Municipal de Direitos Humanos e Cidadania"/>
    <s v="34"/>
    <s v="10"/>
    <n v="14"/>
    <n v="122"/>
    <n v="3024"/>
    <n v="2100"/>
    <s v="33309000"/>
    <s v="34.10.14.243.3013.2157.33903600"/>
    <s v="29"/>
    <s v="Termo de Contrato para Aquisição de Bens de Consumo e/ou Permanente"/>
    <n v="6"/>
    <s v="Dispensa de Licitação"/>
    <n v="2025"/>
    <n v="2689"/>
    <s v="006/SMDHC/2025"/>
    <s v="6074202500001943"/>
    <x v="1"/>
    <x v="70"/>
    <s v="12/02/2025 00:00:00"/>
    <s v="13/02/2025 00:00:00"/>
    <s v="31/12/2025 00:00:00"/>
    <n v="10"/>
    <x v="1"/>
    <n v="6649.9"/>
    <n v="0"/>
    <n v="0"/>
    <n v="0"/>
    <n v="6649.9"/>
    <n v="554.1583333333333"/>
    <n v="6649.9"/>
    <n v="6649.9"/>
    <n v="554.1583333333333"/>
    <n v="6649.9"/>
    <n v="6649.9"/>
    <n v="0"/>
    <n v="6649.9"/>
    <n v="1907"/>
    <n v="1759"/>
    <s v="07-07-2025"/>
    <s v="6074202500001943|34.10.14.243.3013.2157.33903600"/>
    <n v="1"/>
  </r>
  <r>
    <s v="01"/>
    <s v="Secretaria Municipal de Direitos Humanos e Cidadania"/>
    <s v="34"/>
    <s v="10"/>
    <n v="14"/>
    <n v="243"/>
    <n v="3013"/>
    <n v="2157"/>
    <s v="33399000"/>
    <s v="34.10.14.243.3013.2157.33903600"/>
    <s v="2"/>
    <s v="Termo de Contrato - Serviços"/>
    <n v="12"/>
    <s v="Pregão"/>
    <n v="2021"/>
    <n v="24655"/>
    <s v="350/SMDHC/2021"/>
    <s v="6074202100023311"/>
    <x v="1"/>
    <x v="71"/>
    <s v="15/12/2021 00:00:00"/>
    <s v="18/01/2022 00:00:00"/>
    <s v="14/12/2025 00:00:00"/>
    <n v="48"/>
    <x v="1"/>
    <n v="1159527.6599999999"/>
    <n v="173929.14"/>
    <n v="3767984.47"/>
    <n v="0"/>
    <n v="5101441.2699999996"/>
    <n v="106280.0264583333"/>
    <n v="1275360.3174999999"/>
    <n v="3315936.8254999998"/>
    <n v="69082.017197916663"/>
    <n v="828984.20637499995"/>
    <n v="5055259.71"/>
    <n v="1045580.36"/>
    <n v="4009679.35"/>
    <n v="3473228.9"/>
    <n v="3473228.9"/>
    <s v="07-07-2025"/>
    <s v="6074202100023311|34.10.14.243.3013.2157.33903600"/>
    <n v="0.65"/>
  </r>
  <r>
    <s v="01"/>
    <s v="Secretaria Municipal de Direitos Humanos e Cidadania"/>
    <s v="34"/>
    <s v="10"/>
    <n v="14"/>
    <n v="122"/>
    <n v="3024"/>
    <n v="2100"/>
    <s v="33399000"/>
    <s v="34.10.14.243.3013.2157.33903600"/>
    <s v="41"/>
    <s v="Nota de Empenho de Serviços com fornecimento de materiais / peças"/>
    <n v="12"/>
    <s v="Pregão"/>
    <n v="2020"/>
    <n v="23150"/>
    <s v="074/SMDHC/2020"/>
    <s v="6074202000034311"/>
    <x v="1"/>
    <x v="72"/>
    <s v="24/11/2020 00:00:00"/>
    <s v="28/11/2020 00:00:00"/>
    <s v="23/11/2025 00:00:00"/>
    <n v="60"/>
    <x v="1"/>
    <n v="154560"/>
    <n v="141557.16"/>
    <n v="811440"/>
    <n v="0"/>
    <n v="1107557.1599999999"/>
    <n v="18459.286"/>
    <n v="221511.432"/>
    <n v="620232.00960000011"/>
    <n v="10337.20016"/>
    <n v="124046.40192"/>
    <n v="1307095.23"/>
    <n v="264795.46000000002"/>
    <n v="1042299.77"/>
    <n v="925911.42"/>
    <n v="925911.42"/>
    <s v="07-07-2025"/>
    <s v="6074202000034311|34.10.14.243.3013.2157.33903600"/>
    <n v="0.56000000000000005"/>
  </r>
  <r>
    <s v="01"/>
    <s v="Secretaria Municipal de Direitos Humanos e Cidadania"/>
    <s v="34"/>
    <s v="10"/>
    <n v="14"/>
    <n v="122"/>
    <n v="3024"/>
    <n v="2100"/>
    <s v="33399000"/>
    <s v="34.10.14.243.3013.2157.33903600"/>
    <s v="41"/>
    <s v="Nota de Empenho de Serviços com fornecimento de materiais / peças"/>
    <n v="12"/>
    <s v="Pregão"/>
    <n v="2025"/>
    <n v="2738"/>
    <m/>
    <s v="6074202500006953"/>
    <x v="0"/>
    <x v="73"/>
    <m/>
    <m/>
    <s v="08/02/2025 00:00:00"/>
    <n v="12"/>
    <x v="0"/>
    <n v="4501"/>
    <n v="0"/>
    <n v="0"/>
    <n v="0"/>
    <n v="4501"/>
    <n v="375.08333333333331"/>
    <n v="4501"/>
    <n v="4501"/>
    <n v="375.08333333333331"/>
    <n v="4501"/>
    <n v="4501"/>
    <n v="0"/>
    <n v="4501"/>
    <n v="4501"/>
    <n v="4501"/>
    <s v="07-07-2025"/>
    <s v="6074202500006953|34.10.14.243.3013.2157.33903600"/>
    <n v="1"/>
  </r>
  <r>
    <s v="01"/>
    <s v="Secretaria Municipal de Direitos Humanos e Cidadania"/>
    <s v="34"/>
    <s v="10"/>
    <n v="14"/>
    <n v="122"/>
    <n v="3024"/>
    <n v="2100"/>
    <s v="33399000"/>
    <s v="34.10.14.122.3024.2100.33903900"/>
    <s v="2"/>
    <s v="Termo de Contrato - Serviços"/>
    <n v="12"/>
    <s v="Pregão"/>
    <n v="2022"/>
    <n v="16779"/>
    <s v="144/SMDHC/2022"/>
    <s v="6074202200038582"/>
    <x v="1"/>
    <x v="74"/>
    <s v="11/07/2022 00:00:00"/>
    <s v="13/07/2022 00:00:00"/>
    <s v="10/07/2026 00:00:00"/>
    <n v="48"/>
    <x v="1"/>
    <n v="1578.96"/>
    <n v="0"/>
    <n v="4736.88"/>
    <n v="0"/>
    <n v="6315.84"/>
    <n v="131.58000000000001"/>
    <n v="1578.96"/>
    <n v="3157.92"/>
    <n v="65.790000000000006"/>
    <n v="789.48"/>
    <n v="6315.84"/>
    <n v="1578.96"/>
    <n v="4736.88"/>
    <n v="3947.4"/>
    <n v="3947.4"/>
    <s v="07-07-2025"/>
    <s v="6074202200038582|34.10.14.122.3024.2100.33903900"/>
    <n v="0.5"/>
  </r>
  <r>
    <s v="01"/>
    <s v="Secretaria Municipal de Direitos Humanos e Cidadania"/>
    <s v="34"/>
    <s v="10"/>
    <n v="14"/>
    <n v="122"/>
    <n v="3024"/>
    <n v="2100"/>
    <s v="33309000"/>
    <s v="34.10.14.122.3024.2100.33903900"/>
    <s v="29"/>
    <s v="Termo de Contrato para Aquisição de Bens de Consumo e/ou Permanente"/>
    <n v="12"/>
    <s v="Pregão"/>
    <n v="2025"/>
    <n v="2740"/>
    <s v=" 004/SMDHC"/>
    <s v="6074202500006473"/>
    <x v="0"/>
    <x v="75"/>
    <s v="06/02/2025 00:00:00"/>
    <s v="13/02/2025 00:00:00"/>
    <s v="08/03/2025 00:00:00"/>
    <n v="1"/>
    <x v="2"/>
    <n v="17800"/>
    <n v="0"/>
    <n v="0"/>
    <n v="0"/>
    <n v="17800"/>
    <n v="1483.333333333333"/>
    <n v="17800"/>
    <n v="10858"/>
    <n v="904.83333333333326"/>
    <n v="10858"/>
    <n v="17800"/>
    <n v="0"/>
    <n v="17800"/>
    <n v="17800"/>
    <n v="17800"/>
    <s v="07-07-2025"/>
    <s v="6074202500006473|34.10.14.122.3024.2100.33903900"/>
    <n v="0.61"/>
  </r>
  <r>
    <s v="01"/>
    <s v="Secretaria Municipal de Direitos Humanos e Cidadania"/>
    <s v="34"/>
    <s v="10"/>
    <n v="14"/>
    <n v="122"/>
    <n v="3024"/>
    <n v="2100"/>
    <s v="33309000"/>
    <s v="34.10.14.122.3024.2100.33903900"/>
    <s v="29"/>
    <s v="Termo de Contrato para Aquisição de Bens de Consumo e/ou Permanente"/>
    <n v="12"/>
    <s v="Pregão"/>
    <n v="2025"/>
    <n v="5305"/>
    <s v="022/SMDHC/2025"/>
    <s v="6074202500006473"/>
    <x v="0"/>
    <x v="76"/>
    <s v="28/02/2025 00:00:00"/>
    <s v="05/03/2025 00:00:00"/>
    <s v="30/03/2025 00:00:00"/>
    <n v="1"/>
    <x v="2"/>
    <n v="11200"/>
    <n v="0"/>
    <n v="0"/>
    <n v="0"/>
    <n v="11200"/>
    <n v="933.33333333333337"/>
    <n v="11200"/>
    <n v="6832"/>
    <n v="569.33333333333337"/>
    <n v="6832"/>
    <n v="11200"/>
    <n v="0"/>
    <n v="11200"/>
    <n v="11200"/>
    <n v="11200"/>
    <s v="07-07-2025"/>
    <s v="6074202500006473|34.10.14.122.3024.2100.33903900"/>
    <n v="0.61"/>
  </r>
  <r>
    <s v="01"/>
    <s v="Secretaria Municipal de Direitos Humanos e Cidadania"/>
    <s v="34"/>
    <s v="10"/>
    <n v="14"/>
    <n v="122"/>
    <n v="3024"/>
    <n v="2100"/>
    <s v="33399000"/>
    <s v="34.10.14.122.3024.2100.33903900"/>
    <s v="2"/>
    <s v="Termo de Contrato - Serviços"/>
    <n v="12"/>
    <s v="Pregão"/>
    <n v="2023"/>
    <n v="3724"/>
    <s v="062/SMDHC/2023"/>
    <s v="6074202200079130"/>
    <x v="1"/>
    <x v="77"/>
    <s v="13/03/2023 00:00:00"/>
    <s v="16/03/2023 00:00:00"/>
    <s v="12/03/2026 00:00:00"/>
    <n v="36"/>
    <x v="1"/>
    <n v="376460.79999999999"/>
    <n v="17016"/>
    <n v="752921.59999999998"/>
    <n v="0"/>
    <n v="1146398.3999999999"/>
    <n v="31844.400000000001"/>
    <n v="382132.8"/>
    <n v="768086.92799999996"/>
    <n v="21335.748"/>
    <n v="256028.976"/>
    <n v="982025.27"/>
    <n v="270719.95"/>
    <n v="711305.32"/>
    <n v="594530.68000000005"/>
    <n v="594530.68000000005"/>
    <s v="07-07-2025"/>
    <s v="6074202200079130|34.10.14.122.3024.2100.33903900"/>
    <n v="0.67"/>
  </r>
  <r>
    <s v="01"/>
    <s v="Secretaria Municipal de Direitos Humanos e Cidadania"/>
    <s v="34"/>
    <s v="10"/>
    <n v="14"/>
    <n v="122"/>
    <n v="3024"/>
    <n v="2100"/>
    <s v="33309000"/>
    <s v="34.10.14.122.3024.2100.33903900"/>
    <s v="5"/>
    <s v="Nota de Empenho Fornecimento de Bens de Consumo e/ou Permanente"/>
    <n v="6"/>
    <s v="Dispensa de Licitação"/>
    <n v="2025"/>
    <n v="2772"/>
    <m/>
    <s v="6074202400101873"/>
    <x v="0"/>
    <x v="78"/>
    <m/>
    <m/>
    <s v="16/02/2025 00:00:00"/>
    <n v="12"/>
    <x v="0"/>
    <n v="9995.2000000000007"/>
    <n v="0"/>
    <n v="0"/>
    <n v="0"/>
    <n v="9995.2000000000007"/>
    <n v="832.93333333333339"/>
    <n v="9995.2000000000007"/>
    <n v="9995.2000000000007"/>
    <n v="832.93333333333339"/>
    <n v="9995.2000000000007"/>
    <n v="9995.2000000000007"/>
    <n v="0"/>
    <n v="9995.2000000000007"/>
    <n v="9995.2000000000007"/>
    <n v="9995.2000000000007"/>
    <s v="07-07-2025"/>
    <s v="6074202400101873|34.10.14.122.3024.2100.33903900"/>
    <n v="1"/>
  </r>
  <r>
    <s v="01"/>
    <s v="Secretaria Municipal de Direitos Humanos e Cidadania"/>
    <s v="34"/>
    <s v="10"/>
    <n v="14"/>
    <n v="122"/>
    <n v="3024"/>
    <n v="2100"/>
    <s v="33309000"/>
    <s v="34.10.14.122.3024.2100.33903900"/>
    <s v="41"/>
    <s v="Nota de Empenho de Serviços com fornecimento de materiais / peças"/>
    <n v="6"/>
    <s v="Dispensa de Licitação"/>
    <n v="2025"/>
    <n v="2773"/>
    <m/>
    <s v="6074202500004560"/>
    <x v="0"/>
    <x v="79"/>
    <s v="03/02/2025 00:00:00"/>
    <m/>
    <s v="16/02/2025 00:00:00"/>
    <n v="0"/>
    <x v="2"/>
    <n v="550"/>
    <n v="0"/>
    <n v="0"/>
    <n v="0"/>
    <n v="550"/>
    <n v="45.833333333333343"/>
    <n v="550"/>
    <n v="550"/>
    <n v="45.833333333333343"/>
    <n v="550"/>
    <n v="550"/>
    <n v="0"/>
    <n v="550"/>
    <n v="550"/>
    <n v="550"/>
    <s v="07-07-2025"/>
    <s v="6074202500004560|34.10.14.122.3024.2100.33903900"/>
    <n v="1"/>
  </r>
  <r>
    <s v="01"/>
    <s v="Secretaria Municipal de Direitos Humanos e Cidadania"/>
    <s v="34"/>
    <s v="10"/>
    <n v="14"/>
    <n v="243"/>
    <n v="3013"/>
    <n v="2157"/>
    <s v="33409000"/>
    <s v="34.10.14.122.3024.2100.33903900"/>
    <s v="2"/>
    <s v="Termo de Contrato - Serviços"/>
    <n v="12"/>
    <s v="Pregão"/>
    <n v="2020"/>
    <n v="11093"/>
    <s v="025/SMDHC/2020"/>
    <s v="6074202000015333"/>
    <x v="1"/>
    <x v="80"/>
    <s v="09/07/2020 00:00:00"/>
    <s v="16/07/2020 00:00:00"/>
    <s v="09/07/2026 00:00:00"/>
    <n v="73"/>
    <x v="1"/>
    <n v="90136.8"/>
    <n v="41606.28"/>
    <n v="564980.53"/>
    <n v="0"/>
    <n v="696723.6100000001"/>
    <n v="9544.1590410958925"/>
    <n v="114529.90849315069"/>
    <n v="299591.15230000002"/>
    <n v="4103.9883876712338"/>
    <n v="49247.860652054813"/>
    <n v="648900.6"/>
    <n v="24059.91"/>
    <n v="624840.68999999994"/>
    <n v="544071.68000000005"/>
    <n v="544071.68000000005"/>
    <s v="07-07-2025"/>
    <s v="6074202000015333|34.10.14.122.3024.2100.33903900"/>
    <n v="0.43"/>
  </r>
  <r>
    <s v="01"/>
    <s v="Secretaria Municipal de Direitos Humanos e Cidadania"/>
    <s v="34"/>
    <s v="10"/>
    <n v="14"/>
    <n v="122"/>
    <n v="3024"/>
    <n v="2100"/>
    <s v="44529000"/>
    <s v="34.10.14.122.3024.2100.33903900"/>
    <s v="29"/>
    <s v="Termo de Contrato para Aquisição de Bens de Consumo e/ou Permanente"/>
    <n v="6"/>
    <s v="Dispensa de Licitação"/>
    <n v="2025"/>
    <n v="2774"/>
    <s v="013/SMDHC/2025"/>
    <s v="6074202500004357"/>
    <x v="0"/>
    <x v="81"/>
    <s v="26/02/2025 00:00:00"/>
    <s v="28/02/2025 00:00:00"/>
    <s v="09/04/2026 00:00:00"/>
    <n v="13"/>
    <x v="1"/>
    <n v="11250"/>
    <n v="0"/>
    <n v="0"/>
    <n v="0"/>
    <n v="11250"/>
    <n v="865.38461538461536"/>
    <n v="10384.615384615379"/>
    <n v="11250"/>
    <n v="865.38461538461536"/>
    <n v="10384.615384615379"/>
    <n v="11250"/>
    <n v="0"/>
    <n v="11250"/>
    <n v="11250"/>
    <n v="11250"/>
    <s v="07-07-2025"/>
    <s v="6074202500004357|34.10.14.122.3024.2100.33903900"/>
    <n v="1"/>
  </r>
  <r>
    <s v="01"/>
    <s v="Secretaria Municipal de Direitos Humanos e Cidadania"/>
    <s v="34"/>
    <s v="10"/>
    <n v="8"/>
    <n v="605"/>
    <n v="3016"/>
    <n v="4470"/>
    <s v="33309000"/>
    <s v="34.10.14.122.3024.2100.33903900"/>
    <s v="5"/>
    <s v="Nota de Empenho Fornecimento de Bens de Consumo e/ou Permanente"/>
    <n v="6"/>
    <s v="Dispensa de Licitação"/>
    <n v="2025"/>
    <n v="2823"/>
    <m/>
    <s v="6074202500000114"/>
    <x v="0"/>
    <x v="82"/>
    <m/>
    <m/>
    <s v="23/02/2025 00:00:00"/>
    <n v="12"/>
    <x v="0"/>
    <n v="15000"/>
    <n v="0"/>
    <n v="0"/>
    <n v="0"/>
    <n v="15000"/>
    <n v="1250"/>
    <n v="15000"/>
    <n v="15000"/>
    <n v="1250"/>
    <n v="15000"/>
    <n v="15000"/>
    <n v="0"/>
    <n v="15000"/>
    <n v="15000"/>
    <n v="15000"/>
    <s v="07-07-2025"/>
    <s v="6074202500000114|34.10.14.122.3024.2100.33903900"/>
    <n v="1"/>
  </r>
  <r>
    <s v="01"/>
    <s v="Secretaria Municipal de Direitos Humanos e Cidadania"/>
    <s v="34"/>
    <s v="10"/>
    <n v="14"/>
    <n v="422"/>
    <n v="3018"/>
    <n v="4334"/>
    <s v="33399000"/>
    <s v="34.10.14.122.3024.2100.33903900"/>
    <s v="2"/>
    <s v="Termo de Contrato - Serviços"/>
    <n v="12"/>
    <s v="Pregão"/>
    <n v="2023"/>
    <n v="28568"/>
    <s v="325/SMDHC/2023"/>
    <s v="6074202300072308"/>
    <x v="1"/>
    <x v="83"/>
    <s v="26/09/2023 00:00:00"/>
    <s v="29/09/2023 00:00:00"/>
    <s v="30/09/2025 00:00:00"/>
    <n v="24"/>
    <x v="1"/>
    <n v="13440"/>
    <n v="339.36"/>
    <n v="10304"/>
    <n v="0"/>
    <n v="24083.360000000001"/>
    <n v="1003.473333333333"/>
    <n v="12041.68"/>
    <n v="24083.360000000001"/>
    <n v="1003.473333333333"/>
    <n v="12041.68"/>
    <n v="24499.360000000001"/>
    <n v="476.8"/>
    <n v="24022.560000000001"/>
    <n v="20325.439999999999"/>
    <n v="20325.439999999999"/>
    <s v="07-07-2025"/>
    <s v="6074202300072308|34.10.14.122.3024.2100.33903900"/>
    <n v="1"/>
  </r>
  <r>
    <s v="01"/>
    <s v="Secretaria Municipal de Direitos Humanos e Cidadania"/>
    <s v="34"/>
    <s v="10"/>
    <n v="14"/>
    <n v="122"/>
    <n v="3024"/>
    <n v="2100"/>
    <s v="33399000"/>
    <s v="34.10.14.122.3024.2100.33903900"/>
    <s v="2"/>
    <s v="Termo de Contrato - Serviços"/>
    <n v="12"/>
    <s v="Pregão"/>
    <n v="2022"/>
    <n v="15764"/>
    <s v="141"/>
    <s v="6074202200013237"/>
    <x v="1"/>
    <x v="84"/>
    <s v="30/06/2022 00:00:00"/>
    <s v="07/07/2022 00:00:00"/>
    <s v="31/07/2025 00:00:00"/>
    <n v="37"/>
    <x v="1"/>
    <n v="267709.68"/>
    <n v="35314.29"/>
    <n v="712478.88"/>
    <n v="0"/>
    <n v="1015502.85"/>
    <n v="27446.022972972969"/>
    <n v="329352.27567567572"/>
    <n v="1015502.85"/>
    <n v="27446.022972972969"/>
    <n v="329352.27567567572"/>
    <n v="992723.61"/>
    <n v="186075.59"/>
    <n v="806648.02"/>
    <n v="720718.41"/>
    <n v="720718.41"/>
    <s v="07-07-2025"/>
    <s v="6074202200013237|34.10.14.122.3024.2100.33903900"/>
    <n v="1"/>
  </r>
  <r>
    <s v="01"/>
    <s v="Secretaria Municipal de Direitos Humanos e Cidadania"/>
    <s v="34"/>
    <s v="10"/>
    <n v="14"/>
    <n v="122"/>
    <n v="3024"/>
    <n v="2100"/>
    <s v="33399000"/>
    <s v="34.10.14.122.3024.2100.33903900"/>
    <s v="2"/>
    <s v="Termo de Contrato - Serviços"/>
    <n v="12"/>
    <s v="Pregão"/>
    <n v="2022"/>
    <n v="36434"/>
    <s v="325/SMDHC/2022"/>
    <s v="6074202200079920"/>
    <x v="1"/>
    <x v="85"/>
    <s v="23/12/2022 00:00:00"/>
    <s v="27/12/2022 00:00:00"/>
    <s v="23/12/2025 00:00:00"/>
    <n v="36"/>
    <x v="1"/>
    <n v="156457.07999999999"/>
    <n v="19245.599999999999"/>
    <n v="312914.15999999997"/>
    <n v="0"/>
    <n v="488616.84"/>
    <n v="13572.69"/>
    <n v="162872.28"/>
    <n v="366462.63"/>
    <n v="10179.5175"/>
    <n v="122154.21"/>
    <n v="434071.38"/>
    <n v="18535.2"/>
    <n v="415536.18"/>
    <n v="359220.12"/>
    <n v="359220.12"/>
    <s v="07-07-2025"/>
    <s v="6074202200079920|34.10.14.122.3024.2100.33903900"/>
    <n v="0.75"/>
  </r>
  <r>
    <s v="01"/>
    <s v="Secretaria Municipal de Direitos Humanos e Cidadania"/>
    <s v="34"/>
    <s v="10"/>
    <n v="14"/>
    <n v="422"/>
    <n v="3018"/>
    <n v="4333"/>
    <s v="33399000"/>
    <s v="34.10.14.122.3024.2100.33903900"/>
    <s v="2"/>
    <s v="Termo de Contrato - Serviços"/>
    <n v="6"/>
    <s v="Dispensa de Licitação"/>
    <n v="2025"/>
    <n v="2959"/>
    <s v="012/SMDHC/2025"/>
    <s v="6074202400091860"/>
    <x v="1"/>
    <x v="86"/>
    <s v="18/02/2025 00:00:00"/>
    <s v="20/02/2025 00:00:00"/>
    <s v="03/03/2026 00:00:00"/>
    <n v="12"/>
    <x v="1"/>
    <n v="12711.96"/>
    <n v="0"/>
    <n v="0"/>
    <n v="0"/>
    <n v="12711.96"/>
    <n v="1059.33"/>
    <n v="12711.96"/>
    <n v="12711.96"/>
    <n v="1059.33"/>
    <n v="12711.96"/>
    <n v="11652.63"/>
    <n v="0"/>
    <n v="11652.63"/>
    <n v="3107.37"/>
    <n v="3107.37"/>
    <s v="07-07-2025"/>
    <s v="6074202400091860|34.10.14.122.3024.2100.33903900"/>
    <n v="1"/>
  </r>
  <r>
    <s v="01"/>
    <s v="Secretaria Municipal de Direitos Humanos e Cidadania"/>
    <s v="34"/>
    <s v="10"/>
    <n v="8"/>
    <n v="605"/>
    <n v="3016"/>
    <n v="4470"/>
    <s v="44529000"/>
    <s v="34.10.14.122.3024.2100.33903900"/>
    <s v="5"/>
    <s v="Nota de Empenho Fornecimento de Bens de Consumo e/ou Permanente"/>
    <n v="6"/>
    <s v="Dispensa de Licitação"/>
    <n v="2025"/>
    <n v="2987"/>
    <m/>
    <s v="6074202400082364"/>
    <x v="0"/>
    <x v="87"/>
    <m/>
    <m/>
    <s v="02/03/2025 00:00:00"/>
    <n v="12"/>
    <x v="0"/>
    <n v="20000"/>
    <n v="0"/>
    <n v="0"/>
    <n v="0"/>
    <n v="20000"/>
    <n v="1666.666666666667"/>
    <n v="20000"/>
    <n v="20000"/>
    <n v="1666.666666666667"/>
    <n v="20000"/>
    <n v="20000"/>
    <n v="0"/>
    <n v="20000"/>
    <n v="20000"/>
    <n v="20000"/>
    <s v="07-07-2025"/>
    <s v="6074202400082364|34.10.14.122.3024.2100.33903900"/>
    <n v="1"/>
  </r>
  <r>
    <s v="01"/>
    <s v="Secretaria Municipal de Direitos Humanos e Cidadania"/>
    <s v="34"/>
    <s v="10"/>
    <n v="14"/>
    <n v="243"/>
    <n v="3013"/>
    <n v="2157"/>
    <s v="33409000"/>
    <s v="34.10.14.122.3024.2100.33903900"/>
    <s v="2"/>
    <s v="Termo de Contrato - Serviços"/>
    <n v="6"/>
    <s v="Dispensa de Licitação"/>
    <n v="2021"/>
    <n v="10724"/>
    <s v="TC 132/SMDHC/2021"/>
    <s v="6074202100004090"/>
    <x v="0"/>
    <x v="88"/>
    <s v="08/06/2021 00:00:00"/>
    <s v="15/06/2021 00:00:00"/>
    <s v="07/06/2025 00:00:00"/>
    <n v="48"/>
    <x v="2"/>
    <n v="548858"/>
    <n v="281243.57"/>
    <n v="1646574"/>
    <n v="0"/>
    <n v="2476675.5699999998"/>
    <n v="51597.40770833334"/>
    <n v="619168.89250000007"/>
    <n v="2476675.5699999998"/>
    <n v="51597.40770833334"/>
    <n v="619168.89250000007"/>
    <n v="2606308.23"/>
    <n v="833069.87"/>
    <n v="1773238.36"/>
    <n v="1650056.71"/>
    <n v="1650056.71"/>
    <s v="07-07-2025"/>
    <s v="6074202100004090|34.10.14.122.3024.2100.33903900"/>
    <n v="1"/>
  </r>
  <r>
    <s v="01"/>
    <s v="Secretaria Municipal de Direitos Humanos e Cidadania"/>
    <s v="34"/>
    <s v="10"/>
    <n v="14"/>
    <n v="243"/>
    <n v="3013"/>
    <n v="2157"/>
    <s v="33399000"/>
    <s v="34.10.14.122.3024.2100.33903900"/>
    <s v="2"/>
    <s v="Termo de Contrato - Serviços"/>
    <n v="3"/>
    <s v="Tomada de Preços"/>
    <n v="2020"/>
    <n v="16833"/>
    <s v="058/SMDHC/2020"/>
    <s v="6074202000035725"/>
    <x v="1"/>
    <x v="89"/>
    <s v="27/10/2020 00:00:00"/>
    <s v="28/01/2021 00:00:00"/>
    <s v="26/10/2025 00:00:00"/>
    <n v="60"/>
    <x v="1"/>
    <n v="102953.76"/>
    <n v="0"/>
    <n v="435606"/>
    <n v="0"/>
    <n v="538559.76"/>
    <n v="8975.996000000001"/>
    <n v="107711.952"/>
    <n v="538559.76"/>
    <n v="8975.996000000001"/>
    <n v="107711.952"/>
    <n v="466110.39"/>
    <n v="176627.3"/>
    <n v="289483.09000000003"/>
    <n v="267238.12"/>
    <n v="266971.31"/>
    <s v="07-07-2025"/>
    <s v="6074202000035725|34.10.14.122.3024.2100.33903900"/>
    <n v="1"/>
  </r>
  <r>
    <s v="01"/>
    <s v="Secretaria Municipal de Direitos Humanos e Cidadania"/>
    <s v="34"/>
    <s v="10"/>
    <n v="14"/>
    <n v="122"/>
    <n v="3024"/>
    <n v="2100"/>
    <s v="33399000"/>
    <s v="34.10.14.122.3024.2100.33903900"/>
    <s v="2"/>
    <s v="Termo de Contrato - Serviços"/>
    <n v="8"/>
    <s v="Não Aplicável"/>
    <n v="2020"/>
    <n v="14535"/>
    <s v="030/SMDHC/2020"/>
    <s v="6074202000029938"/>
    <x v="0"/>
    <x v="90"/>
    <s v="05/08/2020 00:00:00"/>
    <s v="12/08/2022 00:00:00"/>
    <s v="03/08/2025 00:00:00"/>
    <n v="60"/>
    <x v="1"/>
    <n v="71520"/>
    <n v="64296.24"/>
    <n v="286080"/>
    <n v="0"/>
    <n v="421896.24"/>
    <n v="7031.6040000000003"/>
    <n v="84379.248000000007"/>
    <n v="421896.24"/>
    <n v="7031.6040000000003"/>
    <n v="84379.248000000007"/>
    <n v="402815.26"/>
    <n v="1701.06"/>
    <n v="401114.2"/>
    <n v="384287.62"/>
    <n v="376400.16"/>
    <s v="07-07-2025"/>
    <s v="6074202000029938|34.10.14.122.3024.2100.33903900"/>
    <n v="1"/>
  </r>
  <r>
    <s v="01"/>
    <s v="Secretaria Municipal de Direitos Humanos e Cidadania"/>
    <s v="34"/>
    <s v="10"/>
    <n v="14"/>
    <n v="122"/>
    <n v="3024"/>
    <n v="2100"/>
    <s v="33309000"/>
    <s v="34.10.14.122.3024.2100.33903900"/>
    <s v="29"/>
    <s v="Termo de Contrato para Aquisição de Bens de Consumo e/ou Permanente"/>
    <n v="12"/>
    <s v="Pregão"/>
    <n v="2025"/>
    <n v="3121"/>
    <m/>
    <s v="6074202500006120"/>
    <x v="0"/>
    <x v="91"/>
    <m/>
    <m/>
    <m/>
    <n v="12"/>
    <x v="0"/>
    <n v="680"/>
    <n v="0"/>
    <n v="0"/>
    <n v="0"/>
    <n v="680"/>
    <n v="56.666666666666657"/>
    <n v="680"/>
    <n v="163.19999999999999"/>
    <n v="13.6"/>
    <n v="163.19999999999999"/>
    <n v="680"/>
    <n v="0"/>
    <n v="680"/>
    <n v="0"/>
    <n v="0"/>
    <s v="07-07-2025"/>
    <s v="6074202500006120|34.10.14.122.3024.2100.33903900"/>
    <n v="0.24"/>
  </r>
  <r>
    <s v="01"/>
    <s v="Secretaria Municipal de Direitos Humanos e Cidadania"/>
    <s v="34"/>
    <s v="10"/>
    <n v="14"/>
    <n v="122"/>
    <n v="3024"/>
    <n v="2100"/>
    <s v="33309000"/>
    <s v="34.10.14.122.3024.2100.33903900"/>
    <s v="29"/>
    <s v="Termo de Contrato para Aquisição de Bens de Consumo e/ou Permanente"/>
    <n v="12"/>
    <s v="Pregão"/>
    <n v="2025"/>
    <n v="5047"/>
    <m/>
    <s v="6074202500006120"/>
    <x v="0"/>
    <x v="92"/>
    <m/>
    <m/>
    <m/>
    <n v="12"/>
    <x v="0"/>
    <n v="2140"/>
    <n v="0"/>
    <n v="0"/>
    <n v="0"/>
    <n v="2140"/>
    <n v="178.33333333333329"/>
    <n v="2140"/>
    <n v="513.6"/>
    <n v="42.8"/>
    <n v="513.6"/>
    <n v="2140"/>
    <n v="0"/>
    <n v="2140"/>
    <n v="0"/>
    <n v="0"/>
    <s v="07-07-2025"/>
    <s v="6074202500006120|34.10.14.122.3024.2100.33903900"/>
    <n v="0.24"/>
  </r>
  <r>
    <s v="01"/>
    <s v="Secretaria Municipal de Direitos Humanos e Cidadania"/>
    <s v="34"/>
    <s v="10"/>
    <n v="14"/>
    <n v="122"/>
    <n v="3024"/>
    <n v="2100"/>
    <s v="33399000"/>
    <s v="34.10.14.122.3024.2100.33903900"/>
    <s v="58"/>
    <s v="Termo de Credenciamento"/>
    <n v="12"/>
    <s v="Pregão"/>
    <n v="2025"/>
    <n v="3135"/>
    <s v="007/SMDHC/2025"/>
    <s v="6074202500009324"/>
    <x v="0"/>
    <x v="93"/>
    <s v="07/02/2025 00:00:00"/>
    <s v="10/02/2025 00:00:00"/>
    <s v="20/02/2025 00:00:00"/>
    <n v="0"/>
    <x v="2"/>
    <n v="753600"/>
    <n v="0"/>
    <n v="0"/>
    <n v="0"/>
    <n v="753600"/>
    <n v="62800"/>
    <n v="753600"/>
    <n v="753600"/>
    <n v="62800"/>
    <n v="753600"/>
    <n v="753600"/>
    <n v="409204.8"/>
    <n v="344395.2"/>
    <n v="344395.2"/>
    <n v="344395.2"/>
    <s v="07-07-2025"/>
    <s v="6074202500009324|34.10.14.122.3024.2100.33903900"/>
    <n v="1"/>
  </r>
  <r>
    <s v="01"/>
    <s v="Secretaria Municipal de Direitos Humanos e Cidadania"/>
    <s v="34"/>
    <s v="10"/>
    <n v="14"/>
    <n v="244"/>
    <n v="3013"/>
    <n v="4329"/>
    <s v="33489000"/>
    <s v="34.10.14.122.3024.2100.33903900"/>
    <s v="55"/>
    <s v="Nota de Empenho Transferência Valores para Cta Única-Tesouro Municipal"/>
    <n v="8"/>
    <s v="Não Aplicável"/>
    <n v="2025"/>
    <n v="1650"/>
    <m/>
    <s v="6074202500006201"/>
    <x v="1"/>
    <x v="94"/>
    <m/>
    <m/>
    <s v="01/01/2026 00:00:00"/>
    <n v="12"/>
    <x v="0"/>
    <n v="695200"/>
    <n v="0"/>
    <n v="3572800"/>
    <n v="0"/>
    <n v="4268000"/>
    <n v="355666.66666666669"/>
    <n v="4268000"/>
    <n v="682880"/>
    <n v="56906.666666666672"/>
    <n v="682880"/>
    <n v="4268000"/>
    <n v="0"/>
    <n v="4268000"/>
    <n v="4202400"/>
    <n v="3473200"/>
    <s v="07-07-2025"/>
    <s v="6074202500006201|34.10.14.122.3024.2100.33903900"/>
    <n v="0.16"/>
  </r>
  <r>
    <s v="01"/>
    <s v="Secretaria Municipal de Direitos Humanos e Cidadania"/>
    <s v="34"/>
    <s v="10"/>
    <n v="14"/>
    <n v="122"/>
    <n v="3024"/>
    <n v="2100"/>
    <s v="33399000"/>
    <s v="34.10.14.122.3024.2100.33903900"/>
    <s v="2"/>
    <s v="Termo de Contrato - Serviços"/>
    <n v="12"/>
    <s v="Pregão"/>
    <n v="2023"/>
    <n v="21250"/>
    <s v="172/SMDHC2023"/>
    <s v="6074202300008030"/>
    <x v="1"/>
    <x v="95"/>
    <s v="28/07/2023 00:00:00"/>
    <s v="04/08/2023 00:00:00"/>
    <s v="15/08/2025 00:00:00"/>
    <n v="24"/>
    <x v="1"/>
    <n v="381600"/>
    <n v="0"/>
    <n v="386670.63"/>
    <n v="0"/>
    <n v="768270.63"/>
    <n v="32011.276249999999"/>
    <n v="384135.315"/>
    <n v="752905.21739999996"/>
    <n v="31371.050725000001"/>
    <n v="376452.60869999998"/>
    <n v="784170.39"/>
    <n v="15900"/>
    <n v="768270.39"/>
    <n v="683699.78"/>
    <n v="683699.78"/>
    <s v="07-07-2025"/>
    <s v="6074202300008030|34.10.14.122.3024.2100.33903900"/>
    <n v="0.98"/>
  </r>
  <r>
    <s v="01"/>
    <s v="Secretaria Municipal de Direitos Humanos e Cidadania"/>
    <s v="34"/>
    <s v="10"/>
    <n v="14"/>
    <n v="122"/>
    <n v="3024"/>
    <n v="2100"/>
    <s v="33399000"/>
    <s v="34.10.14.122.3024.2100.33903900"/>
    <s v="2"/>
    <s v="Termo de Contrato - Serviços"/>
    <n v="12"/>
    <s v="Pregão"/>
    <n v="2019"/>
    <n v="14086"/>
    <s v="011/SMDHC/2019"/>
    <s v="6074201900011182"/>
    <x v="1"/>
    <x v="96"/>
    <s v="06/06/2019 00:00:00"/>
    <s v="08/06/2019 00:00:00"/>
    <s v="04/06/2025 00:00:00"/>
    <n v="73"/>
    <x v="2"/>
    <n v="35990"/>
    <n v="32673.96"/>
    <n v="174000"/>
    <n v="0"/>
    <n v="242663.96"/>
    <n v="3324.1638356164381"/>
    <n v="39889.966027397248"/>
    <n v="242663.96"/>
    <n v="3324.1638356164381"/>
    <n v="39889.966027397248"/>
    <n v="320646.53999999998"/>
    <n v="85909.25"/>
    <n v="234737.29"/>
    <n v="234108.63"/>
    <n v="234108.63"/>
    <s v="07-07-2025"/>
    <s v="6074201900011182|34.10.14.122.3024.2100.33903900"/>
    <n v="1"/>
  </r>
  <r>
    <s v="01"/>
    <s v="Secretaria Municipal de Direitos Humanos e Cidadania"/>
    <s v="34"/>
    <s v="10"/>
    <n v="14"/>
    <n v="122"/>
    <n v="3024"/>
    <n v="2100"/>
    <s v="33399000"/>
    <s v="34.10.14.122.3024.2100.33903900"/>
    <s v="2"/>
    <s v="Termo de Contrato - Serviços"/>
    <n v="12"/>
    <s v="Pregão"/>
    <n v="2024"/>
    <n v="9352"/>
    <s v="152/SMDHC/2024"/>
    <s v="6074202300026080"/>
    <x v="1"/>
    <x v="97"/>
    <s v="05/04/2024 00:00:00"/>
    <s v="30/04/2024 00:00:00"/>
    <s v="12/05/2029 00:00:00"/>
    <n v="62"/>
    <x v="1"/>
    <n v="60551377.200000003"/>
    <n v="0"/>
    <n v="1621502.56"/>
    <n v="0"/>
    <n v="62172879.760000013"/>
    <n v="1002788.383225807"/>
    <n v="12033460.59870968"/>
    <n v="8704203.1664000023"/>
    <n v="140390.3736516129"/>
    <n v="1684684.483819355"/>
    <n v="19664731.09"/>
    <n v="5393264.5800000001"/>
    <n v="14271466.51"/>
    <n v="10075765.460000001"/>
    <n v="10075765.460000001"/>
    <s v="07-07-2025"/>
    <s v="6074202300026080|34.10.14.122.3024.2100.33903900"/>
    <n v="0.14000000000000001"/>
  </r>
  <r>
    <s v="01"/>
    <s v="Secretaria Municipal de Direitos Humanos e Cidadania"/>
    <s v="34"/>
    <s v="10"/>
    <n v="14"/>
    <n v="422"/>
    <n v="3018"/>
    <n v="4326"/>
    <s v="33399000"/>
    <s v="34.10.14.122.3024.2100.33903900"/>
    <s v="58"/>
    <s v="Termo de Credenciamento"/>
    <n v="6"/>
    <s v="Dispensa de Licitação"/>
    <n v="2022"/>
    <n v="10026"/>
    <s v="001/SMDHC/CPLGBTI+22"/>
    <s v="6074202100045242"/>
    <x v="1"/>
    <x v="98"/>
    <s v="13/05/2022 00:00:00"/>
    <s v="14/05/2022 00:00:00"/>
    <s v="12/05/2025 00:00:00"/>
    <n v="36"/>
    <x v="2"/>
    <n v="127333.79"/>
    <n v="0"/>
    <n v="254667.58"/>
    <n v="0"/>
    <n v="382001.37"/>
    <n v="10611.14916666667"/>
    <n v="127333.79"/>
    <n v="382001.37"/>
    <n v="10611.14916666667"/>
    <n v="127333.79"/>
    <n v="510526.26"/>
    <n v="413463.03999999998"/>
    <n v="97063.22"/>
    <n v="82142.7"/>
    <n v="82142.7"/>
    <s v="07-07-2025"/>
    <s v="6074202100045242|34.10.14.122.3024.2100.33903900"/>
    <n v="1"/>
  </r>
  <r>
    <s v="01"/>
    <s v="Secretaria Municipal de Direitos Humanos e Cidadania"/>
    <s v="34"/>
    <s v="10"/>
    <n v="14"/>
    <n v="422"/>
    <n v="3018"/>
    <n v="4326"/>
    <s v="33399000"/>
    <s v="34.10.14.122.3024.2100.33903900"/>
    <s v="2"/>
    <s v="Termo de Contrato - Serviços"/>
    <n v="12"/>
    <s v="Pregão"/>
    <n v="2020"/>
    <n v="14496"/>
    <s v="033/SMDHC/2020"/>
    <s v="6074202000000751"/>
    <x v="1"/>
    <x v="99"/>
    <s v="06/08/2020 00:00:00"/>
    <s v="12/08/2020 00:00:00"/>
    <s v="07/08/2025 00:00:00"/>
    <n v="60"/>
    <x v="1"/>
    <n v="1545600"/>
    <n v="603841.79"/>
    <n v="2740220"/>
    <n v="0"/>
    <n v="4889661.79"/>
    <n v="81494.363166666662"/>
    <n v="977932.35800000001"/>
    <n v="3667246.3424999998"/>
    <n v="61120.772375"/>
    <n v="733449.26850000001"/>
    <n v="4991579.04"/>
    <n v="245476.68"/>
    <n v="4746102.3600000003"/>
    <n v="4435155.01"/>
    <n v="4435155.01"/>
    <s v="07-07-2025"/>
    <s v="6074202000000751|34.10.14.122.3024.2100.33903900"/>
    <n v="0.75"/>
  </r>
  <r>
    <s v="01"/>
    <s v="Secretaria Municipal de Direitos Humanos e Cidadania"/>
    <s v="34"/>
    <s v="10"/>
    <n v="14"/>
    <n v="422"/>
    <n v="3018"/>
    <n v="2051"/>
    <s v="33399000"/>
    <s v="34.10.14.122.3024.2100.33903900"/>
    <s v="2"/>
    <s v="Termo de Contrato - Serviços"/>
    <n v="12"/>
    <s v="Pregão"/>
    <n v="2023"/>
    <n v="15971"/>
    <s v="145/SMDHC/2023"/>
    <s v="6074202300030125"/>
    <x v="1"/>
    <x v="100"/>
    <s v="16/06/2023 00:00:00"/>
    <s v="19/06/2023 00:00:00"/>
    <s v="15/06/2024 00:00:00"/>
    <n v="12"/>
    <x v="2"/>
    <n v="327600"/>
    <n v="10166.52"/>
    <n v="1310400"/>
    <n v="0"/>
    <n v="1648166.52"/>
    <n v="137347.21"/>
    <n v="1648166.52"/>
    <n v="1170198.2291999999"/>
    <n v="97516.51909999999"/>
    <n v="1170198.2291999999"/>
    <n v="726894.61"/>
    <n v="133940.17000000001"/>
    <n v="592954.43999999994"/>
    <n v="534331.06999999995"/>
    <n v="506304.89"/>
    <s v="07-07-2025"/>
    <s v="6074202300030125|34.10.14.122.3024.2100.33903900"/>
    <n v="0.71"/>
  </r>
  <r>
    <s v="01"/>
    <s v="Secretaria Municipal de Direitos Humanos e Cidadania"/>
    <s v="34"/>
    <s v="10"/>
    <n v="14"/>
    <n v="422"/>
    <n v="3013"/>
    <n v="6178"/>
    <s v="33309000"/>
    <s v="34.10.14.122.3024.2100.33903900"/>
    <s v="29"/>
    <s v="Termo de Contrato para Aquisição de Bens de Consumo e/ou Permanente"/>
    <n v="12"/>
    <s v="Pregão"/>
    <n v="2025"/>
    <n v="3284"/>
    <s v="008/SMDHC/2025"/>
    <s v="6074202500010705"/>
    <x v="0"/>
    <x v="101"/>
    <s v="12/02/2025 00:00:00"/>
    <s v="14/02/2025 00:00:00"/>
    <s v="14/03/2025 00:00:00"/>
    <n v="1"/>
    <x v="2"/>
    <n v="3250"/>
    <n v="0"/>
    <n v="0"/>
    <n v="0"/>
    <n v="3250"/>
    <n v="270.83333333333331"/>
    <n v="3250"/>
    <n v="3250"/>
    <n v="270.83333333333331"/>
    <n v="3250"/>
    <n v="3250"/>
    <n v="0"/>
    <n v="3250"/>
    <n v="3250"/>
    <n v="3250"/>
    <s v="07-07-2025"/>
    <s v="6074202500010705|34.10.14.122.3024.2100.33903900"/>
    <n v="1"/>
  </r>
  <r>
    <s v="01"/>
    <s v="Secretaria Municipal de Direitos Humanos e Cidadania"/>
    <s v="34"/>
    <s v="10"/>
    <n v="14"/>
    <n v="422"/>
    <n v="3013"/>
    <n v="2053"/>
    <s v="33399000"/>
    <s v="34.10.14.122.3024.2100.33903900"/>
    <s v="2"/>
    <s v="Termo de Contrato - Serviços"/>
    <n v="12"/>
    <s v="Pregão"/>
    <n v="2019"/>
    <n v="19137"/>
    <s v="027/SMDHC/2019"/>
    <s v="6074201800009402"/>
    <x v="1"/>
    <x v="102"/>
    <s v="13/08/2019 00:00:00"/>
    <s v="20/08/2019 00:00:00"/>
    <s v="13/02/2025 00:00:00"/>
    <n v="67"/>
    <x v="2"/>
    <n v="14000"/>
    <n v="3537.3"/>
    <n v="59515"/>
    <n v="0"/>
    <n v="77052.3"/>
    <n v="1150.034328358209"/>
    <n v="13800.411940298511"/>
    <n v="77052.3"/>
    <n v="1150.034328358209"/>
    <n v="13800.411940298511"/>
    <n v="100852.14"/>
    <n v="27996.26"/>
    <n v="72855.88"/>
    <n v="72378.2"/>
    <n v="72378.2"/>
    <s v="07-07-2025"/>
    <s v="6074201800009402|34.10.14.122.3024.2100.33903900"/>
    <n v="1"/>
  </r>
  <r>
    <s v="01"/>
    <s v="Secretaria Municipal de Direitos Humanos e Cidadania"/>
    <s v="34"/>
    <s v="10"/>
    <n v="14"/>
    <n v="122"/>
    <n v="3024"/>
    <n v="2100"/>
    <s v="33399000"/>
    <s v="34.10.14.243.3013.2157.33903600"/>
    <s v="2"/>
    <s v="Termo de Contrato - Serviços"/>
    <n v="12"/>
    <s v="Pregão"/>
    <n v="2024"/>
    <n v="39239"/>
    <m/>
    <s v="6074202400026081"/>
    <x v="1"/>
    <x v="103"/>
    <m/>
    <m/>
    <m/>
    <n v="12"/>
    <x v="0"/>
    <n v="144540"/>
    <n v="0"/>
    <n v="0"/>
    <n v="0"/>
    <n v="144540"/>
    <n v="12045"/>
    <n v="144540"/>
    <n v="144540"/>
    <n v="12045"/>
    <n v="144540"/>
    <n v="47109.33"/>
    <n v="2944.33"/>
    <n v="44165"/>
    <n v="0"/>
    <n v="0"/>
    <s v="07-07-2025"/>
    <s v="6074202400026081|34.10.14.243.3013.2157.33903600"/>
    <n v="1"/>
  </r>
  <r>
    <s v="01"/>
    <s v="Secretaria Municipal de Direitos Humanos e Cidadania"/>
    <s v="34"/>
    <s v="10"/>
    <n v="14"/>
    <n v="122"/>
    <n v="3024"/>
    <n v="2100"/>
    <s v="33309000"/>
    <s v="34.10.14.243.3013.2157.33903600"/>
    <s v="5"/>
    <s v="Nota de Empenho Fornecimento de Bens de Consumo e/ou Permanente"/>
    <n v="6"/>
    <s v="Dispensa de Licitação"/>
    <n v="2025"/>
    <n v="3324"/>
    <m/>
    <s v="6074202500005973"/>
    <x v="0"/>
    <x v="104"/>
    <m/>
    <m/>
    <s v="17/02/2025 00:00:00"/>
    <n v="12"/>
    <x v="0"/>
    <n v="14563.8"/>
    <n v="0"/>
    <n v="0"/>
    <n v="0"/>
    <n v="14563.8"/>
    <n v="1213.6500000000001"/>
    <n v="14563.8"/>
    <n v="14563.8"/>
    <n v="1213.6500000000001"/>
    <n v="14563.8"/>
    <n v="14563.8"/>
    <n v="0"/>
    <n v="14563.8"/>
    <n v="14563.8"/>
    <n v="14563.8"/>
    <s v="07-07-2025"/>
    <s v="6074202500005973|34.10.14.243.3013.2157.33903600"/>
    <n v="1"/>
  </r>
  <r>
    <s v="01"/>
    <s v="Secretaria Municipal de Direitos Humanos e Cidadania"/>
    <s v="34"/>
    <s v="10"/>
    <n v="14"/>
    <n v="122"/>
    <n v="3024"/>
    <n v="2100"/>
    <s v="33399000"/>
    <s v="34.10.14.243.3013.2157.33903600"/>
    <s v="30"/>
    <s v="Nota de Empenho para Fornecimento de Serviços"/>
    <n v="6"/>
    <s v="Dispensa de Licitação"/>
    <n v="2025"/>
    <n v="3373"/>
    <m/>
    <s v="6074202400099135"/>
    <x v="1"/>
    <x v="105"/>
    <m/>
    <m/>
    <s v="01/01/2026 00:00:00"/>
    <n v="12"/>
    <x v="0"/>
    <n v="25000"/>
    <n v="0"/>
    <n v="0"/>
    <n v="0"/>
    <n v="25000"/>
    <n v="2083.333333333333"/>
    <n v="25000"/>
    <n v="25000"/>
    <n v="2083.333333333333"/>
    <n v="25000"/>
    <n v="25000"/>
    <n v="668.66"/>
    <n v="24331.34"/>
    <n v="1271.6199999999999"/>
    <n v="1271.6199999999999"/>
    <s v="07-07-2025"/>
    <s v="6074202400099135|34.10.14.243.3013.2157.33903600"/>
    <n v="1"/>
  </r>
  <r>
    <s v="01"/>
    <s v="Secretaria Municipal de Direitos Humanos e Cidadania"/>
    <s v="34"/>
    <s v="10"/>
    <n v="8"/>
    <n v="605"/>
    <n v="3016"/>
    <n v="4470"/>
    <s v="33399000"/>
    <s v="34.10.14.243.3013.2157.33903600"/>
    <s v="2"/>
    <s v="Termo de Contrato - Serviços"/>
    <n v="12"/>
    <s v="Pregão"/>
    <n v="2023"/>
    <n v="36584"/>
    <s v="028/SMDHC/2023"/>
    <s v="6074202300085736"/>
    <x v="1"/>
    <x v="106"/>
    <s v="04/12/2023 00:00:00"/>
    <s v="12/12/2023 00:00:00"/>
    <s v="07/01/2026 00:00:00"/>
    <n v="25"/>
    <x v="1"/>
    <n v="183594"/>
    <n v="5607.36"/>
    <n v="118548"/>
    <n v="0"/>
    <n v="307749.36"/>
    <n v="12309.974399999999"/>
    <n v="147719.69279999999"/>
    <n v="307749.36"/>
    <n v="12309.974399999999"/>
    <n v="147719.69279999999"/>
    <n v="392925.33"/>
    <n v="95164"/>
    <n v="297761.33"/>
    <n v="204644.81"/>
    <n v="204644.81"/>
    <s v="07-07-2025"/>
    <s v="6074202300085736|34.10.14.243.3013.2157.33903600"/>
    <n v="1"/>
  </r>
  <r>
    <s v="01"/>
    <s v="Fundo de Abastecimento Alimentar de São Paulo"/>
    <s v="78"/>
    <s v="10"/>
    <n v="8"/>
    <n v="605"/>
    <n v="3016"/>
    <n v="4470"/>
    <s v="33399000"/>
    <s v="34.10.14.243.3013.2157.33903600"/>
    <s v="2"/>
    <s v="Termo de Contrato - Serviços"/>
    <n v="6"/>
    <s v="Dispensa de Licitação"/>
    <n v="2023"/>
    <n v="25968"/>
    <s v="295/SMDHC2023"/>
    <s v="6074202300068360"/>
    <x v="1"/>
    <x v="107"/>
    <s v="01/09/2023 00:00:00"/>
    <s v="04/09/2023 00:00:00"/>
    <s v="07/09/2025 00:00:00"/>
    <n v="24"/>
    <x v="1"/>
    <n v="5899.04"/>
    <n v="204.48"/>
    <n v="5899.04"/>
    <n v="0"/>
    <n v="12002.56"/>
    <n v="500.10666666666663"/>
    <n v="6001.28"/>
    <n v="12002.56"/>
    <n v="500.10666666666663"/>
    <n v="6001.28"/>
    <n v="15790.44"/>
    <n v="4987.6499999999996"/>
    <n v="10802.79"/>
    <n v="9304.77"/>
    <n v="8874.56"/>
    <s v="07-07-2025"/>
    <s v="6074202300068360|34.10.14.243.3013.2157.33903600"/>
    <n v="1"/>
  </r>
  <r>
    <s v="01"/>
    <s v="Secretaria Municipal de Direitos Humanos e Cidadania"/>
    <s v="34"/>
    <s v="10"/>
    <n v="14"/>
    <n v="122"/>
    <n v="3024"/>
    <n v="2100"/>
    <s v="33399000"/>
    <s v="34.10.14.243.3013.2157.33903600"/>
    <s v="2"/>
    <s v="Termo de Contrato - Serviços"/>
    <n v="6"/>
    <s v="Dispensa de Licitação"/>
    <n v="2024"/>
    <n v="6745"/>
    <s v="079/SMDHC/2024"/>
    <s v="6074202400004070"/>
    <x v="1"/>
    <x v="108"/>
    <s v="12/03/2024 00:00:00"/>
    <s v="15/03/2024 00:00:00"/>
    <s v="14/03/2025 00:00:00"/>
    <n v="12"/>
    <x v="2"/>
    <n v="32400"/>
    <n v="0"/>
    <n v="0"/>
    <n v="0"/>
    <n v="32400"/>
    <n v="2700"/>
    <n v="32400"/>
    <n v="32400"/>
    <n v="2700"/>
    <n v="32400"/>
    <n v="33570"/>
    <n v="1170"/>
    <n v="32400"/>
    <n v="32400"/>
    <n v="32400"/>
    <s v="07-07-2025"/>
    <s v="6074202400004070|34.10.14.243.3013.2157.33903600"/>
    <n v="1"/>
  </r>
  <r>
    <s v="01"/>
    <s v="Secretaria Municipal de Direitos Humanos e Cidadania"/>
    <s v="34"/>
    <s v="10"/>
    <n v="14"/>
    <n v="122"/>
    <n v="3024"/>
    <n v="2100"/>
    <s v="33399000"/>
    <s v="34.10.14.243.3013.2157.33903600"/>
    <s v="41"/>
    <s v="Nota de Empenho de Serviços com fornecimento de materiais / peças"/>
    <n v="6"/>
    <s v="Dispensa de Licitação"/>
    <n v="2024"/>
    <n v="38248"/>
    <m/>
    <s v="6074202400004070"/>
    <x v="1"/>
    <x v="109"/>
    <m/>
    <m/>
    <s v="14/03/2025 00:00:00"/>
    <n v="12"/>
    <x v="2"/>
    <n v="1177.42"/>
    <n v="0"/>
    <n v="0"/>
    <n v="0"/>
    <n v="1177.42"/>
    <n v="98.118333333333339"/>
    <n v="1177.42"/>
    <n v="1177.42"/>
    <n v="98.118333333333339"/>
    <n v="1177.42"/>
    <n v="1177.42"/>
    <n v="0"/>
    <n v="1177.42"/>
    <n v="1177.42"/>
    <n v="1177.42"/>
    <s v="07-07-2025"/>
    <s v="6074202400004070|34.10.14.243.3013.2157.33903600"/>
    <n v="1"/>
  </r>
  <r>
    <s v="01"/>
    <s v="Secretaria Municipal de Direitos Humanos e Cidadania"/>
    <s v="34"/>
    <s v="10"/>
    <n v="14"/>
    <n v="122"/>
    <n v="3024"/>
    <n v="2100"/>
    <s v="33399000"/>
    <s v="34.10.14.243.3013.2157.33903600"/>
    <s v="2"/>
    <s v="Termo de Contrato - Serviços"/>
    <n v="12"/>
    <s v="Pregão"/>
    <n v="2021"/>
    <n v="22767"/>
    <s v="322/SMDHC/2021"/>
    <s v="6074202100003884"/>
    <x v="1"/>
    <x v="110"/>
    <s v="24/11/2021 00:00:00"/>
    <s v="11/12/2021 00:00:00"/>
    <s v="23/11/2025 00:00:00"/>
    <n v="48"/>
    <x v="1"/>
    <n v="95760"/>
    <n v="35984.61"/>
    <n v="324209.65999999997"/>
    <n v="0"/>
    <n v="455954.27"/>
    <n v="9499.0472916666658"/>
    <n v="113988.5675"/>
    <n v="455954.27"/>
    <n v="9499.0472916666658"/>
    <n v="113988.5675"/>
    <n v="385724.58"/>
    <n v="197325.89"/>
    <n v="188398.69"/>
    <n v="145172.74"/>
    <n v="141973.51"/>
    <s v="07-07-2025"/>
    <s v="6074202100003884|34.10.14.243.3013.2157.33903600"/>
    <n v="1"/>
  </r>
  <r>
    <s v="01"/>
    <s v="Secretaria Municipal de Direitos Humanos e Cidadania"/>
    <s v="34"/>
    <s v="10"/>
    <n v="14"/>
    <n v="122"/>
    <n v="3024"/>
    <n v="2100"/>
    <s v="33399000"/>
    <s v="34.10.14.243.3013.2157.33903600"/>
    <s v="2"/>
    <s v="Termo de Contrato - Serviços"/>
    <n v="12"/>
    <s v="Pregão"/>
    <n v="2021"/>
    <n v="22768"/>
    <s v="323/SMDHC/2021"/>
    <s v="6074202100003884"/>
    <x v="1"/>
    <x v="110"/>
    <s v="24/11/2021 00:00:00"/>
    <s v="11/12/2021 00:00:00"/>
    <s v="23/11/2025 00:00:00"/>
    <n v="48"/>
    <x v="1"/>
    <n v="973800"/>
    <n v="292143.35999999999"/>
    <n v="2921400"/>
    <n v="0"/>
    <n v="4187343.36"/>
    <n v="87236.319999999992"/>
    <n v="1046835.84"/>
    <n v="4187343.36"/>
    <n v="87236.319999999992"/>
    <n v="1046835.84"/>
    <n v="3188360.2"/>
    <n v="1590638.41"/>
    <n v="1597721.79"/>
    <n v="1309020.1499999999"/>
    <n v="1248416.48"/>
    <s v="07-07-2025"/>
    <s v="6074202100003884|34.10.14.243.3013.2157.33903600"/>
    <n v="1"/>
  </r>
  <r>
    <s v="01"/>
    <s v="Secretaria Municipal de Direitos Humanos e Cidadania"/>
    <s v="34"/>
    <s v="10"/>
    <n v="14"/>
    <n v="122"/>
    <n v="3024"/>
    <n v="2100"/>
    <s v="33399000"/>
    <s v="34.10.14.243.3013.2157.33903600"/>
    <s v="2"/>
    <s v="Termo de Contrato - Serviços"/>
    <n v="12"/>
    <s v="Pregão"/>
    <n v="2024"/>
    <n v="36788"/>
    <s v="345/SMDHC/2024"/>
    <s v="6074202400061685"/>
    <x v="1"/>
    <x v="111"/>
    <s v="18/11/2024 00:00:00"/>
    <s v="25/11/2024 00:00:00"/>
    <s v="25/11/2025 00:00:00"/>
    <n v="12"/>
    <x v="1"/>
    <n v="130729.32"/>
    <n v="0"/>
    <n v="0"/>
    <n v="0"/>
    <n v="130729.32"/>
    <n v="10894.11"/>
    <n v="130729.32"/>
    <n v="130729.32"/>
    <n v="10894.11"/>
    <n v="130729.32"/>
    <n v="141986.57"/>
    <n v="11257.25"/>
    <n v="130729.32"/>
    <n v="67543.48"/>
    <n v="56649.37"/>
    <s v="07-07-2025"/>
    <s v="6074202400061685|34.10.14.243.3013.2157.33903600"/>
    <n v="1"/>
  </r>
  <r>
    <s v="01"/>
    <s v="Secretaria Municipal de Direitos Humanos e Cidadania"/>
    <s v="34"/>
    <s v="10"/>
    <n v="8"/>
    <n v="605"/>
    <n v="3016"/>
    <n v="4470"/>
    <s v="33399000"/>
    <s v="34.10.14.243.3013.2157.33903600"/>
    <s v="2"/>
    <s v="Termo de Contrato - Serviços"/>
    <n v="12"/>
    <s v="Pregão"/>
    <n v="2021"/>
    <n v="8320"/>
    <s v="049/SMDHC/2021"/>
    <s v="6074202100007588"/>
    <x v="1"/>
    <x v="112"/>
    <s v="29/04/2021 00:00:00"/>
    <s v="01/05/2021 00:00:00"/>
    <s v="25/08/2025 00:00:00"/>
    <n v="52"/>
    <x v="1"/>
    <n v="1189394.82"/>
    <n v="930125.15"/>
    <n v="9053127.3100000005"/>
    <n v="0"/>
    <n v="11172647.279999999"/>
    <n v="214858.6015384616"/>
    <n v="2578303.2184615391"/>
    <n v="11172647.279999999"/>
    <n v="214858.6015384616"/>
    <n v="2578303.2184615391"/>
    <n v="11486807.039999999"/>
    <n v="1676895.28"/>
    <n v="9809911.7599999998"/>
    <n v="8970526.6400000006"/>
    <n v="8670746.2400000002"/>
    <s v="07-07-2025"/>
    <s v="6074202100007588|34.10.14.243.3013.2157.33903600"/>
    <n v="1"/>
  </r>
  <r>
    <s v="01"/>
    <s v="Secretaria Municipal de Direitos Humanos e Cidadania"/>
    <s v="34"/>
    <s v="10"/>
    <n v="14"/>
    <n v="122"/>
    <n v="3024"/>
    <n v="2100"/>
    <s v="33309000"/>
    <s v="34.10.14.243.3013.2157.33903600"/>
    <s v="5"/>
    <s v="Nota de Empenho Fornecimento de Bens de Consumo e/ou Permanente"/>
    <n v="6"/>
    <s v="Dispensa de Licitação"/>
    <n v="2025"/>
    <n v="3528"/>
    <m/>
    <s v="6074202400101881"/>
    <x v="0"/>
    <x v="113"/>
    <m/>
    <m/>
    <s v="19/03/2025 00:00:00"/>
    <n v="12"/>
    <x v="0"/>
    <n v="14877.9"/>
    <n v="0"/>
    <n v="0"/>
    <n v="0"/>
    <n v="14877.9"/>
    <n v="1239.825"/>
    <n v="14877.9"/>
    <n v="14877.9"/>
    <n v="1239.825"/>
    <n v="14877.9"/>
    <n v="14877.9"/>
    <n v="0"/>
    <n v="14877.9"/>
    <n v="14877.9"/>
    <n v="14877.9"/>
    <s v="07-07-2025"/>
    <s v="6074202400101881|34.10.14.243.3013.2157.33903600"/>
    <n v="1"/>
  </r>
  <r>
    <s v="01"/>
    <s v="Secretaria Municipal de Direitos Humanos e Cidadania"/>
    <s v="34"/>
    <s v="10"/>
    <n v="14"/>
    <n v="122"/>
    <n v="3024"/>
    <n v="2100"/>
    <s v="33309000"/>
    <s v="34.10.14.243.3013.2157.33903600"/>
    <s v="5"/>
    <s v="Nota de Empenho Fornecimento de Bens de Consumo e/ou Permanente"/>
    <n v="6"/>
    <s v="Dispensa de Licitação"/>
    <n v="2025"/>
    <n v="3530"/>
    <m/>
    <s v="6074202400101881"/>
    <x v="0"/>
    <x v="113"/>
    <m/>
    <m/>
    <s v="07/03/2025 00:00:00"/>
    <n v="12"/>
    <x v="0"/>
    <n v="8167.3"/>
    <n v="0"/>
    <n v="0"/>
    <n v="0"/>
    <n v="8167.3"/>
    <n v="680.60833333333335"/>
    <n v="8167.3"/>
    <n v="8167.3"/>
    <n v="680.60833333333335"/>
    <n v="8167.3"/>
    <n v="8167.3"/>
    <n v="0"/>
    <n v="8167.3"/>
    <n v="8167.3"/>
    <n v="8167.3"/>
    <s v="07-07-2025"/>
    <s v="6074202400101881|34.10.14.243.3013.2157.33903600"/>
    <n v="1"/>
  </r>
  <r>
    <s v="01"/>
    <s v="Secretaria Municipal de Direitos Humanos e Cidadania"/>
    <s v="34"/>
    <s v="10"/>
    <n v="14"/>
    <n v="122"/>
    <n v="3024"/>
    <n v="2100"/>
    <s v="33309000"/>
    <s v="34.10.14.243.3013.2157.33903600"/>
    <s v="5"/>
    <s v="Nota de Empenho Fornecimento de Bens de Consumo e/ou Permanente"/>
    <n v="6"/>
    <s v="Dispensa de Licitação"/>
    <n v="2025"/>
    <n v="3533"/>
    <m/>
    <s v="6074202400101881"/>
    <x v="0"/>
    <x v="113"/>
    <m/>
    <m/>
    <s v="07/03/2025 00:00:00"/>
    <n v="12"/>
    <x v="0"/>
    <n v="8000"/>
    <n v="0"/>
    <n v="0"/>
    <n v="0"/>
    <n v="8000"/>
    <n v="666.66666666666663"/>
    <n v="8000"/>
    <n v="8000"/>
    <n v="666.66666666666663"/>
    <n v="8000"/>
    <n v="8000"/>
    <n v="0"/>
    <n v="8000"/>
    <n v="8000"/>
    <n v="8000"/>
    <s v="07-07-2025"/>
    <s v="6074202400101881|34.10.14.243.3013.2157.33903600"/>
    <n v="1"/>
  </r>
  <r>
    <s v="01"/>
    <s v="Secretaria Municipal de Direitos Humanos e Cidadania"/>
    <s v="34"/>
    <s v="10"/>
    <n v="14"/>
    <n v="422"/>
    <n v="3013"/>
    <n v="2053"/>
    <s v="33399000"/>
    <s v="34.10.14.243.3013.2157.33903600"/>
    <s v="2"/>
    <s v="Termo de Contrato - Serviços"/>
    <n v="12"/>
    <s v="Pregão"/>
    <n v="2020"/>
    <n v="15588"/>
    <s v="038/2020/SMDHC"/>
    <s v="6074202000030537"/>
    <x v="0"/>
    <x v="114"/>
    <s v="21/08/2020 00:00:00"/>
    <s v="03/09/2020 00:00:00"/>
    <s v="12/03/2025 00:00:00"/>
    <n v="55"/>
    <x v="2"/>
    <n v="107784"/>
    <n v="32076"/>
    <n v="377244"/>
    <n v="0"/>
    <n v="517104"/>
    <n v="9401.8909090909092"/>
    <n v="112822.6909090909"/>
    <n v="444709.44"/>
    <n v="8085.626181818182"/>
    <n v="97027.514181818187"/>
    <n v="711666.6"/>
    <n v="202599.6"/>
    <n v="509067"/>
    <n v="509067"/>
    <n v="509067"/>
    <s v="07-07-2025"/>
    <s v="6074202000030537|34.10.14.243.3013.2157.33903600"/>
    <n v="0.86"/>
  </r>
  <r>
    <s v="01"/>
    <s v="Secretaria Municipal de Direitos Humanos e Cidadania"/>
    <s v="34"/>
    <s v="10"/>
    <n v="14"/>
    <n v="422"/>
    <n v="3013"/>
    <n v="2053"/>
    <s v="33399000"/>
    <s v="34.10.14.422.3013.2053.33903900"/>
    <s v="2"/>
    <s v="Termo de Contrato - Serviços"/>
    <n v="12"/>
    <s v="Pregão"/>
    <n v="2020"/>
    <n v="15344"/>
    <s v="037/SMDHC/2020"/>
    <s v="6074202000030464"/>
    <x v="1"/>
    <x v="115"/>
    <s v="14/08/2020 00:00:00"/>
    <s v="23/10/2020 00:00:00"/>
    <s v="13/08/2025 00:00:00"/>
    <n v="60"/>
    <x v="1"/>
    <n v="16032"/>
    <n v="0"/>
    <n v="75978.240000000005"/>
    <n v="0"/>
    <n v="92010.240000000005"/>
    <n v="1533.5039999999999"/>
    <n v="18402.047999999999"/>
    <n v="92010.240000000005"/>
    <n v="1533.5039999999999"/>
    <n v="18402.047999999999"/>
    <n v="100814.72"/>
    <n v="87976.39"/>
    <n v="12838.33"/>
    <n v="10293.719999999999"/>
    <n v="10233.39"/>
    <s v="07-07-2025"/>
    <s v="6074202000030464|34.10.14.422.3013.2053.33903900"/>
    <n v="1"/>
  </r>
  <r>
    <s v="01"/>
    <s v="Secretaria Municipal de Direitos Humanos e Cidadania"/>
    <s v="34"/>
    <s v="10"/>
    <n v="14"/>
    <n v="122"/>
    <n v="3024"/>
    <n v="2100"/>
    <s v="33399000"/>
    <s v="34.10.14.422.3013.2053.33903900"/>
    <s v="2"/>
    <s v="Termo de Contrato - Serviços"/>
    <n v="12"/>
    <s v="Pregão"/>
    <n v="2022"/>
    <n v="29091"/>
    <s v="212/SMDHC"/>
    <s v="6074202200071849"/>
    <x v="1"/>
    <x v="116"/>
    <s v="24/10/2022 00:00:00"/>
    <s v="26/10/2022 00:00:00"/>
    <s v="23/10/2025 00:00:00"/>
    <n v="36"/>
    <x v="1"/>
    <n v="25320"/>
    <n v="1005.24"/>
    <n v="50640"/>
    <n v="0"/>
    <n v="76965.240000000005"/>
    <n v="2137.9233333333341"/>
    <n v="25655.08"/>
    <n v="76965.240000000005"/>
    <n v="2137.9233333333341"/>
    <n v="25655.08"/>
    <n v="77459.679999999993"/>
    <n v="3499.77"/>
    <n v="73959.91"/>
    <n v="63502.94"/>
    <n v="61309.17"/>
    <s v="07-07-2025"/>
    <s v="6074202200071849|34.10.14.422.3013.2053.33903900"/>
    <n v="1"/>
  </r>
  <r>
    <s v="01"/>
    <s v="Secretaria Municipal de Direitos Humanos e Cidadania"/>
    <s v="34"/>
    <s v="10"/>
    <n v="14"/>
    <n v="422"/>
    <n v="3013"/>
    <n v="2053"/>
    <s v="33399000"/>
    <s v="34.10.14.422.3013.2053.33903900"/>
    <s v="2"/>
    <s v="Termo de Contrato - Serviços"/>
    <n v="8"/>
    <s v="Não Aplicável"/>
    <n v="2019"/>
    <n v="23178"/>
    <s v="041/SMDHC/2019"/>
    <s v="6074201800010656"/>
    <x v="0"/>
    <x v="117"/>
    <s v="02/10/2019 00:00:00"/>
    <s v="09/10/2019 00:00:00"/>
    <s v="30/10/2025 00:00:00"/>
    <n v="74"/>
    <x v="1"/>
    <n v="539863.19999999995"/>
    <n v="518700.6"/>
    <n v="2699316"/>
    <n v="0"/>
    <n v="3757879.8"/>
    <n v="50782.159459459457"/>
    <n v="609385.91351351351"/>
    <n v="3757879.8"/>
    <n v="50782.159459459457"/>
    <n v="609385.91351351351"/>
    <n v="4059724.84"/>
    <n v="835516.96"/>
    <n v="3224207.88"/>
    <n v="3224207.88"/>
    <n v="3224207.88"/>
    <s v="07-07-2025"/>
    <s v="6074201800010656|34.10.14.422.3013.2053.33903900"/>
    <n v="1"/>
  </r>
  <r>
    <s v="01"/>
    <s v="Secretaria Municipal de Direitos Humanos e Cidadania"/>
    <s v="34"/>
    <s v="10"/>
    <n v="14"/>
    <n v="422"/>
    <n v="3013"/>
    <n v="2053"/>
    <s v="33399000"/>
    <s v="34.10.14.422.3013.2053.33903900"/>
    <s v="2"/>
    <s v="Termo de Contrato - Serviços"/>
    <n v="8"/>
    <s v="Não Aplicável"/>
    <n v="2019"/>
    <n v="23189"/>
    <s v="042/SMDHC/2019"/>
    <s v="6074201800010656"/>
    <x v="0"/>
    <x v="118"/>
    <s v="03/10/2019 00:00:00"/>
    <s v="09/10/2019 00:00:00"/>
    <s v="09/11/2025 00:00:00"/>
    <n v="74"/>
    <x v="1"/>
    <n v="139920"/>
    <n v="134435.04999999999"/>
    <n v="699600"/>
    <n v="0"/>
    <n v="973955.05"/>
    <n v="13161.554729729731"/>
    <n v="157938.6567567568"/>
    <n v="973955.05"/>
    <n v="13161.554729729731"/>
    <n v="157938.6567567568"/>
    <n v="1065239.77"/>
    <n v="222997.8"/>
    <n v="842241.97"/>
    <n v="841882.21"/>
    <n v="841882.21"/>
    <s v="07-07-2025"/>
    <s v="6074201800010656|34.10.14.422.3013.2053.33903900"/>
    <n v="1"/>
  </r>
  <r>
    <s v="01"/>
    <s v="Secretaria Municipal de Direitos Humanos e Cidadania"/>
    <s v="34"/>
    <s v="10"/>
    <n v="14"/>
    <n v="422"/>
    <n v="3013"/>
    <n v="6178"/>
    <s v="33309000"/>
    <s v="34.10.14.422.3013.2053.33903900"/>
    <s v="5"/>
    <s v="Nota de Empenho Fornecimento de Bens de Consumo e/ou Permanente"/>
    <n v="6"/>
    <s v="Dispensa de Licitação"/>
    <n v="2025"/>
    <n v="3637"/>
    <m/>
    <s v="6074202500005850"/>
    <x v="0"/>
    <x v="119"/>
    <m/>
    <m/>
    <s v="27/02/2025 00:00:00"/>
    <n v="12"/>
    <x v="0"/>
    <n v="20000"/>
    <n v="0"/>
    <n v="0"/>
    <n v="0"/>
    <n v="20000"/>
    <n v="1666.666666666667"/>
    <n v="20000"/>
    <n v="20000"/>
    <n v="1666.666666666667"/>
    <n v="20000"/>
    <n v="20000"/>
    <n v="0"/>
    <n v="20000"/>
    <n v="20000"/>
    <n v="20000"/>
    <s v="07-07-2025"/>
    <s v="6074202500005850|34.10.14.422.3013.2053.33903900"/>
    <n v="1"/>
  </r>
  <r>
    <s v="01"/>
    <s v="Secretaria Municipal de Direitos Humanos e Cidadania"/>
    <s v="34"/>
    <s v="10"/>
    <n v="14"/>
    <n v="122"/>
    <n v="3024"/>
    <n v="2100"/>
    <s v="33309000"/>
    <s v="34.10.14.422.3013.2053.33903900"/>
    <s v="5"/>
    <s v="Nota de Empenho Fornecimento de Bens de Consumo e/ou Permanente"/>
    <n v="6"/>
    <s v="Dispensa de Licitação"/>
    <n v="2025"/>
    <n v="3639"/>
    <m/>
    <s v="6074202500008310"/>
    <x v="0"/>
    <x v="120"/>
    <m/>
    <m/>
    <s v="20/02/2025 00:00:00"/>
    <n v="12"/>
    <x v="0"/>
    <n v="3500"/>
    <n v="0"/>
    <n v="0"/>
    <n v="0"/>
    <n v="3500"/>
    <n v="291.66666666666669"/>
    <n v="3500"/>
    <n v="3500"/>
    <n v="291.66666666666669"/>
    <n v="3500"/>
    <n v="3500"/>
    <n v="0"/>
    <n v="3500"/>
    <n v="3500"/>
    <n v="3500"/>
    <s v="07-07-2025"/>
    <s v="6074202500008310|34.10.14.422.3013.2053.33903900"/>
    <n v="1"/>
  </r>
  <r>
    <s v="01"/>
    <s v="Secretaria Municipal de Direitos Humanos e Cidadania"/>
    <s v="34"/>
    <s v="10"/>
    <n v="14"/>
    <n v="122"/>
    <n v="3024"/>
    <n v="2100"/>
    <s v="33309000"/>
    <s v="34.10.14.422.3013.2053.33903900"/>
    <s v="5"/>
    <s v="Nota de Empenho Fornecimento de Bens de Consumo e/ou Permanente"/>
    <n v="6"/>
    <s v="Dispensa de Licitação"/>
    <n v="2025"/>
    <n v="3656"/>
    <m/>
    <s v="6074202500005531"/>
    <x v="0"/>
    <x v="121"/>
    <m/>
    <m/>
    <s v="18/02/2025 00:00:00"/>
    <n v="12"/>
    <x v="0"/>
    <n v="6900"/>
    <n v="0"/>
    <n v="0"/>
    <n v="0"/>
    <n v="6900"/>
    <n v="575"/>
    <n v="6900"/>
    <n v="6900"/>
    <n v="575"/>
    <n v="6900"/>
    <n v="6900"/>
    <n v="0"/>
    <n v="6900"/>
    <n v="6900"/>
    <n v="6900"/>
    <s v="07-07-2025"/>
    <s v="6074202500005531|34.10.14.422.3013.2053.33903900"/>
    <n v="1"/>
  </r>
  <r>
    <s v="01"/>
    <s v="Secretaria Municipal de Direitos Humanos e Cidadania"/>
    <s v="34"/>
    <s v="10"/>
    <n v="14"/>
    <n v="122"/>
    <n v="3024"/>
    <n v="2100"/>
    <s v="33309000"/>
    <s v="34.10.14.422.3013.2053.33903900"/>
    <s v="5"/>
    <s v="Nota de Empenho Fornecimento de Bens de Consumo e/ou Permanente"/>
    <n v="6"/>
    <s v="Dispensa de Licitação"/>
    <n v="2025"/>
    <n v="3670"/>
    <m/>
    <s v="6074202500005531"/>
    <x v="0"/>
    <x v="122"/>
    <m/>
    <m/>
    <s v="18/02/2025 00:00:00"/>
    <n v="12"/>
    <x v="0"/>
    <n v="5916.75"/>
    <n v="0"/>
    <n v="0"/>
    <n v="0"/>
    <n v="5916.75"/>
    <n v="493.0625"/>
    <n v="5916.75"/>
    <n v="5916.75"/>
    <n v="493.0625"/>
    <n v="5916.75"/>
    <n v="5916.75"/>
    <n v="0"/>
    <n v="5916.75"/>
    <n v="5916.75"/>
    <n v="5916.75"/>
    <s v="07-07-2025"/>
    <s v="6074202500005531|34.10.14.422.3013.2053.33903900"/>
    <n v="1"/>
  </r>
  <r>
    <s v="01"/>
    <s v="Secretaria Municipal de Direitos Humanos e Cidadania"/>
    <s v="34"/>
    <s v="10"/>
    <n v="14"/>
    <n v="243"/>
    <n v="3013"/>
    <n v="2157"/>
    <s v="33399000"/>
    <s v="34.10.14.422.3013.2053.33903900"/>
    <s v="2"/>
    <s v="Termo de Contrato - Serviços"/>
    <n v="12"/>
    <s v="Pregão"/>
    <n v="2021"/>
    <n v="18248"/>
    <s v="225/SMDHC/2021"/>
    <s v="6074202100030849"/>
    <x v="1"/>
    <x v="123"/>
    <s v="23/09/2021 00:00:00"/>
    <s v="29/10/2021 00:00:00"/>
    <s v="30/01/2027 00:00:00"/>
    <n v="65"/>
    <x v="1"/>
    <n v="927260.4"/>
    <n v="0"/>
    <n v="927260.4"/>
    <n v="0"/>
    <n v="1854520.8"/>
    <n v="28531.08923076923"/>
    <n v="342373.07076923078"/>
    <n v="1854520.8"/>
    <n v="28531.08923076923"/>
    <n v="342373.07076923078"/>
    <n v="1829277.34"/>
    <n v="416879.87"/>
    <n v="1412397.47"/>
    <n v="1166097.51"/>
    <n v="1166097.51"/>
    <s v="07-07-2025"/>
    <s v="6074202100030849|34.10.14.422.3013.2053.33903900"/>
    <n v="1"/>
  </r>
  <r>
    <s v="01"/>
    <s v="Secretaria Municipal de Direitos Humanos e Cidadania"/>
    <s v="34"/>
    <s v="10"/>
    <n v="14"/>
    <n v="422"/>
    <n v="3013"/>
    <n v="2053"/>
    <s v="33399000"/>
    <s v="34.10.14.422.3013.2053.33903900"/>
    <s v="2"/>
    <s v="Termo de Contrato - Serviços"/>
    <n v="12"/>
    <s v="Pregão"/>
    <n v="2020"/>
    <n v="16851"/>
    <s v="044/SMDHC/2020"/>
    <s v="6074202000023034"/>
    <x v="1"/>
    <x v="124"/>
    <s v="10/09/2020 00:00:00"/>
    <s v="19/09/2020 00:00:00"/>
    <s v="08/09/2025 00:00:00"/>
    <n v="60"/>
    <x v="1"/>
    <n v="186533.76000000001"/>
    <n v="149469.07999999999"/>
    <n v="746135.04000000004"/>
    <n v="0"/>
    <n v="1082137.8799999999"/>
    <n v="18035.631333333331"/>
    <n v="216427.576"/>
    <n v="854888.92519999994"/>
    <n v="14248.148753333329"/>
    <n v="170977.78503999999"/>
    <n v="1410423.06"/>
    <n v="338644.79"/>
    <n v="1071778.27"/>
    <n v="987097.12"/>
    <n v="987097.12"/>
    <s v="07-07-2025"/>
    <s v="6074202000023034|34.10.14.422.3013.2053.33903900"/>
    <n v="0.79"/>
  </r>
  <r>
    <s v="01"/>
    <s v="Secretaria Municipal de Direitos Humanos e Cidadania"/>
    <s v="34"/>
    <s v="10"/>
    <n v="14"/>
    <n v="122"/>
    <n v="3024"/>
    <n v="2100"/>
    <s v="33309000"/>
    <s v="34.10.14.422.3013.2053.33903900"/>
    <s v="5"/>
    <s v="Nota de Empenho Fornecimento de Bens de Consumo e/ou Permanente"/>
    <n v="6"/>
    <s v="Dispensa de Licitação"/>
    <n v="2025"/>
    <n v="3800"/>
    <m/>
    <s v="6074202500010004"/>
    <x v="0"/>
    <x v="125"/>
    <m/>
    <m/>
    <s v="18/02/2025 00:00:00"/>
    <n v="12"/>
    <x v="0"/>
    <n v="8550"/>
    <n v="0"/>
    <n v="0"/>
    <n v="0"/>
    <n v="8550"/>
    <n v="712.5"/>
    <n v="8550"/>
    <n v="8550"/>
    <n v="712.5"/>
    <n v="8550"/>
    <n v="8550"/>
    <n v="0"/>
    <n v="8550"/>
    <n v="8550"/>
    <n v="8550"/>
    <s v="07-07-2025"/>
    <s v="6074202500010004|34.10.14.422.3013.2053.33903900"/>
    <n v="1"/>
  </r>
  <r>
    <s v="01"/>
    <s v="Secretaria Municipal de Direitos Humanos e Cidadania"/>
    <s v="34"/>
    <s v="10"/>
    <n v="14"/>
    <n v="422"/>
    <n v="3013"/>
    <n v="6178"/>
    <s v="33399000"/>
    <s v="34.10.14.422.3013.2053.33903900"/>
    <s v="2"/>
    <s v="Termo de Contrato - Serviços"/>
    <n v="12"/>
    <s v="Pregão"/>
    <n v="2022"/>
    <n v="31664"/>
    <s v="21//SMDHC/2022"/>
    <s v="6074202200064630"/>
    <x v="1"/>
    <x v="126"/>
    <s v="16/11/2022 00:00:00"/>
    <s v="26/11/2022 00:00:00"/>
    <s v="15/11/2025 00:00:00"/>
    <n v="36"/>
    <x v="1"/>
    <n v="294000"/>
    <n v="11760"/>
    <n v="588000"/>
    <n v="0"/>
    <n v="893760"/>
    <n v="24826.666666666672"/>
    <n v="297920"/>
    <n v="893760"/>
    <n v="24826.666666666672"/>
    <n v="297920"/>
    <n v="867189.05"/>
    <n v="151260.06"/>
    <n v="715928.99"/>
    <n v="582360.86"/>
    <n v="559673.78"/>
    <s v="07-07-2025"/>
    <s v="6074202200064630|34.10.14.422.3013.2053.33903900"/>
    <n v="1"/>
  </r>
  <r>
    <s v="01"/>
    <s v="Secretaria Municipal de Direitos Humanos e Cidadania"/>
    <s v="34"/>
    <s v="10"/>
    <n v="14"/>
    <n v="422"/>
    <n v="3013"/>
    <n v="2053"/>
    <s v="33399000"/>
    <s v="34.10.14.422.3013.2053.33903900"/>
    <s v="2"/>
    <s v="Termo de Contrato - Serviços"/>
    <n v="12"/>
    <s v="Pregão"/>
    <n v="2020"/>
    <n v="18241"/>
    <s v="051/SMDHC/2020"/>
    <s v="6074202000029571"/>
    <x v="1"/>
    <x v="127"/>
    <s v="02/10/2020 00:00:00"/>
    <s v="09/10/2020 00:00:00"/>
    <s v="01/10/2025 00:00:00"/>
    <n v="60"/>
    <x v="1"/>
    <n v="156000"/>
    <n v="120365.16"/>
    <n v="624000"/>
    <n v="0"/>
    <n v="900365.16"/>
    <n v="15006.085999999999"/>
    <n v="180073.03200000001"/>
    <n v="900365.16"/>
    <n v="15006.085999999999"/>
    <n v="180073.03200000001"/>
    <n v="1303831.3799999999"/>
    <n v="408616.12"/>
    <n v="895215.26"/>
    <n v="829315.8"/>
    <n v="812977.09"/>
    <s v="07-07-2025"/>
    <s v="6074202000029571|34.10.14.422.3013.2053.33903900"/>
    <n v="1"/>
  </r>
  <r>
    <s v="01"/>
    <s v="Secretaria Municipal de Direitos Humanos e Cidadania"/>
    <s v="34"/>
    <s v="10"/>
    <n v="14"/>
    <n v="422"/>
    <n v="3013"/>
    <n v="2053"/>
    <s v="33399000"/>
    <s v="34.10.14.422.3013.2053.33903900"/>
    <s v="2"/>
    <s v="Termo de Contrato - Serviços"/>
    <n v="12"/>
    <s v="Pregão"/>
    <n v="2024"/>
    <n v="39287"/>
    <s v="439/SMDHC/2024"/>
    <s v="6074202400056487"/>
    <x v="1"/>
    <x v="128"/>
    <s v="12/12/2024 00:00:00"/>
    <s v="23/12/2024 00:00:00"/>
    <s v="01/01/2030 00:00:00"/>
    <n v="61"/>
    <x v="1"/>
    <n v="6840000"/>
    <n v="0"/>
    <n v="0"/>
    <n v="0"/>
    <n v="6840000"/>
    <n v="112131.1475409836"/>
    <n v="1345573.7704918031"/>
    <n v="6840000"/>
    <n v="112131.1475409836"/>
    <n v="1345573.7704918031"/>
    <n v="927200"/>
    <n v="114000"/>
    <n v="813200"/>
    <n v="471200"/>
    <n v="471200"/>
    <s v="07-07-2025"/>
    <s v="6074202400056487|34.10.14.422.3013.2053.33903900"/>
    <n v="1"/>
  </r>
  <r>
    <s v="01"/>
    <s v="Secretaria Municipal de Direitos Humanos e Cidadania"/>
    <s v="34"/>
    <s v="10"/>
    <n v="14"/>
    <n v="243"/>
    <n v="3013"/>
    <n v="2157"/>
    <s v="33399000"/>
    <s v="34.10.14.422.3013.2053.33903900"/>
    <s v="2"/>
    <s v="Termo de Contrato - Serviços"/>
    <n v="12"/>
    <s v="Pregão"/>
    <n v="2024"/>
    <n v="16869"/>
    <s v="164/SMDHC/2024"/>
    <s v="6074202400025174"/>
    <x v="1"/>
    <x v="129"/>
    <s v="10/06/2024 00:00:00"/>
    <s v="26/06/2024 00:00:00"/>
    <s v="25/01/2027 00:00:00"/>
    <n v="31"/>
    <x v="1"/>
    <n v="5903248.5"/>
    <n v="0"/>
    <n v="0"/>
    <n v="0"/>
    <n v="5903248.5"/>
    <n v="190427.37096774191"/>
    <n v="2285128.4516129028"/>
    <n v="5253891.165"/>
    <n v="169480.3601612903"/>
    <n v="2033764.321935484"/>
    <n v="1364306.32"/>
    <n v="973051.84"/>
    <n v="391254.48"/>
    <n v="391254.48"/>
    <n v="391254.48"/>
    <s v="07-07-2025"/>
    <s v="6074202400025174|34.10.14.422.3013.2053.33903900"/>
    <n v="0.89"/>
  </r>
  <r>
    <s v="01"/>
    <s v="Secretaria Municipal de Direitos Humanos e Cidadania"/>
    <s v="34"/>
    <s v="10"/>
    <n v="14"/>
    <n v="243"/>
    <n v="3013"/>
    <n v="2157"/>
    <s v="33399000"/>
    <s v="34.10.14.422.3013.2053.33903900"/>
    <s v="2"/>
    <s v="Termo de Contrato - Serviços"/>
    <n v="12"/>
    <s v="Pregão"/>
    <n v="2024"/>
    <n v="32863"/>
    <s v="330/SMDHC/2024"/>
    <s v="6074202400025174"/>
    <x v="1"/>
    <x v="129"/>
    <s v="07/10/2024 00:00:00"/>
    <s v="15/10/2024 00:00:00"/>
    <s v="15/04/2027 00:00:00"/>
    <n v="31"/>
    <x v="1"/>
    <n v="5903248.5"/>
    <n v="0"/>
    <n v="260066.76"/>
    <n v="0"/>
    <n v="6163315.2599999998"/>
    <n v="198816.6212903226"/>
    <n v="2385799.455483871"/>
    <n v="5485350.5813999996"/>
    <n v="176946.7929483871"/>
    <n v="2123361.5153806452"/>
    <n v="2544133.5099999998"/>
    <n v="65591.649999999994"/>
    <n v="2478541.86"/>
    <n v="1539326.5"/>
    <n v="1539326.5"/>
    <s v="07-07-2025"/>
    <s v="6074202400025174|34.10.14.422.3013.2053.33903900"/>
    <n v="0.89"/>
  </r>
  <r>
    <s v="01"/>
    <s v="Secretaria Municipal de Direitos Humanos e Cidadania"/>
    <s v="34"/>
    <s v="10"/>
    <n v="14"/>
    <n v="243"/>
    <n v="3013"/>
    <n v="2157"/>
    <s v="33399000"/>
    <s v="34.10.14.422.3013.2053.33903900"/>
    <s v="2"/>
    <s v="Termo de Contrato - Serviços"/>
    <n v="6"/>
    <s v="Dispensa de Licitação"/>
    <n v="2024"/>
    <n v="35667"/>
    <s v="341/SMDHC/2024"/>
    <s v="6074202400054352"/>
    <x v="1"/>
    <x v="130"/>
    <s v="12/11/2024 00:00:00"/>
    <s v="18/11/2024 00:00:00"/>
    <s v="17/10/2029 00:00:00"/>
    <n v="60"/>
    <x v="1"/>
    <n v="685000"/>
    <n v="0"/>
    <n v="0"/>
    <n v="0"/>
    <n v="685000"/>
    <n v="11416.66666666667"/>
    <n v="137000"/>
    <n v="685000"/>
    <n v="11416.66666666667"/>
    <n v="137000"/>
    <n v="78671.5"/>
    <n v="52901.5"/>
    <n v="25770"/>
    <n v="4575.5"/>
    <n v="4575.5"/>
    <s v="07-07-2025"/>
    <s v="6074202400054352|34.10.14.422.3013.2053.33903900"/>
    <n v="1"/>
  </r>
  <r>
    <s v="01"/>
    <s v="Secretaria Municipal de Direitos Humanos e Cidadania"/>
    <s v="34"/>
    <s v="10"/>
    <n v="14"/>
    <n v="122"/>
    <n v="3024"/>
    <n v="2100"/>
    <s v="33399000"/>
    <s v="34.10.14.422.3013.2053.33903900"/>
    <s v="2"/>
    <s v="Termo de Contrato - Serviços"/>
    <n v="12"/>
    <s v="Pregão"/>
    <n v="2024"/>
    <n v="39264"/>
    <s v="438/SMDHC/2024"/>
    <s v="6074202400020504"/>
    <x v="1"/>
    <x v="131"/>
    <s v="12/12/2024 00:00:00"/>
    <s v="23/12/2024 00:00:00"/>
    <s v="23/01/2027 00:00:00"/>
    <n v="25"/>
    <x v="1"/>
    <n v="171000"/>
    <n v="0"/>
    <n v="0"/>
    <n v="0"/>
    <n v="171000"/>
    <n v="6840"/>
    <n v="82080"/>
    <n v="171000"/>
    <n v="6840"/>
    <n v="82080"/>
    <n v="86989.25"/>
    <n v="8614.25"/>
    <n v="78375"/>
    <n v="14324.25"/>
    <n v="7981.25"/>
    <s v="07-07-2025"/>
    <s v="6074202400020504|34.10.14.422.3013.2053.33903900"/>
    <n v="1"/>
  </r>
  <r>
    <s v="01"/>
    <s v="Secretaria Municipal de Direitos Humanos e Cidadania"/>
    <s v="34"/>
    <s v="10"/>
    <n v="14"/>
    <n v="422"/>
    <n v="3013"/>
    <n v="6178"/>
    <s v="33399000"/>
    <s v="34.10.14.422.3013.2053.33903900"/>
    <s v="2"/>
    <s v="Termo de Contrato - Serviços"/>
    <n v="8"/>
    <s v="Não Aplicável"/>
    <n v="2020"/>
    <n v="10771"/>
    <s v="024/SMDHC/2020"/>
    <s v="6074202000023344"/>
    <x v="1"/>
    <x v="132"/>
    <s v="08/07/2020 00:00:00"/>
    <s v="21/08/2020 00:00:00"/>
    <s v="07/07/2025 00:00:00"/>
    <n v="60"/>
    <x v="2"/>
    <n v="24055.200000000001"/>
    <n v="0"/>
    <n v="177148.79999999999"/>
    <n v="0"/>
    <n v="201204"/>
    <n v="3353.4"/>
    <n v="40240.800000000003"/>
    <n v="201204"/>
    <n v="3353.4"/>
    <n v="40240.800000000003"/>
    <n v="242731.01"/>
    <n v="197266.81"/>
    <n v="45464.2"/>
    <n v="20432.38"/>
    <n v="20432.38"/>
    <s v="07-07-2025"/>
    <s v="6074202000023344|34.10.14.422.3013.2053.33903900"/>
    <n v="1"/>
  </r>
  <r>
    <s v="01"/>
    <s v="Secretaria Municipal de Direitos Humanos e Cidadania"/>
    <s v="34"/>
    <s v="10"/>
    <n v="14"/>
    <n v="122"/>
    <n v="3024"/>
    <n v="2100"/>
    <s v="44529000"/>
    <s v="34.10.14.422.3013.2053.33903900"/>
    <s v="29"/>
    <s v="Termo de Contrato para Aquisição de Bens de Consumo e/ou Permanente"/>
    <n v="12"/>
    <s v="Pregão"/>
    <n v="2025"/>
    <n v="3961"/>
    <s v="TC nº 019/SMDHC/2024"/>
    <s v="6074202500004365"/>
    <x v="0"/>
    <x v="133"/>
    <s v="25/02/2025 00:00:00"/>
    <s v="27/02/2025 00:00:00"/>
    <s v="27/05/2025 00:00:00"/>
    <n v="3"/>
    <x v="2"/>
    <n v="208000"/>
    <n v="0"/>
    <n v="0"/>
    <n v="0"/>
    <n v="208000"/>
    <n v="17333.333333333328"/>
    <n v="208000"/>
    <n v="208000"/>
    <n v="17333.333333333328"/>
    <n v="208000"/>
    <n v="208000"/>
    <n v="0"/>
    <n v="208000"/>
    <n v="208000"/>
    <n v="208000"/>
    <s v="07-07-2025"/>
    <s v="6074202500004365|34.10.14.422.3013.2053.33903900"/>
    <n v="1"/>
  </r>
  <r>
    <s v="01"/>
    <s v="Secretaria Municipal de Direitos Humanos e Cidadania"/>
    <s v="34"/>
    <s v="10"/>
    <n v="14"/>
    <n v="422"/>
    <n v="3013"/>
    <n v="6178"/>
    <s v="33399000"/>
    <s v="34.10.14.422.3013.2053.33903900"/>
    <s v="2"/>
    <s v="Termo de Contrato - Serviços"/>
    <n v="4"/>
    <s v="Concorrência"/>
    <n v="2024"/>
    <n v="29365"/>
    <s v="261/SMDHC/2024"/>
    <s v="6074202300065530"/>
    <x v="1"/>
    <x v="134"/>
    <s v="09/09/2024 00:00:00"/>
    <s v="10/09/2024 00:00:00"/>
    <s v="17/09/2025 00:00:00"/>
    <n v="12"/>
    <x v="1"/>
    <n v="1912763.64"/>
    <n v="0"/>
    <n v="33821.4"/>
    <n v="0"/>
    <n v="1946585.04"/>
    <n v="162215.42000000001"/>
    <n v="1946585.04"/>
    <n v="58397.551199999987"/>
    <n v="4866.4625999999989"/>
    <n v="58397.551199999987"/>
    <n v="1785554.53"/>
    <n v="74971.28"/>
    <n v="1710583.25"/>
    <n v="1130596.1299999999"/>
    <n v="1130596.1299999999"/>
    <s v="07-07-2025"/>
    <s v="6074202300065530|34.10.14.422.3013.2053.33903900"/>
    <n v="0.03"/>
  </r>
  <r>
    <s v="01"/>
    <s v="Secretaria Municipal de Direitos Humanos e Cidadania"/>
    <s v="34"/>
    <s v="10"/>
    <n v="14"/>
    <n v="422"/>
    <n v="3018"/>
    <n v="4334"/>
    <s v="33399000"/>
    <s v="34.10.14.422.3013.2053.33903900"/>
    <s v="2"/>
    <s v="Termo de Contrato - Serviços"/>
    <n v="6"/>
    <s v="Dispensa de Licitação"/>
    <n v="2023"/>
    <n v="6172"/>
    <s v="066//SMDHC/2023"/>
    <s v="6074202200022457"/>
    <x v="1"/>
    <x v="135"/>
    <s v="30/03/2023 00:00:00"/>
    <s v="03/07/2023 00:00:00"/>
    <s v="27/04/2026 00:00:00"/>
    <n v="37"/>
    <x v="1"/>
    <n v="32868"/>
    <n v="0"/>
    <n v="26056"/>
    <n v="0"/>
    <n v="58924"/>
    <n v="1592.5405405405411"/>
    <n v="19110.48648648649"/>
    <n v="14731"/>
    <n v="398.13513513513522"/>
    <n v="4777.6216216216217"/>
    <n v="75898.7"/>
    <n v="65190.7"/>
    <n v="10708"/>
    <n v="4609.4799999999996"/>
    <n v="3929.12"/>
    <s v="07-07-2025"/>
    <s v="6074202200022457|34.10.14.422.3013.2053.33903900"/>
    <n v="0.25"/>
  </r>
  <r>
    <s v="01"/>
    <s v="Secretaria Municipal de Direitos Humanos e Cidadania"/>
    <s v="34"/>
    <s v="10"/>
    <n v="14"/>
    <n v="122"/>
    <n v="3024"/>
    <n v="2100"/>
    <s v="33399000"/>
    <s v="34.10.14.422.3013.2053.33903900"/>
    <s v="41"/>
    <s v="Nota de Empenho de Serviços com fornecimento de materiais / peças"/>
    <n v="12"/>
    <s v="Pregão"/>
    <n v="2025"/>
    <n v="3985"/>
    <m/>
    <s v="6074202500011728"/>
    <x v="0"/>
    <x v="136"/>
    <m/>
    <m/>
    <s v="28/02/2025 00:00:00"/>
    <n v="12"/>
    <x v="0"/>
    <n v="3298"/>
    <n v="0"/>
    <n v="0"/>
    <n v="0"/>
    <n v="3298"/>
    <n v="274.83333333333331"/>
    <n v="3298"/>
    <n v="3298"/>
    <n v="274.83333333333331"/>
    <n v="3298"/>
    <n v="3298"/>
    <n v="0"/>
    <n v="3298"/>
    <n v="3298"/>
    <n v="3298"/>
    <s v="07-07-2025"/>
    <s v="6074202500011728|34.10.14.422.3013.2053.33903900"/>
    <n v="1"/>
  </r>
  <r>
    <s v="01"/>
    <s v="Secretaria Municipal de Direitos Humanos e Cidadania"/>
    <s v="34"/>
    <s v="10"/>
    <n v="14"/>
    <n v="122"/>
    <n v="3024"/>
    <n v="2100"/>
    <s v="33399000"/>
    <s v="34.10.14.422.3013.2053.33903900"/>
    <s v="5"/>
    <s v="Nota de Empenho Fornecimento de Bens de Consumo e/ou Permanente"/>
    <n v="12"/>
    <s v="Pregão"/>
    <n v="2025"/>
    <n v="4037"/>
    <m/>
    <s v="6074202500012082"/>
    <x v="0"/>
    <x v="137"/>
    <m/>
    <m/>
    <s v="16/02/2025 00:00:00"/>
    <n v="12"/>
    <x v="0"/>
    <n v="10048"/>
    <n v="0"/>
    <n v="0"/>
    <n v="0"/>
    <n v="10048"/>
    <n v="837.33333333333337"/>
    <n v="10048"/>
    <n v="10048"/>
    <n v="837.33333333333337"/>
    <n v="10048"/>
    <n v="10048"/>
    <n v="0"/>
    <n v="10048"/>
    <n v="10048"/>
    <n v="10048"/>
    <s v="07-07-2025"/>
    <s v="6074202500012082|34.10.14.422.3013.2053.33903900"/>
    <n v="1"/>
  </r>
  <r>
    <s v="01"/>
    <s v="Secretaria Municipal de Direitos Humanos e Cidadania"/>
    <s v="34"/>
    <s v="10"/>
    <n v="14"/>
    <n v="122"/>
    <n v="3024"/>
    <n v="2100"/>
    <s v="33309000"/>
    <s v="34.10.14.422.3013.2053.33903900"/>
    <s v="29"/>
    <s v="Termo de Contrato para Aquisição de Bens de Consumo e/ou Permanente"/>
    <n v="12"/>
    <s v="Pregão"/>
    <n v="2025"/>
    <n v="7170"/>
    <s v="027/SMDHC/2025"/>
    <s v="6074202500006430"/>
    <x v="0"/>
    <x v="138"/>
    <s v="12/03/2025 00:00:00"/>
    <s v="14/03/2025 00:00:00"/>
    <s v="28/05/2025 00:00:00"/>
    <n v="2"/>
    <x v="2"/>
    <n v="9700"/>
    <n v="0"/>
    <n v="0"/>
    <n v="0"/>
    <n v="9700"/>
    <n v="808.33333333333337"/>
    <n v="9700"/>
    <n v="0"/>
    <n v="0"/>
    <n v="0"/>
    <n v="9700"/>
    <n v="0"/>
    <n v="9700"/>
    <n v="1700"/>
    <n v="1700"/>
    <s v="07-07-2025"/>
    <s v="6074202500006430|34.10.14.422.3013.2053.33903900"/>
    <n v="0"/>
  </r>
  <r>
    <s v="01"/>
    <s v="Secretaria Municipal de Direitos Humanos e Cidadania"/>
    <s v="34"/>
    <s v="10"/>
    <n v="14"/>
    <n v="243"/>
    <n v="3013"/>
    <n v="2157"/>
    <s v="33399000"/>
    <s v="34.10.14.243.3013.2157.33903900"/>
    <s v="2"/>
    <s v="Termo de Contrato - Serviços"/>
    <n v="12"/>
    <s v="Pregão"/>
    <n v="2023"/>
    <n v="23852"/>
    <s v="245/SMDHC2023"/>
    <s v="6074202300071948"/>
    <x v="1"/>
    <x v="139"/>
    <s v="16/08/2023 00:00:00"/>
    <s v="18/08/2023 00:00:00"/>
    <s v="26/08/2025 00:00:00"/>
    <n v="24"/>
    <x v="1"/>
    <n v="39936"/>
    <n v="1260.48"/>
    <n v="39936"/>
    <n v="0"/>
    <n v="81132.48000000001"/>
    <n v="3380.52"/>
    <n v="40566.240000000013"/>
    <n v="81132.48000000001"/>
    <n v="3380.52"/>
    <n v="40566.240000000013"/>
    <n v="84174.45"/>
    <n v="10839.86"/>
    <n v="73334.59"/>
    <n v="62566.04"/>
    <n v="62566.04"/>
    <s v="07-07-2025"/>
    <s v="6074202300071948|34.10.14.243.3013.2157.33903900"/>
    <n v="1"/>
  </r>
  <r>
    <s v="01"/>
    <s v="Secretaria Municipal de Direitos Humanos e Cidadania"/>
    <s v="34"/>
    <s v="10"/>
    <n v="14"/>
    <n v="422"/>
    <n v="3013"/>
    <n v="6178"/>
    <s v="33399000"/>
    <s v="34.10.14.243.3013.2157.33903900"/>
    <s v="2"/>
    <s v="Termo de Contrato - Serviços"/>
    <n v="7"/>
    <s v="Inexigibilidade"/>
    <n v="2025"/>
    <n v="4104"/>
    <s v="011/SMDHC/2025"/>
    <s v="6074202500010888"/>
    <x v="0"/>
    <x v="140"/>
    <s v="13/02/2025 00:00:00"/>
    <s v="18/02/2025 00:00:00"/>
    <s v="23/04/2025 00:00:00"/>
    <n v="2"/>
    <x v="2"/>
    <n v="624433"/>
    <n v="0"/>
    <n v="0"/>
    <n v="0"/>
    <n v="624433"/>
    <n v="52036.083333333343"/>
    <n v="624433"/>
    <n v="624433"/>
    <n v="52036.083333333343"/>
    <n v="624433"/>
    <n v="624433"/>
    <n v="0"/>
    <n v="624433"/>
    <n v="624433"/>
    <n v="624433"/>
    <s v="07-07-2025"/>
    <s v="6074202500010888|34.10.14.243.3013.2157.33903900"/>
    <n v="1"/>
  </r>
  <r>
    <s v="01"/>
    <s v="Secretaria Municipal de Direitos Humanos e Cidadania"/>
    <s v="34"/>
    <s v="10"/>
    <n v="8"/>
    <n v="605"/>
    <n v="3016"/>
    <n v="4470"/>
    <s v="33309000"/>
    <s v="34.10.14.243.3013.2157.33903900"/>
    <s v="29"/>
    <s v="Termo de Contrato para Aquisição de Bens de Consumo e/ou Permanente"/>
    <n v="6"/>
    <s v="Dispensa de Licitação"/>
    <n v="2023"/>
    <n v="37228"/>
    <s v="405/SMDHC2023"/>
    <s v="6074202300091884"/>
    <x v="1"/>
    <x v="141"/>
    <s v="05/12/2023 00:00:00"/>
    <s v="09/02/2024 00:00:00"/>
    <s v="04/12/2025 00:00:00"/>
    <n v="24"/>
    <x v="1"/>
    <n v="13680"/>
    <n v="639"/>
    <n v="13680"/>
    <n v="0"/>
    <n v="27999"/>
    <n v="1166.625"/>
    <n v="13999.5"/>
    <n v="26879.040000000001"/>
    <n v="1119.96"/>
    <n v="13439.52"/>
    <n v="27995.15"/>
    <n v="3.25"/>
    <n v="27991.9"/>
    <n v="19639.150000000001"/>
    <n v="19639.150000000001"/>
    <s v="07-07-2025"/>
    <s v="6074202300091884|34.10.14.243.3013.2157.33903900"/>
    <n v="0.96"/>
  </r>
  <r>
    <s v="01"/>
    <s v="Secretaria Municipal de Direitos Humanos e Cidadania"/>
    <s v="34"/>
    <s v="10"/>
    <n v="14"/>
    <n v="243"/>
    <n v="3013"/>
    <n v="2157"/>
    <s v="33399000"/>
    <s v="34.10.14.243.3013.2157.33903900"/>
    <s v="2"/>
    <s v="Termo de Contrato - Serviços"/>
    <n v="12"/>
    <s v="Pregão"/>
    <n v="2022"/>
    <n v="16811"/>
    <s v="145/SMDHC/2022"/>
    <s v="6074202100079449"/>
    <x v="1"/>
    <x v="142"/>
    <s v="12/07/2022 00:00:00"/>
    <s v="14/07/2022 00:00:00"/>
    <s v="11/09/2025 00:00:00"/>
    <n v="38"/>
    <x v="1"/>
    <n v="2772866.88"/>
    <n v="362951.3"/>
    <n v="7041379.7999999998"/>
    <n v="0"/>
    <n v="10177197.98"/>
    <n v="267820.99947368418"/>
    <n v="3213851.9936842108"/>
    <n v="10177197.98"/>
    <n v="267820.99947368418"/>
    <n v="3213851.9936842108"/>
    <n v="11012596.470000001"/>
    <n v="1075545.33"/>
    <n v="9937051.1400000006"/>
    <n v="8857894.9800000004"/>
    <n v="8857894.9800000004"/>
    <s v="07-07-2025"/>
    <s v="6074202100079449|34.10.14.243.3013.2157.33903900"/>
    <n v="1"/>
  </r>
  <r>
    <s v="01"/>
    <s v="Secretaria Municipal de Direitos Humanos e Cidadania"/>
    <s v="34"/>
    <s v="10"/>
    <n v="14"/>
    <n v="243"/>
    <n v="3013"/>
    <n v="2157"/>
    <s v="33399000"/>
    <s v="34.10.14.243.3013.2157.33903900"/>
    <s v="2"/>
    <s v="Termo de Contrato - Serviços"/>
    <n v="12"/>
    <s v="Pregão"/>
    <n v="2021"/>
    <n v="21847"/>
    <s v="286/SMHDC/2021"/>
    <s v="6074202100041158"/>
    <x v="1"/>
    <x v="143"/>
    <s v="18/11/2021 00:00:00"/>
    <s v="19/11/2021 00:00:00"/>
    <s v="01/01/2026 00:00:00"/>
    <n v="50"/>
    <x v="1"/>
    <n v="2882880"/>
    <n v="321235.20000000001"/>
    <n v="960960"/>
    <n v="0"/>
    <n v="4165075.2"/>
    <n v="83301.504000000001"/>
    <n v="999618.04799999995"/>
    <n v="4165075.2"/>
    <n v="83301.504000000001"/>
    <n v="999618.04799999995"/>
    <n v="4418402.22"/>
    <n v="393609.29"/>
    <n v="4024792.93"/>
    <n v="3510366.53"/>
    <n v="3510366.53"/>
    <s v="07-07-2025"/>
    <s v="6074202100041158|34.10.14.243.3013.2157.33903900"/>
    <n v="1"/>
  </r>
  <r>
    <s v="01"/>
    <s v="Secretaria Municipal de Direitos Humanos e Cidadania"/>
    <s v="34"/>
    <s v="10"/>
    <n v="14"/>
    <n v="422"/>
    <n v="3013"/>
    <n v="2053"/>
    <s v="33399000"/>
    <s v="34.10.14.243.3013.2157.33903900"/>
    <s v="2"/>
    <s v="Termo de Contrato - Serviços"/>
    <n v="12"/>
    <s v="Pregão"/>
    <n v="2024"/>
    <n v="35367"/>
    <s v="337/SMDHC/2024"/>
    <s v="6074202400073438"/>
    <x v="1"/>
    <x v="144"/>
    <s v="01/11/2024 00:00:00"/>
    <s v="06/11/2024 00:00:00"/>
    <s v="02/12/2025 00:00:00"/>
    <n v="13"/>
    <x v="1"/>
    <n v="1161857.8799999999"/>
    <n v="0"/>
    <n v="0"/>
    <n v="0"/>
    <n v="1161857.8799999999"/>
    <n v="89373.683076923073"/>
    <n v="1072484.1969230771"/>
    <n v="1161857.8799999999"/>
    <n v="89373.683076923073"/>
    <n v="1072484.1969230771"/>
    <n v="1358759.34"/>
    <n v="221862.24"/>
    <n v="1136897.1000000001"/>
    <n v="552730.77"/>
    <n v="552730.77"/>
    <s v="07-07-2025"/>
    <s v="6074202400073438|34.10.14.243.3013.2157.33903900"/>
    <n v="1"/>
  </r>
  <r>
    <s v="01"/>
    <s v="Secretaria Municipal de Direitos Humanos e Cidadania"/>
    <s v="34"/>
    <s v="10"/>
    <n v="14"/>
    <n v="126"/>
    <n v="3011"/>
    <n v="2818"/>
    <s v="33409000"/>
    <s v="34.10.14.243.3013.2157.33903900"/>
    <s v="2"/>
    <s v="Termo de Contrato - Serviços"/>
    <n v="12"/>
    <s v="Pregão"/>
    <n v="2020"/>
    <n v="18117"/>
    <s v="048/SMDHC/2020"/>
    <s v="6074202000011893"/>
    <x v="1"/>
    <x v="145"/>
    <s v="25/09/2022 00:00:00"/>
    <s v="30/09/2022 00:00:00"/>
    <s v="24/09/2025 00:00:00"/>
    <n v="36"/>
    <x v="1"/>
    <n v="51780"/>
    <n v="2021.54"/>
    <n v="213935.83"/>
    <n v="0"/>
    <n v="267737.37"/>
    <n v="7437.1491666666661"/>
    <n v="89245.79"/>
    <n v="155287.6746"/>
    <n v="4313.5465166666663"/>
    <n v="51762.558199999992"/>
    <n v="274112.5"/>
    <n v="19308.63"/>
    <n v="254803.87"/>
    <n v="234656.97"/>
    <n v="229355.16"/>
    <s v="07-07-2025"/>
    <s v="6074202000011893|34.10.14.243.3013.2157.33903900"/>
    <n v="0.57999999999999996"/>
  </r>
  <r>
    <s v="01"/>
    <s v="Secretaria Municipal de Direitos Humanos e Cidadania"/>
    <s v="34"/>
    <s v="10"/>
    <n v="14"/>
    <n v="422"/>
    <n v="3013"/>
    <n v="6178"/>
    <s v="33399000"/>
    <s v="34.10.14.243.3013.2157.33903900"/>
    <s v="2"/>
    <s v="Termo de Contrato - Serviços"/>
    <n v="6"/>
    <s v="Dispensa de Licitação"/>
    <n v="2025"/>
    <n v="4219"/>
    <s v="014/SMDHC/2025"/>
    <s v="6074202500004683"/>
    <x v="0"/>
    <x v="146"/>
    <s v="14/02/2025 00:00:00"/>
    <s v="20/02/2025 00:00:00"/>
    <s v="16/03/2025 00:00:00"/>
    <n v="1"/>
    <x v="2"/>
    <n v="580289.27"/>
    <n v="0"/>
    <n v="0"/>
    <n v="0"/>
    <n v="580289.27"/>
    <n v="48357.439166666671"/>
    <n v="580289.27"/>
    <n v="580289.27"/>
    <n v="48357.439166666671"/>
    <n v="580289.27"/>
    <n v="580289.27"/>
    <n v="0"/>
    <n v="580289.27"/>
    <n v="261130.17"/>
    <n v="261130.17"/>
    <s v="07-07-2025"/>
    <s v="6074202500004683|34.10.14.243.3013.2157.33903900"/>
    <n v="1"/>
  </r>
  <r>
    <s v="01"/>
    <s v="Secretaria Municipal de Direitos Humanos e Cidadania"/>
    <s v="34"/>
    <s v="10"/>
    <n v="8"/>
    <n v="605"/>
    <n v="3016"/>
    <n v="4470"/>
    <s v="33399000"/>
    <s v="34.10.14.243.3013.2157.33903900"/>
    <s v="2"/>
    <s v="Termo de Contrato - Serviços"/>
    <n v="12"/>
    <s v="Pregão"/>
    <n v="2023"/>
    <n v="33116"/>
    <s v="381/SMDHC/2023"/>
    <s v="6074202300069595"/>
    <x v="1"/>
    <x v="147"/>
    <s v="31/10/2023 00:00:00"/>
    <s v="07/11/2023 00:00:00"/>
    <s v="09/11/2025 00:00:00"/>
    <n v="24"/>
    <x v="1"/>
    <n v="18606900"/>
    <n v="0"/>
    <n v="18606900"/>
    <n v="0"/>
    <n v="37213800"/>
    <n v="1550575"/>
    <n v="18606900"/>
    <n v="30887454"/>
    <n v="1286977.25"/>
    <n v="15443727"/>
    <n v="34406978.560000002"/>
    <n v="2130359.7400000002"/>
    <n v="32276618.82"/>
    <n v="27060552.899999999"/>
    <n v="25524850"/>
    <s v="07-07-2025"/>
    <s v="6074202300069595|34.10.14.243.3013.2157.33903900"/>
    <n v="0.83"/>
  </r>
  <r>
    <s v="01"/>
    <s v="Secretaria Municipal de Direitos Humanos e Cidadania"/>
    <s v="34"/>
    <s v="10"/>
    <n v="14"/>
    <n v="122"/>
    <n v="3024"/>
    <n v="2100"/>
    <s v="33309000"/>
    <s v="34.10.14.243.3013.2157.33903900"/>
    <s v="41"/>
    <s v="Nota de Empenho de Serviços com fornecimento de materiais / peças"/>
    <n v="6"/>
    <s v="Dispensa de Licitação"/>
    <n v="2025"/>
    <n v="4307"/>
    <m/>
    <s v="6074202500006457"/>
    <x v="0"/>
    <x v="148"/>
    <m/>
    <m/>
    <s v="01/03/2025 00:00:00"/>
    <n v="12"/>
    <x v="0"/>
    <n v="1050"/>
    <n v="0"/>
    <n v="0"/>
    <n v="0"/>
    <n v="1050"/>
    <n v="87.5"/>
    <n v="1050"/>
    <n v="651"/>
    <n v="54.25"/>
    <n v="651"/>
    <n v="1050"/>
    <n v="0"/>
    <n v="1050"/>
    <n v="1050"/>
    <n v="1050"/>
    <s v="07-07-2025"/>
    <s v="6074202500006457|34.10.14.243.3013.2157.33903900"/>
    <n v="0.62"/>
  </r>
  <r>
    <s v="01"/>
    <s v="Secretaria Municipal de Direitos Humanos e Cidadania"/>
    <s v="34"/>
    <s v="10"/>
    <n v="14"/>
    <n v="122"/>
    <n v="3024"/>
    <n v="2100"/>
    <s v="33309000"/>
    <s v="34.10.14.243.3013.2157.33903900"/>
    <s v="41"/>
    <s v="Nota de Empenho de Serviços com fornecimento de materiais / peças"/>
    <n v="6"/>
    <s v="Dispensa de Licitação"/>
    <n v="2025"/>
    <n v="6371"/>
    <m/>
    <s v="6074202500006457"/>
    <x v="0"/>
    <x v="148"/>
    <m/>
    <m/>
    <s v="06/04/2025 00:00:00"/>
    <n v="12"/>
    <x v="0"/>
    <n v="640"/>
    <n v="0"/>
    <n v="0"/>
    <n v="0"/>
    <n v="640"/>
    <n v="53.333333333333343"/>
    <n v="640"/>
    <n v="396.8"/>
    <n v="33.06666666666667"/>
    <n v="396.8"/>
    <n v="640"/>
    <n v="0"/>
    <n v="640"/>
    <n v="640"/>
    <n v="640"/>
    <s v="07-07-2025"/>
    <s v="6074202500006457|34.10.14.243.3013.2157.33903900"/>
    <n v="0.62"/>
  </r>
  <r>
    <s v="01"/>
    <s v="Secretaria Municipal de Direitos Humanos e Cidadania"/>
    <s v="34"/>
    <s v="10"/>
    <n v="14"/>
    <n v="422"/>
    <n v="3018"/>
    <n v="2142"/>
    <s v="33319000"/>
    <s v="34.10.14.243.3013.2157.33903900"/>
    <s v="41"/>
    <s v="Nota de Empenho de Serviços com fornecimento de materiais / peças"/>
    <n v="6"/>
    <s v="Dispensa de Licitação"/>
    <n v="2025"/>
    <n v="4392"/>
    <m/>
    <s v="6074202500003180"/>
    <x v="0"/>
    <x v="149"/>
    <m/>
    <m/>
    <m/>
    <n v="12"/>
    <x v="0"/>
    <n v="4217.95"/>
    <n v="0"/>
    <n v="0"/>
    <n v="0"/>
    <n v="4217.95"/>
    <n v="351.49583333333328"/>
    <n v="4217.95"/>
    <n v="4217.95"/>
    <n v="351.49583333333328"/>
    <n v="4217.95"/>
    <n v="4217.95"/>
    <n v="0"/>
    <n v="4217.95"/>
    <n v="0"/>
    <n v="0"/>
    <s v="07-07-2025"/>
    <s v="6074202500003180|34.10.14.243.3013.2157.33903900"/>
    <n v="1"/>
  </r>
  <r>
    <s v="01"/>
    <s v="Secretaria Municipal de Direitos Humanos e Cidadania"/>
    <s v="34"/>
    <s v="10"/>
    <n v="8"/>
    <n v="605"/>
    <n v="3016"/>
    <n v="4470"/>
    <s v="33379000"/>
    <s v="34.10.14.243.3013.2157.33903900"/>
    <s v="2"/>
    <s v="Termo de Contrato - Serviços"/>
    <n v="12"/>
    <s v="Pregão"/>
    <n v="2024"/>
    <n v="594"/>
    <s v="02/SMDET/2023"/>
    <s v="6064202300002771"/>
    <x v="1"/>
    <x v="150"/>
    <s v="05/01/2024 00:00:00"/>
    <s v="15/01/2024 00:00:00"/>
    <s v="01/03/2026 00:00:00"/>
    <n v="26"/>
    <x v="1"/>
    <n v="51997.88"/>
    <n v="182992.92"/>
    <n v="3180772.8"/>
    <n v="0"/>
    <n v="3415763.6"/>
    <n v="131375.5230769231"/>
    <n v="1576506.2769230769"/>
    <n v="2254403.9759999998"/>
    <n v="86707.845230769235"/>
    <n v="1040494.142769231"/>
    <n v="5296596.0999999996"/>
    <n v="1981662.4"/>
    <n v="3314933.7"/>
    <n v="2178372.92"/>
    <n v="2178372.92"/>
    <s v="07-07-2025"/>
    <s v="6064202300002771|34.10.14.243.3013.2157.33903900"/>
    <n v="0.66"/>
  </r>
  <r>
    <s v="01"/>
    <s v="Secretaria Municipal de Direitos Humanos e Cidadania"/>
    <s v="34"/>
    <s v="10"/>
    <n v="14"/>
    <n v="422"/>
    <n v="3018"/>
    <n v="4334"/>
    <s v="33399000"/>
    <s v="34.10.14.243.3013.2157.33903900"/>
    <s v="2"/>
    <s v="Termo de Contrato - Serviços"/>
    <n v="6"/>
    <s v="Dispensa de Licitação"/>
    <n v="2022"/>
    <n v="22484"/>
    <s v="206/SMDHC/2022"/>
    <s v="6074202200034170"/>
    <x v="1"/>
    <x v="151"/>
    <s v="25/08/2022 00:00:00"/>
    <s v="27/08/2022 00:00:00"/>
    <s v="24/08/2025 00:00:00"/>
    <n v="36"/>
    <x v="1"/>
    <n v="3594"/>
    <n v="0"/>
    <n v="7188"/>
    <n v="0"/>
    <n v="10782"/>
    <n v="299.5"/>
    <n v="3594"/>
    <n v="10782"/>
    <n v="299.5"/>
    <n v="3594"/>
    <n v="12439.48"/>
    <n v="3365.35"/>
    <n v="9074.1299999999992"/>
    <n v="8225.5499999999993"/>
    <n v="8225.5499999999993"/>
    <s v="07-07-2025"/>
    <s v="6074202200034170|34.10.14.243.3013.2157.33903900"/>
    <n v="1"/>
  </r>
  <r>
    <s v="01"/>
    <s v="Secretaria Municipal de Direitos Humanos e Cidadania"/>
    <s v="34"/>
    <s v="10"/>
    <n v="14"/>
    <n v="422"/>
    <n v="3013"/>
    <n v="6178"/>
    <s v="33399000"/>
    <s v="34.10.14.243.3013.2157.33903900"/>
    <s v="2"/>
    <s v="Termo de Contrato - Serviços"/>
    <n v="12"/>
    <s v="Pregão"/>
    <n v="2025"/>
    <n v="4847"/>
    <s v="018/SMDHC/2025"/>
    <s v="6074202500012856"/>
    <x v="0"/>
    <x v="152"/>
    <s v="20/02/2025 00:00:00"/>
    <s v="24/02/2025 00:00:00"/>
    <s v="22/03/2025 00:00:00"/>
    <n v="1"/>
    <x v="2"/>
    <n v="65613.440000000002"/>
    <n v="0"/>
    <n v="0"/>
    <n v="0"/>
    <n v="65613.440000000002"/>
    <n v="5467.7866666666669"/>
    <n v="65613.440000000002"/>
    <n v="65613.440000000002"/>
    <n v="5467.7866666666669"/>
    <n v="65613.440000000002"/>
    <n v="65613.440000000002"/>
    <n v="0"/>
    <n v="65613.440000000002"/>
    <n v="65613.440000000002"/>
    <n v="65613.440000000002"/>
    <s v="07-07-2025"/>
    <s v="6074202500012856|34.10.14.243.3013.2157.33903900"/>
    <n v="1"/>
  </r>
  <r>
    <s v="01"/>
    <s v="Secretaria Municipal de Direitos Humanos e Cidadania"/>
    <s v="34"/>
    <s v="10"/>
    <n v="14"/>
    <n v="422"/>
    <n v="3013"/>
    <n v="6178"/>
    <s v="33399000"/>
    <s v="34.10.14.243.3013.2157.33903900"/>
    <s v="2"/>
    <s v="Termo de Contrato - Serviços"/>
    <n v="12"/>
    <s v="Pregão"/>
    <n v="2022"/>
    <n v="24727"/>
    <s v="208/SMDHC/2022"/>
    <s v="6074202100055809"/>
    <x v="1"/>
    <x v="153"/>
    <s v="13/09/2022 00:00:00"/>
    <s v="15/09/2022 00:00:00"/>
    <s v="12/09/2025 00:00:00"/>
    <n v="36"/>
    <x v="1"/>
    <n v="222806.16"/>
    <n v="22773.119999999999"/>
    <n v="445612.32"/>
    <n v="0"/>
    <n v="691191.6"/>
    <n v="19199.76666666667"/>
    <n v="230397.2"/>
    <n v="677367.76799999992"/>
    <n v="18815.77133333333"/>
    <n v="225789.25599999999"/>
    <n v="693060.42"/>
    <n v="25817.25"/>
    <n v="667243.17000000004"/>
    <n v="582687.68999999994"/>
    <n v="582687.68999999994"/>
    <s v="07-07-2025"/>
    <s v="6074202100055809|34.10.14.243.3013.2157.33903900"/>
    <n v="0.98"/>
  </r>
  <r>
    <s v="01"/>
    <s v="Secretaria Municipal de Direitos Humanos e Cidadania"/>
    <s v="34"/>
    <s v="10"/>
    <n v="14"/>
    <n v="422"/>
    <n v="3013"/>
    <n v="2053"/>
    <s v="33399000"/>
    <s v="34.10.14.243.3013.2157.33903900"/>
    <s v="2"/>
    <s v="Termo de Contrato - Serviços"/>
    <n v="12"/>
    <s v="Pregão"/>
    <n v="2024"/>
    <n v="25656"/>
    <s v="248/SMDHC/2024"/>
    <s v="6074202400050110"/>
    <x v="0"/>
    <x v="154"/>
    <s v="07/08/2024 00:00:00"/>
    <s v="16/08/2024 00:00:00"/>
    <s v="05/08/2025 00:00:00"/>
    <n v="12"/>
    <x v="1"/>
    <n v="306000"/>
    <n v="0"/>
    <n v="0"/>
    <n v="0"/>
    <n v="306000"/>
    <n v="25500"/>
    <n v="306000"/>
    <n v="306000"/>
    <n v="25500"/>
    <n v="306000"/>
    <n v="145250"/>
    <n v="118195"/>
    <n v="27055"/>
    <n v="12339.7"/>
    <n v="12339.7"/>
    <s v="07-07-2025"/>
    <s v="6074202400050110|34.10.14.243.3013.2157.33903900"/>
    <n v="1"/>
  </r>
  <r>
    <s v="01"/>
    <s v="Secretaria Municipal de Direitos Humanos e Cidadania"/>
    <s v="34"/>
    <s v="10"/>
    <n v="14"/>
    <n v="422"/>
    <n v="3013"/>
    <n v="6178"/>
    <s v="33399000"/>
    <s v="34.10.14.243.3013.2157.33903900"/>
    <s v="64"/>
    <s v="Nota de Empenho-Fornecitº Serviços de Concessionárias de Abast.Público"/>
    <n v="6"/>
    <s v="Dispensa de Licitação"/>
    <n v="2025"/>
    <n v="4763"/>
    <m/>
    <s v="6074202500010241"/>
    <x v="1"/>
    <x v="155"/>
    <m/>
    <m/>
    <s v="31/12/2025 00:00:00"/>
    <n v="12"/>
    <x v="0"/>
    <n v="200000"/>
    <n v="0"/>
    <n v="0"/>
    <n v="0"/>
    <n v="200000"/>
    <n v="16666.666666666672"/>
    <n v="200000"/>
    <n v="200000"/>
    <n v="16666.666666666672"/>
    <n v="200000"/>
    <n v="200000"/>
    <n v="0"/>
    <n v="200000"/>
    <n v="53704.36"/>
    <n v="53031.6"/>
    <s v="07-07-2025"/>
    <s v="6074202500010241|34.10.14.243.3013.2157.33903900"/>
    <n v="1"/>
  </r>
  <r>
    <s v="01"/>
    <s v="Secretaria Municipal de Direitos Humanos e Cidadania"/>
    <s v="34"/>
    <s v="10"/>
    <n v="14"/>
    <n v="422"/>
    <n v="3013"/>
    <n v="2053"/>
    <s v="33399000"/>
    <s v="34.10.14.243.3013.2157.33903900"/>
    <s v="64"/>
    <s v="Nota de Empenho-Fornecitº Serviços de Concessionárias de Abast.Público"/>
    <n v="7"/>
    <s v="Inexigibilidade"/>
    <n v="2025"/>
    <n v="4777"/>
    <m/>
    <s v="6074202500009731"/>
    <x v="1"/>
    <x v="156"/>
    <m/>
    <m/>
    <s v="01/01/2026 00:00:00"/>
    <n v="12"/>
    <x v="0"/>
    <n v="300000"/>
    <n v="0"/>
    <n v="0"/>
    <n v="0"/>
    <n v="300000"/>
    <n v="25000"/>
    <n v="300000"/>
    <n v="0"/>
    <n v="0"/>
    <n v="0"/>
    <n v="600000"/>
    <n v="300000"/>
    <n v="300000"/>
    <n v="80248.740000000005"/>
    <n v="63914.57"/>
    <s v="07-07-2025"/>
    <s v="6074202500009731|34.10.14.243.3013.2157.33903900"/>
    <n v="0"/>
  </r>
  <r>
    <s v="01"/>
    <s v="Secretaria Municipal de Direitos Humanos e Cidadania"/>
    <s v="34"/>
    <s v="10"/>
    <n v="14"/>
    <n v="422"/>
    <n v="3013"/>
    <n v="4322"/>
    <s v="33399000"/>
    <s v="34.10.14.243.3013.2157.33903900"/>
    <s v="41"/>
    <s v="Nota de Empenho de Serviços com fornecimento de materiais / peças"/>
    <n v="12"/>
    <s v="Pregão"/>
    <n v="2025"/>
    <n v="4772"/>
    <m/>
    <s v="6074202500011051"/>
    <x v="0"/>
    <x v="157"/>
    <m/>
    <m/>
    <s v="26/02/2025 00:00:00"/>
    <n v="12"/>
    <x v="0"/>
    <n v="628"/>
    <n v="0"/>
    <n v="0"/>
    <n v="0"/>
    <n v="628"/>
    <n v="52.333333333333343"/>
    <n v="628"/>
    <n v="628"/>
    <n v="52.333333333333343"/>
    <n v="628"/>
    <n v="628"/>
    <n v="0"/>
    <n v="628"/>
    <n v="628"/>
    <n v="628"/>
    <s v="07-07-2025"/>
    <s v="6074202500011051|34.10.14.243.3013.2157.33903900"/>
    <n v="1"/>
  </r>
  <r>
    <s v="01"/>
    <s v="Secretaria Municipal de Direitos Humanos e Cidadania"/>
    <s v="34"/>
    <s v="10"/>
    <n v="14"/>
    <n v="422"/>
    <n v="3013"/>
    <n v="6178"/>
    <s v="33399000"/>
    <s v="34.10.14.243.3013.2157.33903900"/>
    <s v="2"/>
    <s v="Termo de Contrato - Serviços"/>
    <n v="12"/>
    <s v="Pregão"/>
    <n v="2023"/>
    <n v="21153"/>
    <s v="171/SMDHC/2023"/>
    <s v="6074202300034112"/>
    <x v="0"/>
    <x v="158"/>
    <s v="28/07/2023 00:00:00"/>
    <s v="04/08/2023 00:00:00"/>
    <s v="01/02/2025 00:00:00"/>
    <n v="18"/>
    <x v="2"/>
    <n v="118800"/>
    <n v="1764.2"/>
    <n v="59400"/>
    <n v="0"/>
    <n v="179964.2"/>
    <n v="9998.0111111111109"/>
    <n v="119976.1333333333"/>
    <n v="179964.2"/>
    <n v="9998.0111111111109"/>
    <n v="119976.1333333333"/>
    <n v="258834.18"/>
    <n v="86790"/>
    <n v="172044.18"/>
    <n v="170345.18"/>
    <n v="170345.18"/>
    <s v="07-07-2025"/>
    <s v="6074202300034112|34.10.14.243.3013.2157.33903900"/>
    <n v="1"/>
  </r>
  <r>
    <s v="01"/>
    <s v="Secretaria Municipal de Direitos Humanos e Cidadania"/>
    <s v="34"/>
    <s v="10"/>
    <n v="14"/>
    <n v="422"/>
    <n v="3013"/>
    <n v="2431"/>
    <s v="33399000"/>
    <s v="34.10.14.243.3013.2157.33903900"/>
    <s v="41"/>
    <s v="Nota de Empenho de Serviços com fornecimento de materiais / peças"/>
    <n v="12"/>
    <s v="Pregão"/>
    <n v="2025"/>
    <n v="4800"/>
    <m/>
    <s v="6074202500012732"/>
    <x v="0"/>
    <x v="159"/>
    <m/>
    <m/>
    <s v="13/03/2025 00:00:00"/>
    <n v="12"/>
    <x v="0"/>
    <n v="2009.6"/>
    <n v="0"/>
    <n v="0"/>
    <n v="0"/>
    <n v="2009.6"/>
    <n v="167.4666666666667"/>
    <n v="2009.6"/>
    <n v="2009.6"/>
    <n v="167.4666666666667"/>
    <n v="2009.6"/>
    <n v="2009.6"/>
    <n v="0"/>
    <n v="2009.6"/>
    <n v="2009.6"/>
    <n v="2009.6"/>
    <s v="07-07-2025"/>
    <s v="6074202500012732|34.10.14.243.3013.2157.33903900"/>
    <n v="1"/>
  </r>
  <r>
    <s v="01"/>
    <s v="Secretaria Municipal de Direitos Humanos e Cidadania"/>
    <s v="34"/>
    <s v="10"/>
    <n v="14"/>
    <n v="422"/>
    <n v="3013"/>
    <n v="6178"/>
    <s v="33399000"/>
    <s v="34.10.14.422.3007.4330.33903900"/>
    <s v="2"/>
    <s v="Termo de Contrato - Serviços"/>
    <n v="12"/>
    <s v="Pregão"/>
    <n v="2024"/>
    <n v="42114"/>
    <m/>
    <s v="6074202400087021"/>
    <x v="1"/>
    <x v="160"/>
    <m/>
    <m/>
    <m/>
    <n v="12"/>
    <x v="0"/>
    <n v="343000"/>
    <n v="0"/>
    <n v="0"/>
    <n v="0"/>
    <n v="343000"/>
    <n v="28583.333333333328"/>
    <n v="343000"/>
    <n v="343000"/>
    <n v="28583.333333333328"/>
    <n v="343000"/>
    <n v="337283.29"/>
    <n v="7622.22"/>
    <n v="329661.07"/>
    <n v="0"/>
    <n v="0"/>
    <s v="07-07-2025"/>
    <s v="6074202400087021|34.10.14.422.3007.4330.33903900"/>
    <n v="1"/>
  </r>
  <r>
    <s v="01"/>
    <s v="Secretaria Municipal de Direitos Humanos e Cidadania"/>
    <s v="34"/>
    <s v="10"/>
    <n v="14"/>
    <n v="122"/>
    <n v="3024"/>
    <n v="2100"/>
    <s v="33399000"/>
    <s v="34.10.14.422.3007.4330.33903900"/>
    <s v="2"/>
    <s v="Termo de Contrato - Serviços"/>
    <n v="6"/>
    <s v="Dispensa de Licitação"/>
    <n v="2025"/>
    <n v="4963"/>
    <s v="020/SMDHC/2025"/>
    <s v="6074202500007283"/>
    <x v="0"/>
    <x v="161"/>
    <s v="24/02/2025 00:00:00"/>
    <s v="26/02/2025 00:00:00"/>
    <s v="29/03/2025 00:00:00"/>
    <n v="1"/>
    <x v="2"/>
    <n v="22700"/>
    <n v="0"/>
    <n v="0"/>
    <n v="0"/>
    <n v="22700"/>
    <n v="1891.666666666667"/>
    <n v="22700"/>
    <n v="22700"/>
    <n v="1891.666666666667"/>
    <n v="22700"/>
    <n v="22700"/>
    <n v="0"/>
    <n v="22700"/>
    <n v="22700"/>
    <n v="22700"/>
    <s v="07-07-2025"/>
    <s v="6074202500007283|34.10.14.422.3007.4330.33903900"/>
    <n v="1"/>
  </r>
  <r>
    <s v="01"/>
    <s v="Secretaria Municipal de Direitos Humanos e Cidadania"/>
    <s v="34"/>
    <s v="10"/>
    <n v="14"/>
    <n v="422"/>
    <n v="3007"/>
    <n v="4330"/>
    <s v="33379000"/>
    <s v="34.10.14.422.3007.4330.33903900"/>
    <s v="2"/>
    <s v="Termo de Contrato - Serviços"/>
    <n v="12"/>
    <s v="Pregão"/>
    <n v="2021"/>
    <n v="19273"/>
    <s v="232/SMDHC/2021"/>
    <s v="6074202100026485"/>
    <x v="1"/>
    <x v="162"/>
    <s v="06/10/2021 00:00:00"/>
    <s v="08/10/2021 00:00:00"/>
    <s v="05/10/2025 00:00:00"/>
    <n v="48"/>
    <x v="1"/>
    <n v="1109970"/>
    <n v="301997.68"/>
    <n v="3043704.96"/>
    <n v="0"/>
    <n v="4455672.6399999997"/>
    <n v="92826.513333333321"/>
    <n v="1113918.1599999999"/>
    <n v="1470371.9712"/>
    <n v="30632.749400000001"/>
    <n v="367592.99280000001"/>
    <n v="3956253.09"/>
    <n v="254199.18"/>
    <n v="3702053.91"/>
    <n v="3599942.55"/>
    <n v="3599942.55"/>
    <s v="07-07-2025"/>
    <s v="6074202100026485|34.10.14.422.3007.4330.33903900"/>
    <n v="0.33"/>
  </r>
  <r>
    <s v="01"/>
    <s v="Secretaria Municipal de Direitos Humanos e Cidadania"/>
    <s v="34"/>
    <s v="10"/>
    <n v="14"/>
    <n v="422"/>
    <n v="3018"/>
    <n v="4334"/>
    <s v="33399000"/>
    <s v="34.10.14.422.3007.4330.33903900"/>
    <s v="51"/>
    <s v="Termo de Contrato - Seguradora"/>
    <n v="12"/>
    <s v="Pregão"/>
    <n v="2022"/>
    <n v="32740"/>
    <s v="266/SMDHC/2022"/>
    <s v="6074202200032037"/>
    <x v="1"/>
    <x v="163"/>
    <s v="25/11/2022 00:00:00"/>
    <s v="28/12/2022 00:00:00"/>
    <s v="24/11/2025 00:00:00"/>
    <n v="36"/>
    <x v="1"/>
    <n v="15290"/>
    <n v="0"/>
    <n v="30580"/>
    <n v="0"/>
    <n v="45870"/>
    <n v="1274.166666666667"/>
    <n v="15290"/>
    <n v="45870"/>
    <n v="1274.166666666667"/>
    <n v="15290"/>
    <n v="78670"/>
    <n v="53800"/>
    <n v="24870"/>
    <n v="13070"/>
    <n v="13070"/>
    <s v="07-07-2025"/>
    <s v="6074202200032037|34.10.14.422.3007.4330.33903900"/>
    <n v="1"/>
  </r>
  <r>
    <s v="01"/>
    <s v="Secretaria Municipal de Direitos Humanos e Cidadania"/>
    <s v="34"/>
    <s v="10"/>
    <n v="8"/>
    <n v="605"/>
    <n v="3016"/>
    <n v="4470"/>
    <s v="33399000"/>
    <s v="34.10.14.422.3007.4330.33903900"/>
    <s v="2"/>
    <s v="Termo de Contrato - Serviços"/>
    <n v="6"/>
    <s v="Dispensa de Licitação"/>
    <n v="2022"/>
    <n v="5253"/>
    <s v="032/SMDHC/2022"/>
    <s v="6074202100065367"/>
    <x v="1"/>
    <x v="164"/>
    <s v="16/03/2022 00:00:00"/>
    <s v="01/07/2022 00:00:00"/>
    <s v="26/07/2025 00:00:00"/>
    <n v="40"/>
    <x v="1"/>
    <n v="120020.4"/>
    <n v="0"/>
    <n v="240040.8"/>
    <n v="0"/>
    <n v="360061.2"/>
    <n v="9001.5299999999988"/>
    <n v="108018.36"/>
    <n v="360061.2"/>
    <n v="9001.5299999999988"/>
    <n v="108018.36"/>
    <n v="214891.36"/>
    <n v="172147.67"/>
    <n v="42743.69"/>
    <n v="28509.25"/>
    <n v="28346.67"/>
    <s v="07-07-2025"/>
    <s v="6074202100065367|34.10.14.422.3007.4330.33903900"/>
    <n v="1"/>
  </r>
  <r>
    <s v="01"/>
    <s v="Secretaria Municipal de Direitos Humanos e Cidadania"/>
    <s v="34"/>
    <s v="10"/>
    <n v="14"/>
    <n v="122"/>
    <n v="3024"/>
    <n v="2100"/>
    <s v="33399000"/>
    <s v="34.10.14.422.3007.4330.33903900"/>
    <s v="41"/>
    <s v="Nota de Empenho de Serviços com fornecimento de materiais / peças"/>
    <n v="12"/>
    <s v="Pregão"/>
    <n v="2025"/>
    <n v="5322"/>
    <m/>
    <s v="6074202500013470"/>
    <x v="0"/>
    <x v="165"/>
    <m/>
    <m/>
    <s v="26/02/2025 00:00:00"/>
    <n v="12"/>
    <x v="0"/>
    <n v="6280"/>
    <n v="0"/>
    <n v="0"/>
    <n v="0"/>
    <n v="6280"/>
    <n v="523.33333333333337"/>
    <n v="6280"/>
    <n v="6280"/>
    <n v="523.33333333333337"/>
    <n v="6280"/>
    <n v="6280"/>
    <n v="0"/>
    <n v="6280"/>
    <n v="6280"/>
    <n v="6280"/>
    <s v="07-07-2025"/>
    <s v="6074202500013470|34.10.14.422.3007.4330.33903900"/>
    <n v="1"/>
  </r>
  <r>
    <s v="01"/>
    <s v="Secretaria Municipal de Direitos Humanos e Cidadania"/>
    <s v="34"/>
    <s v="10"/>
    <n v="14"/>
    <n v="122"/>
    <n v="3024"/>
    <n v="2100"/>
    <s v="33309000"/>
    <s v="34.10.14.422.3007.4330.33903900"/>
    <s v="5"/>
    <s v="Nota de Empenho Fornecimento de Bens de Consumo e/ou Permanente"/>
    <n v="6"/>
    <s v="Dispensa de Licitação"/>
    <n v="2025"/>
    <n v="5035"/>
    <m/>
    <s v="6074202500003466"/>
    <x v="0"/>
    <x v="166"/>
    <m/>
    <m/>
    <s v="20/03/2025 00:00:00"/>
    <n v="12"/>
    <x v="0"/>
    <n v="17499"/>
    <n v="0"/>
    <n v="0"/>
    <n v="0"/>
    <n v="17499"/>
    <n v="1458.25"/>
    <n v="17499"/>
    <n v="17499"/>
    <n v="1458.25"/>
    <n v="17499"/>
    <n v="17499"/>
    <n v="0"/>
    <n v="17499"/>
    <n v="17499"/>
    <n v="17499"/>
    <s v="07-07-2025"/>
    <s v="6074202500003466|34.10.14.422.3007.4330.33903900"/>
    <n v="1"/>
  </r>
  <r>
    <s v="01"/>
    <s v="Secretaria Municipal de Direitos Humanos e Cidadania"/>
    <s v="34"/>
    <s v="10"/>
    <n v="8"/>
    <n v="605"/>
    <n v="3016"/>
    <n v="4470"/>
    <s v="33399000"/>
    <s v="34.10.14.422.3007.4330.33903900"/>
    <s v="2"/>
    <s v="Termo de Contrato - Serviços"/>
    <n v="12"/>
    <s v="Pregão"/>
    <n v="2024"/>
    <n v="37929"/>
    <s v="429/SMDHC/2024"/>
    <s v="6074202400067390"/>
    <x v="1"/>
    <x v="167"/>
    <s v="29/11/2024 00:00:00"/>
    <s v="05/12/2024 00:00:00"/>
    <s v="21/01/2026 00:00:00"/>
    <n v="13"/>
    <x v="1"/>
    <n v="13899.96"/>
    <n v="0"/>
    <n v="0"/>
    <n v="0"/>
    <n v="13899.96"/>
    <n v="1069.227692307692"/>
    <n v="12830.732307692309"/>
    <n v="13899.96"/>
    <n v="1069.227692307692"/>
    <n v="12830.732307692309"/>
    <n v="27799.919999999998"/>
    <n v="13899.96"/>
    <n v="13899.96"/>
    <n v="5791.65"/>
    <n v="5791.65"/>
    <s v="07-07-2025"/>
    <s v="6074202400067390|34.10.14.422.3007.4330.33903900"/>
    <n v="1"/>
  </r>
  <r>
    <s v="01"/>
    <s v="Secretaria Municipal de Direitos Humanos e Cidadania"/>
    <s v="34"/>
    <s v="10"/>
    <n v="14"/>
    <n v="422"/>
    <n v="3013"/>
    <n v="2053"/>
    <s v="33399000"/>
    <s v="34.10.14.422.3007.4330.33903900"/>
    <s v="64"/>
    <s v="Nota de Empenho-Fornecitº Serviços de Concessionárias de Abast.Público"/>
    <n v="7"/>
    <s v="Inexigibilidade"/>
    <n v="2025"/>
    <n v="5475"/>
    <m/>
    <s v="6074202500014387"/>
    <x v="1"/>
    <x v="168"/>
    <m/>
    <m/>
    <s v="01/01/2026 00:00:00"/>
    <n v="12"/>
    <x v="0"/>
    <n v="180000"/>
    <n v="0"/>
    <n v="0"/>
    <n v="0"/>
    <n v="180000"/>
    <n v="15000"/>
    <n v="180000"/>
    <n v="180000"/>
    <n v="15000"/>
    <n v="180000"/>
    <n v="180000"/>
    <n v="0"/>
    <n v="180000"/>
    <n v="75758.73"/>
    <n v="62908.5"/>
    <s v="07-07-2025"/>
    <s v="6074202500014387|34.10.14.422.3007.4330.33903900"/>
    <n v="1"/>
  </r>
  <r>
    <s v="01"/>
    <s v="Secretaria Municipal de Direitos Humanos e Cidadania"/>
    <s v="34"/>
    <s v="10"/>
    <n v="14"/>
    <n v="243"/>
    <n v="3013"/>
    <n v="2157"/>
    <s v="33399000"/>
    <s v="34.10.14.243.3013.2157.33904600"/>
    <s v="2"/>
    <s v="Termo de Contrato - Serviços"/>
    <n v="12"/>
    <s v="Pregão"/>
    <n v="2020"/>
    <n v="21258"/>
    <s v="070/SMDHC/2020"/>
    <s v="6074202000035890"/>
    <x v="1"/>
    <x v="169"/>
    <s v="29/10/2020 00:00:00"/>
    <s v="03/12/2020 00:00:00"/>
    <s v="28/10/2025 00:00:00"/>
    <n v="60"/>
    <x v="1"/>
    <n v="228600"/>
    <n v="159114.84"/>
    <n v="901113.6"/>
    <n v="0"/>
    <n v="1288828.44"/>
    <n v="21480.473999999998"/>
    <n v="257765.68799999999"/>
    <n v="1288828.44"/>
    <n v="21480.473999999998"/>
    <n v="257765.68799999999"/>
    <n v="1302410.01"/>
    <n v="41031.230000000003"/>
    <n v="1261378.78"/>
    <n v="1147100.8600000001"/>
    <n v="1147100.8600000001"/>
    <s v="07-07-2025"/>
    <s v="6074202000035890|34.10.14.243.3013.2157.33904600"/>
    <n v="1"/>
  </r>
  <r>
    <s v="01"/>
    <s v="Secretaria Municipal de Direitos Humanos e Cidadania"/>
    <s v="34"/>
    <s v="10"/>
    <n v="14"/>
    <n v="422"/>
    <n v="3013"/>
    <n v="6178"/>
    <s v="33399000"/>
    <s v="34.10.14.243.3013.2157.33904600"/>
    <s v="2"/>
    <s v="Termo de Contrato - Serviços"/>
    <n v="12"/>
    <s v="Pregão"/>
    <n v="2025"/>
    <n v="6135"/>
    <s v="023/SMDHC/2025"/>
    <s v="6074202500011639"/>
    <x v="0"/>
    <x v="170"/>
    <s v="11/03/2025 00:00:00"/>
    <s v="17/03/2025 00:00:00"/>
    <s v="11/04/2025 00:00:00"/>
    <n v="1"/>
    <x v="2"/>
    <n v="16490"/>
    <n v="0"/>
    <n v="0"/>
    <n v="0"/>
    <n v="16490"/>
    <n v="1374.166666666667"/>
    <n v="16490"/>
    <n v="16490"/>
    <n v="1374.166666666667"/>
    <n v="16490"/>
    <n v="16490"/>
    <n v="0"/>
    <n v="16490"/>
    <n v="16490"/>
    <n v="16490"/>
    <s v="07-07-2025"/>
    <s v="6074202500011639|34.10.14.243.3013.2157.33904600"/>
    <n v="1"/>
  </r>
  <r>
    <s v="01"/>
    <s v="Secretaria Municipal de Direitos Humanos e Cidadania"/>
    <s v="34"/>
    <s v="10"/>
    <n v="14"/>
    <n v="243"/>
    <n v="3013"/>
    <n v="2157"/>
    <s v="33399000"/>
    <s v="34.10.14.243.3013.2157.33904600"/>
    <s v="2"/>
    <s v="Termo de Contrato - Serviços"/>
    <n v="12"/>
    <s v="Pregão"/>
    <n v="2024"/>
    <n v="27770"/>
    <s v="259/SMDHC/2024"/>
    <s v="6074202400039434"/>
    <x v="1"/>
    <x v="171"/>
    <s v="26/08/2024 00:00:00"/>
    <s v="29/08/2024 00:00:00"/>
    <s v="26/08/2025 00:00:00"/>
    <n v="12"/>
    <x v="1"/>
    <n v="39996"/>
    <n v="0"/>
    <n v="0"/>
    <n v="0"/>
    <n v="39996"/>
    <n v="3333"/>
    <n v="39996"/>
    <n v="39996"/>
    <n v="3333"/>
    <n v="39996"/>
    <n v="66104.5"/>
    <n v="37617"/>
    <n v="28487.5"/>
    <n v="5233"/>
    <n v="5233"/>
    <s v="07-07-2025"/>
    <s v="6074202400039434|34.10.14.243.3013.2157.33904600"/>
    <n v="1"/>
  </r>
  <r>
    <s v="01"/>
    <s v="Secretaria Municipal de Direitos Humanos e Cidadania"/>
    <s v="34"/>
    <s v="10"/>
    <n v="14"/>
    <n v="122"/>
    <n v="3024"/>
    <n v="2100"/>
    <s v="44529000"/>
    <s v="34.10.14.243.3013.2157.33904600"/>
    <s v="29"/>
    <s v="Termo de Contrato para Aquisição de Bens de Consumo e/ou Permanente"/>
    <n v="12"/>
    <s v="Pregão"/>
    <n v="2025"/>
    <n v="6678"/>
    <s v="026/SMDHC/2025"/>
    <s v="6074202400084430"/>
    <x v="0"/>
    <x v="172"/>
    <s v="12/03/2025 00:00:00"/>
    <s v="13/03/2025 00:00:00"/>
    <s v="07/04/2025 00:00:00"/>
    <n v="0"/>
    <x v="2"/>
    <n v="62000"/>
    <n v="0"/>
    <n v="0"/>
    <n v="0"/>
    <n v="62000"/>
    <n v="5166.666666666667"/>
    <n v="62000"/>
    <n v="62000"/>
    <n v="5166.666666666667"/>
    <n v="62000"/>
    <n v="62000"/>
    <n v="0"/>
    <n v="62000"/>
    <n v="62000"/>
    <n v="62000"/>
    <s v="07-07-2025"/>
    <s v="6074202400084430|34.10.14.243.3013.2157.33904600"/>
    <n v="1"/>
  </r>
  <r>
    <s v="01"/>
    <s v="Secretaria Municipal de Direitos Humanos e Cidadania"/>
    <s v="34"/>
    <s v="10"/>
    <n v="14"/>
    <n v="243"/>
    <n v="3013"/>
    <n v="2157"/>
    <s v="33399000"/>
    <s v="34.10.14.243.3013.2157.33904600"/>
    <s v="2"/>
    <s v="Termo de Contrato - Serviços"/>
    <n v="12"/>
    <s v="Pregão"/>
    <n v="2020"/>
    <n v="21214"/>
    <s v="059/SMDHC/2020"/>
    <s v="6074202000039615"/>
    <x v="1"/>
    <x v="173"/>
    <s v="03/11/2020 00:00:00"/>
    <s v="11/11/2020 00:00:00"/>
    <s v="02/11/2025 00:00:00"/>
    <n v="60"/>
    <x v="1"/>
    <n v="80000"/>
    <n v="57846.61"/>
    <n v="309528.96000000002"/>
    <n v="0"/>
    <n v="447375.57"/>
    <n v="7456.2595000000001"/>
    <n v="89475.114000000001"/>
    <n v="447375.57"/>
    <n v="7456.2595000000001"/>
    <n v="89475.114000000001"/>
    <n v="532243.31999999995"/>
    <n v="131625.31"/>
    <n v="400618.01"/>
    <n v="367768.77"/>
    <n v="359691.09"/>
    <s v="07-07-2025"/>
    <s v="6074202000039615|34.10.14.243.3013.2157.33904600"/>
    <n v="1"/>
  </r>
  <r>
    <s v="01"/>
    <s v="Secretaria Municipal de Direitos Humanos e Cidadania"/>
    <s v="34"/>
    <s v="10"/>
    <n v="14"/>
    <n v="122"/>
    <n v="3024"/>
    <n v="2100"/>
    <s v="33399000"/>
    <s v="34.10.14.243.3013.2157.33904600"/>
    <s v="2"/>
    <s v="Termo de Contrato - Serviços"/>
    <n v="7"/>
    <s v="Inexigibilidade"/>
    <n v="2025"/>
    <n v="6788"/>
    <s v="024/SMDHC/2025"/>
    <s v="6074202500012872"/>
    <x v="1"/>
    <x v="174"/>
    <s v="07/03/2025 00:00:00"/>
    <s v="10/03/2025 00:00:00"/>
    <s v="12/03/2026 00:00:00"/>
    <n v="12"/>
    <x v="1"/>
    <n v="12300"/>
    <n v="0"/>
    <n v="0"/>
    <n v="0"/>
    <n v="12300"/>
    <n v="1025"/>
    <n v="12300"/>
    <n v="12300"/>
    <n v="1025"/>
    <n v="12300"/>
    <n v="12300"/>
    <n v="0"/>
    <n v="12300"/>
    <n v="12300"/>
    <n v="12300"/>
    <s v="07-07-2025"/>
    <s v="6074202500012872|34.10.14.243.3013.2157.33904600"/>
    <n v="1"/>
  </r>
  <r>
    <s v="01"/>
    <s v="Secretaria Municipal de Direitos Humanos e Cidadania"/>
    <s v="34"/>
    <s v="10"/>
    <n v="14"/>
    <n v="422"/>
    <n v="3013"/>
    <n v="6178"/>
    <s v="33399000"/>
    <s v="34.10.14.243.3013.2157.33904600"/>
    <s v="64"/>
    <s v="Nota de Empenho-Fornecitº Serviços de Concessionárias de Abast.Público"/>
    <n v="6"/>
    <s v="Dispensa de Licitação"/>
    <n v="2025"/>
    <n v="6881"/>
    <m/>
    <s v="6074202500014476"/>
    <x v="1"/>
    <x v="175"/>
    <m/>
    <m/>
    <s v="01/01/2026 00:00:00"/>
    <n v="12"/>
    <x v="0"/>
    <n v="54000"/>
    <n v="0"/>
    <n v="0"/>
    <n v="0"/>
    <n v="54000"/>
    <n v="4500"/>
    <n v="54000"/>
    <n v="54000"/>
    <n v="4500"/>
    <n v="54000"/>
    <n v="54000"/>
    <n v="0"/>
    <n v="54000"/>
    <n v="15648.2"/>
    <n v="12857.93"/>
    <s v="07-07-2025"/>
    <s v="6074202500014476|34.10.14.243.3013.2157.33904600"/>
    <n v="1"/>
  </r>
  <r>
    <s v="01"/>
    <s v="Secretaria Municipal de Direitos Humanos e Cidadania"/>
    <s v="34"/>
    <s v="10"/>
    <n v="14"/>
    <n v="422"/>
    <n v="3018"/>
    <n v="4326"/>
    <s v="33395000"/>
    <s v="34.10.14.243.3013.2157.33904600"/>
    <s v="23"/>
    <s v="Termo de Fomento - Lei Federal 13.019/2014"/>
    <n v="8"/>
    <s v="Não Aplicável"/>
    <n v="2024"/>
    <n v="42334"/>
    <s v="24/24/SMDHC/CPLGBTI"/>
    <s v="6074202400105330"/>
    <x v="1"/>
    <x v="176"/>
    <s v="26/12/2024 00:00:00"/>
    <s v="27/12/2024 00:00:00"/>
    <s v="26/12/2029 00:00:00"/>
    <n v="60"/>
    <x v="1"/>
    <n v="10990283.77"/>
    <n v="0"/>
    <n v="0"/>
    <n v="0"/>
    <n v="10990283.77"/>
    <n v="183171.3961666667"/>
    <n v="2198056.7540000002"/>
    <n v="8902129.8537000008"/>
    <n v="148368.83089499999"/>
    <n v="1780425.97074"/>
    <n v="1316244.44"/>
    <n v="0"/>
    <n v="1316244.44"/>
    <n v="1316244.44"/>
    <n v="1095174.27"/>
    <s v="07-07-2025"/>
    <s v="6074202400105330|34.10.14.243.3013.2157.33904600"/>
    <n v="0.81"/>
  </r>
  <r>
    <s v="01"/>
    <s v="Secretaria Municipal de Direitos Humanos e Cidadania"/>
    <s v="34"/>
    <s v="10"/>
    <n v="14"/>
    <n v="122"/>
    <n v="3024"/>
    <n v="2100"/>
    <s v="33309000"/>
    <s v="34.10.14.243.3013.2157.33904600"/>
    <s v="29"/>
    <s v="Termo de Contrato para Aquisição de Bens de Consumo e/ou Permanente"/>
    <n v="12"/>
    <s v="Pregão"/>
    <n v="2025"/>
    <n v="6992"/>
    <m/>
    <s v="6074202500009189"/>
    <x v="0"/>
    <x v="177"/>
    <m/>
    <m/>
    <m/>
    <n v="12"/>
    <x v="0"/>
    <n v="5810"/>
    <n v="0"/>
    <n v="0"/>
    <n v="0"/>
    <n v="5810"/>
    <n v="484.16666666666669"/>
    <n v="5810"/>
    <n v="5810"/>
    <n v="484.16666666666669"/>
    <n v="5810"/>
    <n v="5810"/>
    <n v="0"/>
    <n v="5810"/>
    <n v="0"/>
    <n v="0"/>
    <s v="07-07-2025"/>
    <s v="6074202500009189|34.10.14.243.3013.2157.33904600"/>
    <n v="1"/>
  </r>
  <r>
    <s v="01"/>
    <s v="Secretaria Municipal de Direitos Humanos e Cidadania"/>
    <s v="34"/>
    <s v="10"/>
    <n v="14"/>
    <n v="243"/>
    <n v="3013"/>
    <n v="2157"/>
    <s v="33399000"/>
    <s v="34.10.14.243.3013.2157.33904600"/>
    <s v="2"/>
    <s v="Termo de Contrato - Serviços"/>
    <n v="12"/>
    <s v="Pregão"/>
    <n v="2024"/>
    <n v="17376"/>
    <s v="168/SMDHC/2024"/>
    <s v="6074202400008350"/>
    <x v="1"/>
    <x v="178"/>
    <s v="18/06/2024 00:00:00"/>
    <s v="26/06/2024 00:00:00"/>
    <s v="01/08/2025 00:00:00"/>
    <n v="13"/>
    <x v="1"/>
    <n v="14000"/>
    <n v="0"/>
    <n v="0"/>
    <n v="0"/>
    <n v="14000"/>
    <n v="1076.9230769230769"/>
    <n v="12923.07692307692"/>
    <n v="14000"/>
    <n v="1076.9230769230769"/>
    <n v="12923.07692307692"/>
    <n v="21280"/>
    <n v="7280"/>
    <n v="14000"/>
    <n v="6720"/>
    <n v="6720"/>
    <s v="07-07-2025"/>
    <s v="6074202400008350|34.10.14.243.3013.2157.33904600"/>
    <n v="1"/>
  </r>
  <r>
    <s v="01"/>
    <s v="Secretaria Municipal de Direitos Humanos e Cidadania"/>
    <s v="34"/>
    <s v="10"/>
    <n v="14"/>
    <n v="422"/>
    <n v="3013"/>
    <n v="2053"/>
    <s v="33309000"/>
    <s v="34.10.14.243.3013.2157.33904600"/>
    <s v="29"/>
    <s v="Termo de Contrato para Aquisição de Bens de Consumo e/ou Permanente"/>
    <n v="6"/>
    <s v="Dispensa de Licitação"/>
    <n v="2024"/>
    <n v="11198"/>
    <s v="155/SMDHC/2024"/>
    <s v="6074202400019867"/>
    <x v="0"/>
    <x v="179"/>
    <s v="02/05/2024 00:00:00"/>
    <s v="07/05/2024 00:00:00"/>
    <s v="17/05/2025 00:00:00"/>
    <n v="12"/>
    <x v="2"/>
    <n v="38304"/>
    <n v="0"/>
    <n v="9576"/>
    <n v="0"/>
    <n v="47880"/>
    <n v="3990"/>
    <n v="47880"/>
    <n v="19152"/>
    <n v="1596"/>
    <n v="19152"/>
    <n v="65435.28"/>
    <n v="36308.28"/>
    <n v="29127"/>
    <n v="7581"/>
    <n v="7581"/>
    <s v="07-07-2025"/>
    <s v="6074202400019867|34.10.14.243.3013.2157.33904600"/>
    <n v="0.4"/>
  </r>
  <r>
    <s v="01"/>
    <s v="Secretaria Municipal de Direitos Humanos e Cidadania"/>
    <s v="34"/>
    <s v="10"/>
    <n v="14"/>
    <n v="122"/>
    <n v="3024"/>
    <n v="2100"/>
    <s v="33309000"/>
    <s v="34.10.14.243.3013.2157.33904600"/>
    <s v="41"/>
    <s v="Nota de Empenho de Serviços com fornecimento de materiais / peças"/>
    <n v="12"/>
    <s v="Pregão"/>
    <n v="2025"/>
    <n v="7116"/>
    <m/>
    <s v="6074202500016185"/>
    <x v="0"/>
    <x v="180"/>
    <m/>
    <m/>
    <s v="20/03/2025 00:00:00"/>
    <n v="12"/>
    <x v="0"/>
    <n v="300"/>
    <n v="0"/>
    <n v="0"/>
    <n v="0"/>
    <n v="300"/>
    <n v="25"/>
    <n v="300"/>
    <n v="300"/>
    <n v="25"/>
    <n v="300"/>
    <n v="300"/>
    <n v="0"/>
    <n v="300"/>
    <n v="300"/>
    <n v="300"/>
    <s v="07-07-2025"/>
    <s v="6074202500016185|34.10.14.243.3013.2157.33904600"/>
    <n v="1"/>
  </r>
  <r>
    <s v="01"/>
    <s v="Secretaria Municipal de Direitos Humanos e Cidadania"/>
    <s v="34"/>
    <s v="10"/>
    <n v="14"/>
    <n v="422"/>
    <n v="3013"/>
    <n v="4322"/>
    <s v="33399000"/>
    <s v="34.10.14.243.3013.2157.33904600"/>
    <s v="41"/>
    <s v="Nota de Empenho de Serviços com fornecimento de materiais / peças"/>
    <n v="12"/>
    <s v="Pregão"/>
    <n v="2025"/>
    <n v="7172"/>
    <s v="009/SMDHC/2023"/>
    <s v="6074202500016592"/>
    <x v="0"/>
    <x v="181"/>
    <s v="06/03/2025 00:00:00"/>
    <m/>
    <s v="07/03/2025 00:00:00"/>
    <n v="0"/>
    <x v="2"/>
    <n v="753.6"/>
    <n v="0"/>
    <n v="0"/>
    <n v="0"/>
    <n v="753.6"/>
    <n v="62.8"/>
    <n v="753.6"/>
    <n v="753.6"/>
    <n v="62.8"/>
    <n v="753.6"/>
    <n v="753.6"/>
    <n v="0"/>
    <n v="753.6"/>
    <n v="753.6"/>
    <n v="753.6"/>
    <s v="07-07-2025"/>
    <s v="6074202500016592|34.10.14.243.3013.2157.33904600"/>
    <n v="1"/>
  </r>
  <r>
    <s v="01"/>
    <s v="Secretaria Municipal de Direitos Humanos e Cidadania"/>
    <s v="34"/>
    <s v="10"/>
    <n v="14"/>
    <n v="422"/>
    <n v="3013"/>
    <n v="2053"/>
    <s v="33399000"/>
    <s v="34.10.14.422.3013.2053.33903900"/>
    <s v="41"/>
    <s v="Nota de Empenho de Serviços com fornecimento de materiais / peças"/>
    <n v="12"/>
    <s v="Pregão"/>
    <n v="2025"/>
    <n v="7256"/>
    <m/>
    <s v="6074202500018250"/>
    <x v="0"/>
    <x v="182"/>
    <m/>
    <m/>
    <s v="09/03/2025 00:00:00"/>
    <n v="12"/>
    <x v="0"/>
    <n v="3600.8"/>
    <n v="0"/>
    <n v="0"/>
    <n v="0"/>
    <n v="3600.8"/>
    <n v="300.06666666666672"/>
    <n v="3600.8"/>
    <n v="3600.8"/>
    <n v="300.06666666666672"/>
    <n v="3600.8"/>
    <n v="3600.8"/>
    <n v="0"/>
    <n v="3600.8"/>
    <n v="3600.8"/>
    <n v="3600.8"/>
    <s v="07-07-2025"/>
    <s v="6074202500018250|34.10.14.422.3013.2053.33903900"/>
    <n v="1"/>
  </r>
  <r>
    <s v="01"/>
    <s v="Secretaria Municipal de Direitos Humanos e Cidadania"/>
    <s v="34"/>
    <s v="10"/>
    <n v="14"/>
    <n v="122"/>
    <n v="3024"/>
    <n v="2100"/>
    <s v="33309000"/>
    <s v="34.10.14.422.3013.2053.33903900"/>
    <s v="41"/>
    <s v="Nota de Empenho de Serviços com fornecimento de materiais / peças"/>
    <n v="12"/>
    <s v="Pregão"/>
    <n v="2025"/>
    <n v="7306"/>
    <m/>
    <s v="6074202500016649"/>
    <x v="0"/>
    <x v="183"/>
    <m/>
    <m/>
    <s v="26/03/2025 00:00:00"/>
    <n v="12"/>
    <x v="0"/>
    <n v="287"/>
    <n v="0"/>
    <n v="0"/>
    <n v="0"/>
    <n v="287"/>
    <n v="23.916666666666671"/>
    <n v="287"/>
    <n v="287"/>
    <n v="23.916666666666671"/>
    <n v="287"/>
    <n v="287"/>
    <n v="0"/>
    <n v="287"/>
    <n v="287"/>
    <n v="287"/>
    <s v="07-07-2025"/>
    <s v="6074202500016649|34.10.14.422.3013.2053.33903900"/>
    <n v="1"/>
  </r>
  <r>
    <s v="01"/>
    <s v="Secretaria Municipal de Direitos Humanos e Cidadania"/>
    <s v="34"/>
    <s v="10"/>
    <n v="14"/>
    <n v="122"/>
    <n v="3024"/>
    <n v="2100"/>
    <s v="33309000"/>
    <s v="34.10.14.422.3013.2053.33903900"/>
    <s v="41"/>
    <s v="Nota de Empenho de Serviços com fornecimento de materiais / peças"/>
    <n v="12"/>
    <s v="Pregão"/>
    <n v="2025"/>
    <n v="7267"/>
    <m/>
    <s v="6074202500016630"/>
    <x v="0"/>
    <x v="184"/>
    <m/>
    <m/>
    <s v="26/03/2025 00:00:00"/>
    <n v="12"/>
    <x v="0"/>
    <n v="7000"/>
    <n v="0"/>
    <n v="0"/>
    <n v="0"/>
    <n v="7000"/>
    <n v="583.33333333333337"/>
    <n v="7000"/>
    <n v="7000"/>
    <n v="583.33333333333337"/>
    <n v="7000"/>
    <n v="7000"/>
    <n v="0"/>
    <n v="7000"/>
    <n v="7000"/>
    <n v="7000"/>
    <s v="07-07-2025"/>
    <s v="6074202500016630|34.10.14.422.3013.2053.33903900"/>
    <n v="1"/>
  </r>
  <r>
    <s v="01"/>
    <s v="Secretaria Municipal de Direitos Humanos e Cidadania"/>
    <s v="34"/>
    <s v="10"/>
    <n v="14"/>
    <n v="422"/>
    <n v="3013"/>
    <n v="2053"/>
    <s v="33399000"/>
    <s v="34.10.14.422.3013.2053.33903900"/>
    <s v="2"/>
    <s v="Termo de Contrato - Serviços"/>
    <n v="12"/>
    <s v="Pregão"/>
    <n v="2023"/>
    <n v="6212"/>
    <s v="067//SMDHC/2023"/>
    <s v="6074202300013735"/>
    <x v="1"/>
    <x v="185"/>
    <s v="28/03/2023 00:00:00"/>
    <s v="30/03/2023 00:00:00"/>
    <s v="06/05/2026 00:00:00"/>
    <n v="37"/>
    <x v="1"/>
    <n v="2046.32"/>
    <n v="0"/>
    <n v="4492.6400000000003"/>
    <n v="0"/>
    <n v="6538.96"/>
    <n v="176.72864864864869"/>
    <n v="2120.7437837837838"/>
    <n v="3007.9216000000001"/>
    <n v="81.295178378378381"/>
    <n v="975.54214054054057"/>
    <n v="6818.96"/>
    <n v="2206.3200000000002"/>
    <n v="4612.6400000000003"/>
    <n v="3229.48"/>
    <n v="3229.48"/>
    <s v="07-07-2025"/>
    <s v="6074202300013735|34.10.14.422.3013.2053.33903900"/>
    <n v="0.46"/>
  </r>
  <r>
    <s v="01"/>
    <s v="Secretaria Municipal de Direitos Humanos e Cidadania"/>
    <s v="34"/>
    <s v="10"/>
    <n v="14"/>
    <n v="122"/>
    <n v="3024"/>
    <n v="2100"/>
    <s v="33309000"/>
    <s v="34.10.14.422.3013.2053.33903900"/>
    <s v="5"/>
    <s v="Nota de Empenho Fornecimento de Bens de Consumo e/ou Permanente"/>
    <n v="6"/>
    <s v="Dispensa de Licitação"/>
    <n v="2025"/>
    <n v="7665"/>
    <m/>
    <s v="6074202500013690"/>
    <x v="0"/>
    <x v="186"/>
    <m/>
    <m/>
    <s v="23/03/2025 00:00:00"/>
    <n v="12"/>
    <x v="0"/>
    <n v="583.79999999999995"/>
    <n v="0"/>
    <n v="0"/>
    <n v="0"/>
    <n v="583.79999999999995"/>
    <n v="48.65"/>
    <n v="583.79999999999995"/>
    <n v="583.79999999999995"/>
    <n v="48.65"/>
    <n v="583.79999999999995"/>
    <n v="583.79999999999995"/>
    <n v="0"/>
    <n v="583.79999999999995"/>
    <n v="583.79999999999995"/>
    <n v="583.79999999999995"/>
    <s v="07-07-2025"/>
    <s v="6074202500013690|34.10.14.422.3013.2053.33903900"/>
    <n v="1"/>
  </r>
  <r>
    <s v="01"/>
    <s v="Secretaria Municipal de Direitos Humanos e Cidadania"/>
    <s v="34"/>
    <s v="10"/>
    <n v="14"/>
    <n v="122"/>
    <n v="3024"/>
    <n v="2100"/>
    <s v="33309000"/>
    <s v="34.10.14.422.3013.2053.33903900"/>
    <s v="5"/>
    <s v="Nota de Empenho Fornecimento de Bens de Consumo e/ou Permanente"/>
    <n v="6"/>
    <s v="Dispensa de Licitação"/>
    <n v="2025"/>
    <n v="7652"/>
    <m/>
    <s v="6074202500012546"/>
    <x v="0"/>
    <x v="187"/>
    <m/>
    <m/>
    <s v="29/03/2025 00:00:00"/>
    <n v="12"/>
    <x v="0"/>
    <n v="359.1"/>
    <n v="0"/>
    <n v="0"/>
    <n v="0"/>
    <n v="359.1"/>
    <n v="29.925000000000001"/>
    <n v="359.1"/>
    <n v="359.1"/>
    <n v="29.925000000000001"/>
    <n v="359.1"/>
    <n v="359.1"/>
    <n v="0"/>
    <n v="359.1"/>
    <n v="359.1"/>
    <n v="359.1"/>
    <s v="07-07-2025"/>
    <s v="6074202500012546|34.10.14.422.3013.2053.33903900"/>
    <n v="1"/>
  </r>
  <r>
    <s v="01"/>
    <s v="Secretaria Municipal de Direitos Humanos e Cidadania"/>
    <s v="34"/>
    <s v="10"/>
    <n v="14"/>
    <n v="122"/>
    <n v="3024"/>
    <n v="2100"/>
    <s v="33399000"/>
    <s v="34.10.14.422.3013.2053.33903900"/>
    <s v="2"/>
    <s v="Termo de Contrato - Serviços"/>
    <n v="12"/>
    <s v="Pregão"/>
    <n v="2025"/>
    <n v="7922"/>
    <s v="028/SMDHC/2025"/>
    <s v="6074202500018021"/>
    <x v="0"/>
    <x v="188"/>
    <s v="14/03/2025 00:00:00"/>
    <s v="17/03/2025 00:00:00"/>
    <s v="14/01/2026 00:00:00"/>
    <n v="10"/>
    <x v="1"/>
    <n v="125600"/>
    <n v="0"/>
    <n v="0"/>
    <n v="0"/>
    <n v="125600"/>
    <n v="10466.66666666667"/>
    <n v="125600"/>
    <n v="125600"/>
    <n v="10466.66666666667"/>
    <n v="125600"/>
    <n v="125600"/>
    <n v="0"/>
    <n v="125600"/>
    <n v="35168"/>
    <n v="22608"/>
    <s v="07-07-2025"/>
    <s v="6074202500018021|34.10.14.422.3013.2053.33903900"/>
    <n v="1"/>
  </r>
  <r>
    <s v="01"/>
    <s v="Secretaria Municipal de Direitos Humanos e Cidadania"/>
    <s v="34"/>
    <s v="10"/>
    <n v="14"/>
    <n v="422"/>
    <n v="3013"/>
    <n v="6178"/>
    <s v="33399000"/>
    <s v="34.10.14.422.3013.2053.33903900"/>
    <s v="53"/>
    <s v="Nota de Empenho - Multas de Trânsito / Outras"/>
    <n v="8"/>
    <s v="Não Aplicável"/>
    <n v="2025"/>
    <n v="7976"/>
    <m/>
    <s v="6017202500140713"/>
    <x v="0"/>
    <x v="189"/>
    <m/>
    <m/>
    <s v="14/03/2025 00:00:00"/>
    <n v="12"/>
    <x v="0"/>
    <n v="130.16"/>
    <n v="0"/>
    <n v="69.84"/>
    <n v="47.51"/>
    <n v="152.49"/>
    <n v="12.7075"/>
    <n v="152.49"/>
    <n v="152.49"/>
    <n v="12.7075"/>
    <n v="152.49"/>
    <n v="330.16"/>
    <n v="177.67"/>
    <n v="152.49"/>
    <n v="152.49"/>
    <n v="152.49"/>
    <s v="07-07-2025"/>
    <s v="6017202500140713|34.10.14.422.3013.2053.33903900"/>
    <n v="1"/>
  </r>
  <r>
    <s v="01"/>
    <s v="Secretaria Municipal de Direitos Humanos e Cidadania"/>
    <s v="34"/>
    <s v="10"/>
    <n v="14"/>
    <n v="122"/>
    <n v="3024"/>
    <n v="2100"/>
    <s v="33309000"/>
    <s v="34.10.14.422.3013.2053.33903900"/>
    <s v="5"/>
    <s v="Nota de Empenho Fornecimento de Bens de Consumo e/ou Permanente"/>
    <n v="12"/>
    <s v="Pregão"/>
    <n v="2025"/>
    <n v="7978"/>
    <m/>
    <s v="6074202500015111"/>
    <x v="0"/>
    <x v="190"/>
    <m/>
    <m/>
    <s v="24/03/2025 00:00:00"/>
    <n v="12"/>
    <x v="0"/>
    <n v="732.5"/>
    <n v="0"/>
    <n v="0"/>
    <n v="0"/>
    <n v="732.5"/>
    <n v="61.041666666666657"/>
    <n v="732.5"/>
    <n v="732.5"/>
    <n v="61.041666666666657"/>
    <n v="732.5"/>
    <n v="732.5"/>
    <n v="0"/>
    <n v="732.5"/>
    <n v="732.5"/>
    <n v="732.5"/>
    <s v="07-07-2025"/>
    <s v="6074202500015111|34.10.14.422.3013.2053.33903900"/>
    <n v="1"/>
  </r>
  <r>
    <s v="01"/>
    <s v="Secretaria Municipal de Direitos Humanos e Cidadania"/>
    <s v="34"/>
    <s v="10"/>
    <n v="14"/>
    <n v="126"/>
    <n v="3011"/>
    <n v="2818"/>
    <s v="33409000"/>
    <s v="34.10.14.422.3013.2053.33903900"/>
    <s v="2"/>
    <s v="Termo de Contrato - Serviços"/>
    <n v="6"/>
    <s v="Dispensa de Licitação"/>
    <n v="2025"/>
    <n v="8078"/>
    <m/>
    <s v="6074202500006767"/>
    <x v="0"/>
    <x v="191"/>
    <m/>
    <m/>
    <m/>
    <n v="12"/>
    <x v="0"/>
    <n v="329.9"/>
    <n v="0"/>
    <n v="0"/>
    <n v="0"/>
    <n v="329.9"/>
    <n v="27.49166666666666"/>
    <n v="329.9"/>
    <n v="329.9"/>
    <n v="27.49166666666666"/>
    <n v="329.9"/>
    <n v="329.9"/>
    <n v="0"/>
    <n v="329.9"/>
    <n v="0"/>
    <n v="0"/>
    <s v="07-07-2025"/>
    <s v="6074202500006767|34.10.14.422.3013.2053.33903900"/>
    <n v="1"/>
  </r>
  <r>
    <s v="01"/>
    <s v="Secretaria Municipal de Direitos Humanos e Cidadania"/>
    <s v="34"/>
    <s v="10"/>
    <n v="14"/>
    <n v="122"/>
    <n v="3024"/>
    <n v="2100"/>
    <s v="33399000"/>
    <s v="34.10.14.422.3013.2053.33903900"/>
    <s v="41"/>
    <s v="Nota de Empenho de Serviços com fornecimento de materiais / peças"/>
    <n v="12"/>
    <s v="Pregão"/>
    <n v="2025"/>
    <n v="8542"/>
    <m/>
    <s v="6074202500021278"/>
    <x v="0"/>
    <x v="192"/>
    <m/>
    <m/>
    <s v="22/03/2025 00:00:00"/>
    <n v="12"/>
    <x v="0"/>
    <n v="4501"/>
    <n v="0"/>
    <n v="0"/>
    <n v="0"/>
    <n v="4501"/>
    <n v="375.08333333333331"/>
    <n v="4501"/>
    <n v="4501"/>
    <n v="375.08333333333331"/>
    <n v="4501"/>
    <n v="4501"/>
    <n v="0"/>
    <n v="4501"/>
    <n v="4501"/>
    <n v="4501"/>
    <s v="07-07-2025"/>
    <s v="6074202500021278|34.10.14.422.3013.2053.33903900"/>
    <n v="1"/>
  </r>
  <r>
    <s v="01"/>
    <s v="Secretaria Municipal de Direitos Humanos e Cidadania"/>
    <s v="34"/>
    <s v="10"/>
    <n v="14"/>
    <n v="122"/>
    <n v="3024"/>
    <n v="2100"/>
    <s v="33399000"/>
    <s v="34.10.14.422.3013.2053.33903900"/>
    <s v="54"/>
    <s v="Nota de Empenho - Pagamento de Anuidades / Taxas / Impostos"/>
    <n v="7"/>
    <s v="Inexigibilidade"/>
    <n v="2025"/>
    <n v="8569"/>
    <m/>
    <s v="6074202500020417"/>
    <x v="0"/>
    <x v="193"/>
    <m/>
    <m/>
    <s v="08/04/2026 00:00:00"/>
    <n v="12"/>
    <x v="0"/>
    <n v="1303.1199999999999"/>
    <n v="0"/>
    <n v="0"/>
    <n v="0"/>
    <n v="1303.1199999999999"/>
    <n v="108.59333333333331"/>
    <n v="1303.1199999999999"/>
    <n v="1303.1199999999999"/>
    <n v="108.59333333333331"/>
    <n v="1303.1199999999999"/>
    <n v="1303.1199999999999"/>
    <n v="0"/>
    <n v="1303.1199999999999"/>
    <n v="1303.1199999999999"/>
    <n v="1303.1199999999999"/>
    <s v="07-07-2025"/>
    <s v="6074202500020417|34.10.14.422.3013.2053.33903900"/>
    <n v="1"/>
  </r>
  <r>
    <s v="01"/>
    <s v="Secretaria Municipal de Direitos Humanos e Cidadania"/>
    <s v="34"/>
    <s v="10"/>
    <n v="14"/>
    <n v="422"/>
    <n v="3018"/>
    <n v="4326"/>
    <s v="33399000"/>
    <s v="34.10.14.422.3013.2053.33903900"/>
    <s v="2"/>
    <s v="Termo de Contrato - Serviços"/>
    <n v="7"/>
    <s v="Inexigibilidade"/>
    <n v="2025"/>
    <n v="8756"/>
    <s v="030/SMDHC/2025"/>
    <s v="6074202500013593"/>
    <x v="1"/>
    <x v="194"/>
    <s v="26/03/2025 00:00:00"/>
    <s v="31/03/2025 00:00:00"/>
    <s v="08/01/2026 00:00:00"/>
    <n v="9"/>
    <x v="1"/>
    <n v="45720"/>
    <n v="0"/>
    <n v="0"/>
    <n v="0"/>
    <n v="45720"/>
    <n v="3810"/>
    <n v="45720"/>
    <n v="45720"/>
    <n v="3810"/>
    <n v="45720"/>
    <n v="45720"/>
    <n v="0"/>
    <n v="45720"/>
    <n v="10858.3"/>
    <n v="10858.3"/>
    <s v="07-07-2025"/>
    <s v="6074202500013593|34.10.14.422.3013.2053.33903900"/>
    <n v="1"/>
  </r>
  <r>
    <s v="01"/>
    <s v="Secretaria Municipal de Direitos Humanos e Cidadania"/>
    <s v="34"/>
    <s v="10"/>
    <n v="14"/>
    <n v="122"/>
    <n v="3024"/>
    <n v="2100"/>
    <s v="33399000"/>
    <s v="34.10.14.422.3013.2053.33903900"/>
    <s v="54"/>
    <s v="Nota de Empenho - Pagamento de Anuidades / Taxas / Impostos"/>
    <n v="7"/>
    <s v="Inexigibilidade"/>
    <n v="2025"/>
    <n v="9194"/>
    <m/>
    <s v="6074202500020425"/>
    <x v="0"/>
    <x v="195"/>
    <m/>
    <m/>
    <s v="08/04/2026 00:00:00"/>
    <n v="12"/>
    <x v="0"/>
    <n v="2210.9"/>
    <n v="0"/>
    <n v="0"/>
    <n v="0"/>
    <n v="2210.9"/>
    <n v="184.2416666666667"/>
    <n v="2210.9"/>
    <n v="2210.9"/>
    <n v="184.2416666666667"/>
    <n v="2210.9"/>
    <n v="2210.9"/>
    <n v="0"/>
    <n v="2210.9"/>
    <n v="2210.9"/>
    <n v="2210.9"/>
    <s v="07-07-2025"/>
    <s v="6074202500020425|34.10.14.422.3013.2053.33903900"/>
    <n v="1"/>
  </r>
  <r>
    <s v="01"/>
    <s v="Secretaria Municipal de Direitos Humanos e Cidadania"/>
    <s v="34"/>
    <s v="10"/>
    <n v="14"/>
    <n v="422"/>
    <n v="3013"/>
    <n v="4322"/>
    <s v="33399000"/>
    <s v="34.10.14.422.3013.2053.33903900"/>
    <s v="41"/>
    <s v="Nota de Empenho de Serviços com fornecimento de materiais / peças"/>
    <n v="12"/>
    <s v="Pregão"/>
    <n v="2025"/>
    <n v="9197"/>
    <m/>
    <s v="6074202500021316"/>
    <x v="0"/>
    <x v="196"/>
    <m/>
    <m/>
    <s v="26/03/2025 00:00:00"/>
    <n v="12"/>
    <x v="0"/>
    <n v="628"/>
    <n v="0"/>
    <n v="0"/>
    <n v="0"/>
    <n v="628"/>
    <n v="52.333333333333343"/>
    <n v="628"/>
    <n v="628"/>
    <n v="52.333333333333343"/>
    <n v="628"/>
    <n v="628"/>
    <n v="0"/>
    <n v="628"/>
    <n v="628"/>
    <n v="628"/>
    <s v="07-07-2025"/>
    <s v="6074202500021316|34.10.14.422.3013.2053.33903900"/>
    <n v="1"/>
  </r>
  <r>
    <s v="01"/>
    <s v="Secretaria Municipal de Direitos Humanos e Cidadania"/>
    <s v="34"/>
    <s v="10"/>
    <n v="14"/>
    <n v="122"/>
    <n v="3024"/>
    <n v="2100"/>
    <s v="33399000"/>
    <s v="34.10.14.422.3013.2053.33903900"/>
    <s v="41"/>
    <s v="Nota de Empenho de Serviços com fornecimento de materiais / peças"/>
    <n v="12"/>
    <s v="Pregão"/>
    <n v="2025"/>
    <n v="9198"/>
    <m/>
    <s v="6074202500020875"/>
    <x v="0"/>
    <x v="197"/>
    <m/>
    <m/>
    <s v="03/04/2025 00:00:00"/>
    <n v="12"/>
    <x v="0"/>
    <n v="2009.6"/>
    <n v="0"/>
    <n v="0"/>
    <n v="0"/>
    <n v="2009.6"/>
    <n v="167.4666666666667"/>
    <n v="2009.6"/>
    <n v="2009.6"/>
    <n v="167.4666666666667"/>
    <n v="2009.6"/>
    <n v="2009.6"/>
    <n v="0"/>
    <n v="2009.6"/>
    <n v="2009.6"/>
    <n v="2009.6"/>
    <s v="07-07-2025"/>
    <s v="6074202500020875|34.10.14.422.3013.2053.33903900"/>
    <n v="1"/>
  </r>
  <r>
    <s v="01"/>
    <s v="Secretaria Municipal de Direitos Humanos e Cidadania"/>
    <s v="34"/>
    <s v="10"/>
    <n v="14"/>
    <n v="122"/>
    <n v="3024"/>
    <n v="2100"/>
    <s v="33399000"/>
    <s v="34.10.14.243.3013.2157.33904600"/>
    <s v="41"/>
    <s v="Nota de Empenho de Serviços com fornecimento de materiais / peças"/>
    <n v="12"/>
    <s v="Pregão"/>
    <n v="2025"/>
    <n v="9426"/>
    <m/>
    <s v="6074202500022975"/>
    <x v="0"/>
    <x v="198"/>
    <m/>
    <m/>
    <s v="29/03/2025 00:00:00"/>
    <n v="12"/>
    <x v="0"/>
    <n v="2638.4"/>
    <n v="0"/>
    <n v="0"/>
    <n v="0"/>
    <n v="2638.4"/>
    <n v="219.8666666666667"/>
    <n v="2638.4"/>
    <n v="2638.4"/>
    <n v="219.8666666666667"/>
    <n v="2638.4"/>
    <n v="2638.4"/>
    <n v="0"/>
    <n v="2638.4"/>
    <n v="2308.6"/>
    <n v="2308.6"/>
    <s v="07-07-2025"/>
    <s v="6074202500022975|34.10.14.243.3013.2157.33904600"/>
    <n v="1"/>
  </r>
  <r>
    <s v="01"/>
    <s v="Secretaria Municipal de Direitos Humanos e Cidadania"/>
    <s v="34"/>
    <s v="10"/>
    <n v="14"/>
    <n v="422"/>
    <n v="3013"/>
    <n v="6178"/>
    <s v="33309000"/>
    <s v="34.10.14.243.3013.2157.31909400"/>
    <s v="29"/>
    <s v="Termo de Contrato para Aquisição de Bens de Consumo e/ou Permanente"/>
    <n v="12"/>
    <s v="Pregão"/>
    <n v="2025"/>
    <n v="9492"/>
    <m/>
    <s v="6074202500020972"/>
    <x v="0"/>
    <x v="199"/>
    <m/>
    <m/>
    <m/>
    <n v="12"/>
    <x v="0"/>
    <n v="22580"/>
    <n v="0"/>
    <n v="0"/>
    <n v="0"/>
    <n v="22580"/>
    <n v="1881.666666666667"/>
    <n v="22580"/>
    <n v="22580"/>
    <n v="1881.666666666667"/>
    <n v="22580"/>
    <n v="22580"/>
    <n v="0"/>
    <n v="22580"/>
    <n v="0"/>
    <n v="0"/>
    <s v="07-07-2025"/>
    <s v="6074202500020972|34.10.14.243.3013.2157.31909400"/>
    <n v="1"/>
  </r>
  <r>
    <s v="01"/>
    <s v="Secretaria Municipal de Direitos Humanos e Cidadania"/>
    <s v="34"/>
    <s v="10"/>
    <n v="14"/>
    <n v="122"/>
    <n v="3024"/>
    <n v="2100"/>
    <s v="33399000"/>
    <s v="34.10.14.243.3013.2157.31909400"/>
    <s v="41"/>
    <s v="Nota de Empenho de Serviços com fornecimento de materiais / peças"/>
    <n v="12"/>
    <s v="Pregão"/>
    <n v="2025"/>
    <n v="9540"/>
    <m/>
    <s v="6074202500023335"/>
    <x v="0"/>
    <x v="200"/>
    <m/>
    <m/>
    <s v="01/04/2025 00:00:00"/>
    <n v="12"/>
    <x v="0"/>
    <n v="1800.4"/>
    <n v="0"/>
    <n v="0"/>
    <n v="0"/>
    <n v="1800.4"/>
    <n v="150.0333333333333"/>
    <n v="1800.4"/>
    <n v="1800.4"/>
    <n v="150.0333333333333"/>
    <n v="1800.4"/>
    <n v="1800.4"/>
    <n v="0"/>
    <n v="1800.4"/>
    <n v="1800.4"/>
    <n v="1800.4"/>
    <s v="07-07-2025"/>
    <s v="6074202500023335|34.10.14.243.3013.2157.31909400"/>
    <n v="1"/>
  </r>
  <r>
    <s v="01"/>
    <s v="Secretaria Municipal de Direitos Humanos e Cidadania"/>
    <s v="34"/>
    <s v="10"/>
    <n v="14"/>
    <n v="422"/>
    <n v="3013"/>
    <n v="6178"/>
    <s v="33309000"/>
    <s v="34.10.14.243.3013.2157.31909400"/>
    <s v="29"/>
    <s v="Termo de Contrato para Aquisição de Bens de Consumo e/ou Permanente"/>
    <n v="12"/>
    <s v="Pregão"/>
    <n v="2025"/>
    <n v="9738"/>
    <m/>
    <s v="6074202500008492"/>
    <x v="0"/>
    <x v="201"/>
    <m/>
    <m/>
    <m/>
    <n v="12"/>
    <x v="0"/>
    <n v="38815.199999999997"/>
    <n v="0"/>
    <n v="0"/>
    <n v="0"/>
    <n v="38815.199999999997"/>
    <n v="3234.6"/>
    <n v="38815.199999999997"/>
    <n v="38815.199999999997"/>
    <n v="3234.6"/>
    <n v="38815.199999999997"/>
    <n v="38815.199999999997"/>
    <n v="0"/>
    <n v="38815.199999999997"/>
    <n v="0"/>
    <n v="0"/>
    <s v="07-07-2025"/>
    <s v="6074202500008492|34.10.14.243.3013.2157.31909400"/>
    <n v="1"/>
  </r>
  <r>
    <s v="01"/>
    <s v="Secretaria Municipal de Direitos Humanos e Cidadania"/>
    <s v="34"/>
    <s v="10"/>
    <n v="14"/>
    <n v="243"/>
    <n v="3013"/>
    <n v="2157"/>
    <s v="33309000"/>
    <s v="34.10.14.243.3013.2157.31909400"/>
    <s v="5"/>
    <s v="Nota de Empenho Fornecimento de Bens de Consumo e/ou Permanente"/>
    <n v="6"/>
    <s v="Dispensa de Licitação"/>
    <n v="2025"/>
    <n v="9773"/>
    <m/>
    <s v="6074202500015332"/>
    <x v="0"/>
    <x v="202"/>
    <m/>
    <m/>
    <s v="18/04/2025 00:00:00"/>
    <n v="12"/>
    <x v="0"/>
    <n v="35412"/>
    <n v="0"/>
    <n v="0"/>
    <n v="0"/>
    <n v="35412"/>
    <n v="2951"/>
    <n v="35412"/>
    <n v="35412"/>
    <n v="2951"/>
    <n v="35412"/>
    <n v="35412"/>
    <n v="0"/>
    <n v="35412"/>
    <n v="35412"/>
    <n v="35412"/>
    <s v="07-07-2025"/>
    <s v="6074202500015332|34.10.14.243.3013.2157.31909400"/>
    <n v="1"/>
  </r>
  <r>
    <s v="01"/>
    <s v="Secretaria Municipal de Direitos Humanos e Cidadania"/>
    <s v="34"/>
    <s v="10"/>
    <n v="14"/>
    <n v="122"/>
    <n v="3024"/>
    <n v="2100"/>
    <s v="33399000"/>
    <s v="34.10.14.243.3013.2157.31909400"/>
    <s v="54"/>
    <s v="Nota de Empenho - Pagamento de Anuidades / Taxas / Impostos"/>
    <n v="7"/>
    <s v="Inexigibilidade"/>
    <n v="2025"/>
    <n v="9804"/>
    <m/>
    <s v="6074202500020557"/>
    <x v="0"/>
    <x v="203"/>
    <m/>
    <m/>
    <s v="05/04/2026 00:00:00"/>
    <n v="12"/>
    <x v="0"/>
    <n v="1454.4"/>
    <n v="0"/>
    <n v="0"/>
    <n v="0"/>
    <n v="1454.4"/>
    <n v="121.2"/>
    <n v="1454.4"/>
    <n v="1454.4"/>
    <n v="121.2"/>
    <n v="1454.4"/>
    <n v="1454.4"/>
    <n v="0"/>
    <n v="1454.4"/>
    <n v="1454.4"/>
    <n v="1454.4"/>
    <s v="07-07-2025"/>
    <s v="6074202500020557|34.10.14.243.3013.2157.31909400"/>
    <n v="1"/>
  </r>
  <r>
    <s v="01"/>
    <s v="Secretaria Municipal de Direitos Humanos e Cidadania"/>
    <s v="34"/>
    <s v="10"/>
    <n v="14"/>
    <n v="122"/>
    <n v="3024"/>
    <n v="2100"/>
    <s v="33399000"/>
    <s v="34.10.14.243.3013.2157.31909400"/>
    <s v="54"/>
    <s v="Nota de Empenho - Pagamento de Anuidades / Taxas / Impostos"/>
    <n v="7"/>
    <s v="Inexigibilidade"/>
    <n v="2025"/>
    <n v="9805"/>
    <m/>
    <s v="6074202500020557"/>
    <x v="0"/>
    <x v="204"/>
    <m/>
    <m/>
    <s v="05/04/2026 00:00:00"/>
    <n v="12"/>
    <x v="0"/>
    <n v="418.8"/>
    <n v="0"/>
    <n v="0"/>
    <n v="0"/>
    <n v="418.8"/>
    <n v="34.9"/>
    <n v="418.8"/>
    <n v="418.8"/>
    <n v="34.9"/>
    <n v="418.8"/>
    <n v="418.8"/>
    <n v="0"/>
    <n v="418.8"/>
    <n v="418.8"/>
    <n v="418.8"/>
    <s v="07-07-2025"/>
    <s v="6074202500020557|34.10.14.243.3013.2157.31909400"/>
    <n v="1"/>
  </r>
  <r>
    <s v="01"/>
    <s v="Secretaria Municipal de Direitos Humanos e Cidadania"/>
    <s v="34"/>
    <s v="10"/>
    <n v="14"/>
    <n v="122"/>
    <n v="3024"/>
    <n v="2100"/>
    <s v="33399000"/>
    <s v="34.10.14.243.3013.2157.31909400"/>
    <s v="54"/>
    <s v="Nota de Empenho - Pagamento de Anuidades / Taxas / Impostos"/>
    <n v="7"/>
    <s v="Inexigibilidade"/>
    <n v="2025"/>
    <n v="9945"/>
    <m/>
    <s v="6074202500020433"/>
    <x v="0"/>
    <x v="205"/>
    <m/>
    <m/>
    <m/>
    <n v="12"/>
    <x v="0"/>
    <n v="1558.8"/>
    <n v="0"/>
    <n v="0"/>
    <n v="0"/>
    <n v="1558.8"/>
    <n v="129.9"/>
    <n v="1558.8"/>
    <n v="1558.8"/>
    <n v="129.9"/>
    <n v="1558.8"/>
    <n v="1558.8"/>
    <n v="0"/>
    <n v="1558.8"/>
    <n v="0"/>
    <n v="0"/>
    <s v="07-07-2025"/>
    <s v="6074202500020433|34.10.14.243.3013.2157.31909400"/>
    <n v="1"/>
  </r>
  <r>
    <s v="01"/>
    <s v="Secretaria Municipal de Direitos Humanos e Cidadania"/>
    <s v="34"/>
    <s v="10"/>
    <n v="8"/>
    <n v="605"/>
    <n v="3016"/>
    <n v="4470"/>
    <s v="33309000"/>
    <s v="34.10.14.243.3013.2157.31909400"/>
    <s v="5"/>
    <s v="Nota de Empenho Fornecimento de Bens de Consumo e/ou Permanente"/>
    <n v="6"/>
    <s v="Dispensa de Licitação"/>
    <n v="2025"/>
    <n v="9997"/>
    <m/>
    <s v="6074202500021529"/>
    <x v="0"/>
    <x v="206"/>
    <m/>
    <m/>
    <s v="18/04/2025 00:00:00"/>
    <n v="12"/>
    <x v="0"/>
    <n v="3729.7"/>
    <n v="0"/>
    <n v="0"/>
    <n v="0"/>
    <n v="3729.7"/>
    <n v="310.80833333333328"/>
    <n v="3729.7"/>
    <n v="3729.7"/>
    <n v="310.80833333333328"/>
    <n v="3729.7"/>
    <n v="3729.7"/>
    <n v="0"/>
    <n v="3729.7"/>
    <n v="3729.7"/>
    <n v="3729.7"/>
    <s v="07-07-2025"/>
    <s v="6074202500021529|34.10.14.243.3013.2157.31909400"/>
    <n v="1"/>
  </r>
  <r>
    <s v="01"/>
    <s v="Secretaria Municipal de Direitos Humanos e Cidadania"/>
    <s v="34"/>
    <s v="10"/>
    <n v="8"/>
    <n v="605"/>
    <n v="3016"/>
    <n v="4470"/>
    <s v="33309000"/>
    <s v="34.10.14.243.3013.2157.31909400"/>
    <s v="5"/>
    <s v="Nota de Empenho Fornecimento de Bens de Consumo e/ou Permanente"/>
    <n v="6"/>
    <s v="Dispensa de Licitação"/>
    <n v="2025"/>
    <n v="10030"/>
    <m/>
    <s v="6074202500020883"/>
    <x v="0"/>
    <x v="207"/>
    <m/>
    <m/>
    <m/>
    <n v="12"/>
    <x v="0"/>
    <n v="2579.9"/>
    <n v="0"/>
    <n v="0"/>
    <n v="0"/>
    <n v="2579.9"/>
    <n v="214.9916666666667"/>
    <n v="2579.9"/>
    <n v="2579.9"/>
    <n v="214.9916666666667"/>
    <n v="2579.9"/>
    <n v="2579.9"/>
    <n v="0"/>
    <n v="2579.9"/>
    <n v="0"/>
    <n v="0"/>
    <s v="07-07-2025"/>
    <s v="6074202500020883|34.10.14.243.3013.2157.31909400"/>
    <n v="1"/>
  </r>
  <r>
    <s v="01"/>
    <s v="Secretaria Municipal de Direitos Humanos e Cidadania"/>
    <s v="34"/>
    <s v="10"/>
    <n v="8"/>
    <n v="605"/>
    <n v="3016"/>
    <n v="4470"/>
    <s v="33309000"/>
    <s v="34.10.14.243.3013.2157.31909400"/>
    <s v="5"/>
    <s v="Nota de Empenho Fornecimento de Bens de Consumo e/ou Permanente"/>
    <n v="6"/>
    <s v="Dispensa de Licitação"/>
    <n v="2025"/>
    <n v="10117"/>
    <m/>
    <s v="6074202500021537"/>
    <x v="0"/>
    <x v="208"/>
    <m/>
    <m/>
    <s v="17/04/2025 00:00:00"/>
    <n v="12"/>
    <x v="0"/>
    <n v="13800"/>
    <n v="0"/>
    <n v="0"/>
    <n v="0"/>
    <n v="13800"/>
    <n v="1150"/>
    <n v="13800"/>
    <n v="13800"/>
    <n v="1150"/>
    <n v="13800"/>
    <n v="13800"/>
    <n v="0"/>
    <n v="13800"/>
    <n v="13800"/>
    <n v="13800"/>
    <s v="07-07-2025"/>
    <s v="6074202500021537|34.10.14.243.3013.2157.31909400"/>
    <n v="1"/>
  </r>
  <r>
    <s v="01"/>
    <s v="Secretaria Municipal de Direitos Humanos e Cidadania"/>
    <s v="34"/>
    <s v="10"/>
    <n v="14"/>
    <n v="422"/>
    <n v="3013"/>
    <n v="6178"/>
    <s v="33399000"/>
    <s v="34.10.14.243.3013.2157.31909400"/>
    <s v="41"/>
    <s v="Nota de Empenho de Serviços com fornecimento de materiais / peças"/>
    <n v="12"/>
    <s v="Pregão"/>
    <n v="2025"/>
    <n v="10197"/>
    <m/>
    <s v="6074202500026199"/>
    <x v="0"/>
    <x v="209"/>
    <m/>
    <m/>
    <m/>
    <n v="12"/>
    <x v="0"/>
    <n v="1649"/>
    <n v="0"/>
    <n v="0"/>
    <n v="0"/>
    <n v="1649"/>
    <n v="137.41666666666671"/>
    <n v="1649"/>
    <n v="1649"/>
    <n v="137.41666666666671"/>
    <n v="1649"/>
    <n v="1649"/>
    <n v="0"/>
    <n v="1649"/>
    <n v="0"/>
    <n v="0"/>
    <s v="07-07-2025"/>
    <s v="6074202500026199|34.10.14.243.3013.2157.31909400"/>
    <n v="1"/>
  </r>
  <r>
    <s v="01"/>
    <s v="Secretaria Municipal de Direitos Humanos e Cidadania"/>
    <s v="34"/>
    <s v="10"/>
    <n v="14"/>
    <n v="122"/>
    <n v="3024"/>
    <n v="2100"/>
    <s v="33399000"/>
    <s v="34.10.14.243.3013.2157.31909400"/>
    <s v="2"/>
    <s v="Termo de Contrato - Serviços"/>
    <n v="6"/>
    <s v="Dispensa de Licitação"/>
    <n v="2025"/>
    <n v="10359"/>
    <s v="035/SMDHC/2025"/>
    <s v="6074202500022843"/>
    <x v="0"/>
    <x v="210"/>
    <s v="14/04/2025 00:00:00"/>
    <s v="15/04/2025 00:00:00"/>
    <s v="24/07/2025 00:00:00"/>
    <n v="3"/>
    <x v="1"/>
    <n v="13029.9"/>
    <n v="0"/>
    <n v="0"/>
    <n v="0"/>
    <n v="13029.9"/>
    <n v="1085.825"/>
    <n v="13029.9"/>
    <n v="13029.9"/>
    <n v="1085.825"/>
    <n v="13029.9"/>
    <n v="13029.9"/>
    <n v="0"/>
    <n v="13029.9"/>
    <n v="13029.9"/>
    <n v="13029.9"/>
    <s v="07-07-2025"/>
    <s v="6074202500022843|34.10.14.243.3013.2157.31909400"/>
    <n v="1"/>
  </r>
  <r>
    <s v="01"/>
    <s v="Secretaria Municipal de Direitos Humanos e Cidadania"/>
    <s v="34"/>
    <s v="10"/>
    <n v="14"/>
    <n v="422"/>
    <n v="3013"/>
    <n v="4322"/>
    <s v="33369000"/>
    <s v="34.10.14.243.3013.2157.31909400"/>
    <s v="2"/>
    <s v="Termo de Contrato - Serviços"/>
    <n v="7"/>
    <s v="Inexigibilidade"/>
    <n v="2025"/>
    <n v="10361"/>
    <s v="037/SMDHC/2025"/>
    <s v="6074202500022460"/>
    <x v="0"/>
    <x v="211"/>
    <s v="11/04/2025 00:00:00"/>
    <s v="06/05/2025 00:00:00"/>
    <s v="20/04/2025 00:00:00"/>
    <n v="0"/>
    <x v="2"/>
    <n v="500"/>
    <n v="0"/>
    <n v="0"/>
    <n v="0"/>
    <n v="500"/>
    <n v="41.666666666666657"/>
    <n v="500"/>
    <n v="500"/>
    <n v="41.666666666666657"/>
    <n v="500"/>
    <n v="500"/>
    <n v="0"/>
    <n v="500"/>
    <n v="500"/>
    <n v="500"/>
    <s v="07-07-2025"/>
    <s v="6074202500022460|34.10.14.243.3013.2157.31909400"/>
    <n v="1"/>
  </r>
  <r>
    <s v="01"/>
    <s v="Secretaria Municipal de Direitos Humanos e Cidadania"/>
    <s v="34"/>
    <s v="10"/>
    <n v="14"/>
    <n v="422"/>
    <n v="3013"/>
    <n v="4322"/>
    <s v="33369000"/>
    <s v="34.10.14.243.3013.2157.31909400"/>
    <s v="2"/>
    <s v="Termo de Contrato - Serviços"/>
    <n v="7"/>
    <s v="Inexigibilidade"/>
    <n v="2025"/>
    <n v="10405"/>
    <s v="036/SMDHC/2025"/>
    <s v="6074202500022312"/>
    <x v="0"/>
    <x v="212"/>
    <s v="10/04/2025 00:00:00"/>
    <s v="06/05/2025 00:00:00"/>
    <s v="19/05/2025 00:00:00"/>
    <n v="1"/>
    <x v="2"/>
    <n v="500"/>
    <n v="0"/>
    <n v="0"/>
    <n v="0"/>
    <n v="500"/>
    <n v="41.666666666666657"/>
    <n v="500"/>
    <n v="500"/>
    <n v="41.666666666666657"/>
    <n v="500"/>
    <n v="500"/>
    <n v="0"/>
    <n v="500"/>
    <n v="500"/>
    <n v="500"/>
    <s v="07-07-2025"/>
    <s v="6074202500022312|34.10.14.243.3013.2157.31909400"/>
    <n v="1"/>
  </r>
  <r>
    <s v="01"/>
    <s v="Secretaria Municipal de Direitos Humanos e Cidadania"/>
    <s v="34"/>
    <s v="10"/>
    <n v="14"/>
    <n v="422"/>
    <n v="3007"/>
    <n v="4320"/>
    <s v="33309000"/>
    <s v="34.10.14.243.3013.2157.31909400"/>
    <s v="29"/>
    <s v="Termo de Contrato para Aquisição de Bens de Consumo e/ou Permanente"/>
    <n v="12"/>
    <s v="Pregão"/>
    <n v="2025"/>
    <n v="10407"/>
    <s v="040/SMDHC/2025"/>
    <s v="6074202500020786"/>
    <x v="0"/>
    <x v="213"/>
    <s v="24/04/2025 00:00:00"/>
    <s v="28/04/2025 00:00:00"/>
    <s v="24/05/2025 00:00:00"/>
    <n v="1"/>
    <x v="2"/>
    <n v="14000"/>
    <n v="0"/>
    <n v="0"/>
    <n v="0"/>
    <n v="14000"/>
    <n v="1166.666666666667"/>
    <n v="14000"/>
    <n v="14000"/>
    <n v="1166.666666666667"/>
    <n v="14000"/>
    <n v="14000"/>
    <n v="0"/>
    <n v="14000"/>
    <n v="14000"/>
    <n v="14000"/>
    <s v="07-07-2025"/>
    <s v="6074202500020786|34.10.14.243.3013.2157.31909400"/>
    <n v="1"/>
  </r>
  <r>
    <s v="01"/>
    <s v="Secretaria Municipal de Direitos Humanos e Cidadania"/>
    <s v="34"/>
    <s v="10"/>
    <n v="14"/>
    <n v="422"/>
    <n v="3013"/>
    <n v="4322"/>
    <s v="33369000"/>
    <s v="34.10.14.422.3013.4322.33903600"/>
    <s v="2"/>
    <s v="Termo de Contrato - Serviços"/>
    <n v="7"/>
    <s v="Inexigibilidade"/>
    <n v="2025"/>
    <n v="10420"/>
    <s v="033/SMDHC/2025"/>
    <s v="6074202500022401"/>
    <x v="0"/>
    <x v="214"/>
    <s v="10/04/2025 00:00:00"/>
    <s v="06/05/2025 00:00:00"/>
    <s v="19/05/2025 00:00:00"/>
    <n v="1"/>
    <x v="2"/>
    <n v="500"/>
    <n v="0"/>
    <n v="0"/>
    <n v="0"/>
    <n v="500"/>
    <n v="41.666666666666657"/>
    <n v="500"/>
    <n v="500"/>
    <n v="41.666666666666657"/>
    <n v="500"/>
    <n v="500"/>
    <n v="0"/>
    <n v="500"/>
    <n v="500"/>
    <n v="500"/>
    <s v="07-07-2025"/>
    <s v="6074202500022401|34.10.14.422.3013.4322.33903600"/>
    <n v="1"/>
  </r>
  <r>
    <s v="01"/>
    <s v="Secretaria Municipal de Direitos Humanos e Cidadania"/>
    <s v="34"/>
    <s v="10"/>
    <n v="14"/>
    <n v="422"/>
    <n v="3013"/>
    <n v="4322"/>
    <s v="33369000"/>
    <s v="34.10.14.422.3013.4322.33903600"/>
    <s v="2"/>
    <s v="Termo de Contrato - Serviços"/>
    <n v="7"/>
    <s v="Inexigibilidade"/>
    <n v="2025"/>
    <n v="10511"/>
    <s v="034/SMDHC/2025"/>
    <s v="6074202500022355"/>
    <x v="0"/>
    <x v="212"/>
    <s v="10/04/2025 00:00:00"/>
    <s v="06/05/2025 00:00:00"/>
    <s v="20/04/2025 00:00:00"/>
    <n v="0"/>
    <x v="2"/>
    <n v="500"/>
    <n v="0"/>
    <n v="0"/>
    <n v="0"/>
    <n v="500"/>
    <n v="41.666666666666657"/>
    <n v="500"/>
    <n v="500"/>
    <n v="41.666666666666657"/>
    <n v="500"/>
    <n v="500"/>
    <n v="0"/>
    <n v="500"/>
    <n v="500"/>
    <n v="500"/>
    <s v="07-07-2025"/>
    <s v="6074202500022355|34.10.14.422.3013.4322.33903600"/>
    <n v="1"/>
  </r>
  <r>
    <s v="01"/>
    <s v="Secretaria Municipal de Direitos Humanos e Cidadania"/>
    <s v="34"/>
    <s v="10"/>
    <n v="14"/>
    <n v="422"/>
    <n v="3013"/>
    <n v="4322"/>
    <s v="33369000"/>
    <s v="34.10.14.422.3013.4322.33903600"/>
    <s v="2"/>
    <s v="Termo de Contrato - Serviços"/>
    <n v="7"/>
    <s v="Inexigibilidade"/>
    <n v="2025"/>
    <n v="10573"/>
    <s v="042/SMDHC/2025"/>
    <s v="6074202500022398"/>
    <x v="0"/>
    <x v="215"/>
    <s v="14/04/2025 00:00:00"/>
    <s v="06/05/2025 00:00:00"/>
    <s v="19/05/2025 00:00:00"/>
    <n v="1"/>
    <x v="2"/>
    <n v="500"/>
    <n v="0"/>
    <n v="0"/>
    <n v="0"/>
    <n v="500"/>
    <n v="41.666666666666657"/>
    <n v="500"/>
    <n v="500"/>
    <n v="41.666666666666657"/>
    <n v="500"/>
    <n v="500"/>
    <n v="0"/>
    <n v="500"/>
    <n v="500"/>
    <n v="500"/>
    <s v="07-07-2025"/>
    <s v="6074202500022398|34.10.14.422.3013.4322.33903600"/>
    <n v="1"/>
  </r>
  <r>
    <s v="01"/>
    <s v="Secretaria Municipal de Direitos Humanos e Cidadania"/>
    <s v="34"/>
    <s v="10"/>
    <n v="14"/>
    <n v="422"/>
    <n v="3013"/>
    <n v="4322"/>
    <s v="33369000"/>
    <s v="34.10.14.422.3013.4322.33903600"/>
    <s v="2"/>
    <s v="Termo de Contrato - Serviços"/>
    <n v="7"/>
    <s v="Inexigibilidade"/>
    <n v="2025"/>
    <n v="10556"/>
    <s v="044/SMDHC/2025"/>
    <s v="6074202500022452"/>
    <x v="0"/>
    <x v="216"/>
    <s v="14/04/2025 00:00:00"/>
    <s v="06/05/2025 00:00:00"/>
    <s v="20/04/2025 00:00:00"/>
    <n v="0"/>
    <x v="2"/>
    <n v="500"/>
    <n v="0"/>
    <n v="0"/>
    <n v="0"/>
    <n v="500"/>
    <n v="41.666666666666657"/>
    <n v="500"/>
    <n v="500"/>
    <n v="41.666666666666657"/>
    <n v="500"/>
    <n v="500"/>
    <n v="0"/>
    <n v="500"/>
    <n v="500"/>
    <n v="500"/>
    <s v="07-07-2025"/>
    <s v="6074202500022452|34.10.14.422.3013.4322.33903600"/>
    <n v="1"/>
  </r>
  <r>
    <s v="01"/>
    <s v="Secretaria Municipal de Direitos Humanos e Cidadania"/>
    <s v="34"/>
    <s v="10"/>
    <n v="14"/>
    <n v="422"/>
    <n v="3013"/>
    <n v="4322"/>
    <s v="33369000"/>
    <s v="34.10.14.422.3013.4322.33903600"/>
    <s v="2"/>
    <s v="Termo de Contrato - Serviços"/>
    <n v="7"/>
    <s v="Inexigibilidade"/>
    <n v="2025"/>
    <n v="10567"/>
    <s v="046/SMDHC/2025"/>
    <s v="6074202500025214"/>
    <x v="0"/>
    <x v="211"/>
    <s v="14/04/2025 00:00:00"/>
    <s v="06/05/2025 00:00:00"/>
    <s v="19/05/2025 00:00:00"/>
    <n v="1"/>
    <x v="2"/>
    <n v="500"/>
    <n v="0"/>
    <n v="0"/>
    <n v="0"/>
    <n v="500"/>
    <n v="41.666666666666657"/>
    <n v="500"/>
    <n v="500"/>
    <n v="41.666666666666657"/>
    <n v="500"/>
    <n v="500"/>
    <n v="0"/>
    <n v="500"/>
    <n v="500"/>
    <n v="500"/>
    <s v="07-07-2025"/>
    <s v="6074202500025214|34.10.14.422.3013.4322.33903600"/>
    <n v="1"/>
  </r>
  <r>
    <s v="01"/>
    <s v="Secretaria Municipal de Direitos Humanos e Cidadania"/>
    <s v="34"/>
    <s v="10"/>
    <n v="14"/>
    <n v="422"/>
    <n v="3013"/>
    <n v="4322"/>
    <s v="33369000"/>
    <s v="34.10.14.422.3013.4322.33903600"/>
    <s v="2"/>
    <s v="Termo de Contrato - Serviços"/>
    <n v="7"/>
    <s v="Inexigibilidade"/>
    <n v="2025"/>
    <n v="10578"/>
    <s v="039/SMDHC/2025"/>
    <s v="6074202500022339"/>
    <x v="0"/>
    <x v="212"/>
    <s v="14/04/2025 00:00:00"/>
    <s v="06/05/2025 00:00:00"/>
    <s v="20/04/2025 00:00:00"/>
    <n v="0"/>
    <x v="2"/>
    <n v="500"/>
    <n v="0"/>
    <n v="0"/>
    <n v="0"/>
    <n v="500"/>
    <n v="41.666666666666657"/>
    <n v="500"/>
    <n v="500"/>
    <n v="41.666666666666657"/>
    <n v="500"/>
    <n v="500"/>
    <n v="0"/>
    <n v="500"/>
    <n v="500"/>
    <n v="500"/>
    <s v="07-07-2025"/>
    <s v="6074202500022339|34.10.14.422.3013.4322.33903600"/>
    <n v="1"/>
  </r>
  <r>
    <s v="01"/>
    <s v="Secretaria Municipal de Direitos Humanos e Cidadania"/>
    <s v="34"/>
    <s v="10"/>
    <n v="14"/>
    <n v="422"/>
    <n v="3013"/>
    <n v="4322"/>
    <s v="33369000"/>
    <s v="34.10.14.422.3013.4322.33903600"/>
    <s v="2"/>
    <s v="Termo de Contrato - Serviços"/>
    <n v="7"/>
    <s v="Inexigibilidade"/>
    <n v="2025"/>
    <n v="10600"/>
    <s v="041/SMDHC/2025"/>
    <s v="6074202500022371"/>
    <x v="0"/>
    <x v="217"/>
    <s v="14/04/2025 00:00:00"/>
    <s v="06/05/2025 00:00:00"/>
    <s v="19/05/2025 00:00:00"/>
    <n v="1"/>
    <x v="2"/>
    <n v="500"/>
    <n v="0"/>
    <n v="0"/>
    <n v="0"/>
    <n v="500"/>
    <n v="41.666666666666657"/>
    <n v="500"/>
    <n v="500"/>
    <n v="41.666666666666657"/>
    <n v="500"/>
    <n v="500"/>
    <n v="0"/>
    <n v="500"/>
    <n v="500"/>
    <n v="500"/>
    <s v="07-07-2025"/>
    <s v="6074202500022371|34.10.14.422.3013.4322.33903600"/>
    <n v="1"/>
  </r>
  <r>
    <s v="01"/>
    <s v="Secretaria Municipal de Direitos Humanos e Cidadania"/>
    <s v="34"/>
    <s v="10"/>
    <n v="14"/>
    <n v="422"/>
    <n v="3013"/>
    <n v="4322"/>
    <s v="33369000"/>
    <s v="34.10.14.422.3013.4322.33903600"/>
    <s v="2"/>
    <s v="Termo de Contrato - Serviços"/>
    <n v="7"/>
    <s v="Inexigibilidade"/>
    <n v="2025"/>
    <n v="10598"/>
    <s v="043/SMDHC/2025"/>
    <s v="6074202500022428"/>
    <x v="0"/>
    <x v="218"/>
    <s v="14/04/2025 00:00:00"/>
    <s v="06/05/2025 00:00:00"/>
    <s v="20/04/2025 00:00:00"/>
    <n v="0"/>
    <x v="2"/>
    <n v="500"/>
    <n v="0"/>
    <n v="0"/>
    <n v="0"/>
    <n v="500"/>
    <n v="41.666666666666657"/>
    <n v="500"/>
    <n v="500"/>
    <n v="41.666666666666657"/>
    <n v="500"/>
    <n v="500"/>
    <n v="0"/>
    <n v="500"/>
    <n v="500"/>
    <n v="500"/>
    <s v="07-07-2025"/>
    <s v="6074202500022428|34.10.14.422.3013.4322.33903600"/>
    <n v="1"/>
  </r>
  <r>
    <s v="01"/>
    <s v="Secretaria Municipal de Direitos Humanos e Cidadania"/>
    <s v="34"/>
    <s v="10"/>
    <n v="14"/>
    <n v="422"/>
    <n v="3013"/>
    <n v="4322"/>
    <s v="33369000"/>
    <s v="34.10.14.422.3013.4322.33903600"/>
    <s v="2"/>
    <s v="Termo de Contrato - Serviços"/>
    <n v="7"/>
    <s v="Inexigibilidade"/>
    <n v="2025"/>
    <n v="10604"/>
    <s v="038/SMDHC/2025"/>
    <s v="6074202500022320"/>
    <x v="0"/>
    <x v="219"/>
    <s v="11/04/2025 00:00:00"/>
    <s v="06/05/2025 00:00:00"/>
    <s v="19/05/2025 00:00:00"/>
    <n v="1"/>
    <x v="2"/>
    <n v="500"/>
    <n v="0"/>
    <n v="0"/>
    <n v="0"/>
    <n v="500"/>
    <n v="41.666666666666657"/>
    <n v="500"/>
    <n v="500"/>
    <n v="41.666666666666657"/>
    <n v="500"/>
    <n v="500"/>
    <n v="0"/>
    <n v="500"/>
    <n v="500"/>
    <n v="500"/>
    <s v="07-07-2025"/>
    <s v="6074202500022320|34.10.14.422.3013.4322.33903600"/>
    <n v="1"/>
  </r>
  <r>
    <s v="01"/>
    <s v="Secretaria Municipal de Direitos Humanos e Cidadania"/>
    <s v="34"/>
    <s v="10"/>
    <n v="8"/>
    <n v="605"/>
    <n v="3016"/>
    <n v="4470"/>
    <s v="33399000"/>
    <s v="34.10.14.422.3013.4322.33903600"/>
    <s v="2"/>
    <s v="Termo de Contrato - Serviços"/>
    <n v="6"/>
    <s v="Dispensa de Licitação"/>
    <n v="2025"/>
    <n v="10757"/>
    <m/>
    <s v="6074202500016967"/>
    <x v="1"/>
    <x v="220"/>
    <m/>
    <m/>
    <m/>
    <n v="12"/>
    <x v="0"/>
    <n v="4216"/>
    <n v="0"/>
    <n v="0"/>
    <n v="0"/>
    <n v="4216"/>
    <n v="351.33333333333331"/>
    <n v="4216"/>
    <n v="4216"/>
    <n v="351.33333333333331"/>
    <n v="4216"/>
    <n v="4216"/>
    <n v="0"/>
    <n v="4216"/>
    <n v="0"/>
    <n v="0"/>
    <s v="07-07-2025"/>
    <s v="6074202500016967|34.10.14.422.3013.4322.33903600"/>
    <n v="1"/>
  </r>
  <r>
    <s v="01"/>
    <s v="Secretaria Municipal de Direitos Humanos e Cidadania"/>
    <s v="34"/>
    <s v="10"/>
    <n v="14"/>
    <n v="126"/>
    <n v="3011"/>
    <n v="2818"/>
    <s v="33409000"/>
    <s v="34.10.14.422.3013.4322.33903600"/>
    <s v="2"/>
    <s v="Termo de Contrato - Serviços"/>
    <n v="6"/>
    <s v="Dispensa de Licitação"/>
    <n v="2025"/>
    <n v="10781"/>
    <s v=" 48/SMDHC/2025"/>
    <s v="6074202500006775"/>
    <x v="1"/>
    <x v="221"/>
    <s v="08/05/2025 00:00:00"/>
    <s v="16/05/2025 00:00:00"/>
    <s v="20/05/2026 00:00:00"/>
    <n v="12"/>
    <x v="1"/>
    <n v="2558"/>
    <n v="0"/>
    <n v="0"/>
    <n v="0"/>
    <n v="2558"/>
    <n v="213.16666666666671"/>
    <n v="2558"/>
    <n v="2558"/>
    <n v="213.16666666666671"/>
    <n v="2558"/>
    <n v="2558"/>
    <n v="0"/>
    <n v="2558"/>
    <n v="2558"/>
    <n v="2558"/>
    <s v="07-07-2025"/>
    <s v="6074202500006775|34.10.14.422.3013.4322.33903600"/>
    <n v="1"/>
  </r>
  <r>
    <s v="01"/>
    <s v="Secretaria Municipal de Direitos Humanos e Cidadania"/>
    <s v="34"/>
    <s v="10"/>
    <n v="14"/>
    <n v="422"/>
    <n v="3013"/>
    <n v="4322"/>
    <s v="33369000"/>
    <s v="34.10.14.422.3013.4322.33903600"/>
    <s v="2"/>
    <s v="Termo de Contrato - Serviços"/>
    <n v="7"/>
    <s v="Inexigibilidade"/>
    <n v="2025"/>
    <n v="10836"/>
    <s v="050/SMDHC/2025"/>
    <s v="6074202500022363"/>
    <x v="0"/>
    <x v="222"/>
    <s v="16/04/2025 00:00:00"/>
    <s v="06/05/2025 00:00:00"/>
    <s v="20/04/2025 00:00:00"/>
    <n v="0"/>
    <x v="2"/>
    <n v="500"/>
    <n v="0"/>
    <n v="0"/>
    <n v="0"/>
    <n v="500"/>
    <n v="41.666666666666657"/>
    <n v="500"/>
    <n v="500"/>
    <n v="41.666666666666657"/>
    <n v="500"/>
    <n v="500"/>
    <n v="0"/>
    <n v="500"/>
    <n v="500"/>
    <n v="500"/>
    <s v="07-07-2025"/>
    <s v="6074202500022363|34.10.14.422.3013.4322.33903600"/>
    <n v="1"/>
  </r>
  <r>
    <s v="01"/>
    <s v="Secretaria Municipal de Direitos Humanos e Cidadania"/>
    <s v="34"/>
    <s v="10"/>
    <n v="14"/>
    <n v="422"/>
    <n v="3013"/>
    <n v="4322"/>
    <s v="33369000"/>
    <s v="34.10.14.422.3013.4322.33903600"/>
    <s v="2"/>
    <s v="Termo de Contrato - Serviços"/>
    <n v="7"/>
    <s v="Inexigibilidade"/>
    <n v="2025"/>
    <n v="10859"/>
    <s v="051/SMDHC/2025"/>
    <s v="6074202500022304"/>
    <x v="0"/>
    <x v="222"/>
    <s v="16/04/2025 00:00:00"/>
    <s v="06/05/2025 00:00:00"/>
    <s v="19/05/2025 00:00:00"/>
    <n v="1"/>
    <x v="2"/>
    <n v="500"/>
    <n v="0"/>
    <n v="0"/>
    <n v="0"/>
    <n v="500"/>
    <n v="41.666666666666657"/>
    <n v="500"/>
    <n v="500"/>
    <n v="41.666666666666657"/>
    <n v="500"/>
    <n v="500"/>
    <n v="0"/>
    <n v="500"/>
    <n v="500"/>
    <n v="500"/>
    <s v="07-07-2025"/>
    <s v="6074202500022304|34.10.14.422.3013.4322.33903600"/>
    <n v="1"/>
  </r>
  <r>
    <s v="01"/>
    <s v="Secretaria Municipal de Direitos Humanos e Cidadania"/>
    <s v="34"/>
    <s v="10"/>
    <n v="14"/>
    <n v="422"/>
    <n v="3013"/>
    <n v="4322"/>
    <s v="33369000"/>
    <s v="34.10.14.422.3013.4322.33903600"/>
    <s v="2"/>
    <s v="Termo de Contrato - Serviços"/>
    <n v="7"/>
    <s v="Inexigibilidade"/>
    <n v="2025"/>
    <n v="10865"/>
    <s v="049/SMDHC/2025"/>
    <s v="6074202500022410"/>
    <x v="0"/>
    <x v="223"/>
    <s v="16/04/2025 00:00:00"/>
    <s v="06/05/2025 00:00:00"/>
    <s v="19/05/2025 00:00:00"/>
    <n v="1"/>
    <x v="2"/>
    <n v="500"/>
    <n v="0"/>
    <n v="0"/>
    <n v="0"/>
    <n v="500"/>
    <n v="41.666666666666657"/>
    <n v="500"/>
    <n v="500"/>
    <n v="41.666666666666657"/>
    <n v="500"/>
    <n v="500"/>
    <n v="0"/>
    <n v="500"/>
    <n v="500"/>
    <n v="500"/>
    <s v="07-07-2025"/>
    <s v="6074202500022410|34.10.14.422.3013.4322.33903600"/>
    <n v="1"/>
  </r>
  <r>
    <s v="01"/>
    <s v="Secretaria Municipal de Direitos Humanos e Cidadania"/>
    <s v="34"/>
    <s v="10"/>
    <n v="8"/>
    <n v="605"/>
    <n v="3016"/>
    <n v="4470"/>
    <s v="33399000"/>
    <s v="34.10.14.422.3013.4322.33903600"/>
    <s v="2"/>
    <s v="Termo de Contrato - Serviços"/>
    <n v="6"/>
    <s v="Dispensa de Licitação"/>
    <n v="2025"/>
    <n v="10786"/>
    <m/>
    <s v="6074202400109904"/>
    <x v="0"/>
    <x v="224"/>
    <m/>
    <m/>
    <m/>
    <n v="12"/>
    <x v="0"/>
    <n v="7500"/>
    <n v="0"/>
    <n v="0"/>
    <n v="0"/>
    <n v="7500"/>
    <n v="625"/>
    <n v="7500"/>
    <n v="7500"/>
    <n v="625"/>
    <n v="7500"/>
    <n v="7500"/>
    <n v="0"/>
    <n v="7500"/>
    <n v="0"/>
    <n v="0"/>
    <s v="07-07-2025"/>
    <s v="6074202400109904|34.10.14.422.3013.4322.33903600"/>
    <n v="1"/>
  </r>
  <r>
    <s v="01"/>
    <s v="Secretaria Municipal de Direitos Humanos e Cidadania"/>
    <s v="34"/>
    <s v="10"/>
    <n v="14"/>
    <n v="422"/>
    <n v="3013"/>
    <n v="4322"/>
    <s v="33399000"/>
    <s v="34.10.14.422.3013.4322.33903600"/>
    <s v="41"/>
    <s v="Nota de Empenho de Serviços com fornecimento de materiais / peças"/>
    <n v="12"/>
    <s v="Pregão"/>
    <n v="2025"/>
    <n v="10996"/>
    <m/>
    <s v="6074202500028515"/>
    <x v="0"/>
    <x v="225"/>
    <m/>
    <m/>
    <s v="18/04/2025 00:00:00"/>
    <n v="12"/>
    <x v="0"/>
    <n v="989.4"/>
    <n v="0"/>
    <n v="0"/>
    <n v="0"/>
    <n v="989.4"/>
    <n v="82.45"/>
    <n v="989.40000000000009"/>
    <n v="989.4"/>
    <n v="82.45"/>
    <n v="989.40000000000009"/>
    <n v="989.4"/>
    <n v="0"/>
    <n v="989.4"/>
    <n v="989.4"/>
    <n v="989.4"/>
    <s v="07-07-2025"/>
    <s v="6074202500028515|34.10.14.422.3013.4322.33903600"/>
    <n v="1"/>
  </r>
  <r>
    <s v="01"/>
    <s v="Secretaria Municipal de Direitos Humanos e Cidadania"/>
    <s v="34"/>
    <s v="10"/>
    <n v="14"/>
    <n v="422"/>
    <n v="3013"/>
    <n v="4322"/>
    <s v="33369000"/>
    <s v="34.10.14.422.3013.4322.33903600"/>
    <s v="2"/>
    <s v="Termo de Contrato - Serviços"/>
    <n v="7"/>
    <s v="Inexigibilidade"/>
    <n v="2025"/>
    <n v="11026"/>
    <s v="052/SMDHC/2025"/>
    <s v="6074202500022282"/>
    <x v="0"/>
    <x v="222"/>
    <s v="16/04/2025 00:00:00"/>
    <s v="06/05/2025 00:00:00"/>
    <s v="20/04/2025 00:00:00"/>
    <n v="0"/>
    <x v="2"/>
    <n v="500"/>
    <n v="0"/>
    <n v="0"/>
    <n v="0"/>
    <n v="500"/>
    <n v="41.666666666666657"/>
    <n v="500"/>
    <n v="500"/>
    <n v="41.666666666666657"/>
    <n v="500"/>
    <n v="500"/>
    <n v="0"/>
    <n v="500"/>
    <n v="500"/>
    <n v="500"/>
    <s v="07-07-2025"/>
    <s v="6074202500022282|34.10.14.422.3013.4322.33903600"/>
    <n v="1"/>
  </r>
  <r>
    <s v="01"/>
    <s v="Secretaria Municipal de Direitos Humanos e Cidadania"/>
    <s v="34"/>
    <s v="10"/>
    <n v="14"/>
    <n v="422"/>
    <n v="3013"/>
    <n v="4322"/>
    <s v="33369000"/>
    <s v="34.10.14.422.3013.4322.33903600"/>
    <s v="2"/>
    <s v="Termo de Contrato - Serviços"/>
    <n v="6"/>
    <s v="Dispensa de Licitação"/>
    <n v="2025"/>
    <n v="11027"/>
    <m/>
    <s v="6074202500022282"/>
    <x v="0"/>
    <x v="211"/>
    <m/>
    <m/>
    <m/>
    <n v="0"/>
    <x v="2"/>
    <n v="500"/>
    <n v="0"/>
    <n v="0"/>
    <n v="0"/>
    <n v="500"/>
    <n v="41.666666666666657"/>
    <n v="500"/>
    <n v="500"/>
    <n v="41.666666666666657"/>
    <n v="500"/>
    <n v="0"/>
    <n v="0"/>
    <n v="0"/>
    <n v="0"/>
    <n v="0"/>
    <s v="07-07-2025"/>
    <s v="6074202500022282|34.10.14.422.3013.4322.33903600"/>
    <n v="1"/>
  </r>
  <r>
    <s v="01"/>
    <s v="Secretaria Municipal de Direitos Humanos e Cidadania"/>
    <s v="34"/>
    <s v="10"/>
    <n v="14"/>
    <n v="422"/>
    <n v="3013"/>
    <n v="2431"/>
    <s v="33399000"/>
    <s v="34.10.14.422.3013.4322.33903600"/>
    <s v="41"/>
    <s v="Nota de Empenho de Serviços com fornecimento de materiais / peças"/>
    <n v="12"/>
    <s v="Pregão"/>
    <n v="2025"/>
    <n v="11161"/>
    <m/>
    <s v="6074202500027500"/>
    <x v="0"/>
    <x v="226"/>
    <m/>
    <m/>
    <s v="08/05/2025 00:00:00"/>
    <n v="12"/>
    <x v="0"/>
    <n v="2009.6"/>
    <n v="0"/>
    <n v="0"/>
    <n v="0"/>
    <n v="2009.6"/>
    <n v="167.4666666666667"/>
    <n v="2009.6"/>
    <n v="2009.6"/>
    <n v="167.4666666666667"/>
    <n v="2009.6"/>
    <n v="2009.6"/>
    <n v="0"/>
    <n v="2009.6"/>
    <n v="2009.6"/>
    <n v="2009.6"/>
    <s v="07-07-2025"/>
    <s v="6074202500027500|34.10.14.422.3013.4322.33903600"/>
    <n v="1"/>
  </r>
  <r>
    <s v="01"/>
    <s v="Secretaria Municipal de Direitos Humanos e Cidadania"/>
    <s v="34"/>
    <s v="10"/>
    <n v="14"/>
    <n v="422"/>
    <n v="3013"/>
    <n v="4322"/>
    <s v="33399000"/>
    <s v="34.10.14.422.3013.4322.33903600"/>
    <s v="30"/>
    <s v="Nota de Empenho para Fornecimento de Serviços"/>
    <n v="12"/>
    <s v="Pregão"/>
    <n v="2025"/>
    <n v="11265"/>
    <m/>
    <s v="6074202500029147"/>
    <x v="0"/>
    <x v="227"/>
    <m/>
    <m/>
    <s v="23/04/2025 00:00:00"/>
    <n v="12"/>
    <x v="0"/>
    <n v="1004.8"/>
    <n v="0"/>
    <n v="0"/>
    <n v="0"/>
    <n v="1004.8"/>
    <n v="83.733333333333334"/>
    <n v="1004.8"/>
    <n v="1004.8"/>
    <n v="83.733333333333334"/>
    <n v="1004.8"/>
    <n v="1004.8"/>
    <n v="0"/>
    <n v="1004.8"/>
    <n v="1004.8"/>
    <n v="1004.8"/>
    <s v="07-07-2025"/>
    <s v="6074202500029147|34.10.14.422.3013.4322.33903600"/>
    <n v="1"/>
  </r>
  <r>
    <s v="01"/>
    <s v="Secretaria Municipal de Direitos Humanos e Cidadania"/>
    <s v="34"/>
    <s v="10"/>
    <n v="14"/>
    <n v="122"/>
    <n v="3024"/>
    <n v="2100"/>
    <s v="33399000"/>
    <s v="34.10.14.422.3013.4322.33903600"/>
    <s v="29"/>
    <s v="Termo de Contrato para Aquisição de Bens de Consumo e/ou Permanente"/>
    <n v="12"/>
    <s v="Pregão"/>
    <n v="2025"/>
    <n v="11279"/>
    <s v="053/SMDHC/2025"/>
    <s v="6074202500025303"/>
    <x v="0"/>
    <x v="228"/>
    <s v="17/04/2025 00:00:00"/>
    <s v="13/05/2025 00:00:00"/>
    <s v="17/05/2025 00:00:00"/>
    <n v="1"/>
    <x v="2"/>
    <n v="100480"/>
    <n v="0"/>
    <n v="0"/>
    <n v="0"/>
    <n v="100480"/>
    <n v="8373.3333333333339"/>
    <n v="100480"/>
    <n v="100480"/>
    <n v="8373.3333333333339"/>
    <n v="100480"/>
    <n v="100480"/>
    <n v="0"/>
    <n v="100480"/>
    <n v="100480"/>
    <n v="100480"/>
    <s v="07-07-2025"/>
    <s v="6074202500025303|34.10.14.422.3013.4322.33903600"/>
    <n v="1"/>
  </r>
  <r>
    <s v="01"/>
    <s v="Secretaria Municipal de Direitos Humanos e Cidadania"/>
    <s v="34"/>
    <s v="10"/>
    <n v="14"/>
    <n v="122"/>
    <n v="3024"/>
    <n v="2100"/>
    <s v="33309000"/>
    <s v="34.10.14.422.3013.4322.33903600"/>
    <s v="5"/>
    <s v="Nota de Empenho Fornecimento de Bens de Consumo e/ou Permanente"/>
    <n v="12"/>
    <s v="Pregão"/>
    <n v="2025"/>
    <n v="11280"/>
    <m/>
    <s v="6074202500027799"/>
    <x v="0"/>
    <x v="229"/>
    <m/>
    <m/>
    <s v="17/05/2025 00:00:00"/>
    <n v="12"/>
    <x v="0"/>
    <n v="13200"/>
    <n v="0"/>
    <n v="0"/>
    <n v="0"/>
    <n v="13200"/>
    <n v="1100"/>
    <n v="13200"/>
    <n v="13200"/>
    <n v="1100"/>
    <n v="13200"/>
    <n v="13200"/>
    <n v="0"/>
    <n v="13200"/>
    <n v="13200"/>
    <n v="13200"/>
    <s v="07-07-2025"/>
    <s v="6074202500027799|34.10.14.422.3013.4322.33903600"/>
    <n v="1"/>
  </r>
  <r>
    <s v="01"/>
    <s v="Secretaria Municipal de Direitos Humanos e Cidadania"/>
    <s v="34"/>
    <s v="10"/>
    <n v="14"/>
    <n v="122"/>
    <n v="3024"/>
    <n v="2100"/>
    <s v="33309000"/>
    <s v="34.10.14.422.3013.4322.33903600"/>
    <s v="30"/>
    <s v="Nota de Empenho para Fornecimento de Serviços"/>
    <n v="12"/>
    <s v="Pregão"/>
    <n v="2025"/>
    <n v="11287"/>
    <m/>
    <s v="6074202500029597"/>
    <x v="0"/>
    <x v="230"/>
    <m/>
    <m/>
    <m/>
    <n v="12"/>
    <x v="0"/>
    <n v="2475"/>
    <n v="0"/>
    <n v="0"/>
    <n v="0"/>
    <n v="2475"/>
    <n v="206.25"/>
    <n v="2475"/>
    <n v="2475"/>
    <n v="206.25"/>
    <n v="2475"/>
    <n v="2475"/>
    <n v="0"/>
    <n v="2475"/>
    <n v="0"/>
    <n v="0"/>
    <s v="07-07-2025"/>
    <s v="6074202500029597|34.10.14.422.3013.4322.33903600"/>
    <n v="1"/>
  </r>
  <r>
    <s v="01"/>
    <s v="Secretaria Municipal de Cultura"/>
    <s v="25"/>
    <s v="10"/>
    <n v="14"/>
    <n v="122"/>
    <n v="3024"/>
    <n v="2100"/>
    <s v="33399000"/>
    <s v="34.10.14.422.3013.4322.33903600"/>
    <s v="2"/>
    <s v="Termo de Contrato - Serviços"/>
    <n v="7"/>
    <s v="Inexigibilidade"/>
    <n v="2025"/>
    <n v="11535"/>
    <s v="01237-2025-PE"/>
    <s v="6025202500059707"/>
    <x v="0"/>
    <x v="231"/>
    <s v="24/04/2025 00:00:00"/>
    <s v="29/04/2025 00:00:00"/>
    <s v="28/04/2025 00:00:00"/>
    <n v="0"/>
    <x v="2"/>
    <n v="20000"/>
    <n v="0"/>
    <n v="0"/>
    <n v="0"/>
    <n v="20000"/>
    <n v="1666.666666666667"/>
    <n v="20000"/>
    <n v="20000"/>
    <n v="1666.666666666667"/>
    <n v="20000"/>
    <n v="20000"/>
    <n v="0"/>
    <n v="20000"/>
    <n v="20000"/>
    <n v="20000"/>
    <s v="07-07-2025"/>
    <s v="6025202500059707|34.10.14.422.3013.4322.33903600"/>
    <n v="1"/>
  </r>
  <r>
    <s v="01"/>
    <s v="Secretaria Municipal de Cultura"/>
    <s v="25"/>
    <s v="10"/>
    <n v="14"/>
    <n v="122"/>
    <n v="3024"/>
    <n v="2100"/>
    <s v="33399000"/>
    <s v="34.10.14.422.3013.4322.33903600"/>
    <s v="2"/>
    <s v="Termo de Contrato - Serviços"/>
    <n v="7"/>
    <s v="Inexigibilidade"/>
    <n v="2025"/>
    <n v="11534"/>
    <s v="01254-2025-PE"/>
    <s v="6025202500060705"/>
    <x v="0"/>
    <x v="232"/>
    <s v="24/04/2025 00:00:00"/>
    <s v="28/04/2025 00:00:00"/>
    <s v="18/05/2025 00:00:00"/>
    <n v="0"/>
    <x v="2"/>
    <n v="50000"/>
    <n v="0"/>
    <n v="0"/>
    <n v="0"/>
    <n v="50000"/>
    <n v="4166.666666666667"/>
    <n v="50000"/>
    <n v="50000"/>
    <n v="4166.666666666667"/>
    <n v="50000"/>
    <n v="50000"/>
    <n v="0"/>
    <n v="50000"/>
    <n v="50000"/>
    <n v="50000"/>
    <s v="07-07-2025"/>
    <s v="6025202500060705|34.10.14.422.3013.4322.33903600"/>
    <n v="1"/>
  </r>
  <r>
    <s v="01"/>
    <s v="Secretaria Municipal de Direitos Humanos e Cidadania"/>
    <s v="34"/>
    <s v="10"/>
    <n v="14"/>
    <n v="122"/>
    <n v="3024"/>
    <n v="2100"/>
    <s v="44529000"/>
    <s v="34.10.14.422.3013.4322.33903600"/>
    <s v="5"/>
    <s v="Nota de Empenho Fornecimento de Bens de Consumo e/ou Permanente"/>
    <n v="6"/>
    <s v="Dispensa de Licitação"/>
    <n v="2025"/>
    <n v="11543"/>
    <m/>
    <s v="6074202500027535"/>
    <x v="0"/>
    <x v="233"/>
    <m/>
    <m/>
    <s v="10/05/2025 00:00:00"/>
    <n v="12"/>
    <x v="0"/>
    <n v="808"/>
    <n v="0"/>
    <n v="0"/>
    <n v="0"/>
    <n v="808"/>
    <n v="67.333333333333329"/>
    <n v="808"/>
    <n v="808"/>
    <n v="67.333333333333329"/>
    <n v="808"/>
    <n v="808"/>
    <n v="0"/>
    <n v="808"/>
    <n v="808"/>
    <n v="808"/>
    <s v="07-07-2025"/>
    <s v="6074202500027535|34.10.14.422.3013.4322.33903600"/>
    <n v="1"/>
  </r>
  <r>
    <s v="01"/>
    <s v="Secretaria Municipal de Direitos Humanos e Cidadania"/>
    <s v="34"/>
    <s v="10"/>
    <n v="14"/>
    <n v="422"/>
    <n v="3013"/>
    <n v="2053"/>
    <s v="33309000"/>
    <s v="34.10.14.422.3013.4322.33903600"/>
    <s v="41"/>
    <s v="Nota de Empenho de Serviços com fornecimento de materiais / peças"/>
    <n v="6"/>
    <s v="Dispensa de Licitação"/>
    <n v="2025"/>
    <n v="11576"/>
    <m/>
    <s v="6074202500021502"/>
    <x v="0"/>
    <x v="234"/>
    <m/>
    <m/>
    <s v="22/05/2025 00:00:00"/>
    <n v="12"/>
    <x v="0"/>
    <n v="4757.5"/>
    <n v="0"/>
    <n v="0"/>
    <n v="0"/>
    <n v="4757.5"/>
    <n v="396.45833333333331"/>
    <n v="4757.5"/>
    <n v="4757.5"/>
    <n v="396.45833333333331"/>
    <n v="4757.5"/>
    <n v="4757.5"/>
    <n v="0"/>
    <n v="4757.5"/>
    <n v="4757.5"/>
    <n v="4757.5"/>
    <s v="07-07-2025"/>
    <s v="6074202500021502|34.10.14.422.3013.4322.33903600"/>
    <n v="1"/>
  </r>
  <r>
    <s v="01"/>
    <s v="Secretaria Municipal de Cultura"/>
    <s v="25"/>
    <s v="10"/>
    <n v="14"/>
    <n v="122"/>
    <n v="3024"/>
    <n v="2100"/>
    <s v="33399000"/>
    <s v="34.10.14.422.3013.4322.33903600"/>
    <s v="2"/>
    <s v="Termo de Contrato - Serviços"/>
    <n v="7"/>
    <s v="Inexigibilidade"/>
    <n v="2025"/>
    <n v="11610"/>
    <s v="01258-2025-PE/EM"/>
    <s v="6025202500060640"/>
    <x v="0"/>
    <x v="235"/>
    <s v="24/04/2025 00:00:00"/>
    <s v="28/04/2025 00:00:00"/>
    <s v="18/05/2025 00:00:00"/>
    <n v="0"/>
    <x v="2"/>
    <n v="10000"/>
    <n v="0"/>
    <n v="0"/>
    <n v="0"/>
    <n v="10000"/>
    <n v="833.33333333333337"/>
    <n v="10000"/>
    <n v="10000"/>
    <n v="833.33333333333337"/>
    <n v="10000"/>
    <n v="10000"/>
    <n v="0"/>
    <n v="10000"/>
    <n v="10000"/>
    <n v="10000"/>
    <s v="07-07-2025"/>
    <s v="6025202500060640|34.10.14.422.3013.4322.33903600"/>
    <n v="1"/>
  </r>
  <r>
    <s v="01"/>
    <s v="Secretaria Municipal de Direitos Humanos e Cidadania"/>
    <s v="34"/>
    <s v="10"/>
    <n v="14"/>
    <n v="122"/>
    <n v="3024"/>
    <n v="2100"/>
    <s v="33309000"/>
    <s v="34.10.14.422.3013.4322.33903600"/>
    <s v="41"/>
    <s v="Nota de Empenho de Serviços com fornecimento de materiais / peças"/>
    <n v="12"/>
    <s v="Pregão"/>
    <n v="2025"/>
    <n v="11683"/>
    <m/>
    <s v="6074202500026040"/>
    <x v="0"/>
    <x v="236"/>
    <m/>
    <m/>
    <s v="01/05/2025 00:00:00"/>
    <n v="12"/>
    <x v="0"/>
    <n v="100"/>
    <n v="0"/>
    <n v="0"/>
    <n v="0"/>
    <n v="100"/>
    <n v="8.3333333333333339"/>
    <n v="100"/>
    <n v="0"/>
    <n v="0"/>
    <n v="0"/>
    <n v="100"/>
    <n v="0"/>
    <n v="100"/>
    <n v="100"/>
    <n v="100"/>
    <s v="07-07-2025"/>
    <s v="6074202500026040|34.10.14.422.3013.4322.33903600"/>
    <n v="0"/>
  </r>
  <r>
    <s v="01"/>
    <s v="Secretaria Municipal de Direitos Humanos e Cidadania"/>
    <s v="34"/>
    <s v="10"/>
    <n v="14"/>
    <n v="422"/>
    <n v="3013"/>
    <n v="2053"/>
    <s v="33309000"/>
    <s v="34.10.14.243.3013.2157.33904600"/>
    <s v="5"/>
    <s v="Nota de Empenho Fornecimento de Bens de Consumo e/ou Permanente"/>
    <n v="6"/>
    <s v="Dispensa de Licitação"/>
    <n v="2025"/>
    <n v="11667"/>
    <m/>
    <s v="6074202500021545"/>
    <x v="0"/>
    <x v="237"/>
    <m/>
    <m/>
    <s v="15/05/2025 00:00:00"/>
    <n v="12"/>
    <x v="0"/>
    <n v="1499.85"/>
    <n v="0"/>
    <n v="0"/>
    <n v="0"/>
    <n v="1499.85"/>
    <n v="124.9875"/>
    <n v="1499.85"/>
    <n v="1499.85"/>
    <n v="124.9875"/>
    <n v="1499.85"/>
    <n v="1499.85"/>
    <n v="0"/>
    <n v="1499.85"/>
    <n v="1499.85"/>
    <n v="1499.85"/>
    <s v="07-07-2025"/>
    <s v="6074202500021545|34.10.14.243.3013.2157.33904600"/>
    <n v="1"/>
  </r>
  <r>
    <s v="01"/>
    <s v="Secretaria Municipal de Direitos Humanos e Cidadania"/>
    <s v="34"/>
    <s v="10"/>
    <n v="14"/>
    <n v="422"/>
    <n v="3013"/>
    <n v="2053"/>
    <s v="33309000"/>
    <s v="34.10.14.243.3013.2157.33904600"/>
    <s v="5"/>
    <s v="Nota de Empenho Fornecimento de Bens de Consumo e/ou Permanente"/>
    <n v="6"/>
    <s v="Dispensa de Licitação"/>
    <n v="2025"/>
    <n v="11743"/>
    <m/>
    <s v="6074202500022983"/>
    <x v="0"/>
    <x v="238"/>
    <m/>
    <m/>
    <s v="15/05/2025 00:00:00"/>
    <n v="12"/>
    <x v="0"/>
    <n v="30000"/>
    <n v="0"/>
    <n v="0"/>
    <n v="0"/>
    <n v="30000"/>
    <n v="2500"/>
    <n v="30000"/>
    <n v="30000"/>
    <n v="2500"/>
    <n v="30000"/>
    <n v="30000"/>
    <n v="0"/>
    <n v="30000"/>
    <n v="30000"/>
    <n v="30000"/>
    <s v="07-07-2025"/>
    <s v="6074202500022983|34.10.14.243.3013.2157.33904600"/>
    <n v="1"/>
  </r>
  <r>
    <s v="01"/>
    <s v="Secretaria Municipal de Direitos Humanos e Cidadania"/>
    <s v="34"/>
    <s v="10"/>
    <n v="14"/>
    <n v="422"/>
    <n v="3013"/>
    <n v="4322"/>
    <s v="33369000"/>
    <s v="34.10.14.243.3013.2157.33904600"/>
    <s v="2"/>
    <s v="Termo de Contrato - Serviços"/>
    <n v="7"/>
    <s v="Inexigibilidade"/>
    <n v="2025"/>
    <n v="11752"/>
    <s v="057/SMDHC/2025"/>
    <s v="6074202500030323"/>
    <x v="0"/>
    <x v="239"/>
    <s v="25/04/2025 00:00:00"/>
    <s v="27/05/2025 00:00:00"/>
    <s v="25/05/2025 00:00:00"/>
    <n v="1"/>
    <x v="2"/>
    <n v="2000"/>
    <n v="0"/>
    <n v="0"/>
    <n v="0"/>
    <n v="2000"/>
    <n v="166.66666666666671"/>
    <n v="2000"/>
    <n v="2000"/>
    <n v="166.66666666666671"/>
    <n v="2000"/>
    <n v="2000"/>
    <n v="0"/>
    <n v="2000"/>
    <n v="2000"/>
    <n v="2000"/>
    <s v="07-07-2025"/>
    <s v="6074202500030323|34.10.14.243.3013.2157.33904600"/>
    <n v="1"/>
  </r>
  <r>
    <s v="01"/>
    <s v="Secretaria Municipal de Direitos Humanos e Cidadania"/>
    <s v="34"/>
    <s v="10"/>
    <n v="14"/>
    <n v="422"/>
    <n v="3013"/>
    <n v="4322"/>
    <s v="33369000"/>
    <s v="34.10.14.243.3013.2157.33904600"/>
    <s v="2"/>
    <s v="Termo de Contrato - Serviços"/>
    <n v="7"/>
    <s v="Inexigibilidade"/>
    <n v="2025"/>
    <n v="11749"/>
    <s v="059/SMDHC/2025"/>
    <s v="6074202500030501"/>
    <x v="0"/>
    <x v="240"/>
    <s v="25/05/2025 00:00:00"/>
    <s v="24/06/2025 00:00:00"/>
    <s v="24/06/2025 00:00:00"/>
    <n v="1"/>
    <x v="2"/>
    <n v="400"/>
    <n v="0"/>
    <n v="0"/>
    <n v="0"/>
    <n v="400"/>
    <n v="33.333333333333343"/>
    <n v="400"/>
    <n v="400"/>
    <n v="33.333333333333343"/>
    <n v="400"/>
    <n v="400"/>
    <n v="0"/>
    <n v="400"/>
    <n v="400"/>
    <n v="400"/>
    <s v="07-07-2025"/>
    <s v="6074202500030501|34.10.14.243.3013.2157.33904600"/>
    <n v="1"/>
  </r>
  <r>
    <s v="01"/>
    <s v="Secretaria Municipal de Direitos Humanos e Cidadania"/>
    <s v="34"/>
    <s v="10"/>
    <n v="14"/>
    <n v="422"/>
    <n v="3013"/>
    <n v="4322"/>
    <s v="33369000"/>
    <s v="34.10.14.243.3013.2157.33904600"/>
    <s v="2"/>
    <s v="Termo de Contrato - Serviços"/>
    <n v="7"/>
    <s v="Inexigibilidade"/>
    <n v="2025"/>
    <n v="11755"/>
    <s v="055/SMDHC/2025"/>
    <s v="6074202500030935"/>
    <x v="0"/>
    <x v="240"/>
    <s v="25/04/2025 00:00:00"/>
    <s v="23/05/2025 00:00:00"/>
    <s v="25/05/2025 00:00:00"/>
    <n v="1"/>
    <x v="2"/>
    <n v="400"/>
    <n v="0"/>
    <n v="0"/>
    <n v="0"/>
    <n v="400"/>
    <n v="33.333333333333343"/>
    <n v="400"/>
    <n v="400"/>
    <n v="33.333333333333343"/>
    <n v="400"/>
    <n v="400"/>
    <n v="0"/>
    <n v="400"/>
    <n v="400"/>
    <n v="400"/>
    <s v="07-07-2025"/>
    <s v="6074202500030935|34.10.14.243.3013.2157.33904600"/>
    <n v="1"/>
  </r>
  <r>
    <s v="01"/>
    <s v="Secretaria Municipal de Direitos Humanos e Cidadania"/>
    <s v="34"/>
    <s v="10"/>
    <n v="14"/>
    <n v="422"/>
    <n v="3013"/>
    <n v="4322"/>
    <s v="33369000"/>
    <s v="34.10.14.243.3013.2157.33904600"/>
    <s v="2"/>
    <s v="Termo de Contrato - Serviços"/>
    <n v="7"/>
    <s v="Inexigibilidade"/>
    <n v="2025"/>
    <n v="11780"/>
    <s v="061/SMDHC/2025"/>
    <s v="6074202500031044"/>
    <x v="0"/>
    <x v="240"/>
    <s v="25/04/2025 00:00:00"/>
    <s v="23/05/2025 00:00:00"/>
    <s v="25/05/2025 00:00:00"/>
    <n v="1"/>
    <x v="2"/>
    <n v="400"/>
    <n v="0"/>
    <n v="0"/>
    <n v="0"/>
    <n v="400"/>
    <n v="33.333333333333343"/>
    <n v="400"/>
    <n v="400"/>
    <n v="33.333333333333343"/>
    <n v="400"/>
    <n v="400"/>
    <n v="0"/>
    <n v="400"/>
    <n v="400"/>
    <n v="0"/>
    <s v="07-07-2025"/>
    <s v="6074202500031044|34.10.14.243.3013.2157.33904600"/>
    <n v="1"/>
  </r>
  <r>
    <s v="01"/>
    <s v="Secretaria Municipal de Direitos Humanos e Cidadania"/>
    <s v="34"/>
    <s v="10"/>
    <n v="14"/>
    <n v="422"/>
    <n v="3013"/>
    <n v="4322"/>
    <s v="33369000"/>
    <s v="34.10.14.243.3013.2157.33904600"/>
    <s v="2"/>
    <s v="Termo de Contrato - Serviços"/>
    <n v="7"/>
    <s v="Inexigibilidade"/>
    <n v="2025"/>
    <n v="11756"/>
    <s v="060/SMDHC/2025"/>
    <s v="6074202500030919"/>
    <x v="0"/>
    <x v="241"/>
    <s v="28/04/2025 00:00:00"/>
    <s v="23/05/2025 00:00:00"/>
    <s v="25/05/2025 00:00:00"/>
    <n v="0"/>
    <x v="2"/>
    <n v="400"/>
    <n v="0"/>
    <n v="0"/>
    <n v="0"/>
    <n v="400"/>
    <n v="33.333333333333343"/>
    <n v="400"/>
    <n v="400"/>
    <n v="33.333333333333343"/>
    <n v="400"/>
    <n v="400"/>
    <n v="0"/>
    <n v="400"/>
    <n v="400"/>
    <n v="400"/>
    <s v="07-07-2025"/>
    <s v="6074202500030919|34.10.14.243.3013.2157.33904600"/>
    <n v="1"/>
  </r>
  <r>
    <s v="01"/>
    <s v="Secretaria Municipal de Direitos Humanos e Cidadania"/>
    <s v="34"/>
    <s v="10"/>
    <n v="14"/>
    <n v="422"/>
    <n v="3013"/>
    <n v="4322"/>
    <s v="33369000"/>
    <s v="34.10.14.243.3013.2157.33904600"/>
    <s v="2"/>
    <s v="Termo de Contrato - Serviços"/>
    <n v="7"/>
    <s v="Inexigibilidade"/>
    <n v="2025"/>
    <n v="11762"/>
    <s v="056/SMDHC/2025"/>
    <s v="6074202500030951"/>
    <x v="0"/>
    <x v="242"/>
    <s v="25/04/2025 00:00:00"/>
    <s v="23/05/2025 00:00:00"/>
    <s v="25/05/2025 00:00:00"/>
    <n v="1"/>
    <x v="2"/>
    <n v="400"/>
    <n v="0"/>
    <n v="0"/>
    <n v="0"/>
    <n v="400"/>
    <n v="33.333333333333343"/>
    <n v="400"/>
    <n v="400"/>
    <n v="33.333333333333343"/>
    <n v="400"/>
    <n v="400"/>
    <n v="0"/>
    <n v="400"/>
    <n v="400"/>
    <n v="400"/>
    <s v="07-07-2025"/>
    <s v="6074202500030951|34.10.14.243.3013.2157.33904600"/>
    <n v="1"/>
  </r>
  <r>
    <s v="01"/>
    <s v="Secretaria Municipal de Direitos Humanos e Cidadania"/>
    <s v="34"/>
    <s v="10"/>
    <n v="14"/>
    <n v="122"/>
    <n v="3024"/>
    <n v="2100"/>
    <s v="33399000"/>
    <s v="34.10.14.243.3013.2157.33904600"/>
    <s v="2"/>
    <s v="Termo de Contrato - Serviços"/>
    <n v="7"/>
    <s v="Inexigibilidade"/>
    <n v="2025"/>
    <n v="11774"/>
    <s v="058/SMDHC/2025"/>
    <s v="6074202500031109"/>
    <x v="0"/>
    <x v="243"/>
    <s v="25/04/2025 00:00:00"/>
    <s v="23/05/2025 00:00:00"/>
    <s v="25/05/2025 00:00:00"/>
    <n v="1"/>
    <x v="2"/>
    <n v="3500"/>
    <n v="0"/>
    <n v="0"/>
    <n v="0"/>
    <n v="3500"/>
    <n v="291.66666666666669"/>
    <n v="3500"/>
    <n v="3500"/>
    <n v="291.66666666666669"/>
    <n v="3500"/>
    <n v="3500"/>
    <n v="0"/>
    <n v="3500"/>
    <n v="3500"/>
    <n v="3500"/>
    <s v="07-07-2025"/>
    <s v="6074202500031109|34.10.14.243.3013.2157.33904600"/>
    <n v="1"/>
  </r>
  <r>
    <s v="01"/>
    <s v="Secretaria Municipal de Direitos Humanos e Cidadania"/>
    <s v="34"/>
    <s v="10"/>
    <n v="14"/>
    <n v="422"/>
    <n v="3013"/>
    <n v="4322"/>
    <s v="33369000"/>
    <s v="34.10.14.243.3013.2157.33904600"/>
    <s v="2"/>
    <s v="Termo de Contrato - Serviços"/>
    <n v="7"/>
    <s v="Inexigibilidade"/>
    <n v="2025"/>
    <n v="11778"/>
    <s v="062/SMDHC/2025"/>
    <s v="6074202500031095"/>
    <x v="0"/>
    <x v="244"/>
    <s v="25/04/2025 00:00:00"/>
    <s v="23/05/2025 00:00:00"/>
    <s v="26/04/2025 00:00:00"/>
    <n v="0"/>
    <x v="2"/>
    <n v="3000"/>
    <n v="0"/>
    <n v="0"/>
    <n v="0"/>
    <n v="3000"/>
    <n v="250"/>
    <n v="3000"/>
    <n v="3000"/>
    <n v="250"/>
    <n v="3000"/>
    <n v="3000"/>
    <n v="0"/>
    <n v="3000"/>
    <n v="3000"/>
    <n v="3000"/>
    <s v="07-07-2025"/>
    <s v="6074202500031095|34.10.14.243.3013.2157.33904600"/>
    <n v="1"/>
  </r>
  <r>
    <s v="01"/>
    <s v="Secretaria Municipal de Direitos Humanos e Cidadania"/>
    <s v="34"/>
    <s v="10"/>
    <n v="14"/>
    <n v="422"/>
    <n v="3013"/>
    <n v="2053"/>
    <s v="33399000"/>
    <s v="34.10.14.243.3013.2157.33904600"/>
    <s v="2"/>
    <s v="Termo de Contrato - Serviços"/>
    <n v="6"/>
    <s v="Dispensa de Licitação"/>
    <n v="2025"/>
    <n v="12366"/>
    <m/>
    <s v="6074202500021286"/>
    <x v="1"/>
    <x v="245"/>
    <m/>
    <m/>
    <m/>
    <n v="12"/>
    <x v="0"/>
    <n v="2997"/>
    <n v="0"/>
    <n v="0"/>
    <n v="0"/>
    <n v="2997"/>
    <n v="249.75"/>
    <n v="2997"/>
    <n v="2997"/>
    <n v="249.75"/>
    <n v="2997"/>
    <n v="2997"/>
    <n v="0"/>
    <n v="2997"/>
    <n v="0"/>
    <n v="0"/>
    <s v="07-07-2025"/>
    <s v="6074202500021286|34.10.14.243.3013.2157.33904600"/>
    <n v="1"/>
  </r>
  <r>
    <s v="01"/>
    <s v="Secretaria Municipal de Direitos Humanos e Cidadania"/>
    <s v="34"/>
    <s v="10"/>
    <n v="14"/>
    <n v="422"/>
    <n v="3013"/>
    <n v="2053"/>
    <s v="33309000"/>
    <s v="34.10.14.243.3013.2157.33904600"/>
    <s v="5"/>
    <s v="Nota de Empenho Fornecimento de Bens de Consumo e/ou Permanente"/>
    <n v="6"/>
    <s v="Dispensa de Licitação"/>
    <n v="2025"/>
    <n v="12500"/>
    <m/>
    <s v="6074202500026539"/>
    <x v="0"/>
    <x v="246"/>
    <m/>
    <m/>
    <s v="03/06/2025 00:00:00"/>
    <n v="12"/>
    <x v="0"/>
    <n v="10998.9"/>
    <n v="0"/>
    <n v="0"/>
    <n v="0"/>
    <n v="10998.9"/>
    <n v="916.57499999999993"/>
    <n v="10998.9"/>
    <n v="10998.9"/>
    <n v="916.57499999999993"/>
    <n v="10998.9"/>
    <n v="10998.9"/>
    <n v="0"/>
    <n v="10998.9"/>
    <n v="10998.9"/>
    <n v="0"/>
    <s v="07-07-2025"/>
    <s v="6074202500026539|34.10.14.243.3013.2157.33904600"/>
    <n v="1"/>
  </r>
  <r>
    <s v="01"/>
    <s v="Secretaria Municipal de Direitos Humanos e Cidadania"/>
    <s v="34"/>
    <s v="10"/>
    <n v="14"/>
    <n v="422"/>
    <n v="3013"/>
    <n v="4322"/>
    <s v="33399000"/>
    <s v="34.10.14.243.3013.2157.33904600"/>
    <s v="41"/>
    <s v="Nota de Empenho de Serviços com fornecimento de materiais / peças"/>
    <n v="12"/>
    <s v="Pregão"/>
    <n v="2025"/>
    <n v="12657"/>
    <m/>
    <s v="6074202500032571"/>
    <x v="0"/>
    <x v="247"/>
    <m/>
    <m/>
    <s v="10/05/2025 00:00:00"/>
    <n v="12"/>
    <x v="0"/>
    <n v="1632.8"/>
    <n v="0"/>
    <n v="0"/>
    <n v="0"/>
    <n v="1632.8"/>
    <n v="136.06666666666669"/>
    <n v="1632.8"/>
    <n v="1632.8"/>
    <n v="136.06666666666669"/>
    <n v="1632.8"/>
    <n v="1632.8"/>
    <n v="0"/>
    <n v="1632.8"/>
    <n v="1632.8"/>
    <n v="1632.8"/>
    <s v="07-07-2025"/>
    <s v="6074202500032571|34.10.14.243.3013.2157.33904600"/>
    <n v="1"/>
  </r>
  <r>
    <s v="01"/>
    <s v="Secretaria Municipal de Direitos Humanos e Cidadania"/>
    <s v="34"/>
    <s v="10"/>
    <n v="14"/>
    <n v="422"/>
    <n v="3013"/>
    <n v="4322"/>
    <s v="33399000"/>
    <s v="34.10.14.243.3013.2157.33904600"/>
    <s v="41"/>
    <s v="Nota de Empenho de Serviços com fornecimento de materiais / peças"/>
    <n v="12"/>
    <s v="Pregão"/>
    <n v="2025"/>
    <n v="12748"/>
    <m/>
    <s v="6074202500030048"/>
    <x v="0"/>
    <x v="248"/>
    <m/>
    <m/>
    <s v="11/05/2025 00:00:00"/>
    <n v="12"/>
    <x v="0"/>
    <n v="6596"/>
    <n v="0"/>
    <n v="0"/>
    <n v="0"/>
    <n v="6596"/>
    <n v="549.66666666666663"/>
    <n v="6596"/>
    <n v="6596"/>
    <n v="549.66666666666663"/>
    <n v="6596"/>
    <n v="6596"/>
    <n v="0"/>
    <n v="6596"/>
    <n v="6596"/>
    <n v="0"/>
    <s v="07-07-2025"/>
    <s v="6074202500030048|34.10.14.243.3013.2157.33904600"/>
    <n v="1"/>
  </r>
  <r>
    <s v="01"/>
    <s v="Secretaria Municipal de Direitos Humanos e Cidadania"/>
    <s v="34"/>
    <s v="10"/>
    <n v="14"/>
    <n v="422"/>
    <n v="3013"/>
    <n v="6178"/>
    <s v="33309000"/>
    <s v="34.10.14.243.3013.2157.33904600"/>
    <s v="29"/>
    <s v="Termo de Contrato para Aquisição de Bens de Consumo e/ou Permanente"/>
    <n v="6"/>
    <s v="Dispensa de Licitação"/>
    <n v="2025"/>
    <n v="12775"/>
    <s v="071/SMDHC/2025"/>
    <s v="6074202500020565"/>
    <x v="0"/>
    <x v="249"/>
    <s v="28/05/2025 00:00:00"/>
    <s v="29/05/2025 00:00:00"/>
    <s v="31/12/2025 00:00:00"/>
    <n v="7"/>
    <x v="1"/>
    <n v="8357"/>
    <n v="0"/>
    <n v="0"/>
    <n v="0"/>
    <n v="8357"/>
    <n v="696.41666666666663"/>
    <n v="8357"/>
    <n v="8357"/>
    <n v="696.41666666666663"/>
    <n v="8357"/>
    <n v="8357"/>
    <n v="0"/>
    <n v="8357"/>
    <n v="2205.5"/>
    <n v="0"/>
    <s v="07-07-2025"/>
    <s v="6074202500020565|34.10.14.243.3013.2157.33904600"/>
    <n v="1"/>
  </r>
  <r>
    <s v="01"/>
    <s v="Secretaria Municipal de Direitos Humanos e Cidadania"/>
    <s v="34"/>
    <s v="10"/>
    <n v="14"/>
    <n v="422"/>
    <n v="3018"/>
    <n v="4319"/>
    <s v="33418000"/>
    <s v="34.10.14.243.3013.2157.33903600"/>
    <s v="54"/>
    <s v="Nota de Empenho - Pagamento de Anuidades / Taxas / Impostos"/>
    <n v="8"/>
    <s v="Não Aplicável"/>
    <n v="2025"/>
    <n v="12899"/>
    <m/>
    <s v="6074202500023688"/>
    <x v="0"/>
    <x v="250"/>
    <m/>
    <m/>
    <s v="31/12/2025 00:00:00"/>
    <n v="12"/>
    <x v="0"/>
    <n v="15000"/>
    <n v="0"/>
    <n v="0"/>
    <n v="4680"/>
    <n v="10320"/>
    <n v="860"/>
    <n v="10320"/>
    <n v="10320"/>
    <n v="860"/>
    <n v="10320"/>
    <n v="15000"/>
    <n v="4680"/>
    <n v="10320"/>
    <n v="10320"/>
    <n v="10320"/>
    <s v="07-07-2025"/>
    <s v="6074202500023688|34.10.14.243.3013.2157.33903600"/>
    <n v="1"/>
  </r>
  <r>
    <s v="01"/>
    <s v="Secretaria Municipal de Direitos Humanos e Cidadania"/>
    <s v="34"/>
    <s v="10"/>
    <n v="14"/>
    <n v="122"/>
    <n v="3024"/>
    <n v="2100"/>
    <s v="33399000"/>
    <s v="34.10.14.243.3013.2157.33903600"/>
    <s v="2"/>
    <s v="Termo de Contrato - Serviços"/>
    <n v="12"/>
    <s v="Pregão"/>
    <n v="2025"/>
    <n v="12987"/>
    <s v="063/SMDHC/2025"/>
    <s v="6074202500032792"/>
    <x v="0"/>
    <x v="251"/>
    <s v="12/05/2025 00:00:00"/>
    <s v="16/05/2025 00:00:00"/>
    <s v="11/06/2025 00:00:00"/>
    <n v="1"/>
    <x v="2"/>
    <n v="102816.16"/>
    <n v="0"/>
    <n v="0"/>
    <n v="0"/>
    <n v="102816.16"/>
    <n v="8568.0133333333342"/>
    <n v="102816.16"/>
    <n v="102816.16"/>
    <n v="8568.0133333333342"/>
    <n v="102816.16"/>
    <n v="102816.16"/>
    <n v="0"/>
    <n v="102816.16"/>
    <n v="102816.16"/>
    <n v="102816.16"/>
    <s v="07-07-2025"/>
    <s v="6074202500032792|34.10.14.243.3013.2157.33903600"/>
    <n v="1"/>
  </r>
  <r>
    <s v="01"/>
    <s v="Secretaria Municipal de Direitos Humanos e Cidadania"/>
    <s v="34"/>
    <s v="10"/>
    <n v="14"/>
    <n v="122"/>
    <n v="3024"/>
    <n v="2100"/>
    <s v="33309000"/>
    <s v="34.10.14.243.3013.2157.33903600"/>
    <s v="29"/>
    <s v="Termo de Contrato para Aquisição de Bens de Consumo e/ou Permanente"/>
    <n v="12"/>
    <s v="Pregão"/>
    <n v="2025"/>
    <n v="12986"/>
    <s v="064/SMDHC/2025"/>
    <s v="6074202500027004"/>
    <x v="0"/>
    <x v="252"/>
    <s v="15/05/2025 00:00:00"/>
    <s v="20/05/2025 00:00:00"/>
    <s v="14/07/2025 00:00:00"/>
    <n v="2"/>
    <x v="1"/>
    <n v="4500"/>
    <n v="0"/>
    <n v="0"/>
    <n v="0"/>
    <n v="4500"/>
    <n v="375"/>
    <n v="4500"/>
    <n v="4500"/>
    <n v="375"/>
    <n v="4500"/>
    <n v="4500"/>
    <n v="0"/>
    <n v="4500"/>
    <n v="4500"/>
    <n v="4500"/>
    <s v="07-07-2025"/>
    <s v="6074202500027004|34.10.14.243.3013.2157.33903600"/>
    <n v="1"/>
  </r>
  <r>
    <s v="01"/>
    <s v="Secretaria Municipal de Direitos Humanos e Cidadania"/>
    <s v="34"/>
    <s v="10"/>
    <n v="14"/>
    <n v="122"/>
    <n v="3024"/>
    <n v="2100"/>
    <s v="33309000"/>
    <s v="34.10.14.243.3013.2157.33903600"/>
    <s v="29"/>
    <s v="Termo de Contrato para Aquisição de Bens de Consumo e/ou Permanente"/>
    <n v="12"/>
    <s v="Pregão"/>
    <n v="2025"/>
    <n v="12990"/>
    <s v="065/SHDHC/2025"/>
    <s v="6074202500032296"/>
    <x v="0"/>
    <x v="253"/>
    <s v="22/05/2025 00:00:00"/>
    <s v="30/05/2025 00:00:00"/>
    <s v="21/07/2025 00:00:00"/>
    <n v="2"/>
    <x v="1"/>
    <n v="13400"/>
    <n v="0"/>
    <n v="0"/>
    <n v="0"/>
    <n v="13400"/>
    <n v="1116.666666666667"/>
    <n v="13400"/>
    <n v="13400"/>
    <n v="1116.666666666667"/>
    <n v="13400"/>
    <n v="13400"/>
    <n v="0"/>
    <n v="13400"/>
    <n v="13400"/>
    <n v="13400"/>
    <s v="07-07-2025"/>
    <s v="6074202500032296|34.10.14.243.3013.2157.33903600"/>
    <n v="1"/>
  </r>
  <r>
    <s v="01"/>
    <s v="Secretaria Municipal de Direitos Humanos e Cidadania"/>
    <s v="34"/>
    <s v="10"/>
    <n v="14"/>
    <n v="122"/>
    <n v="3024"/>
    <n v="2100"/>
    <s v="33309000"/>
    <s v="34.10.14.243.3013.2157.33903600"/>
    <s v="41"/>
    <s v="Nota de Empenho de Serviços com fornecimento de materiais / peças"/>
    <n v="12"/>
    <s v="Pregão"/>
    <n v="2025"/>
    <n v="13009"/>
    <m/>
    <s v="6074202500022010"/>
    <x v="0"/>
    <x v="254"/>
    <m/>
    <m/>
    <s v="14/06/2025 00:00:00"/>
    <n v="12"/>
    <x v="0"/>
    <n v="600"/>
    <n v="0"/>
    <n v="0"/>
    <n v="0"/>
    <n v="600"/>
    <n v="50"/>
    <n v="600"/>
    <n v="600"/>
    <n v="50"/>
    <n v="600"/>
    <n v="600"/>
    <n v="0"/>
    <n v="600"/>
    <n v="600"/>
    <n v="0"/>
    <s v="07-07-2025"/>
    <s v="6074202500022010|34.10.14.243.3013.2157.33903600"/>
    <n v="1"/>
  </r>
  <r>
    <s v="01"/>
    <s v="Secretaria Municipal de Direitos Humanos e Cidadania"/>
    <s v="34"/>
    <s v="10"/>
    <n v="14"/>
    <n v="122"/>
    <n v="3024"/>
    <n v="2100"/>
    <s v="33309000"/>
    <s v="34.10.14.243.3013.2157.33903600"/>
    <s v="41"/>
    <s v="Nota de Empenho de Serviços com fornecimento de materiais / peças"/>
    <n v="12"/>
    <s v="Pregão"/>
    <n v="2025"/>
    <n v="13073"/>
    <m/>
    <s v="6074202500033993"/>
    <x v="0"/>
    <x v="255"/>
    <m/>
    <m/>
    <s v="02/06/2025 00:00:00"/>
    <n v="12"/>
    <x v="0"/>
    <n v="28000"/>
    <n v="0"/>
    <n v="0"/>
    <n v="0"/>
    <n v="28000"/>
    <n v="2333.333333333333"/>
    <n v="28000"/>
    <n v="28000"/>
    <n v="2333.333333333333"/>
    <n v="28000"/>
    <n v="28000"/>
    <n v="0"/>
    <n v="28000"/>
    <n v="28000"/>
    <n v="28000"/>
    <s v="07-07-2025"/>
    <s v="6074202500033993|34.10.14.243.3013.2157.33903600"/>
    <n v="1"/>
  </r>
  <r>
    <s v="01"/>
    <s v="Secretaria Municipal de Direitos Humanos e Cidadania"/>
    <s v="34"/>
    <s v="10"/>
    <n v="14"/>
    <n v="122"/>
    <n v="3024"/>
    <n v="2100"/>
    <s v="33399000"/>
    <s v="34.10.14.243.3013.2157.33903600"/>
    <s v="30"/>
    <s v="Nota de Empenho para Fornecimento de Serviços"/>
    <n v="6"/>
    <s v="Dispensa de Licitação"/>
    <n v="2025"/>
    <n v="13251"/>
    <m/>
    <s v="6074202500001250"/>
    <x v="0"/>
    <x v="256"/>
    <m/>
    <m/>
    <m/>
    <n v="12"/>
    <x v="0"/>
    <n v="1425.75"/>
    <n v="0"/>
    <n v="0"/>
    <n v="0"/>
    <n v="1425.75"/>
    <n v="118.8125"/>
    <n v="1425.75"/>
    <n v="1425.75"/>
    <n v="118.8125"/>
    <n v="1425.75"/>
    <n v="1425.75"/>
    <n v="0"/>
    <n v="1425.75"/>
    <n v="0"/>
    <n v="0"/>
    <s v="07-07-2025"/>
    <s v="6074202500001250|34.10.14.243.3013.2157.33903600"/>
    <n v="1"/>
  </r>
  <r>
    <s v="01"/>
    <s v="Secretaria Municipal de Direitos Humanos e Cidadania"/>
    <s v="34"/>
    <s v="10"/>
    <n v="14"/>
    <n v="122"/>
    <n v="3024"/>
    <n v="2100"/>
    <s v="33309000"/>
    <s v="34.10.14.243.3013.2157.33903600"/>
    <s v="41"/>
    <s v="Nota de Empenho de Serviços com fornecimento de materiais / peças"/>
    <n v="12"/>
    <s v="Pregão"/>
    <n v="2025"/>
    <n v="13295"/>
    <m/>
    <s v="6074202500034248"/>
    <x v="0"/>
    <x v="257"/>
    <m/>
    <m/>
    <s v="24/05/2025 00:00:00"/>
    <n v="12"/>
    <x v="0"/>
    <n v="12002.5"/>
    <n v="0"/>
    <n v="0"/>
    <n v="0"/>
    <n v="12002.5"/>
    <n v="1000.208333333333"/>
    <n v="12002.5"/>
    <n v="12002.5"/>
    <n v="1000.208333333333"/>
    <n v="12002.5"/>
    <n v="12002.5"/>
    <n v="0"/>
    <n v="12002.5"/>
    <n v="0"/>
    <n v="0"/>
    <s v="07-07-2025"/>
    <s v="6074202500034248|34.10.14.243.3013.2157.33903600"/>
    <n v="1"/>
  </r>
  <r>
    <s v="01"/>
    <s v="Secretaria Municipal de Direitos Humanos e Cidadania"/>
    <s v="34"/>
    <s v="10"/>
    <n v="14"/>
    <n v="422"/>
    <n v="3013"/>
    <n v="2053"/>
    <s v="33379000"/>
    <s v="34.10.14.243.3013.2157.33903600"/>
    <s v="2"/>
    <s v="Termo de Contrato - Serviços"/>
    <n v="12"/>
    <s v="Pregão"/>
    <n v="2025"/>
    <n v="13466"/>
    <m/>
    <s v="6074202300066928"/>
    <x v="1"/>
    <x v="54"/>
    <m/>
    <m/>
    <m/>
    <n v="12"/>
    <x v="0"/>
    <n v="3089645.4"/>
    <n v="0"/>
    <n v="0"/>
    <n v="0"/>
    <n v="3089645.4"/>
    <n v="257470.45"/>
    <n v="3089645.4"/>
    <n v="1699304.97"/>
    <n v="141608.7475"/>
    <n v="1699304.97"/>
    <n v="607720.41"/>
    <n v="24991"/>
    <n v="582729.41"/>
    <n v="0"/>
    <n v="0"/>
    <s v="07-07-2025"/>
    <s v="6074202300066928|34.10.14.243.3013.2157.33903600"/>
    <n v="0.55000000000000004"/>
  </r>
  <r>
    <s v="01"/>
    <s v="Secretaria Municipal de Direitos Humanos e Cidadania"/>
    <s v="34"/>
    <s v="10"/>
    <n v="14"/>
    <n v="122"/>
    <n v="3024"/>
    <n v="2100"/>
    <s v="33399000"/>
    <s v="34.10.14.243.3013.2157.33903600"/>
    <s v="2"/>
    <s v="Termo de Contrato - Serviços"/>
    <n v="7"/>
    <s v="Inexigibilidade"/>
    <n v="2025"/>
    <n v="13475"/>
    <s v="068/SMDHC/2025"/>
    <s v="6074202500035244"/>
    <x v="0"/>
    <x v="258"/>
    <s v="16/05/2025 00:00:00"/>
    <s v="05/06/2025 00:00:00"/>
    <s v="26/05/2025 00:00:00"/>
    <n v="0"/>
    <x v="2"/>
    <n v="19732.5"/>
    <n v="0"/>
    <n v="0"/>
    <n v="0"/>
    <n v="19732.5"/>
    <n v="1644.375"/>
    <n v="19732.5"/>
    <n v="19732.5"/>
    <n v="1644.375"/>
    <n v="19732.5"/>
    <n v="39465"/>
    <n v="19732.5"/>
    <n v="19732.5"/>
    <n v="19732.5"/>
    <n v="0"/>
    <s v="07-07-2025"/>
    <s v="6074202500035244|34.10.14.243.3013.2157.33903600"/>
    <n v="1"/>
  </r>
  <r>
    <s v="01"/>
    <s v="Secretaria Municipal de Direitos Humanos e Cidadania"/>
    <s v="34"/>
    <s v="10"/>
    <n v="14"/>
    <n v="122"/>
    <n v="3024"/>
    <n v="2100"/>
    <s v="33399000"/>
    <s v="34.10.14.243.3013.2157.33903600"/>
    <s v="2"/>
    <s v="Termo de Contrato - Serviços"/>
    <n v="12"/>
    <s v="Pregão"/>
    <n v="2025"/>
    <n v="13480"/>
    <s v="069/SMDHC/2025"/>
    <s v="6074202500035686"/>
    <x v="0"/>
    <x v="259"/>
    <s v="16/05/2025 00:00:00"/>
    <s v="27/05/2025 00:00:00"/>
    <s v="15/06/2025 00:00:00"/>
    <n v="1"/>
    <x v="2"/>
    <n v="191364.16"/>
    <n v="0"/>
    <n v="0"/>
    <n v="0"/>
    <n v="191364.16"/>
    <n v="15947.013333333331"/>
    <n v="191364.16"/>
    <n v="191364.16"/>
    <n v="15947.013333333331"/>
    <n v="191364.16"/>
    <n v="191364.16"/>
    <n v="0"/>
    <n v="191364.16"/>
    <n v="191364.16"/>
    <n v="0"/>
    <s v="07-07-2025"/>
    <s v="6074202500035686|34.10.14.243.3013.2157.33903600"/>
    <n v="1"/>
  </r>
  <r>
    <s v="01"/>
    <s v="Secretaria Municipal de Direitos Humanos e Cidadania"/>
    <s v="34"/>
    <s v="10"/>
    <n v="14"/>
    <n v="122"/>
    <n v="3024"/>
    <n v="2100"/>
    <s v="33309000"/>
    <s v="34.10.14.243.3013.2157.33903600"/>
    <s v="5"/>
    <s v="Nota de Empenho Fornecimento de Bens de Consumo e/ou Permanente"/>
    <n v="6"/>
    <s v="Dispensa de Licitação"/>
    <n v="2025"/>
    <n v="13479"/>
    <m/>
    <s v="6074202500026083"/>
    <x v="0"/>
    <x v="260"/>
    <m/>
    <m/>
    <s v="08/06/2025 00:00:00"/>
    <n v="12"/>
    <x v="0"/>
    <n v="3099"/>
    <n v="0"/>
    <n v="0"/>
    <n v="0"/>
    <n v="3099"/>
    <n v="258.25"/>
    <n v="3099"/>
    <n v="3099"/>
    <n v="258.25"/>
    <n v="3099"/>
    <n v="3099"/>
    <n v="0"/>
    <n v="3099"/>
    <n v="3099"/>
    <n v="0"/>
    <s v="07-07-2025"/>
    <s v="6074202500026083|34.10.14.243.3013.2157.33903600"/>
    <n v="1"/>
  </r>
  <r>
    <s v="01"/>
    <s v="Secretaria Municipal de Direitos Humanos e Cidadania"/>
    <s v="34"/>
    <s v="10"/>
    <n v="8"/>
    <n v="605"/>
    <n v="3016"/>
    <n v="4470"/>
    <s v="33309000"/>
    <s v="34.10.14.243.3013.2157.33903600"/>
    <s v="5"/>
    <s v="Nota de Empenho Fornecimento de Bens de Consumo e/ou Permanente"/>
    <n v="6"/>
    <s v="Dispensa de Licitação"/>
    <n v="2025"/>
    <n v="13470"/>
    <m/>
    <s v="6074202500028558"/>
    <x v="0"/>
    <x v="261"/>
    <m/>
    <m/>
    <m/>
    <n v="12"/>
    <x v="0"/>
    <n v="31900"/>
    <n v="0"/>
    <n v="0"/>
    <n v="0"/>
    <n v="31900"/>
    <n v="2658.333333333333"/>
    <n v="31900"/>
    <n v="31900"/>
    <n v="2658.333333333333"/>
    <n v="31900"/>
    <n v="31900"/>
    <n v="0"/>
    <n v="31900"/>
    <n v="0"/>
    <n v="0"/>
    <s v="07-07-2025"/>
    <s v="6074202500028558|34.10.14.243.3013.2157.33903600"/>
    <n v="1"/>
  </r>
  <r>
    <s v="01"/>
    <s v="Secretaria Municipal de Direitos Humanos e Cidadania"/>
    <s v="34"/>
    <s v="10"/>
    <n v="14"/>
    <n v="422"/>
    <n v="3013"/>
    <n v="2053"/>
    <s v="33309000"/>
    <s v="34.10.14.243.3013.2157.33903600"/>
    <s v="29"/>
    <s v="Termo de Contrato para Aquisição de Bens de Consumo e/ou Permanente"/>
    <n v="12"/>
    <s v="Pregão"/>
    <n v="2025"/>
    <n v="13502"/>
    <m/>
    <s v="6074202500025001"/>
    <x v="1"/>
    <x v="262"/>
    <m/>
    <m/>
    <m/>
    <n v="12"/>
    <x v="0"/>
    <n v="16727"/>
    <n v="0"/>
    <n v="0"/>
    <n v="0"/>
    <n v="16727"/>
    <n v="1393.916666666667"/>
    <n v="16727"/>
    <n v="16727"/>
    <n v="1393.916666666667"/>
    <n v="16727"/>
    <n v="16727"/>
    <n v="0"/>
    <n v="16727"/>
    <n v="0"/>
    <n v="0"/>
    <s v="07-07-2025"/>
    <s v="6074202500025001|34.10.14.243.3013.2157.33903600"/>
    <n v="1"/>
  </r>
  <r>
    <s v="01"/>
    <s v="Secretaria Municipal de Direitos Humanos e Cidadania"/>
    <s v="34"/>
    <s v="10"/>
    <n v="8"/>
    <n v="605"/>
    <n v="3016"/>
    <n v="4470"/>
    <s v="33399000"/>
    <s v="34.10.14.243.3013.2157.33903600"/>
    <s v="2"/>
    <s v="Termo de Contrato - Serviços"/>
    <n v="12"/>
    <s v="Pregão"/>
    <n v="2025"/>
    <n v="13641"/>
    <m/>
    <s v="6074202500011515"/>
    <x v="0"/>
    <x v="263"/>
    <m/>
    <m/>
    <m/>
    <n v="12"/>
    <x v="0"/>
    <n v="63258"/>
    <n v="0"/>
    <n v="0"/>
    <n v="0"/>
    <n v="63258"/>
    <n v="5271.5"/>
    <n v="63258"/>
    <n v="63258"/>
    <n v="5271.5"/>
    <n v="63258"/>
    <n v="63258"/>
    <n v="0"/>
    <n v="63258"/>
    <n v="0"/>
    <n v="0"/>
    <s v="07-07-2025"/>
    <s v="6074202500011515|34.10.14.243.3013.2157.33903600"/>
    <n v="1"/>
  </r>
  <r>
    <s v="01"/>
    <s v="Secretaria Municipal de Direitos Humanos e Cidadania"/>
    <s v="34"/>
    <s v="10"/>
    <n v="14"/>
    <n v="122"/>
    <n v="3024"/>
    <n v="2100"/>
    <s v="33309000"/>
    <s v="34.10.14.243.3013.2157.33903600"/>
    <s v="2"/>
    <s v="Termo de Contrato - Serviços"/>
    <n v="6"/>
    <s v="Dispensa de Licitação"/>
    <n v="2025"/>
    <n v="13749"/>
    <m/>
    <s v="6074202500032350"/>
    <x v="0"/>
    <x v="264"/>
    <m/>
    <m/>
    <m/>
    <n v="12"/>
    <x v="0"/>
    <n v="10000"/>
    <n v="0"/>
    <n v="0"/>
    <n v="0"/>
    <n v="10000"/>
    <n v="833.33333333333337"/>
    <n v="10000"/>
    <n v="10000"/>
    <n v="833.33333333333337"/>
    <n v="10000"/>
    <n v="10000"/>
    <n v="0"/>
    <n v="10000"/>
    <n v="0"/>
    <n v="0"/>
    <s v="07-07-2025"/>
    <s v="6074202500032350|34.10.14.243.3013.2157.33903600"/>
    <n v="1"/>
  </r>
  <r>
    <s v="01"/>
    <s v="Secretaria Municipal de Direitos Humanos e Cidadania"/>
    <s v="34"/>
    <s v="10"/>
    <n v="14"/>
    <n v="122"/>
    <n v="3024"/>
    <n v="2100"/>
    <s v="33309000"/>
    <s v="34.10.14.243.3013.2157.33903600"/>
    <s v="5"/>
    <s v="Nota de Empenho Fornecimento de Bens de Consumo e/ou Permanente"/>
    <n v="6"/>
    <s v="Dispensa de Licitação"/>
    <n v="2025"/>
    <n v="13978"/>
    <m/>
    <s v="6074202500035082"/>
    <x v="0"/>
    <x v="265"/>
    <m/>
    <m/>
    <s v="30/05/2025 00:00:00"/>
    <n v="12"/>
    <x v="0"/>
    <n v="6800"/>
    <n v="0"/>
    <n v="0"/>
    <n v="0"/>
    <n v="6800"/>
    <n v="566.66666666666663"/>
    <n v="6800"/>
    <n v="6800"/>
    <n v="566.66666666666663"/>
    <n v="6800"/>
    <n v="6800"/>
    <n v="0"/>
    <n v="6800"/>
    <n v="6800"/>
    <n v="6800"/>
    <s v="07-07-2025"/>
    <s v="6074202500035082|34.10.14.243.3013.2157.33903600"/>
    <n v="1"/>
  </r>
  <r>
    <s v="01"/>
    <s v="Secretaria Municipal de Direitos Humanos e Cidadania"/>
    <s v="34"/>
    <s v="10"/>
    <n v="14"/>
    <n v="422"/>
    <n v="3023"/>
    <n v="4321"/>
    <s v="33399000"/>
    <s v="34.10.14.422.3023.4321.33903900"/>
    <s v="2"/>
    <s v="Termo de Contrato - Serviços"/>
    <n v="6"/>
    <s v="Dispensa de Licitação"/>
    <n v="2025"/>
    <n v="13644"/>
    <m/>
    <s v="6074202500034256"/>
    <x v="0"/>
    <x v="266"/>
    <m/>
    <m/>
    <m/>
    <n v="12"/>
    <x v="0"/>
    <n v="1789215.04"/>
    <n v="0"/>
    <n v="0"/>
    <n v="0"/>
    <n v="1789215.04"/>
    <n v="149101.2533333333"/>
    <n v="1789215.04"/>
    <n v="1789215.04"/>
    <n v="149101.2533333333"/>
    <n v="1789215.04"/>
    <n v="900000"/>
    <n v="450000"/>
    <n v="450000"/>
    <n v="0"/>
    <n v="0"/>
    <s v="07-07-2025"/>
    <s v="6074202500034256|34.10.14.422.3023.4321.33903900"/>
    <n v="1"/>
  </r>
  <r>
    <s v="01"/>
    <s v="Secretaria Municipal de Direitos Humanos e Cidadania"/>
    <s v="34"/>
    <s v="10"/>
    <n v="14"/>
    <n v="122"/>
    <n v="3024"/>
    <n v="2100"/>
    <s v="33399000"/>
    <s v="34.10.14.422.3023.4321.33903900"/>
    <s v="5"/>
    <s v="Nota de Empenho Fornecimento de Bens de Consumo e/ou Permanente"/>
    <n v="12"/>
    <s v="Pregão"/>
    <n v="2025"/>
    <n v="13993"/>
    <m/>
    <s v="6074202500034280"/>
    <x v="0"/>
    <x v="267"/>
    <m/>
    <m/>
    <s v="30/05/2025 00:00:00"/>
    <n v="12"/>
    <x v="0"/>
    <n v="2512"/>
    <n v="0"/>
    <n v="0"/>
    <n v="0"/>
    <n v="2512"/>
    <n v="209.33333333333329"/>
    <n v="2512"/>
    <n v="2512"/>
    <n v="209.33333333333329"/>
    <n v="2512"/>
    <n v="2512"/>
    <n v="0"/>
    <n v="2512"/>
    <n v="2512"/>
    <n v="2512"/>
    <s v="07-07-2025"/>
    <s v="6074202500034280|34.10.14.422.3023.4321.33903900"/>
    <n v="1"/>
  </r>
  <r>
    <s v="01"/>
    <s v="Secretaria Municipal de Direitos Humanos e Cidadania"/>
    <s v="34"/>
    <s v="10"/>
    <n v="14"/>
    <n v="122"/>
    <n v="3024"/>
    <n v="2100"/>
    <s v="33399000"/>
    <s v="34.10.14.422.3023.4321.33903900"/>
    <s v="5"/>
    <s v="Nota de Empenho Fornecimento de Bens de Consumo e/ou Permanente"/>
    <n v="12"/>
    <s v="Pregão"/>
    <n v="2025"/>
    <n v="14003"/>
    <m/>
    <s v="6074202500034744"/>
    <x v="0"/>
    <x v="268"/>
    <m/>
    <m/>
    <s v="29/05/2025 00:00:00"/>
    <n v="12"/>
    <x v="0"/>
    <n v="2512"/>
    <n v="0"/>
    <n v="0"/>
    <n v="0"/>
    <n v="2512"/>
    <n v="209.33333333333329"/>
    <n v="2512"/>
    <n v="2512"/>
    <n v="209.33333333333329"/>
    <n v="2512"/>
    <n v="2512"/>
    <n v="0"/>
    <n v="2512"/>
    <n v="2512"/>
    <n v="2512"/>
    <s v="07-07-2025"/>
    <s v="6074202500034744|34.10.14.422.3023.4321.33903900"/>
    <n v="1"/>
  </r>
  <r>
    <s v="01"/>
    <s v="Secretaria Municipal de Direitos Humanos e Cidadania"/>
    <s v="34"/>
    <s v="10"/>
    <n v="14"/>
    <n v="422"/>
    <n v="3018"/>
    <n v="2142"/>
    <s v="33369000"/>
    <s v="34.10.14.422.3023.4321.33903900"/>
    <s v="2"/>
    <s v="Termo de Contrato - Serviços"/>
    <n v="7"/>
    <s v="Inexigibilidade"/>
    <n v="2025"/>
    <n v="14024"/>
    <s v="150/SMDHC/2025"/>
    <s v="6074202500036020"/>
    <x v="0"/>
    <x v="269"/>
    <s v="21/05/2025 00:00:00"/>
    <s v="30/05/2025 00:00:00"/>
    <s v="22/06/2025 00:00:00"/>
    <n v="1"/>
    <x v="2"/>
    <n v="3000"/>
    <n v="0"/>
    <n v="0"/>
    <n v="0"/>
    <n v="3000"/>
    <n v="250"/>
    <n v="3000"/>
    <n v="3000"/>
    <n v="250"/>
    <n v="3000"/>
    <n v="3000"/>
    <n v="0"/>
    <n v="3000"/>
    <n v="3000"/>
    <n v="3000"/>
    <s v="07-07-2025"/>
    <s v="6074202500036020|34.10.14.422.3023.4321.33903900"/>
    <n v="1"/>
  </r>
  <r>
    <s v="01"/>
    <s v="Secretaria Municipal de Direitos Humanos e Cidadania"/>
    <s v="34"/>
    <s v="10"/>
    <n v="14"/>
    <n v="422"/>
    <n v="3013"/>
    <n v="4322"/>
    <s v="33369000"/>
    <s v="34.10.14.422.3023.4321.33903900"/>
    <s v="2"/>
    <s v="Termo de Contrato - Serviços"/>
    <n v="7"/>
    <s v="Inexigibilidade"/>
    <n v="2025"/>
    <n v="14027"/>
    <s v="149/SMDHC/2025"/>
    <s v="6074202500036720"/>
    <x v="0"/>
    <x v="270"/>
    <s v="21/05/2025 00:00:00"/>
    <s v="30/05/2025 00:00:00"/>
    <s v="21/06/2025 00:00:00"/>
    <n v="1"/>
    <x v="2"/>
    <n v="500"/>
    <n v="0"/>
    <n v="0"/>
    <n v="0"/>
    <n v="500"/>
    <n v="41.666666666666657"/>
    <n v="500"/>
    <n v="500"/>
    <n v="41.666666666666657"/>
    <n v="500"/>
    <n v="500"/>
    <n v="0"/>
    <n v="500"/>
    <n v="500"/>
    <n v="0"/>
    <s v="07-07-2025"/>
    <s v="6074202500036720|34.10.14.422.3023.4321.33903900"/>
    <n v="1"/>
  </r>
  <r>
    <s v="01"/>
    <s v="Secretaria Municipal de Direitos Humanos e Cidadania"/>
    <s v="34"/>
    <s v="10"/>
    <n v="14"/>
    <n v="422"/>
    <n v="3013"/>
    <n v="4322"/>
    <s v="33369000"/>
    <s v="34.10.14.422.3023.4321.33903900"/>
    <s v="2"/>
    <s v="Termo de Contrato - Serviços"/>
    <n v="7"/>
    <s v="Inexigibilidade"/>
    <n v="2025"/>
    <n v="14039"/>
    <s v="151/SMDHC/2025"/>
    <s v="6074202500036739"/>
    <x v="0"/>
    <x v="271"/>
    <s v="21/05/2025 00:00:00"/>
    <s v="30/05/2025 00:00:00"/>
    <s v="20/06/2025 00:00:00"/>
    <n v="1"/>
    <x v="2"/>
    <n v="500"/>
    <n v="0"/>
    <n v="0"/>
    <n v="0"/>
    <n v="500"/>
    <n v="41.666666666666657"/>
    <n v="500"/>
    <n v="500"/>
    <n v="41.666666666666657"/>
    <n v="500"/>
    <n v="500"/>
    <n v="0"/>
    <n v="500"/>
    <n v="500"/>
    <n v="500"/>
    <s v="07-07-2025"/>
    <s v="6074202500036739|34.10.14.422.3023.4321.33903900"/>
    <n v="1"/>
  </r>
  <r>
    <s v="01"/>
    <s v="Secretaria Municipal de Direitos Humanos e Cidadania"/>
    <s v="34"/>
    <s v="10"/>
    <n v="14"/>
    <n v="122"/>
    <n v="3024"/>
    <n v="2100"/>
    <s v="44529000"/>
    <s v="34.10.14.422.3023.4321.33903900"/>
    <s v="29"/>
    <s v="Termo de Contrato para Aquisição de Bens de Consumo e/ou Permanente"/>
    <n v="6"/>
    <s v="Dispensa de Licitação"/>
    <n v="2025"/>
    <n v="14165"/>
    <s v="159/SMDHC/2025"/>
    <s v="6074202500006686"/>
    <x v="0"/>
    <x v="272"/>
    <s v="27/05/2025 00:00:00"/>
    <s v="30/05/2025 00:00:00"/>
    <s v="27/05/2026 00:00:00"/>
    <n v="12"/>
    <x v="1"/>
    <n v="6953"/>
    <n v="0"/>
    <n v="0"/>
    <n v="0"/>
    <n v="6953"/>
    <n v="579.41666666666663"/>
    <n v="6953"/>
    <n v="6953"/>
    <n v="579.41666666666663"/>
    <n v="6953"/>
    <n v="6953"/>
    <n v="0"/>
    <n v="6953"/>
    <n v="6953"/>
    <n v="0"/>
    <s v="07-07-2025"/>
    <s v="6074202500006686|34.10.14.422.3023.4321.33903900"/>
    <n v="1"/>
  </r>
  <r>
    <s v="01"/>
    <s v="Secretaria Municipal de Direitos Humanos e Cidadania"/>
    <s v="34"/>
    <s v="10"/>
    <n v="14"/>
    <n v="422"/>
    <n v="3013"/>
    <n v="4322"/>
    <s v="33369000"/>
    <s v="34.10.14.422.3023.4321.33903900"/>
    <s v="2"/>
    <s v="Termo de Contrato - Serviços"/>
    <n v="7"/>
    <s v="Inexigibilidade"/>
    <n v="2025"/>
    <n v="14333"/>
    <s v="158/SMDHC/2025"/>
    <s v="6074202500037433"/>
    <x v="0"/>
    <x v="273"/>
    <s v="22/05/2025 00:00:00"/>
    <s v="23/05/2025 00:00:00"/>
    <s v="22/06/2025 00:00:00"/>
    <n v="1"/>
    <x v="2"/>
    <n v="500"/>
    <n v="0"/>
    <n v="0"/>
    <n v="0"/>
    <n v="500"/>
    <n v="41.666666666666657"/>
    <n v="500"/>
    <n v="500"/>
    <n v="41.666666666666657"/>
    <n v="500"/>
    <n v="500"/>
    <n v="0"/>
    <n v="500"/>
    <n v="500"/>
    <n v="0"/>
    <s v="07-07-2025"/>
    <s v="6074202500037433|34.10.14.422.3023.4321.33903900"/>
    <n v="1"/>
  </r>
  <r>
    <s v="01"/>
    <s v="Secretaria Municipal de Direitos Humanos e Cidadania"/>
    <s v="34"/>
    <s v="10"/>
    <n v="14"/>
    <n v="422"/>
    <n v="3013"/>
    <n v="4322"/>
    <s v="33369000"/>
    <s v="34.10.14.422.3023.4321.33903900"/>
    <s v="2"/>
    <s v="Termo de Contrato - Serviços"/>
    <n v="7"/>
    <s v="Inexigibilidade"/>
    <n v="2025"/>
    <n v="14338"/>
    <s v="157/SMDHC/2025 "/>
    <s v="6074202500037492"/>
    <x v="0"/>
    <x v="274"/>
    <s v="22/05/2025 00:00:00"/>
    <s v="30/05/2025 00:00:00"/>
    <s v="22/06/2025 00:00:00"/>
    <n v="1"/>
    <x v="2"/>
    <n v="500"/>
    <n v="0"/>
    <n v="0"/>
    <n v="0"/>
    <n v="500"/>
    <n v="41.666666666666657"/>
    <n v="500"/>
    <n v="500"/>
    <n v="41.666666666666657"/>
    <n v="500"/>
    <n v="500"/>
    <n v="0"/>
    <n v="500"/>
    <n v="500"/>
    <n v="0"/>
    <s v="07-07-2025"/>
    <s v="6074202500037492|34.10.14.422.3023.4321.33903900"/>
    <n v="1"/>
  </r>
  <r>
    <s v="01"/>
    <s v="Secretaria Municipal de Direitos Humanos e Cidadania"/>
    <s v="34"/>
    <s v="10"/>
    <n v="14"/>
    <n v="422"/>
    <n v="3013"/>
    <n v="4322"/>
    <s v="33369000"/>
    <s v="34.10.14.422.3023.4321.33903900"/>
    <s v="2"/>
    <s v="Termo de Contrato - Serviços"/>
    <n v="7"/>
    <s v="Inexigibilidade"/>
    <n v="2025"/>
    <n v="14337"/>
    <s v="156/SMDHC/2025"/>
    <s v="6074202500037336"/>
    <x v="0"/>
    <x v="275"/>
    <s v="22/05/2025 00:00:00"/>
    <s v="30/05/2025 00:00:00"/>
    <s v="21/06/2025 00:00:00"/>
    <n v="1"/>
    <x v="2"/>
    <n v="500"/>
    <n v="0"/>
    <n v="0"/>
    <n v="0"/>
    <n v="500"/>
    <n v="41.666666666666657"/>
    <n v="500"/>
    <n v="500"/>
    <n v="41.666666666666657"/>
    <n v="500"/>
    <n v="500"/>
    <n v="0"/>
    <n v="500"/>
    <n v="500"/>
    <n v="500"/>
    <s v="07-07-2025"/>
    <s v="6074202500037336|34.10.14.422.3023.4321.33903900"/>
    <n v="1"/>
  </r>
  <r>
    <s v="01"/>
    <s v="Secretaria Municipal de Direitos Humanos e Cidadania"/>
    <s v="34"/>
    <s v="10"/>
    <n v="14"/>
    <n v="422"/>
    <n v="3013"/>
    <n v="4322"/>
    <s v="33369000"/>
    <s v="34.10.14.422.3023.4321.33903900"/>
    <s v="2"/>
    <s v="Termo de Contrato - Serviços"/>
    <n v="6"/>
    <s v="Dispensa de Licitação"/>
    <n v="2025"/>
    <n v="14341"/>
    <m/>
    <s v="6074202500036755"/>
    <x v="0"/>
    <x v="275"/>
    <m/>
    <m/>
    <m/>
    <n v="12"/>
    <x v="0"/>
    <n v="500"/>
    <n v="0"/>
    <n v="0"/>
    <n v="0"/>
    <n v="500"/>
    <n v="41.666666666666657"/>
    <n v="500"/>
    <n v="500"/>
    <n v="41.666666666666657"/>
    <n v="500"/>
    <n v="500"/>
    <n v="500"/>
    <n v="0"/>
    <n v="0"/>
    <n v="0"/>
    <s v="07-07-2025"/>
    <s v="6074202500036755|34.10.14.422.3023.4321.33903900"/>
    <n v="1"/>
  </r>
  <r>
    <s v="01"/>
    <s v="Secretaria Municipal de Direitos Humanos e Cidadania"/>
    <s v="34"/>
    <s v="10"/>
    <n v="14"/>
    <n v="422"/>
    <n v="3013"/>
    <n v="4322"/>
    <s v="33369000"/>
    <s v="34.10.14.422.3023.4321.33903900"/>
    <s v="2"/>
    <s v="Termo de Contrato - Serviços"/>
    <n v="7"/>
    <s v="Inexigibilidade"/>
    <n v="2025"/>
    <n v="14360"/>
    <s v="154/SMDHC/2025"/>
    <s v="6074202500036755"/>
    <x v="0"/>
    <x v="275"/>
    <s v="22/05/2025 00:00:00"/>
    <s v="30/05/2025 00:00:00"/>
    <s v="21/06/2025 00:00:00"/>
    <n v="12"/>
    <x v="0"/>
    <n v="500"/>
    <n v="0"/>
    <n v="0"/>
    <n v="0"/>
    <n v="500"/>
    <n v="41.666666666666657"/>
    <n v="500"/>
    <n v="500"/>
    <n v="41.666666666666657"/>
    <n v="500"/>
    <n v="500"/>
    <n v="0"/>
    <n v="500"/>
    <n v="500"/>
    <n v="500"/>
    <s v="07-07-2025"/>
    <s v="6074202500036755|34.10.14.422.3023.4321.33903900"/>
    <n v="1"/>
  </r>
  <r>
    <s v="01"/>
    <s v="Secretaria Municipal de Direitos Humanos e Cidadania"/>
    <s v="34"/>
    <s v="10"/>
    <n v="14"/>
    <n v="422"/>
    <n v="3013"/>
    <n v="4322"/>
    <s v="33369000"/>
    <s v="34.10.14.422.3023.4321.33903900"/>
    <s v="2"/>
    <s v="Termo de Contrato - Serviços"/>
    <n v="7"/>
    <s v="Inexigibilidade"/>
    <n v="2025"/>
    <n v="14351"/>
    <s v="155/SMDHC/2025"/>
    <s v="6074202500036321"/>
    <x v="0"/>
    <x v="276"/>
    <s v="22/05/2025 00:00:00"/>
    <s v="30/05/2025 00:00:00"/>
    <s v="02/06/2025 00:00:00"/>
    <n v="0"/>
    <x v="2"/>
    <n v="500"/>
    <n v="0"/>
    <n v="0"/>
    <n v="0"/>
    <n v="500"/>
    <n v="41.666666666666657"/>
    <n v="500"/>
    <n v="500"/>
    <n v="41.666666666666657"/>
    <n v="500"/>
    <n v="500"/>
    <n v="0"/>
    <n v="500"/>
    <n v="500"/>
    <n v="500"/>
    <s v="07-07-2025"/>
    <s v="6074202500036321|34.10.14.422.3023.4321.33903900"/>
    <n v="1"/>
  </r>
  <r>
    <s v="01"/>
    <s v="Secretaria Municipal de Direitos Humanos e Cidadania"/>
    <s v="34"/>
    <s v="10"/>
    <n v="14"/>
    <n v="422"/>
    <n v="3013"/>
    <n v="4322"/>
    <s v="33369000"/>
    <s v="34.10.14.422.3023.4321.33903900"/>
    <s v="2"/>
    <s v="Termo de Contrato - Serviços"/>
    <n v="7"/>
    <s v="Inexigibilidade"/>
    <n v="2025"/>
    <n v="14369"/>
    <s v="152/SMDHC/2025"/>
    <s v="6074202500036747"/>
    <x v="0"/>
    <x v="277"/>
    <s v="22/05/2025 00:00:00"/>
    <s v="30/05/2025 00:00:00"/>
    <s v="02/06/2025 00:00:00"/>
    <n v="0"/>
    <x v="2"/>
    <n v="500"/>
    <n v="0"/>
    <n v="0"/>
    <n v="0"/>
    <n v="500"/>
    <n v="41.666666666666657"/>
    <n v="500"/>
    <n v="500"/>
    <n v="41.666666666666657"/>
    <n v="500"/>
    <n v="500"/>
    <n v="0"/>
    <n v="500"/>
    <n v="500"/>
    <n v="500"/>
    <s v="07-07-2025"/>
    <s v="6074202500036747|34.10.14.422.3023.4321.33903900"/>
    <n v="1"/>
  </r>
  <r>
    <s v="01"/>
    <s v="Secretaria Municipal de Direitos Humanos e Cidadania"/>
    <s v="34"/>
    <s v="10"/>
    <n v="14"/>
    <n v="422"/>
    <n v="3013"/>
    <n v="4322"/>
    <s v="33369000"/>
    <s v="34.10.14.422.3023.4321.33903900"/>
    <s v="2"/>
    <s v="Termo de Contrato - Serviços"/>
    <n v="7"/>
    <s v="Inexigibilidade"/>
    <n v="2025"/>
    <n v="14371"/>
    <s v="153/SMDHC/2025"/>
    <s v="6074202500036763"/>
    <x v="0"/>
    <x v="275"/>
    <s v="22/05/2025 00:00:00"/>
    <s v="30/05/2025 00:00:00"/>
    <s v="22/06/2025 00:00:00"/>
    <n v="1"/>
    <x v="2"/>
    <n v="500"/>
    <n v="0"/>
    <n v="0"/>
    <n v="0"/>
    <n v="500"/>
    <n v="41.666666666666657"/>
    <n v="500"/>
    <n v="500"/>
    <n v="41.666666666666657"/>
    <n v="500"/>
    <n v="500"/>
    <n v="0"/>
    <n v="500"/>
    <n v="500"/>
    <n v="0"/>
    <s v="07-07-2025"/>
    <s v="6074202500036763|34.10.14.422.3023.4321.33903900"/>
    <n v="1"/>
  </r>
  <r>
    <s v="01"/>
    <s v="Secretaria Municipal de Direitos Humanos e Cidadania"/>
    <s v="34"/>
    <s v="10"/>
    <n v="14"/>
    <n v="422"/>
    <n v="3013"/>
    <n v="2431"/>
    <s v="33399000"/>
    <s v="34.10.14.422.3023.4321.33903900"/>
    <s v="5"/>
    <s v="Nota de Empenho Fornecimento de Bens de Consumo e/ou Permanente"/>
    <n v="12"/>
    <s v="Pregão"/>
    <n v="2025"/>
    <n v="14393"/>
    <m/>
    <s v="6074202500035139"/>
    <x v="0"/>
    <x v="278"/>
    <m/>
    <m/>
    <m/>
    <n v="12"/>
    <x v="0"/>
    <n v="2009.6"/>
    <n v="0"/>
    <n v="0"/>
    <n v="0"/>
    <n v="2009.6"/>
    <n v="167.4666666666667"/>
    <n v="2009.6"/>
    <n v="2009.6"/>
    <n v="167.4666666666667"/>
    <n v="2009.6"/>
    <n v="2009.6"/>
    <n v="0"/>
    <n v="2009.6"/>
    <n v="0"/>
    <n v="0"/>
    <s v="07-07-2025"/>
    <s v="6074202500035139|34.10.14.422.3023.4321.33903900"/>
    <n v="1"/>
  </r>
  <r>
    <s v="01"/>
    <s v="Secretaria Municipal de Direitos Humanos e Cidadania"/>
    <s v="34"/>
    <s v="10"/>
    <n v="14"/>
    <n v="122"/>
    <n v="3024"/>
    <n v="2100"/>
    <s v="33399000"/>
    <s v="34.10.14.422.3023.4321.33903900"/>
    <s v="2"/>
    <s v="Termo de Contrato - Serviços"/>
    <n v="12"/>
    <s v="Pregão"/>
    <n v="2025"/>
    <n v="14411"/>
    <s v="159/SMDHC/2025"/>
    <s v="6074202500037638"/>
    <x v="0"/>
    <x v="279"/>
    <s v="23/05/2025 00:00:00"/>
    <s v="30/05/2025 00:00:00"/>
    <s v="22/06/2025 00:00:00"/>
    <n v="1"/>
    <x v="2"/>
    <n v="95682.08"/>
    <n v="0"/>
    <n v="0"/>
    <n v="0"/>
    <n v="95682.08"/>
    <n v="7973.5066666666671"/>
    <n v="95682.08"/>
    <n v="95682.08"/>
    <n v="7973.5066666666671"/>
    <n v="95682.08"/>
    <n v="95682.08"/>
    <n v="0"/>
    <n v="95682.08"/>
    <n v="95682.08"/>
    <n v="0"/>
    <s v="07-07-2025"/>
    <s v="6074202500037638|34.10.14.422.3023.4321.33903900"/>
    <n v="1"/>
  </r>
  <r>
    <s v="01"/>
    <s v="Secretaria Municipal de Direitos Humanos e Cidadania"/>
    <s v="34"/>
    <s v="10"/>
    <n v="14"/>
    <n v="122"/>
    <n v="3024"/>
    <n v="2100"/>
    <s v="33309000"/>
    <s v="34.10.14.422.3023.4321.33903900"/>
    <s v="5"/>
    <s v="Nota de Empenho Fornecimento de Bens de Consumo e/ou Permanente"/>
    <n v="12"/>
    <s v="Pregão"/>
    <n v="2025"/>
    <n v="14447"/>
    <m/>
    <s v="6074202500036348"/>
    <x v="0"/>
    <x v="280"/>
    <m/>
    <m/>
    <s v="22/06/2025 00:00:00"/>
    <n v="12"/>
    <x v="0"/>
    <n v="10550"/>
    <n v="0"/>
    <n v="0"/>
    <n v="0"/>
    <n v="10550"/>
    <n v="879.16666666666663"/>
    <n v="10550"/>
    <n v="10550"/>
    <n v="879.16666666666663"/>
    <n v="10550"/>
    <n v="10550"/>
    <n v="0"/>
    <n v="10550"/>
    <n v="10550"/>
    <n v="10550"/>
    <s v="07-07-2025"/>
    <s v="6074202500036348|34.10.14.422.3023.4321.33903900"/>
    <n v="1"/>
  </r>
  <r>
    <s v="01"/>
    <s v="Secretaria Municipal de Direitos Humanos e Cidadania"/>
    <s v="34"/>
    <s v="10"/>
    <n v="14"/>
    <n v="243"/>
    <n v="3013"/>
    <n v="2157"/>
    <s v="33399000"/>
    <s v="34.10.14.422.3023.4321.33903900"/>
    <s v="2"/>
    <s v="Termo de Contrato - Serviços"/>
    <n v="12"/>
    <s v="Pregão"/>
    <n v="2024"/>
    <n v="37882"/>
    <s v="428/SMDHC/2024"/>
    <s v="6074202400069252"/>
    <x v="0"/>
    <x v="281"/>
    <s v="29/11/2024 00:00:00"/>
    <s v="05/12/2024 00:00:00"/>
    <s v="16/07/2025 00:00:00"/>
    <n v="7"/>
    <x v="1"/>
    <n v="21000"/>
    <n v="0"/>
    <n v="0"/>
    <n v="0"/>
    <n v="21000"/>
    <n v="1750"/>
    <n v="21000"/>
    <n v="21000"/>
    <n v="1750"/>
    <n v="21000"/>
    <n v="42000"/>
    <n v="21000"/>
    <n v="21000"/>
    <n v="21000"/>
    <n v="21000"/>
    <s v="07-07-2025"/>
    <s v="6074202400069252|34.10.14.422.3023.4321.33903900"/>
    <n v="1"/>
  </r>
  <r>
    <s v="01"/>
    <s v="Secretaria Municipal de Direitos Humanos e Cidadania"/>
    <s v="34"/>
    <s v="10"/>
    <n v="14"/>
    <n v="422"/>
    <n v="3013"/>
    <n v="6178"/>
    <s v="33309000"/>
    <s v="34.10.14.422.3023.4321.33903900"/>
    <s v="29"/>
    <s v="Termo de Contrato para Aquisição de Bens de Consumo e/ou Permanente"/>
    <n v="12"/>
    <s v="Pregão"/>
    <n v="2025"/>
    <n v="14554"/>
    <m/>
    <s v="6074202500009413"/>
    <x v="0"/>
    <x v="282"/>
    <m/>
    <m/>
    <m/>
    <n v="12"/>
    <x v="0"/>
    <n v="1054300"/>
    <n v="0"/>
    <n v="0"/>
    <n v="0"/>
    <n v="1054300"/>
    <n v="87858.333333333328"/>
    <n v="1054300"/>
    <n v="1054300"/>
    <n v="87858.333333333328"/>
    <n v="1054300"/>
    <n v="120000"/>
    <n v="0"/>
    <n v="120000"/>
    <n v="0"/>
    <n v="0"/>
    <s v="07-07-2025"/>
    <s v="6074202500009413|34.10.14.422.3023.4321.33903900"/>
    <n v="1"/>
  </r>
  <r>
    <s v="01"/>
    <s v="Secretaria Municipal de Direitos Humanos e Cidadania"/>
    <s v="34"/>
    <s v="10"/>
    <n v="14"/>
    <n v="422"/>
    <n v="3013"/>
    <n v="6178"/>
    <s v="33309000"/>
    <s v="34.10.14.422.3023.4321.33903900"/>
    <s v="29"/>
    <s v="Termo de Contrato para Aquisição de Bens de Consumo e/ou Permanente"/>
    <n v="12"/>
    <s v="Pregão"/>
    <n v="2025"/>
    <n v="14552"/>
    <m/>
    <s v="6074202500036429"/>
    <x v="0"/>
    <x v="283"/>
    <m/>
    <m/>
    <m/>
    <n v="12"/>
    <x v="0"/>
    <n v="52000"/>
    <n v="0"/>
    <n v="0"/>
    <n v="0"/>
    <n v="52000"/>
    <n v="4333.333333333333"/>
    <n v="52000"/>
    <n v="52000"/>
    <n v="4333.333333333333"/>
    <n v="52000"/>
    <n v="10000"/>
    <n v="0"/>
    <n v="10000"/>
    <n v="0"/>
    <n v="0"/>
    <s v="07-07-2025"/>
    <s v="6074202500036429|34.10.14.422.3023.4321.33903900"/>
    <n v="1"/>
  </r>
  <r>
    <s v="01"/>
    <s v="Secretaria Municipal de Direitos Humanos e Cidadania"/>
    <s v="34"/>
    <s v="10"/>
    <n v="14"/>
    <n v="422"/>
    <n v="3013"/>
    <n v="6178"/>
    <s v="33309000"/>
    <s v="34.10.14.422.3023.4321.33903900"/>
    <s v="29"/>
    <s v="Termo de Contrato para Aquisição de Bens de Consumo e/ou Permanente"/>
    <n v="12"/>
    <s v="Pregão"/>
    <n v="2025"/>
    <n v="14553"/>
    <m/>
    <s v="6074202500009707"/>
    <x v="0"/>
    <x v="284"/>
    <m/>
    <m/>
    <m/>
    <n v="12"/>
    <x v="0"/>
    <n v="123280"/>
    <n v="0"/>
    <n v="0"/>
    <n v="0"/>
    <n v="123280"/>
    <n v="10273.33333333333"/>
    <n v="123280"/>
    <n v="123280"/>
    <n v="10273.33333333333"/>
    <n v="123280"/>
    <n v="30000"/>
    <n v="0"/>
    <n v="30000"/>
    <n v="0"/>
    <n v="0"/>
    <s v="07-07-2025"/>
    <s v="6074202500009707|34.10.14.422.3023.4321.33903900"/>
    <n v="1"/>
  </r>
  <r>
    <s v="01"/>
    <s v="Secretaria Municipal de Direitos Humanos e Cidadania"/>
    <s v="34"/>
    <s v="10"/>
    <n v="14"/>
    <n v="122"/>
    <n v="3024"/>
    <n v="2100"/>
    <s v="33399000"/>
    <s v="34.10.14.422.3023.4321.33903900"/>
    <s v="2"/>
    <s v="Termo de Contrato - Serviços"/>
    <n v="7"/>
    <s v="Inexigibilidade"/>
    <n v="2025"/>
    <n v="14560"/>
    <s v="163/SMDHC/2025"/>
    <s v="6074202500037409"/>
    <x v="0"/>
    <x v="285"/>
    <s v="23/05/2025 00:00:00"/>
    <s v="10/06/2025 00:00:00"/>
    <s v="27/05/2025 00:00:00"/>
    <n v="0"/>
    <x v="2"/>
    <n v="80000"/>
    <n v="0"/>
    <n v="0"/>
    <n v="0"/>
    <n v="80000"/>
    <n v="6666.666666666667"/>
    <n v="80000"/>
    <n v="80000"/>
    <n v="6666.666666666667"/>
    <n v="80000"/>
    <n v="80000"/>
    <n v="0"/>
    <n v="80000"/>
    <n v="80000"/>
    <n v="80000"/>
    <s v="07-07-2025"/>
    <s v="6074202500037409|34.10.14.422.3023.4321.33903900"/>
    <n v="1"/>
  </r>
  <r>
    <s v="01"/>
    <s v="Secretaria Municipal de Direitos Humanos e Cidadania"/>
    <s v="34"/>
    <s v="10"/>
    <n v="14"/>
    <n v="122"/>
    <n v="3024"/>
    <n v="2100"/>
    <s v="33399000"/>
    <s v="34.10.14.243.3013.2157.33904600"/>
    <s v="5"/>
    <s v="Nota de Empenho Fornecimento de Bens de Consumo e/ou Permanente"/>
    <n v="12"/>
    <s v="Pregão"/>
    <n v="2025"/>
    <n v="14695"/>
    <m/>
    <s v="6074202500036500"/>
    <x v="0"/>
    <x v="268"/>
    <m/>
    <m/>
    <s v="28/05/2025 00:00:00"/>
    <n v="12"/>
    <x v="0"/>
    <n v="1758.4"/>
    <n v="0"/>
    <n v="0"/>
    <n v="0"/>
    <n v="1758.4"/>
    <n v="146.5333333333333"/>
    <n v="1758.4"/>
    <n v="1758.4"/>
    <n v="146.5333333333333"/>
    <n v="1758.4"/>
    <n v="1758.4"/>
    <n v="0"/>
    <n v="1758.4"/>
    <n v="1758.4"/>
    <n v="1758.4"/>
    <s v="07-07-2025"/>
    <s v="6074202500036500|34.10.14.243.3013.2157.33904600"/>
    <n v="1"/>
  </r>
  <r>
    <s v="01"/>
    <s v="Secretaria Municipal de Direitos Humanos e Cidadania"/>
    <s v="34"/>
    <s v="10"/>
    <n v="14"/>
    <n v="122"/>
    <n v="3024"/>
    <n v="2100"/>
    <s v="33309000"/>
    <s v="34.10.14.243.3013.2157.33904600"/>
    <s v="5"/>
    <s v="Nota de Empenho Fornecimento de Bens de Consumo e/ou Permanente"/>
    <n v="6"/>
    <s v="Dispensa de Licitação"/>
    <n v="2025"/>
    <n v="14805"/>
    <m/>
    <s v="6074202500033578"/>
    <x v="0"/>
    <x v="286"/>
    <m/>
    <m/>
    <m/>
    <n v="12"/>
    <x v="0"/>
    <n v="930"/>
    <n v="0"/>
    <n v="0"/>
    <n v="0"/>
    <n v="930"/>
    <n v="77.5"/>
    <n v="930"/>
    <n v="930"/>
    <n v="77.5"/>
    <n v="930"/>
    <n v="930"/>
    <n v="0"/>
    <n v="930"/>
    <n v="0"/>
    <n v="0"/>
    <s v="07-07-2025"/>
    <s v="6074202500033578|34.10.14.243.3013.2157.33904600"/>
    <n v="1"/>
  </r>
  <r>
    <s v="01"/>
    <s v="Secretaria Municipal de Direitos Humanos e Cidadania"/>
    <s v="34"/>
    <s v="10"/>
    <n v="14"/>
    <n v="122"/>
    <n v="3024"/>
    <n v="2100"/>
    <s v="33309000"/>
    <s v="34.10.14.122.3024.2100.33904600"/>
    <s v="5"/>
    <s v="Nota de Empenho Fornecimento de Bens de Consumo e/ou Permanente"/>
    <n v="12"/>
    <s v="Pregão"/>
    <n v="2025"/>
    <n v="15272"/>
    <m/>
    <s v="6074202500037840"/>
    <x v="0"/>
    <x v="287"/>
    <m/>
    <m/>
    <s v="23/06/2025 00:00:00"/>
    <n v="12"/>
    <x v="0"/>
    <n v="10000.120000000001"/>
    <n v="0"/>
    <n v="0"/>
    <n v="0"/>
    <n v="10000.120000000001"/>
    <n v="833.34333333333336"/>
    <n v="10000.120000000001"/>
    <n v="10000.120000000001"/>
    <n v="833.34333333333336"/>
    <n v="10000.120000000001"/>
    <n v="10000.120000000001"/>
    <n v="0"/>
    <n v="10000.120000000001"/>
    <n v="10000.120000000001"/>
    <n v="0"/>
    <s v="07-07-2025"/>
    <s v="6074202500037840|34.10.14.122.3024.2100.33904600"/>
    <n v="1"/>
  </r>
  <r>
    <s v="01"/>
    <s v="Secretaria Municipal de Direitos Humanos e Cidadania"/>
    <s v="34"/>
    <s v="10"/>
    <n v="14"/>
    <n v="422"/>
    <n v="3013"/>
    <n v="2431"/>
    <s v="33399000"/>
    <s v="34.10.14.122.3024.2100.33904600"/>
    <s v="41"/>
    <s v="Nota de Empenho de Serviços com fornecimento de materiais / peças"/>
    <n v="12"/>
    <s v="Pregão"/>
    <n v="2025"/>
    <n v="15439"/>
    <m/>
    <s v="6074202500035333"/>
    <x v="0"/>
    <x v="288"/>
    <m/>
    <m/>
    <s v="08/06/2025 00:00:00"/>
    <n v="12"/>
    <x v="0"/>
    <n v="4287.3999999999996"/>
    <n v="0"/>
    <n v="0"/>
    <n v="0"/>
    <n v="4287.3999999999996"/>
    <n v="357.2833333333333"/>
    <n v="4287.3999999999996"/>
    <n v="4287.3999999999996"/>
    <n v="357.2833333333333"/>
    <n v="4287.3999999999996"/>
    <n v="4287.3999999999996"/>
    <n v="0"/>
    <n v="4287.3999999999996"/>
    <n v="4287.3999999999996"/>
    <n v="0"/>
    <s v="07-07-2025"/>
    <s v="6074202500035333|34.10.14.122.3024.2100.33904600"/>
    <n v="1"/>
  </r>
  <r>
    <s v="01"/>
    <s v="Secretaria Municipal de Direitos Humanos e Cidadania"/>
    <s v="34"/>
    <s v="10"/>
    <n v="14"/>
    <n v="422"/>
    <n v="3018"/>
    <n v="4318"/>
    <s v="33399000"/>
    <s v="34.10.14.122.3024.2100.33904600"/>
    <s v="41"/>
    <s v="Nota de Empenho de Serviços com fornecimento de materiais / peças"/>
    <n v="12"/>
    <s v="Pregão"/>
    <n v="2025"/>
    <n v="15460"/>
    <m/>
    <s v="6074202500029309"/>
    <x v="0"/>
    <x v="289"/>
    <m/>
    <m/>
    <m/>
    <n v="12"/>
    <x v="0"/>
    <n v="9894"/>
    <n v="0"/>
    <n v="0"/>
    <n v="0"/>
    <n v="9894"/>
    <n v="824.5"/>
    <n v="9894"/>
    <n v="9894"/>
    <n v="824.5"/>
    <n v="9894"/>
    <n v="9894"/>
    <n v="0"/>
    <n v="9894"/>
    <n v="0"/>
    <n v="0"/>
    <s v="07-07-2025"/>
    <s v="6074202500029309|34.10.14.122.3024.2100.33904600"/>
    <n v="1"/>
  </r>
  <r>
    <s v="01"/>
    <s v="Secretaria Municipal de Direitos Humanos e Cidadania"/>
    <s v="34"/>
    <s v="10"/>
    <n v="8"/>
    <n v="605"/>
    <n v="3016"/>
    <n v="4470"/>
    <s v="33309000"/>
    <s v="34.10.14.122.3024.2100.33904600"/>
    <s v="5"/>
    <s v="Nota de Empenho Fornecimento de Bens de Consumo e/ou Permanente"/>
    <n v="6"/>
    <s v="Dispensa de Licitação"/>
    <n v="2025"/>
    <n v="15506"/>
    <m/>
    <s v="6074202500035910"/>
    <x v="0"/>
    <x v="290"/>
    <m/>
    <m/>
    <s v="20/06/2025 00:00:00"/>
    <n v="12"/>
    <x v="0"/>
    <n v="3250"/>
    <n v="0"/>
    <n v="0"/>
    <n v="0"/>
    <n v="3250"/>
    <n v="270.83333333333331"/>
    <n v="3250"/>
    <n v="3250"/>
    <n v="270.83333333333331"/>
    <n v="3250"/>
    <n v="3250"/>
    <n v="0"/>
    <n v="3250"/>
    <n v="3250"/>
    <n v="0"/>
    <s v="07-07-2025"/>
    <s v="6074202500035910|34.10.14.122.3024.2100.33904600"/>
    <n v="1"/>
  </r>
  <r>
    <s v="01"/>
    <s v="Secretaria Municipal de Direitos Humanos e Cidadania"/>
    <s v="34"/>
    <s v="10"/>
    <n v="14"/>
    <n v="244"/>
    <n v="3013"/>
    <n v="4329"/>
    <s v="33395000"/>
    <s v="34.10.14.122.3024.2100.33904600"/>
    <s v="23"/>
    <s v="Termo de Fomento - Lei Federal 13.019/2014"/>
    <n v="8"/>
    <s v="Não Aplicável"/>
    <n v="2025"/>
    <n v="15560"/>
    <s v="40/2025/SMDHC/CPM"/>
    <s v="6074202500029759"/>
    <x v="0"/>
    <x v="291"/>
    <s v="06/06/2025 00:00:00"/>
    <s v="11/06/2025 00:00:00"/>
    <s v="09/08/2025 00:00:00"/>
    <n v="2"/>
    <x v="1"/>
    <n v="50000"/>
    <n v="0"/>
    <n v="0"/>
    <n v="0"/>
    <n v="50000"/>
    <n v="4166.666666666667"/>
    <n v="50000"/>
    <n v="50000"/>
    <n v="4166.666666666667"/>
    <n v="50000"/>
    <n v="50000"/>
    <n v="0"/>
    <n v="50000"/>
    <n v="50000"/>
    <n v="50000"/>
    <s v="07-07-2025"/>
    <s v="6074202500029759|34.10.14.122.3024.2100.33904600"/>
    <n v="1"/>
  </r>
  <r>
    <s v="01"/>
    <s v="Secretaria Municipal de Direitos Humanos e Cidadania"/>
    <s v="34"/>
    <s v="10"/>
    <n v="14"/>
    <n v="422"/>
    <n v="3013"/>
    <n v="2431"/>
    <s v="33399000"/>
    <s v="34.10.14.122.3024.2100.33904600"/>
    <s v="2"/>
    <s v="Termo de Contrato - Serviços"/>
    <n v="12"/>
    <s v="Pregão"/>
    <n v="2025"/>
    <n v="15700"/>
    <m/>
    <s v="6074202500041040"/>
    <x v="0"/>
    <x v="292"/>
    <m/>
    <m/>
    <m/>
    <n v="12"/>
    <x v="0"/>
    <n v="1833.76"/>
    <n v="0"/>
    <n v="0"/>
    <n v="0"/>
    <n v="1833.76"/>
    <n v="152.8133333333333"/>
    <n v="1833.76"/>
    <n v="1833.76"/>
    <n v="152.8133333333333"/>
    <n v="1833.76"/>
    <n v="1833.76"/>
    <n v="0"/>
    <n v="1833.76"/>
    <n v="0"/>
    <n v="0"/>
    <s v="07-07-2025"/>
    <s v="6074202500041040|34.10.14.122.3024.2100.33904600"/>
    <n v="1"/>
  </r>
  <r>
    <s v="01"/>
    <s v="Secretaria Municipal de Direitos Humanos e Cidadania"/>
    <s v="34"/>
    <s v="10"/>
    <n v="14"/>
    <n v="422"/>
    <n v="3013"/>
    <n v="4322"/>
    <s v="33369000"/>
    <s v="34.10.14.122.3024.2100.33904600"/>
    <s v="2"/>
    <s v="Termo de Contrato - Serviços"/>
    <n v="7"/>
    <s v="Inexigibilidade"/>
    <n v="2025"/>
    <n v="15701"/>
    <s v="164/SMDHC/2025"/>
    <s v="6074202500042267"/>
    <x v="0"/>
    <x v="293"/>
    <s v="06/06/2025 00:00:00"/>
    <s v="10/06/2025 00:00:00"/>
    <s v="06/07/2025 00:00:00"/>
    <n v="1"/>
    <x v="2"/>
    <n v="1400"/>
    <n v="0"/>
    <n v="0"/>
    <n v="0"/>
    <n v="1400"/>
    <n v="116.6666666666667"/>
    <n v="1400"/>
    <n v="1400"/>
    <n v="116.6666666666667"/>
    <n v="1400"/>
    <n v="1400"/>
    <n v="0"/>
    <n v="1400"/>
    <n v="1400"/>
    <n v="0"/>
    <s v="07-07-2025"/>
    <s v="6074202500042267|34.10.14.122.3024.2100.33904600"/>
    <n v="1"/>
  </r>
  <r>
    <s v="01"/>
    <s v="Secretaria Municipal de Direitos Humanos e Cidadania"/>
    <s v="34"/>
    <s v="10"/>
    <n v="14"/>
    <n v="122"/>
    <n v="3024"/>
    <n v="2100"/>
    <s v="33309000"/>
    <s v="34.10.14.122.3024.2100.33904600"/>
    <s v="5"/>
    <s v="Nota de Empenho Fornecimento de Bens de Consumo e/ou Permanente"/>
    <n v="6"/>
    <s v="Dispensa de Licitação"/>
    <n v="2025"/>
    <n v="15706"/>
    <m/>
    <s v="6074202500033349"/>
    <x v="0"/>
    <x v="294"/>
    <m/>
    <m/>
    <m/>
    <n v="12"/>
    <x v="0"/>
    <n v="9999.6"/>
    <n v="0"/>
    <n v="0"/>
    <n v="0"/>
    <n v="9999.6"/>
    <n v="833.30000000000007"/>
    <n v="9999.6"/>
    <n v="9999.6"/>
    <n v="833.30000000000007"/>
    <n v="9999.6"/>
    <n v="9999.6"/>
    <n v="0"/>
    <n v="9999.6"/>
    <n v="0"/>
    <n v="0"/>
    <s v="07-07-2025"/>
    <s v="6074202500033349|34.10.14.122.3024.2100.33904600"/>
    <n v="1"/>
  </r>
  <r>
    <s v="01"/>
    <s v="Secretaria Municipal de Direitos Humanos e Cidadania"/>
    <s v="34"/>
    <s v="10"/>
    <n v="14"/>
    <n v="243"/>
    <n v="3013"/>
    <n v="2157"/>
    <s v="33929000"/>
    <s v="34.10.14.122.3024.2100.33904600"/>
    <s v="53"/>
    <s v="Nota de Empenho - Multas de Trânsito / Outras"/>
    <n v="8"/>
    <s v="Não Aplicável"/>
    <n v="2025"/>
    <n v="15804"/>
    <m/>
    <s v="6074202500034043"/>
    <x v="0"/>
    <x v="295"/>
    <m/>
    <m/>
    <s v="27/10/2023 00:00:00"/>
    <n v="12"/>
    <x v="0"/>
    <n v="5000"/>
    <n v="0"/>
    <n v="0"/>
    <n v="0"/>
    <n v="5000"/>
    <n v="416.66666666666669"/>
    <n v="5000"/>
    <n v="5000"/>
    <n v="416.66666666666669"/>
    <n v="5000"/>
    <n v="3941.89"/>
    <n v="0"/>
    <n v="3941.89"/>
    <n v="3941.89"/>
    <n v="3941.89"/>
    <s v="07-07-2025"/>
    <s v="6074202500034043|34.10.14.122.3024.2100.33904600"/>
    <n v="1"/>
  </r>
  <r>
    <s v="01"/>
    <s v="Secretaria Municipal de Direitos Humanos e Cidadania"/>
    <s v="34"/>
    <s v="10"/>
    <n v="14"/>
    <n v="422"/>
    <n v="3013"/>
    <n v="2053"/>
    <s v="33309000"/>
    <s v="34.10.14.422.3013.2053.33903000"/>
    <s v="29"/>
    <s v="Termo de Contrato para Aquisição de Bens de Consumo e/ou Permanente"/>
    <n v="6"/>
    <s v="Dispensa de Licitação"/>
    <n v="2025"/>
    <n v="15829"/>
    <m/>
    <s v="6074202500033594"/>
    <x v="0"/>
    <x v="296"/>
    <m/>
    <m/>
    <m/>
    <n v="12"/>
    <x v="0"/>
    <n v="26199.65"/>
    <n v="0"/>
    <n v="0"/>
    <n v="0"/>
    <n v="26199.65"/>
    <n v="2183.3041666666668"/>
    <n v="26199.65"/>
    <n v="26199.65"/>
    <n v="2183.3041666666668"/>
    <n v="26199.65"/>
    <n v="26199.65"/>
    <n v="0"/>
    <n v="26199.65"/>
    <n v="0"/>
    <n v="0"/>
    <s v="07-07-2025"/>
    <s v="6074202500033594|34.10.14.422.3013.2053.33903000"/>
    <n v="1"/>
  </r>
  <r>
    <s v="01"/>
    <s v="Secretaria Municipal de Direitos Humanos e Cidadania"/>
    <s v="34"/>
    <s v="10"/>
    <n v="14"/>
    <n v="244"/>
    <n v="3013"/>
    <n v="4329"/>
    <s v="33395000"/>
    <s v="34.10.14.422.3013.2053.33903000"/>
    <s v="23"/>
    <s v="Termo de Fomento - Lei Federal 13.019/2014"/>
    <n v="8"/>
    <s v="Não Aplicável"/>
    <n v="2025"/>
    <n v="15985"/>
    <s v="42/2025/SMDHC/CPM"/>
    <s v="6074202500029716"/>
    <x v="0"/>
    <x v="297"/>
    <s v="23/06/2025 00:00:00"/>
    <s v="30/06/2025 00:00:00"/>
    <s v="22/09/2025 00:00:00"/>
    <n v="3"/>
    <x v="1"/>
    <n v="100000"/>
    <n v="0"/>
    <n v="0"/>
    <n v="0"/>
    <n v="100000"/>
    <n v="8333.3333333333339"/>
    <n v="100000"/>
    <n v="100000"/>
    <n v="8333.3333333333339"/>
    <n v="100000"/>
    <n v="100000"/>
    <n v="0"/>
    <n v="100000"/>
    <n v="100000"/>
    <n v="0"/>
    <s v="07-07-2025"/>
    <s v="6074202500029716|34.10.14.422.3013.2053.33903000"/>
    <n v="1"/>
  </r>
  <r>
    <s v="01"/>
    <s v="Secretaria Municipal de Direitos Humanos e Cidadania"/>
    <s v="34"/>
    <s v="10"/>
    <n v="14"/>
    <n v="422"/>
    <n v="3013"/>
    <n v="6178"/>
    <s v="33399000"/>
    <s v="34.10.14.422.3013.2053.33903000"/>
    <s v="2"/>
    <s v="Termo de Contrato - Serviços"/>
    <n v="12"/>
    <s v="Pregão"/>
    <n v="2025"/>
    <n v="15998"/>
    <s v="165/SMDHC/2025"/>
    <s v="6074202500042933"/>
    <x v="0"/>
    <x v="298"/>
    <s v="10/06/2025 00:00:00"/>
    <s v="17/06/2025 00:00:00"/>
    <s v="10/07/2025 00:00:00"/>
    <n v="1"/>
    <x v="1"/>
    <n v="3957.6"/>
    <n v="0"/>
    <n v="0"/>
    <n v="0"/>
    <n v="3957.6"/>
    <n v="329.8"/>
    <n v="3957.6"/>
    <n v="3957.6"/>
    <n v="329.8"/>
    <n v="3957.6"/>
    <n v="3957.6"/>
    <n v="0"/>
    <n v="3957.6"/>
    <n v="0"/>
    <n v="0"/>
    <s v="07-07-2025"/>
    <s v="6074202500042933|34.10.14.422.3013.2053.33903000"/>
    <n v="1"/>
  </r>
  <r>
    <s v="01"/>
    <s v="Secretaria Municipal de Direitos Humanos e Cidadania"/>
    <s v="34"/>
    <s v="10"/>
    <n v="14"/>
    <n v="122"/>
    <n v="3024"/>
    <n v="2100"/>
    <s v="33399000"/>
    <s v="34.10.14.422.3013.2053.33903000"/>
    <s v="41"/>
    <s v="Nota de Empenho de Serviços com fornecimento de materiais / peças"/>
    <n v="12"/>
    <s v="Pregão"/>
    <n v="2025"/>
    <n v="16032"/>
    <m/>
    <s v="6074202500042399"/>
    <x v="0"/>
    <x v="299"/>
    <m/>
    <m/>
    <s v="17/06/2025 00:00:00"/>
    <n v="12"/>
    <x v="0"/>
    <n v="2308.6"/>
    <n v="0"/>
    <n v="0"/>
    <n v="0"/>
    <n v="2308.6"/>
    <n v="192.3833333333333"/>
    <n v="2308.6"/>
    <n v="2308.6"/>
    <n v="192.3833333333333"/>
    <n v="2308.6"/>
    <n v="2308.6"/>
    <n v="0"/>
    <n v="2308.6"/>
    <n v="2308.6"/>
    <n v="0"/>
    <s v="07-07-2025"/>
    <s v="6074202500042399|34.10.14.422.3013.2053.33903000"/>
    <n v="1"/>
  </r>
  <r>
    <s v="01"/>
    <s v="Secretaria Municipal de Direitos Humanos e Cidadania"/>
    <s v="34"/>
    <s v="10"/>
    <n v="8"/>
    <n v="605"/>
    <n v="3016"/>
    <n v="4470"/>
    <s v="33929000"/>
    <s v="34.10.14.422.3013.2053.33903000"/>
    <s v="64"/>
    <s v="Nota de Empenho-Fornecitº Serviços de Concessionárias de Abast.Público"/>
    <n v="7"/>
    <s v="Inexigibilidade"/>
    <n v="2025"/>
    <n v="16192"/>
    <m/>
    <s v="6074202400040246"/>
    <x v="0"/>
    <x v="300"/>
    <m/>
    <m/>
    <s v="31/12/2023 00:00:00"/>
    <n v="12"/>
    <x v="0"/>
    <n v="3433.58"/>
    <n v="0"/>
    <n v="0"/>
    <n v="0"/>
    <n v="3433.58"/>
    <n v="286.13166666666672"/>
    <n v="3433.58"/>
    <n v="3433.58"/>
    <n v="286.13166666666672"/>
    <n v="3433.58"/>
    <n v="1781.02"/>
    <n v="0"/>
    <n v="1781.02"/>
    <n v="1781.02"/>
    <n v="0"/>
    <s v="07-07-2025"/>
    <s v="6074202400040246|34.10.14.422.3013.2053.33903000"/>
    <n v="1"/>
  </r>
  <r>
    <s v="01"/>
    <s v="Secretaria Municipal de Direitos Humanos e Cidadania"/>
    <s v="34"/>
    <s v="10"/>
    <n v="14"/>
    <n v="422"/>
    <n v="3013"/>
    <n v="2431"/>
    <s v="33399000"/>
    <s v="34.10.14.422.3013.2053.33903000"/>
    <s v="2"/>
    <s v="Termo de Contrato - Serviços"/>
    <n v="12"/>
    <s v="Pregão"/>
    <n v="2025"/>
    <n v="16189"/>
    <m/>
    <s v="6074202400060808"/>
    <x v="0"/>
    <x v="301"/>
    <m/>
    <m/>
    <m/>
    <n v="12"/>
    <x v="0"/>
    <n v="8545.36"/>
    <n v="0"/>
    <n v="0"/>
    <n v="0"/>
    <n v="8545.36"/>
    <n v="712.11333333333334"/>
    <n v="8545.36"/>
    <n v="8545.36"/>
    <n v="712.11333333333334"/>
    <n v="8545.36"/>
    <n v="8545.36"/>
    <n v="0"/>
    <n v="8545.36"/>
    <n v="0"/>
    <n v="0"/>
    <s v="07-07-2025"/>
    <s v="6074202400060808|34.10.14.422.3013.2053.33903000"/>
    <n v="1"/>
  </r>
  <r>
    <s v="01"/>
    <s v="Secretaria Municipal de Direitos Humanos e Cidadania"/>
    <s v="34"/>
    <s v="10"/>
    <n v="14"/>
    <n v="422"/>
    <n v="3018"/>
    <n v="4318"/>
    <s v="33399000"/>
    <s v="34.10.14.422.3013.2053.33903000"/>
    <s v="41"/>
    <s v="Nota de Empenho de Serviços com fornecimento de materiais / peças"/>
    <n v="12"/>
    <s v="Pregão"/>
    <n v="2025"/>
    <n v="16284"/>
    <m/>
    <s v="6074202500044332"/>
    <x v="0"/>
    <x v="302"/>
    <m/>
    <m/>
    <s v="14/06/2025 00:00:00"/>
    <n v="12"/>
    <x v="0"/>
    <n v="5702.24"/>
    <n v="0"/>
    <n v="0"/>
    <n v="0"/>
    <n v="5702.24"/>
    <n v="475.18666666666672"/>
    <n v="5702.24"/>
    <n v="5702.24"/>
    <n v="475.18666666666672"/>
    <n v="5702.24"/>
    <n v="5702.24"/>
    <n v="0"/>
    <n v="5702.24"/>
    <n v="5702.24"/>
    <n v="0"/>
    <s v="07-07-2025"/>
    <s v="6074202500044332|34.10.14.422.3013.2053.33903000"/>
    <n v="1"/>
  </r>
  <r>
    <s v="01"/>
    <s v="Secretaria Municipal de Cultura"/>
    <s v="25"/>
    <s v="10"/>
    <n v="14"/>
    <n v="422"/>
    <n v="3018"/>
    <n v="4326"/>
    <s v="33399000"/>
    <s v="34.10.14.422.3013.2053.33903000"/>
    <s v="2"/>
    <s v="Termo de Contrato - Serviços"/>
    <n v="7"/>
    <s v="Inexigibilidade"/>
    <n v="2025"/>
    <n v="16544"/>
    <m/>
    <s v="6025202500121410"/>
    <x v="0"/>
    <x v="303"/>
    <m/>
    <m/>
    <m/>
    <n v="12"/>
    <x v="0"/>
    <n v="11000"/>
    <n v="0"/>
    <n v="0"/>
    <n v="0"/>
    <n v="11000"/>
    <n v="916.66666666666663"/>
    <n v="11000"/>
    <n v="11000"/>
    <n v="916.66666666666663"/>
    <n v="11000"/>
    <n v="11000"/>
    <n v="0"/>
    <n v="11000"/>
    <n v="0"/>
    <n v="0"/>
    <s v="07-07-2025"/>
    <s v="6025202500121410|34.10.14.422.3013.2053.33903000"/>
    <n v="1"/>
  </r>
  <r>
    <s v="01"/>
    <s v="Secretaria Municipal de Cultura"/>
    <s v="25"/>
    <s v="10"/>
    <n v="14"/>
    <n v="422"/>
    <n v="3018"/>
    <n v="4326"/>
    <s v="33399000"/>
    <s v="34.10.14.422.3013.2053.33903000"/>
    <s v="2"/>
    <s v="Termo de Contrato - Serviços"/>
    <n v="7"/>
    <s v="Inexigibilidade"/>
    <n v="2025"/>
    <n v="16682"/>
    <s v=" 03292-2025-PE"/>
    <s v="6025202500122387"/>
    <x v="0"/>
    <x v="304"/>
    <s v="17/06/2025 00:00:00"/>
    <s v="24/06/2025 00:00:00"/>
    <s v="22/06/2025 00:00:00"/>
    <n v="0"/>
    <x v="2"/>
    <n v="14200"/>
    <n v="0"/>
    <n v="0"/>
    <n v="0"/>
    <n v="14200"/>
    <n v="1183.333333333333"/>
    <n v="14200"/>
    <n v="14200"/>
    <n v="1183.333333333333"/>
    <n v="14200"/>
    <n v="14200"/>
    <n v="0"/>
    <n v="14200"/>
    <n v="14200"/>
    <n v="0"/>
    <s v="07-07-2025"/>
    <s v="6025202500122387|34.10.14.422.3013.2053.33903000"/>
    <n v="1"/>
  </r>
  <r>
    <s v="01"/>
    <s v="Secretaria Municipal de Cultura"/>
    <s v="25"/>
    <s v="10"/>
    <n v="14"/>
    <n v="422"/>
    <n v="3018"/>
    <n v="4326"/>
    <s v="33399000"/>
    <s v="34.10.14.422.3013.2053.33903000"/>
    <s v="2"/>
    <s v="Termo de Contrato - Serviços"/>
    <n v="7"/>
    <s v="Inexigibilidade"/>
    <n v="2025"/>
    <n v="16691"/>
    <m/>
    <s v="6025202500121259"/>
    <x v="0"/>
    <x v="305"/>
    <m/>
    <m/>
    <m/>
    <n v="12"/>
    <x v="0"/>
    <n v="11000"/>
    <n v="0"/>
    <n v="0"/>
    <n v="0"/>
    <n v="11000"/>
    <n v="916.66666666666663"/>
    <n v="11000"/>
    <n v="11000"/>
    <n v="916.66666666666663"/>
    <n v="11000"/>
    <n v="11000"/>
    <n v="0"/>
    <n v="11000"/>
    <n v="0"/>
    <n v="0"/>
    <s v="07-07-2025"/>
    <s v="6025202500121259|34.10.14.422.3013.2053.33903000"/>
    <n v="1"/>
  </r>
  <r>
    <s v="01"/>
    <s v="Secretaria Municipal de Direitos Humanos e Cidadania"/>
    <s v="34"/>
    <s v="10"/>
    <n v="14"/>
    <n v="422"/>
    <n v="3013"/>
    <n v="6178"/>
    <s v="33309000"/>
    <s v="34.10.14.422.3013.6178.33903000"/>
    <s v="29"/>
    <s v="Termo de Contrato para Aquisição de Bens de Consumo e/ou Permanente"/>
    <n v="12"/>
    <s v="Pregão"/>
    <n v="2025"/>
    <n v="16705"/>
    <m/>
    <s v="6074202500042801"/>
    <x v="0"/>
    <x v="306"/>
    <m/>
    <m/>
    <m/>
    <n v="12"/>
    <x v="0"/>
    <n v="19200"/>
    <n v="0"/>
    <n v="0"/>
    <n v="0"/>
    <n v="19200"/>
    <n v="1600"/>
    <n v="19200"/>
    <n v="19200"/>
    <n v="1600"/>
    <n v="19200"/>
    <n v="19200"/>
    <n v="0"/>
    <n v="19200"/>
    <n v="0"/>
    <n v="0"/>
    <s v="07-07-2025"/>
    <s v="6074202500042801|34.10.14.422.3013.6178.33903000"/>
    <n v="1"/>
  </r>
  <r>
    <s v="01"/>
    <s v="Secretaria Municipal de Cultura"/>
    <s v="25"/>
    <s v="10"/>
    <n v="14"/>
    <n v="422"/>
    <n v="3018"/>
    <n v="4326"/>
    <s v="33399000"/>
    <s v="34.10.14.422.3013.6178.33903000"/>
    <s v="2"/>
    <s v="Termo de Contrato - Serviços"/>
    <n v="7"/>
    <s v="Inexigibilidade"/>
    <n v="2025"/>
    <n v="16719"/>
    <m/>
    <s v="6025202500123260"/>
    <x v="0"/>
    <x v="307"/>
    <m/>
    <m/>
    <m/>
    <n v="12"/>
    <x v="0"/>
    <n v="2000"/>
    <n v="0"/>
    <n v="0"/>
    <n v="0"/>
    <n v="2000"/>
    <n v="166.66666666666671"/>
    <n v="2000"/>
    <n v="2000"/>
    <n v="166.66666666666671"/>
    <n v="2000"/>
    <n v="2000"/>
    <n v="0"/>
    <n v="2000"/>
    <n v="0"/>
    <n v="0"/>
    <s v="07-07-2025"/>
    <s v="6025202500123260|34.10.14.422.3013.6178.33903000"/>
    <n v="1"/>
  </r>
  <r>
    <s v="01"/>
    <s v="Secretaria Municipal de Cultura"/>
    <s v="25"/>
    <s v="10"/>
    <n v="14"/>
    <n v="422"/>
    <n v="3018"/>
    <n v="4326"/>
    <s v="33399000"/>
    <s v="34.10.14.422.3013.6178.33903000"/>
    <s v="2"/>
    <s v="Termo de Contrato - Serviços"/>
    <n v="7"/>
    <s v="Inexigibilidade"/>
    <n v="2025"/>
    <n v="16726"/>
    <s v="03276-2025-PE"/>
    <s v="6025202500122158"/>
    <x v="0"/>
    <x v="308"/>
    <s v="17/06/2025 00:00:00"/>
    <s v="24/06/2025 00:00:00"/>
    <s v="22/06/2025 00:00:00"/>
    <n v="0"/>
    <x v="2"/>
    <n v="14200"/>
    <n v="0"/>
    <n v="0"/>
    <n v="0"/>
    <n v="14200"/>
    <n v="1183.333333333333"/>
    <n v="14200"/>
    <n v="14200"/>
    <n v="1183.333333333333"/>
    <n v="14200"/>
    <n v="14200"/>
    <n v="0"/>
    <n v="14200"/>
    <n v="14200"/>
    <n v="0"/>
    <s v="07-07-2025"/>
    <s v="6025202500122158|34.10.14.422.3013.6178.33903000"/>
    <n v="1"/>
  </r>
  <r>
    <s v="01"/>
    <s v="Secretaria Municipal de Cultura"/>
    <s v="25"/>
    <s v="10"/>
    <n v="14"/>
    <n v="422"/>
    <n v="3018"/>
    <n v="4326"/>
    <s v="33399000"/>
    <s v="34.10.14.422.3013.6178.33903000"/>
    <s v="2"/>
    <s v="Termo de Contrato - Serviços"/>
    <n v="7"/>
    <s v="Inexigibilidade"/>
    <n v="2025"/>
    <n v="16731"/>
    <s v="03269-2025-PE"/>
    <s v="6025202500121860"/>
    <x v="0"/>
    <x v="309"/>
    <s v="17/06/2025 00:00:00"/>
    <s v="24/06/2025 00:00:00"/>
    <s v="22/06/2025 00:00:00"/>
    <n v="0"/>
    <x v="2"/>
    <n v="14200"/>
    <n v="0"/>
    <n v="0"/>
    <n v="0"/>
    <n v="14200"/>
    <n v="1183.333333333333"/>
    <n v="14200"/>
    <n v="14200"/>
    <n v="1183.333333333333"/>
    <n v="14200"/>
    <n v="14200"/>
    <n v="0"/>
    <n v="14200"/>
    <n v="14200"/>
    <n v="0"/>
    <s v="07-07-2025"/>
    <s v="6025202500121860|34.10.14.422.3013.6178.33903000"/>
    <n v="1"/>
  </r>
  <r>
    <s v="01"/>
    <s v="Secretaria Municipal de Cultura"/>
    <s v="25"/>
    <s v="10"/>
    <n v="14"/>
    <n v="422"/>
    <n v="3018"/>
    <n v="4326"/>
    <s v="33399000"/>
    <s v="34.10.14.422.3013.6178.33903000"/>
    <s v="2"/>
    <s v="Termo de Contrato - Serviços"/>
    <n v="7"/>
    <s v="Inexigibilidade"/>
    <n v="2025"/>
    <n v="16730"/>
    <m/>
    <s v="6025202500122425"/>
    <x v="0"/>
    <x v="310"/>
    <m/>
    <m/>
    <m/>
    <n v="12"/>
    <x v="0"/>
    <n v="14200"/>
    <n v="0"/>
    <n v="0"/>
    <n v="0"/>
    <n v="14200"/>
    <n v="1183.333333333333"/>
    <n v="14200"/>
    <n v="14200"/>
    <n v="1183.333333333333"/>
    <n v="14200"/>
    <n v="14200"/>
    <n v="0"/>
    <n v="14200"/>
    <n v="0"/>
    <n v="0"/>
    <s v="07-07-2025"/>
    <s v="6025202500122425|34.10.14.422.3013.6178.33903000"/>
    <n v="1"/>
  </r>
  <r>
    <s v="01"/>
    <s v="Secretaria Municipal de Cultura"/>
    <s v="25"/>
    <s v="10"/>
    <n v="14"/>
    <n v="422"/>
    <n v="3018"/>
    <n v="4326"/>
    <s v="33399000"/>
    <s v="34.10.14.422.3013.6178.33903000"/>
    <s v="2"/>
    <s v="Termo de Contrato - Serviços"/>
    <n v="7"/>
    <s v="Inexigibilidade"/>
    <n v="2025"/>
    <n v="16732"/>
    <m/>
    <s v="6025202500121682"/>
    <x v="0"/>
    <x v="311"/>
    <m/>
    <m/>
    <m/>
    <n v="12"/>
    <x v="0"/>
    <n v="8000"/>
    <n v="0"/>
    <n v="0"/>
    <n v="0"/>
    <n v="8000"/>
    <n v="666.66666666666663"/>
    <n v="8000"/>
    <n v="8000"/>
    <n v="666.66666666666663"/>
    <n v="8000"/>
    <n v="8000"/>
    <n v="0"/>
    <n v="8000"/>
    <n v="0"/>
    <n v="0"/>
    <s v="07-07-2025"/>
    <s v="6025202500121682|34.10.14.422.3013.6178.33903000"/>
    <n v="1"/>
  </r>
  <r>
    <s v="01"/>
    <s v="Secretaria Municipal de Cultura"/>
    <s v="25"/>
    <s v="10"/>
    <n v="14"/>
    <n v="422"/>
    <n v="3018"/>
    <n v="4326"/>
    <s v="33399000"/>
    <s v="34.10.14.422.3013.6178.33903000"/>
    <s v="2"/>
    <s v="Termo de Contrato - Serviços"/>
    <n v="7"/>
    <s v="Inexigibilidade"/>
    <n v="2025"/>
    <n v="16736"/>
    <m/>
    <s v="6025202500122328"/>
    <x v="0"/>
    <x v="312"/>
    <m/>
    <m/>
    <m/>
    <n v="12"/>
    <x v="0"/>
    <n v="7100"/>
    <n v="0"/>
    <n v="0"/>
    <n v="0"/>
    <n v="7100"/>
    <n v="591.66666666666663"/>
    <n v="7100"/>
    <n v="7100"/>
    <n v="591.66666666666663"/>
    <n v="7100"/>
    <n v="7100"/>
    <n v="0"/>
    <n v="7100"/>
    <n v="0"/>
    <n v="0"/>
    <s v="07-07-2025"/>
    <s v="6025202500122328|34.10.14.422.3013.6178.33903000"/>
    <n v="1"/>
  </r>
  <r>
    <s v="01"/>
    <s v="Secretaria Municipal de Cultura"/>
    <s v="25"/>
    <s v="10"/>
    <n v="14"/>
    <n v="422"/>
    <n v="3018"/>
    <n v="4326"/>
    <s v="33399000"/>
    <s v="34.10.14.422.3013.6178.33903000"/>
    <s v="2"/>
    <s v="Termo de Contrato - Serviços"/>
    <n v="7"/>
    <s v="Inexigibilidade"/>
    <n v="2025"/>
    <n v="16739"/>
    <m/>
    <s v="6025202500122077"/>
    <x v="0"/>
    <x v="313"/>
    <m/>
    <m/>
    <m/>
    <n v="12"/>
    <x v="0"/>
    <n v="14200"/>
    <n v="0"/>
    <n v="0"/>
    <n v="0"/>
    <n v="14200"/>
    <n v="1183.333333333333"/>
    <n v="14200"/>
    <n v="14200"/>
    <n v="1183.333333333333"/>
    <n v="14200"/>
    <n v="14200"/>
    <n v="0"/>
    <n v="14200"/>
    <n v="0"/>
    <n v="0"/>
    <s v="07-07-2025"/>
    <s v="6025202500122077|34.10.14.422.3013.6178.33903000"/>
    <n v="1"/>
  </r>
  <r>
    <s v="01"/>
    <s v="Secretaria Municipal de Cultura"/>
    <s v="25"/>
    <s v="10"/>
    <n v="14"/>
    <n v="422"/>
    <n v="3018"/>
    <n v="4326"/>
    <s v="33399000"/>
    <s v="34.10.14.422.3013.6178.33903000"/>
    <s v="2"/>
    <s v="Termo de Contrato - Serviços"/>
    <n v="7"/>
    <s v="Inexigibilidade"/>
    <n v="2025"/>
    <n v="16735"/>
    <m/>
    <s v="6025202500122115"/>
    <x v="0"/>
    <x v="314"/>
    <m/>
    <m/>
    <m/>
    <n v="12"/>
    <x v="0"/>
    <n v="2000"/>
    <n v="0"/>
    <n v="0"/>
    <n v="0"/>
    <n v="2000"/>
    <n v="166.66666666666671"/>
    <n v="2000"/>
    <n v="2000"/>
    <n v="166.66666666666671"/>
    <n v="2000"/>
    <n v="2000"/>
    <n v="0"/>
    <n v="2000"/>
    <n v="0"/>
    <n v="0"/>
    <s v="07-07-2025"/>
    <s v="6025202500122115|34.10.14.422.3013.6178.33903000"/>
    <n v="1"/>
  </r>
  <r>
    <s v="01"/>
    <s v="Secretaria Municipal de Cultura"/>
    <s v="25"/>
    <s v="10"/>
    <n v="14"/>
    <n v="422"/>
    <n v="3018"/>
    <n v="4326"/>
    <s v="33399000"/>
    <s v="34.10.14.422.3013.6178.33903000"/>
    <s v="2"/>
    <s v="Termo de Contrato - Serviços"/>
    <n v="7"/>
    <s v="Inexigibilidade"/>
    <n v="2025"/>
    <n v="16743"/>
    <s v="03244-2025-PE"/>
    <s v="6025202500121321"/>
    <x v="0"/>
    <x v="315"/>
    <s v="17/06/2025 00:00:00"/>
    <s v="25/06/2025 00:00:00"/>
    <s v="23/06/2025 00:00:00"/>
    <n v="0"/>
    <x v="2"/>
    <n v="6500"/>
    <n v="0"/>
    <n v="0"/>
    <n v="0"/>
    <n v="6500"/>
    <n v="541.66666666666663"/>
    <n v="6500"/>
    <n v="6500"/>
    <n v="541.66666666666663"/>
    <n v="6500"/>
    <n v="6500"/>
    <n v="0"/>
    <n v="6500"/>
    <n v="6500"/>
    <n v="0"/>
    <s v="07-07-2025"/>
    <s v="6025202500121321|34.10.14.422.3013.6178.33903000"/>
    <n v="1"/>
  </r>
  <r>
    <s v="01"/>
    <s v="Secretaria Municipal de Cultura"/>
    <s v="25"/>
    <s v="10"/>
    <n v="14"/>
    <n v="422"/>
    <n v="3018"/>
    <n v="4326"/>
    <s v="33399000"/>
    <s v="34.10.14.422.3013.6178.33903000"/>
    <s v="2"/>
    <s v="Termo de Contrato - Serviços"/>
    <n v="7"/>
    <s v="Inexigibilidade"/>
    <n v="2025"/>
    <n v="16737"/>
    <s v="03285-2025-PE"/>
    <s v="6025202500122107"/>
    <x v="0"/>
    <x v="316"/>
    <s v="17/06/2025 00:00:00"/>
    <s v="23/06/2025 00:00:00"/>
    <s v="20/06/2025 00:00:00"/>
    <n v="0"/>
    <x v="2"/>
    <n v="11000"/>
    <n v="0"/>
    <n v="0"/>
    <n v="0"/>
    <n v="11000"/>
    <n v="916.66666666666663"/>
    <n v="11000"/>
    <n v="11000"/>
    <n v="916.66666666666663"/>
    <n v="11000"/>
    <n v="11000"/>
    <n v="0"/>
    <n v="11000"/>
    <n v="11000"/>
    <n v="0"/>
    <s v="07-07-2025"/>
    <s v="6025202500122107|34.10.14.422.3013.6178.33903000"/>
    <n v="1"/>
  </r>
  <r>
    <s v="01"/>
    <s v="Secretaria Municipal de Cultura"/>
    <s v="25"/>
    <s v="10"/>
    <n v="14"/>
    <n v="422"/>
    <n v="3018"/>
    <n v="4326"/>
    <s v="33399000"/>
    <s v="34.10.14.422.3013.6178.33903000"/>
    <s v="2"/>
    <s v="Termo de Contrato - Serviços"/>
    <n v="7"/>
    <s v="Inexigibilidade"/>
    <n v="2025"/>
    <n v="16738"/>
    <m/>
    <s v="6025202500122867"/>
    <x v="0"/>
    <x v="317"/>
    <m/>
    <m/>
    <m/>
    <n v="12"/>
    <x v="0"/>
    <n v="800"/>
    <n v="0"/>
    <n v="0"/>
    <n v="0"/>
    <n v="800"/>
    <n v="66.666666666666671"/>
    <n v="800"/>
    <n v="800"/>
    <n v="66.666666666666671"/>
    <n v="800"/>
    <n v="800"/>
    <n v="0"/>
    <n v="800"/>
    <n v="0"/>
    <n v="0"/>
    <s v="07-07-2025"/>
    <s v="6025202500122867|34.10.14.422.3013.6178.33903000"/>
    <n v="1"/>
  </r>
  <r>
    <s v="01"/>
    <s v="Secretaria Municipal de Cultura"/>
    <s v="25"/>
    <s v="10"/>
    <n v="14"/>
    <n v="422"/>
    <n v="3018"/>
    <n v="4326"/>
    <s v="33399000"/>
    <s v="34.10.14.422.3013.6178.33903000"/>
    <s v="2"/>
    <s v="Termo de Contrato - Serviços"/>
    <n v="7"/>
    <s v="Inexigibilidade"/>
    <n v="2025"/>
    <n v="16747"/>
    <s v="03310-2025-PE"/>
    <s v="6025202500123693"/>
    <x v="0"/>
    <x v="318"/>
    <s v="17/06/2025 00:00:00"/>
    <s v="24/06/2025 00:00:00"/>
    <s v="20/06/2025 00:00:00"/>
    <n v="0"/>
    <x v="2"/>
    <n v="1000"/>
    <n v="0"/>
    <n v="0"/>
    <n v="0"/>
    <n v="1000"/>
    <n v="83.333333333333329"/>
    <n v="1000"/>
    <n v="1000"/>
    <n v="83.333333333333329"/>
    <n v="1000"/>
    <n v="1000"/>
    <n v="0"/>
    <n v="1000"/>
    <n v="1000"/>
    <n v="0"/>
    <s v="07-07-2025"/>
    <s v="6025202500123693|34.10.14.422.3013.6178.33903000"/>
    <n v="1"/>
  </r>
  <r>
    <s v="01"/>
    <s v="Secretaria Municipal de Cultura"/>
    <s v="25"/>
    <s v="10"/>
    <n v="14"/>
    <n v="422"/>
    <n v="3018"/>
    <n v="4326"/>
    <s v="33399000"/>
    <s v="34.10.14.422.3013.6178.33903000"/>
    <s v="2"/>
    <s v="Termo de Contrato - Serviços"/>
    <n v="7"/>
    <s v="Inexigibilidade"/>
    <n v="2025"/>
    <n v="16741"/>
    <m/>
    <s v="6025202500122565"/>
    <x v="0"/>
    <x v="319"/>
    <m/>
    <m/>
    <m/>
    <n v="12"/>
    <x v="0"/>
    <n v="5000"/>
    <n v="0"/>
    <n v="0"/>
    <n v="0"/>
    <n v="5000"/>
    <n v="416.66666666666669"/>
    <n v="5000"/>
    <n v="5000"/>
    <n v="416.66666666666669"/>
    <n v="5000"/>
    <n v="5000"/>
    <n v="0"/>
    <n v="5000"/>
    <n v="0"/>
    <n v="0"/>
    <s v="07-07-2025"/>
    <s v="6025202500122565|34.10.14.422.3013.6178.33903000"/>
    <n v="1"/>
  </r>
  <r>
    <s v="01"/>
    <s v="Secretaria Municipal de Cultura"/>
    <s v="25"/>
    <s v="10"/>
    <n v="14"/>
    <n v="422"/>
    <n v="3018"/>
    <n v="4326"/>
    <s v="33399000"/>
    <s v="34.10.14.422.3013.6178.33903000"/>
    <s v="2"/>
    <s v="Termo de Contrato - Serviços"/>
    <n v="7"/>
    <s v="Inexigibilidade"/>
    <n v="2025"/>
    <n v="16742"/>
    <s v=": 03270-2025-PE"/>
    <s v="6025202500121950"/>
    <x v="0"/>
    <x v="320"/>
    <s v="17/06/2025 00:00:00"/>
    <s v="24/06/2025 00:00:00"/>
    <s v="22/06/2025 00:00:00"/>
    <n v="0"/>
    <x v="2"/>
    <n v="14200"/>
    <n v="0"/>
    <n v="0"/>
    <n v="0"/>
    <n v="14200"/>
    <n v="1183.333333333333"/>
    <n v="14200"/>
    <n v="14200"/>
    <n v="1183.333333333333"/>
    <n v="14200"/>
    <n v="14200"/>
    <n v="0"/>
    <n v="14200"/>
    <n v="14200"/>
    <n v="0"/>
    <s v="07-07-2025"/>
    <s v="6025202500121950|34.10.14.422.3013.6178.33903000"/>
    <n v="1"/>
  </r>
  <r>
    <s v="01"/>
    <s v="Secretaria Municipal de Cultura"/>
    <s v="25"/>
    <s v="10"/>
    <n v="14"/>
    <n v="422"/>
    <n v="3018"/>
    <n v="4326"/>
    <s v="33399000"/>
    <s v="34.10.14.422.3013.6178.33903000"/>
    <s v="2"/>
    <s v="Termo de Contrato - Serviços"/>
    <n v="7"/>
    <s v="Inexigibilidade"/>
    <n v="2025"/>
    <n v="16750"/>
    <s v=" 03243-2025-PE"/>
    <s v="6025202500121348"/>
    <x v="0"/>
    <x v="321"/>
    <s v="17/06/2025 00:00:00"/>
    <s v="25/06/2025 00:00:00"/>
    <s v="23/06/2025 00:00:00"/>
    <n v="0"/>
    <x v="2"/>
    <n v="6500"/>
    <n v="0"/>
    <n v="0"/>
    <n v="0"/>
    <n v="6500"/>
    <n v="541.66666666666663"/>
    <n v="6500"/>
    <n v="6500"/>
    <n v="541.66666666666663"/>
    <n v="6500"/>
    <n v="6500"/>
    <n v="0"/>
    <n v="6500"/>
    <n v="0"/>
    <n v="0"/>
    <s v="07-07-2025"/>
    <s v="6025202500121348|34.10.14.422.3013.6178.33903000"/>
    <n v="1"/>
  </r>
  <r>
    <s v="01"/>
    <s v="Secretaria Municipal de Cultura"/>
    <s v="25"/>
    <s v="10"/>
    <n v="14"/>
    <n v="422"/>
    <n v="3018"/>
    <n v="4326"/>
    <s v="33399000"/>
    <s v="34.10.14.422.3013.6178.33903000"/>
    <s v="2"/>
    <s v="Termo de Contrato - Serviços"/>
    <n v="7"/>
    <s v="Inexigibilidade"/>
    <n v="2025"/>
    <n v="16752"/>
    <m/>
    <s v="6025202500123740"/>
    <x v="0"/>
    <x v="322"/>
    <m/>
    <m/>
    <m/>
    <n v="12"/>
    <x v="0"/>
    <n v="3000"/>
    <n v="0"/>
    <n v="0"/>
    <n v="0"/>
    <n v="3000"/>
    <n v="250"/>
    <n v="3000"/>
    <n v="3000"/>
    <n v="250"/>
    <n v="3000"/>
    <n v="3000"/>
    <n v="0"/>
    <n v="3000"/>
    <n v="0"/>
    <n v="0"/>
    <s v="07-07-2025"/>
    <s v="6025202500123740|34.10.14.422.3013.6178.33903000"/>
    <n v="1"/>
  </r>
  <r>
    <s v="01"/>
    <s v="Secretaria Municipal de Cultura"/>
    <s v="25"/>
    <s v="10"/>
    <n v="14"/>
    <n v="422"/>
    <n v="3018"/>
    <n v="4326"/>
    <s v="33399000"/>
    <s v="34.10.14.422.3013.6178.33903000"/>
    <s v="2"/>
    <s v="Termo de Contrato - Serviços"/>
    <n v="7"/>
    <s v="Inexigibilidade"/>
    <n v="2025"/>
    <n v="16753"/>
    <s v="03271-2025-PE"/>
    <s v="6025202500122573"/>
    <x v="0"/>
    <x v="323"/>
    <s v="17/06/2025 00:00:00"/>
    <s v="24/06/2025 00:00:00"/>
    <s v="20/06/2025 00:00:00"/>
    <n v="0"/>
    <x v="2"/>
    <n v="8000"/>
    <n v="0"/>
    <n v="0"/>
    <n v="0"/>
    <n v="8000"/>
    <n v="666.66666666666663"/>
    <n v="8000"/>
    <n v="8000"/>
    <n v="666.66666666666663"/>
    <n v="8000"/>
    <n v="8000"/>
    <n v="0"/>
    <n v="8000"/>
    <n v="0"/>
    <n v="0"/>
    <s v="07-07-2025"/>
    <s v="6025202500122573|34.10.14.422.3013.6178.33903000"/>
    <n v="1"/>
  </r>
  <r>
    <s v="01"/>
    <s v="Secretaria Municipal de Cultura"/>
    <s v="25"/>
    <s v="10"/>
    <n v="14"/>
    <n v="422"/>
    <n v="3018"/>
    <n v="4326"/>
    <s v="33399000"/>
    <s v="34.10.14.422.3013.6178.33903000"/>
    <s v="2"/>
    <s v="Termo de Contrato - Serviços"/>
    <n v="7"/>
    <s v="Inexigibilidade"/>
    <n v="2025"/>
    <n v="16754"/>
    <m/>
    <s v="6025202500123545"/>
    <x v="0"/>
    <x v="324"/>
    <m/>
    <m/>
    <m/>
    <n v="12"/>
    <x v="0"/>
    <n v="1000"/>
    <n v="0"/>
    <n v="0"/>
    <n v="0"/>
    <n v="1000"/>
    <n v="83.333333333333329"/>
    <n v="1000"/>
    <n v="1000"/>
    <n v="83.333333333333329"/>
    <n v="1000"/>
    <n v="1000"/>
    <n v="0"/>
    <n v="1000"/>
    <n v="0"/>
    <n v="0"/>
    <s v="07-07-2025"/>
    <s v="6025202500123545|34.10.14.422.3013.6178.33903000"/>
    <n v="1"/>
  </r>
  <r>
    <s v="01"/>
    <s v="Secretaria Municipal de Cultura"/>
    <s v="25"/>
    <s v="10"/>
    <n v="14"/>
    <n v="422"/>
    <n v="3018"/>
    <n v="4326"/>
    <s v="33399000"/>
    <s v="34.10.14.422.3013.6178.33903000"/>
    <s v="2"/>
    <s v="Termo de Contrato - Serviços"/>
    <n v="7"/>
    <s v="Inexigibilidade"/>
    <n v="2025"/>
    <n v="16755"/>
    <m/>
    <s v="6025202500123332"/>
    <x v="0"/>
    <x v="325"/>
    <m/>
    <m/>
    <m/>
    <n v="12"/>
    <x v="0"/>
    <n v="10000"/>
    <n v="0"/>
    <n v="0"/>
    <n v="0"/>
    <n v="10000"/>
    <n v="833.33333333333337"/>
    <n v="10000"/>
    <n v="10000"/>
    <n v="833.33333333333337"/>
    <n v="10000"/>
    <n v="10000"/>
    <n v="0"/>
    <n v="10000"/>
    <n v="0"/>
    <n v="0"/>
    <s v="07-07-2025"/>
    <s v="6025202500123332|34.10.14.422.3013.6178.33903000"/>
    <n v="1"/>
  </r>
  <r>
    <s v="01"/>
    <s v="Secretaria Municipal de Cultura"/>
    <s v="25"/>
    <s v="10"/>
    <n v="14"/>
    <n v="422"/>
    <n v="3018"/>
    <n v="4326"/>
    <s v="33399000"/>
    <s v="34.10.14.422.3013.6178.33903000"/>
    <s v="2"/>
    <s v="Termo de Contrato - Serviços"/>
    <n v="7"/>
    <s v="Inexigibilidade"/>
    <n v="2025"/>
    <n v="16763"/>
    <m/>
    <s v="6025202500123391"/>
    <x v="0"/>
    <x v="326"/>
    <m/>
    <m/>
    <m/>
    <n v="12"/>
    <x v="0"/>
    <n v="1000"/>
    <n v="0"/>
    <n v="0"/>
    <n v="0"/>
    <n v="1000"/>
    <n v="83.333333333333329"/>
    <n v="1000"/>
    <n v="1000"/>
    <n v="83.333333333333329"/>
    <n v="1000"/>
    <n v="1000"/>
    <n v="0"/>
    <n v="1000"/>
    <n v="0"/>
    <n v="0"/>
    <s v="07-07-2025"/>
    <s v="6025202500123391|34.10.14.422.3013.6178.33903000"/>
    <n v="1"/>
  </r>
  <r>
    <s v="01"/>
    <s v="Secretaria Municipal de Cultura"/>
    <s v="25"/>
    <s v="10"/>
    <n v="14"/>
    <n v="422"/>
    <n v="3018"/>
    <n v="4326"/>
    <s v="33399000"/>
    <s v="34.10.14.422.3013.6178.33903000"/>
    <s v="2"/>
    <s v="Termo de Contrato - Serviços"/>
    <n v="7"/>
    <s v="Inexigibilidade"/>
    <n v="2025"/>
    <n v="16764"/>
    <s v="03284-2025-PE"/>
    <s v="6025202500122166"/>
    <x v="0"/>
    <x v="327"/>
    <s v="18/06/2025 00:00:00"/>
    <s v="24/06/2025 00:00:00"/>
    <s v="20/06/2025 00:00:00"/>
    <n v="0"/>
    <x v="2"/>
    <n v="6500"/>
    <n v="0"/>
    <n v="0"/>
    <n v="0"/>
    <n v="6500"/>
    <n v="541.66666666666663"/>
    <n v="6500"/>
    <n v="6500"/>
    <n v="541.66666666666663"/>
    <n v="6500"/>
    <n v="6500"/>
    <n v="0"/>
    <n v="6500"/>
    <n v="6500"/>
    <n v="0"/>
    <s v="07-07-2025"/>
    <s v="6025202500122166|34.10.14.422.3013.6178.33903000"/>
    <n v="1"/>
  </r>
  <r>
    <s v="01"/>
    <s v="Secretaria Municipal de Cultura"/>
    <s v="25"/>
    <s v="10"/>
    <n v="14"/>
    <n v="422"/>
    <n v="3018"/>
    <n v="4326"/>
    <s v="33399000"/>
    <s v="34.10.14.422.3013.6178.33903000"/>
    <s v="2"/>
    <s v="Termo de Contrato - Serviços"/>
    <n v="7"/>
    <s v="Inexigibilidade"/>
    <n v="2025"/>
    <n v="16765"/>
    <m/>
    <s v="6025202500122719"/>
    <x v="0"/>
    <x v="328"/>
    <m/>
    <m/>
    <m/>
    <n v="12"/>
    <x v="0"/>
    <n v="1000"/>
    <n v="0"/>
    <n v="0"/>
    <n v="0"/>
    <n v="1000"/>
    <n v="83.333333333333329"/>
    <n v="1000"/>
    <n v="1000"/>
    <n v="83.333333333333329"/>
    <n v="1000"/>
    <n v="1000"/>
    <n v="0"/>
    <n v="1000"/>
    <n v="0"/>
    <n v="0"/>
    <s v="07-07-2025"/>
    <s v="6025202500122719|34.10.14.422.3013.6178.33903000"/>
    <n v="1"/>
  </r>
  <r>
    <s v="01"/>
    <s v="Secretaria Municipal de Cultura"/>
    <s v="25"/>
    <s v="10"/>
    <n v="14"/>
    <n v="422"/>
    <n v="3018"/>
    <n v="4326"/>
    <s v="33399000"/>
    <s v="34.10.14.422.3013.6178.33903000"/>
    <s v="2"/>
    <s v="Termo de Contrato - Serviços"/>
    <n v="7"/>
    <s v="Inexigibilidade"/>
    <n v="2025"/>
    <n v="16768"/>
    <m/>
    <s v="6025202500123367"/>
    <x v="0"/>
    <x v="329"/>
    <m/>
    <m/>
    <m/>
    <n v="12"/>
    <x v="0"/>
    <n v="800"/>
    <n v="0"/>
    <n v="0"/>
    <n v="0"/>
    <n v="800"/>
    <n v="66.666666666666671"/>
    <n v="800"/>
    <n v="800"/>
    <n v="66.666666666666671"/>
    <n v="800"/>
    <n v="800"/>
    <n v="0"/>
    <n v="800"/>
    <n v="0"/>
    <n v="0"/>
    <s v="07-07-2025"/>
    <s v="6025202500123367|34.10.14.422.3013.6178.33903000"/>
    <n v="1"/>
  </r>
  <r>
    <s v="01"/>
    <s v="Secretaria Municipal de Cultura"/>
    <s v="25"/>
    <s v="10"/>
    <n v="14"/>
    <n v="422"/>
    <n v="3018"/>
    <n v="4326"/>
    <s v="33399000"/>
    <s v="34.10.14.422.3013.6178.33903000"/>
    <s v="2"/>
    <s v="Termo de Contrato - Serviços"/>
    <n v="7"/>
    <s v="Inexigibilidade"/>
    <n v="2025"/>
    <n v="16769"/>
    <s v=" 03281-2025-PE"/>
    <s v="6025202500122239"/>
    <x v="0"/>
    <x v="330"/>
    <s v="17/06/2025 00:00:00"/>
    <s v="24/06/2025 00:00:00"/>
    <s v="22/06/2025 00:00:00"/>
    <n v="0"/>
    <x v="2"/>
    <n v="14200"/>
    <n v="0"/>
    <n v="0"/>
    <n v="0"/>
    <n v="14200"/>
    <n v="1183.333333333333"/>
    <n v="14200"/>
    <n v="14200"/>
    <n v="1183.333333333333"/>
    <n v="14200"/>
    <n v="14200"/>
    <n v="0"/>
    <n v="14200"/>
    <n v="14200"/>
    <n v="0"/>
    <s v="07-07-2025"/>
    <s v="6025202500122239|34.10.14.422.3013.6178.33903000"/>
    <n v="1"/>
  </r>
  <r>
    <s v="01"/>
    <s v="Secretaria Municipal de Cultura"/>
    <s v="25"/>
    <s v="10"/>
    <n v="14"/>
    <n v="422"/>
    <n v="3018"/>
    <n v="4326"/>
    <s v="33399000"/>
    <s v="34.10.14.422.3013.6178.33903000"/>
    <s v="2"/>
    <s v="Termo de Contrato - Serviços"/>
    <n v="7"/>
    <s v="Inexigibilidade"/>
    <n v="2025"/>
    <n v="16770"/>
    <s v="03290-2025-PE"/>
    <s v="6025202500122603"/>
    <x v="0"/>
    <x v="331"/>
    <s v="18/06/2025 00:00:00"/>
    <s v="24/06/2025 00:00:00"/>
    <s v="22/06/2025 00:00:00"/>
    <n v="0"/>
    <x v="2"/>
    <n v="31200"/>
    <n v="0"/>
    <n v="0"/>
    <n v="0"/>
    <n v="31200"/>
    <n v="2600"/>
    <n v="31200"/>
    <n v="31200"/>
    <n v="2600"/>
    <n v="31200"/>
    <n v="31200"/>
    <n v="0"/>
    <n v="31200"/>
    <n v="0"/>
    <n v="0"/>
    <s v="07-07-2025"/>
    <s v="6025202500122603|34.10.14.422.3013.6178.33903000"/>
    <n v="1"/>
  </r>
  <r>
    <s v="01"/>
    <s v="Secretaria Municipal de Cultura"/>
    <s v="25"/>
    <s v="10"/>
    <n v="14"/>
    <n v="422"/>
    <n v="3018"/>
    <n v="4326"/>
    <s v="33399000"/>
    <s v="34.10.14.422.3013.6178.33903000"/>
    <s v="2"/>
    <s v="Termo de Contrato - Serviços"/>
    <n v="7"/>
    <s v="Inexigibilidade"/>
    <n v="2025"/>
    <n v="16771"/>
    <m/>
    <s v="6025202500121720"/>
    <x v="0"/>
    <x v="332"/>
    <m/>
    <m/>
    <m/>
    <n v="12"/>
    <x v="0"/>
    <n v="8000"/>
    <n v="0"/>
    <n v="0"/>
    <n v="0"/>
    <n v="8000"/>
    <n v="666.66666666666663"/>
    <n v="8000"/>
    <n v="8000"/>
    <n v="666.66666666666663"/>
    <n v="8000"/>
    <n v="8000"/>
    <n v="0"/>
    <n v="8000"/>
    <n v="0"/>
    <n v="0"/>
    <s v="07-07-2025"/>
    <s v="6025202500121720|34.10.14.422.3013.6178.33903000"/>
    <n v="1"/>
  </r>
  <r>
    <s v="01"/>
    <s v="Secretaria Municipal de Cultura"/>
    <s v="25"/>
    <s v="10"/>
    <n v="14"/>
    <n v="422"/>
    <n v="3018"/>
    <n v="4326"/>
    <s v="33399000"/>
    <s v="34.10.14.422.3013.6178.33903000"/>
    <s v="2"/>
    <s v="Termo de Contrato - Serviços"/>
    <n v="7"/>
    <s v="Inexigibilidade"/>
    <n v="2025"/>
    <n v="16772"/>
    <s v=" 03253-2025-PE"/>
    <s v="6025202500121364"/>
    <x v="0"/>
    <x v="333"/>
    <s v="18/06/2025 00:00:00"/>
    <s v="24/06/2025 00:00:00"/>
    <s v="20/06/2025 00:00:00"/>
    <n v="0"/>
    <x v="2"/>
    <n v="7100"/>
    <n v="0"/>
    <n v="0"/>
    <n v="0"/>
    <n v="7100"/>
    <n v="591.66666666666663"/>
    <n v="7100"/>
    <n v="7100"/>
    <n v="591.66666666666663"/>
    <n v="7100"/>
    <n v="7100"/>
    <n v="0"/>
    <n v="7100"/>
    <n v="7100"/>
    <n v="0"/>
    <s v="07-07-2025"/>
    <s v="6025202500121364|34.10.14.422.3013.6178.33903000"/>
    <n v="1"/>
  </r>
  <r>
    <s v="01"/>
    <s v="Secretaria Municipal de Cultura"/>
    <s v="25"/>
    <s v="10"/>
    <n v="14"/>
    <n v="422"/>
    <n v="3018"/>
    <n v="4326"/>
    <s v="33399000"/>
    <s v="34.10.14.422.3013.6178.33903000"/>
    <s v="2"/>
    <s v="Termo de Contrato - Serviços"/>
    <n v="7"/>
    <s v="Inexigibilidade"/>
    <n v="2025"/>
    <n v="16773"/>
    <s v="03305-2025-PE"/>
    <s v="6025202500123766"/>
    <x v="0"/>
    <x v="334"/>
    <s v="18/06/2025 00:00:00"/>
    <s v="24/06/2025 00:00:00"/>
    <s v="20/06/2025 00:00:00"/>
    <n v="0"/>
    <x v="2"/>
    <n v="5000"/>
    <n v="0"/>
    <n v="0"/>
    <n v="0"/>
    <n v="5000"/>
    <n v="416.66666666666669"/>
    <n v="5000"/>
    <n v="5000"/>
    <n v="416.66666666666669"/>
    <n v="5000"/>
    <n v="5000"/>
    <n v="0"/>
    <n v="5000"/>
    <n v="0"/>
    <n v="0"/>
    <s v="07-07-2025"/>
    <s v="6025202500123766|34.10.14.422.3013.6178.33903000"/>
    <n v="1"/>
  </r>
  <r>
    <s v="01"/>
    <s v="Secretaria Municipal de Cultura"/>
    <s v="25"/>
    <s v="10"/>
    <n v="14"/>
    <n v="422"/>
    <n v="3018"/>
    <n v="4326"/>
    <s v="33399000"/>
    <s v="34.10.14.422.3013.6178.33903000"/>
    <s v="2"/>
    <s v="Termo de Contrato - Serviços"/>
    <n v="7"/>
    <s v="Inexigibilidade"/>
    <n v="2025"/>
    <n v="16777"/>
    <m/>
    <s v="6025202500121542"/>
    <x v="0"/>
    <x v="335"/>
    <m/>
    <m/>
    <m/>
    <n v="12"/>
    <x v="0"/>
    <n v="10000"/>
    <n v="0"/>
    <n v="0"/>
    <n v="0"/>
    <n v="10000"/>
    <n v="833.33333333333337"/>
    <n v="10000"/>
    <n v="10000"/>
    <n v="833.33333333333337"/>
    <n v="10000"/>
    <n v="10000"/>
    <n v="0"/>
    <n v="10000"/>
    <n v="0"/>
    <n v="0"/>
    <s v="07-07-2025"/>
    <s v="6025202500121542|34.10.14.422.3013.6178.33903000"/>
    <n v="1"/>
  </r>
  <r>
    <s v="01"/>
    <s v="Secretaria Municipal de Cultura"/>
    <s v="25"/>
    <s v="10"/>
    <n v="14"/>
    <n v="422"/>
    <n v="3018"/>
    <n v="4326"/>
    <s v="33399000"/>
    <s v="34.10.14.422.3013.6178.33903000"/>
    <s v="2"/>
    <s v="Termo de Contrato - Serviços"/>
    <n v="7"/>
    <s v="Inexigibilidade"/>
    <n v="2025"/>
    <n v="16774"/>
    <m/>
    <s v="6025202500123626"/>
    <x v="0"/>
    <x v="336"/>
    <m/>
    <m/>
    <m/>
    <n v="12"/>
    <x v="0"/>
    <n v="1500"/>
    <n v="0"/>
    <n v="0"/>
    <n v="0"/>
    <n v="1500"/>
    <n v="125"/>
    <n v="1500"/>
    <n v="1500"/>
    <n v="125"/>
    <n v="1500"/>
    <n v="1500"/>
    <n v="0"/>
    <n v="1500"/>
    <n v="0"/>
    <n v="0"/>
    <s v="07-07-2025"/>
    <s v="6025202500123626|34.10.14.422.3013.6178.33903000"/>
    <n v="1"/>
  </r>
  <r>
    <s v="01"/>
    <s v="Secretaria Municipal de Cultura"/>
    <s v="25"/>
    <s v="10"/>
    <n v="14"/>
    <n v="422"/>
    <n v="3018"/>
    <n v="4326"/>
    <s v="33399000"/>
    <s v="34.10.14.422.3013.6178.33903000"/>
    <s v="2"/>
    <s v="Termo de Contrato - Serviços"/>
    <n v="7"/>
    <s v="Inexigibilidade"/>
    <n v="2025"/>
    <n v="16775"/>
    <m/>
    <s v="6025202500123855"/>
    <x v="0"/>
    <x v="337"/>
    <m/>
    <m/>
    <m/>
    <n v="12"/>
    <x v="0"/>
    <n v="3000"/>
    <n v="0"/>
    <n v="0"/>
    <n v="0"/>
    <n v="3000"/>
    <n v="250"/>
    <n v="3000"/>
    <n v="3000"/>
    <n v="250"/>
    <n v="3000"/>
    <n v="3000"/>
    <n v="0"/>
    <n v="3000"/>
    <n v="0"/>
    <n v="0"/>
    <s v="07-07-2025"/>
    <s v="6025202500123855|34.10.14.422.3013.6178.33903000"/>
    <n v="1"/>
  </r>
  <r>
    <s v="01"/>
    <s v="Secretaria Municipal de Cultura"/>
    <s v="25"/>
    <s v="10"/>
    <n v="14"/>
    <n v="422"/>
    <n v="3018"/>
    <n v="4326"/>
    <s v="33399000"/>
    <s v="34.10.14.422.3013.6178.33903000"/>
    <s v="2"/>
    <s v="Termo de Contrato - Serviços"/>
    <n v="7"/>
    <s v="Inexigibilidade"/>
    <n v="2025"/>
    <n v="16789"/>
    <s v=" 03291-2025-PE"/>
    <s v="6025202500122263"/>
    <x v="0"/>
    <x v="338"/>
    <s v="18/06/2025 00:00:00"/>
    <s v="25/06/2025 00:00:00"/>
    <s v="22/06/2025 00:00:00"/>
    <n v="0"/>
    <x v="2"/>
    <n v="10000"/>
    <n v="0"/>
    <n v="0"/>
    <n v="0"/>
    <n v="10000"/>
    <n v="833.33333333333337"/>
    <n v="10000"/>
    <n v="10000"/>
    <n v="833.33333333333337"/>
    <n v="10000"/>
    <n v="10000"/>
    <n v="0"/>
    <n v="10000"/>
    <n v="10000"/>
    <n v="0"/>
    <s v="07-07-2025"/>
    <s v="6025202500122263|34.10.14.422.3013.6178.33903000"/>
    <n v="1"/>
  </r>
  <r>
    <s v="01"/>
    <s v="Secretaria Municipal de Cultura"/>
    <s v="25"/>
    <s v="10"/>
    <n v="14"/>
    <n v="422"/>
    <n v="3018"/>
    <n v="4326"/>
    <s v="33399000"/>
    <s v="34.10.14.422.3013.6178.33903000"/>
    <s v="2"/>
    <s v="Termo de Contrato - Serviços"/>
    <n v="7"/>
    <s v="Inexigibilidade"/>
    <n v="2025"/>
    <n v="16794"/>
    <m/>
    <s v="6025202500122026"/>
    <x v="0"/>
    <x v="339"/>
    <m/>
    <m/>
    <m/>
    <n v="12"/>
    <x v="0"/>
    <n v="4000"/>
    <n v="0"/>
    <n v="0"/>
    <n v="0"/>
    <n v="4000"/>
    <n v="333.33333333333331"/>
    <n v="4000"/>
    <n v="4000"/>
    <n v="333.33333333333331"/>
    <n v="4000"/>
    <n v="4000"/>
    <n v="0"/>
    <n v="4000"/>
    <n v="0"/>
    <n v="0"/>
    <s v="07-07-2025"/>
    <s v="6025202500122026|34.10.14.422.3013.6178.33903000"/>
    <n v="1"/>
  </r>
  <r>
    <s v="01"/>
    <s v="Secretaria Municipal de Cultura"/>
    <s v="25"/>
    <s v="10"/>
    <n v="14"/>
    <n v="422"/>
    <n v="3018"/>
    <n v="4326"/>
    <s v="33399000"/>
    <s v="34.10.14.422.3013.6178.33903000"/>
    <s v="2"/>
    <s v="Termo de Contrato - Serviços"/>
    <n v="7"/>
    <s v="Inexigibilidade"/>
    <n v="2025"/>
    <n v="16802"/>
    <m/>
    <s v="6025202500123634"/>
    <x v="0"/>
    <x v="340"/>
    <m/>
    <m/>
    <m/>
    <n v="12"/>
    <x v="0"/>
    <n v="2000"/>
    <n v="0"/>
    <n v="0"/>
    <n v="0"/>
    <n v="2000"/>
    <n v="166.66666666666671"/>
    <n v="2000"/>
    <n v="2000"/>
    <n v="166.66666666666671"/>
    <n v="2000"/>
    <n v="2000"/>
    <n v="0"/>
    <n v="2000"/>
    <n v="0"/>
    <n v="0"/>
    <s v="07-07-2025"/>
    <s v="6025202500123634|34.10.14.422.3013.6178.33903000"/>
    <n v="1"/>
  </r>
  <r>
    <s v="01"/>
    <s v="Secretaria Municipal de Cultura"/>
    <s v="25"/>
    <s v="10"/>
    <n v="14"/>
    <n v="422"/>
    <n v="3018"/>
    <n v="4326"/>
    <s v="33399000"/>
    <s v="34.10.14.422.3013.6178.33903000"/>
    <s v="2"/>
    <s v="Termo de Contrato - Serviços"/>
    <n v="7"/>
    <s v="Inexigibilidade"/>
    <n v="2025"/>
    <n v="16806"/>
    <m/>
    <s v="6025202500122220"/>
    <x v="0"/>
    <x v="341"/>
    <m/>
    <m/>
    <m/>
    <n v="12"/>
    <x v="0"/>
    <n v="14200"/>
    <n v="0"/>
    <n v="0"/>
    <n v="0"/>
    <n v="14200"/>
    <n v="1183.333333333333"/>
    <n v="14200"/>
    <n v="14200"/>
    <n v="1183.333333333333"/>
    <n v="14200"/>
    <n v="14200"/>
    <n v="0"/>
    <n v="14200"/>
    <n v="0"/>
    <n v="0"/>
    <s v="07-07-2025"/>
    <s v="6025202500122220|34.10.14.422.3013.6178.33903000"/>
    <n v="1"/>
  </r>
  <r>
    <s v="01"/>
    <s v="Secretaria Municipal de Cultura"/>
    <s v="25"/>
    <s v="10"/>
    <n v="14"/>
    <n v="422"/>
    <n v="3018"/>
    <n v="4326"/>
    <s v="33399000"/>
    <s v="34.10.14.422.3013.6178.33903000"/>
    <s v="2"/>
    <s v="Termo de Contrato - Serviços"/>
    <n v="7"/>
    <s v="Inexigibilidade"/>
    <n v="2025"/>
    <n v="16815"/>
    <s v="03278-2025-PE"/>
    <s v="6025202500122182"/>
    <x v="0"/>
    <x v="342"/>
    <s v="17/06/2025 00:00:00"/>
    <s v="24/06/2025 00:00:00"/>
    <s v="22/06/2025 00:00:00"/>
    <n v="0"/>
    <x v="2"/>
    <n v="13000"/>
    <n v="0"/>
    <n v="0"/>
    <n v="0"/>
    <n v="13000"/>
    <n v="1083.333333333333"/>
    <n v="13000"/>
    <n v="13000"/>
    <n v="1083.333333333333"/>
    <n v="13000"/>
    <n v="13000"/>
    <n v="0"/>
    <n v="13000"/>
    <n v="13000"/>
    <n v="0"/>
    <s v="07-07-2025"/>
    <s v="6025202500122182|34.10.14.422.3013.6178.33903000"/>
    <n v="1"/>
  </r>
  <r>
    <s v="01"/>
    <s v="Secretaria Municipal de Cultura"/>
    <s v="25"/>
    <s v="10"/>
    <n v="14"/>
    <n v="422"/>
    <n v="3018"/>
    <n v="4326"/>
    <s v="33399000"/>
    <s v="34.10.14.422.3013.6178.33903000"/>
    <s v="2"/>
    <s v="Termo de Contrato - Serviços"/>
    <n v="7"/>
    <s v="Inexigibilidade"/>
    <n v="2025"/>
    <n v="16825"/>
    <s v="03266-2025-PE/EM"/>
    <s v="6025202500121550"/>
    <x v="0"/>
    <x v="343"/>
    <s v="17/06/2025 00:00:00"/>
    <s v="24/06/2025 00:00:00"/>
    <s v="20/06/2025 00:00:00"/>
    <n v="0"/>
    <x v="2"/>
    <n v="7100"/>
    <n v="0"/>
    <n v="0"/>
    <n v="0"/>
    <n v="7100"/>
    <n v="591.66666666666663"/>
    <n v="7100"/>
    <n v="7100"/>
    <n v="591.66666666666663"/>
    <n v="7100"/>
    <n v="7100"/>
    <n v="0"/>
    <n v="7100"/>
    <n v="7100"/>
    <n v="0"/>
    <s v="07-07-2025"/>
    <s v="6025202500121550|34.10.14.422.3013.6178.33903000"/>
    <n v="1"/>
  </r>
  <r>
    <s v="01"/>
    <s v="Secretaria Municipal de Cultura"/>
    <s v="25"/>
    <s v="10"/>
    <n v="14"/>
    <n v="422"/>
    <n v="3018"/>
    <n v="4326"/>
    <s v="33399000"/>
    <s v="34.10.14.422.3013.6178.33903000"/>
    <s v="2"/>
    <s v="Termo de Contrato - Serviços"/>
    <n v="7"/>
    <s v="Inexigibilidade"/>
    <n v="2025"/>
    <n v="16830"/>
    <s v="03248-2025 PE"/>
    <s v="6025202500121330"/>
    <x v="0"/>
    <x v="344"/>
    <s v="17/06/2025 00:00:00"/>
    <s v="23/06/2025 00:00:00"/>
    <s v="20/06/2025 00:00:00"/>
    <n v="0"/>
    <x v="2"/>
    <n v="5000"/>
    <n v="0"/>
    <n v="0"/>
    <n v="0"/>
    <n v="5000"/>
    <n v="416.66666666666669"/>
    <n v="5000"/>
    <n v="5000"/>
    <n v="416.66666666666669"/>
    <n v="5000"/>
    <n v="5000"/>
    <n v="0"/>
    <n v="5000"/>
    <n v="5000"/>
    <n v="0"/>
    <s v="07-07-2025"/>
    <s v="6025202500121330|34.10.14.422.3013.6178.33903000"/>
    <n v="1"/>
  </r>
  <r>
    <s v="01"/>
    <s v="Secretaria Municipal de Cultura"/>
    <s v="25"/>
    <s v="10"/>
    <n v="14"/>
    <n v="422"/>
    <n v="3018"/>
    <n v="4326"/>
    <s v="33399000"/>
    <s v="34.10.14.422.3013.6178.33903000"/>
    <s v="2"/>
    <s v="Termo de Contrato - Serviços"/>
    <n v="7"/>
    <s v="Inexigibilidade"/>
    <n v="2025"/>
    <n v="16840"/>
    <m/>
    <s v="6025202500121313"/>
    <x v="0"/>
    <x v="345"/>
    <m/>
    <m/>
    <m/>
    <n v="12"/>
    <x v="0"/>
    <n v="14200"/>
    <n v="0"/>
    <n v="0"/>
    <n v="0"/>
    <n v="14200"/>
    <n v="1183.333333333333"/>
    <n v="14200"/>
    <n v="14200"/>
    <n v="1183.333333333333"/>
    <n v="14200"/>
    <n v="14200"/>
    <n v="0"/>
    <n v="14200"/>
    <n v="0"/>
    <n v="0"/>
    <s v="07-07-2025"/>
    <s v="6025202500121313|34.10.14.422.3013.6178.33903000"/>
    <n v="1"/>
  </r>
  <r>
    <s v="01"/>
    <s v="Secretaria Municipal de Cultura"/>
    <s v="25"/>
    <s v="10"/>
    <n v="14"/>
    <n v="422"/>
    <n v="3018"/>
    <n v="4326"/>
    <s v="33399000"/>
    <s v="34.10.14.422.3013.6178.33903000"/>
    <s v="2"/>
    <s v="Termo de Contrato - Serviços"/>
    <n v="7"/>
    <s v="Inexigibilidade"/>
    <n v="2025"/>
    <n v="16838"/>
    <s v=" 03249-2025-PE"/>
    <s v="6025202500121305"/>
    <x v="0"/>
    <x v="346"/>
    <s v="17/06/2025 00:00:00"/>
    <s v="24/06/2025 00:00:00"/>
    <s v="22/06/2025 00:00:00"/>
    <n v="0"/>
    <x v="2"/>
    <n v="14200"/>
    <n v="0"/>
    <n v="0"/>
    <n v="0"/>
    <n v="14200"/>
    <n v="1183.333333333333"/>
    <n v="14200"/>
    <n v="14200"/>
    <n v="1183.333333333333"/>
    <n v="14200"/>
    <n v="14200"/>
    <n v="0"/>
    <n v="14200"/>
    <n v="14200"/>
    <n v="0"/>
    <s v="07-07-2025"/>
    <s v="6025202500121305|34.10.14.422.3013.6178.33903000"/>
    <n v="1"/>
  </r>
  <r>
    <s v="01"/>
    <s v="Secretaria Municipal de Cultura"/>
    <s v="25"/>
    <s v="10"/>
    <n v="14"/>
    <n v="422"/>
    <n v="3018"/>
    <n v="4326"/>
    <s v="33399000"/>
    <s v="34.10.14.422.3013.6178.33903000"/>
    <s v="2"/>
    <s v="Termo de Contrato - Serviços"/>
    <n v="7"/>
    <s v="Inexigibilidade"/>
    <n v="2025"/>
    <n v="16843"/>
    <s v="03304-2025-PE"/>
    <s v="6025202500123359"/>
    <x v="0"/>
    <x v="347"/>
    <s v="17/06/2025 00:00:00"/>
    <s v="25/06/2025 00:00:00"/>
    <s v="20/06/2025 00:00:00"/>
    <n v="0"/>
    <x v="2"/>
    <n v="5000"/>
    <n v="0"/>
    <n v="0"/>
    <n v="0"/>
    <n v="5000"/>
    <n v="416.66666666666669"/>
    <n v="5000"/>
    <n v="5000"/>
    <n v="416.66666666666669"/>
    <n v="5000"/>
    <n v="5000"/>
    <n v="0"/>
    <n v="5000"/>
    <n v="0"/>
    <n v="0"/>
    <s v="07-07-2025"/>
    <s v="6025202500123359|34.10.14.422.3013.6178.33903000"/>
    <n v="1"/>
  </r>
  <r>
    <s v="01"/>
    <s v="Secretaria Municipal de Cultura"/>
    <s v="25"/>
    <s v="10"/>
    <n v="14"/>
    <n v="422"/>
    <n v="3018"/>
    <n v="4326"/>
    <s v="33399000"/>
    <s v="34.10.14.422.3013.6178.33903000"/>
    <s v="2"/>
    <s v="Termo de Contrato - Serviços"/>
    <n v="7"/>
    <s v="Inexigibilidade"/>
    <n v="2025"/>
    <n v="16850"/>
    <m/>
    <s v="6025202500121518"/>
    <x v="0"/>
    <x v="348"/>
    <m/>
    <m/>
    <m/>
    <n v="12"/>
    <x v="0"/>
    <n v="5000"/>
    <n v="0"/>
    <n v="0"/>
    <n v="0"/>
    <n v="5000"/>
    <n v="416.66666666666669"/>
    <n v="5000"/>
    <n v="5000"/>
    <n v="416.66666666666669"/>
    <n v="5000"/>
    <n v="5000"/>
    <n v="0"/>
    <n v="5000"/>
    <n v="0"/>
    <n v="0"/>
    <s v="07-07-2025"/>
    <s v="6025202500121518|34.10.14.422.3013.6178.33903000"/>
    <n v="1"/>
  </r>
  <r>
    <s v="01"/>
    <s v="Secretaria Municipal de Cultura"/>
    <s v="25"/>
    <s v="10"/>
    <n v="14"/>
    <n v="422"/>
    <n v="3018"/>
    <n v="4326"/>
    <s v="33399000"/>
    <s v="34.10.14.422.3013.6178.33903000"/>
    <s v="2"/>
    <s v="Termo de Contrato - Serviços"/>
    <n v="7"/>
    <s v="Inexigibilidade"/>
    <n v="2025"/>
    <n v="16851"/>
    <m/>
    <s v="6025202500123898"/>
    <x v="0"/>
    <x v="349"/>
    <m/>
    <m/>
    <m/>
    <n v="12"/>
    <x v="0"/>
    <n v="800"/>
    <n v="0"/>
    <n v="0"/>
    <n v="0"/>
    <n v="800"/>
    <n v="66.666666666666671"/>
    <n v="800"/>
    <n v="800"/>
    <n v="66.666666666666671"/>
    <n v="800"/>
    <n v="800"/>
    <n v="0"/>
    <n v="800"/>
    <n v="0"/>
    <n v="0"/>
    <s v="07-07-2025"/>
    <s v="6025202500123898|34.10.14.422.3013.6178.33903000"/>
    <n v="1"/>
  </r>
  <r>
    <s v="01"/>
    <s v="Secretaria Municipal de Cultura"/>
    <s v="25"/>
    <s v="10"/>
    <n v="14"/>
    <n v="422"/>
    <n v="3018"/>
    <n v="4326"/>
    <s v="33399000"/>
    <s v="34.10.14.422.3013.6178.33903000"/>
    <s v="2"/>
    <s v="Termo de Contrato - Serviços"/>
    <n v="7"/>
    <s v="Inexigibilidade"/>
    <n v="2025"/>
    <n v="16849"/>
    <s v="03279-2025-PE"/>
    <s v="6025202500122190"/>
    <x v="0"/>
    <x v="350"/>
    <s v="18/06/2025 00:00:00"/>
    <s v="24/06/2025 00:00:00"/>
    <s v="22/06/2025 00:00:00"/>
    <n v="0"/>
    <x v="2"/>
    <n v="14200"/>
    <n v="0"/>
    <n v="0"/>
    <n v="0"/>
    <n v="14200"/>
    <n v="1183.333333333333"/>
    <n v="14200"/>
    <n v="14200"/>
    <n v="1183.333333333333"/>
    <n v="14200"/>
    <n v="14200"/>
    <n v="0"/>
    <n v="14200"/>
    <n v="0"/>
    <n v="0"/>
    <s v="07-07-2025"/>
    <s v="6025202500122190|34.10.14.422.3013.6178.33903000"/>
    <n v="1"/>
  </r>
  <r>
    <s v="01"/>
    <s v="Secretaria Municipal de Direitos Humanos e Cidadania"/>
    <s v="34"/>
    <s v="10"/>
    <n v="14"/>
    <n v="422"/>
    <n v="3013"/>
    <n v="2431"/>
    <s v="33399000"/>
    <s v="34.10.14.422.3013.6178.33903000"/>
    <s v="30"/>
    <s v="Nota de Empenho para Fornecimento de Serviços"/>
    <n v="12"/>
    <s v="Pregão"/>
    <n v="2025"/>
    <n v="16852"/>
    <m/>
    <s v="6074202500043611"/>
    <x v="0"/>
    <x v="351"/>
    <m/>
    <m/>
    <m/>
    <n v="12"/>
    <x v="0"/>
    <n v="2512"/>
    <n v="0"/>
    <n v="0"/>
    <n v="0"/>
    <n v="2512"/>
    <n v="209.33333333333329"/>
    <n v="2512"/>
    <n v="2512"/>
    <n v="209.33333333333329"/>
    <n v="2512"/>
    <n v="2512"/>
    <n v="0"/>
    <n v="2512"/>
    <n v="0"/>
    <n v="0"/>
    <s v="07-07-2025"/>
    <s v="6074202500043611|34.10.14.422.3013.6178.33903000"/>
    <n v="1"/>
  </r>
  <r>
    <s v="01"/>
    <s v="Secretaria Municipal de Cultura"/>
    <s v="25"/>
    <s v="10"/>
    <n v="14"/>
    <n v="422"/>
    <n v="3018"/>
    <n v="4326"/>
    <s v="33399000"/>
    <s v="34.10.14.422.3013.6178.33903000"/>
    <s v="2"/>
    <s v="Termo de Contrato - Serviços"/>
    <n v="7"/>
    <s v="Inexigibilidade"/>
    <n v="2025"/>
    <n v="16854"/>
    <s v="03256-2025-PE"/>
    <s v="6025202500121399"/>
    <x v="0"/>
    <x v="352"/>
    <s v="17/06/2025 00:00:00"/>
    <s v="24/06/2025 00:00:00"/>
    <s v="20/06/2025 00:00:00"/>
    <n v="0"/>
    <x v="2"/>
    <n v="7100"/>
    <n v="0"/>
    <n v="0"/>
    <n v="0"/>
    <n v="7100"/>
    <n v="591.66666666666663"/>
    <n v="7100"/>
    <n v="7100"/>
    <n v="591.66666666666663"/>
    <n v="7100"/>
    <n v="7100"/>
    <n v="0"/>
    <n v="7100"/>
    <n v="7100"/>
    <n v="0"/>
    <s v="07-07-2025"/>
    <s v="6025202500121399|34.10.14.422.3013.6178.33903000"/>
    <n v="1"/>
  </r>
  <r>
    <s v="01"/>
    <s v="Secretaria Municipal de Cultura"/>
    <s v="25"/>
    <s v="10"/>
    <n v="14"/>
    <n v="422"/>
    <n v="3018"/>
    <n v="4326"/>
    <s v="33399000"/>
    <s v="34.10.14.422.3013.6178.33903000"/>
    <s v="2"/>
    <s v="Termo de Contrato - Serviços"/>
    <n v="7"/>
    <s v="Inexigibilidade"/>
    <n v="2025"/>
    <n v="16855"/>
    <m/>
    <s v="6025202500123570"/>
    <x v="0"/>
    <x v="353"/>
    <m/>
    <m/>
    <m/>
    <n v="12"/>
    <x v="0"/>
    <n v="1000"/>
    <n v="0"/>
    <n v="0"/>
    <n v="0"/>
    <n v="1000"/>
    <n v="83.333333333333329"/>
    <n v="1000"/>
    <n v="1000"/>
    <n v="83.333333333333329"/>
    <n v="1000"/>
    <n v="1000"/>
    <n v="0"/>
    <n v="1000"/>
    <n v="0"/>
    <n v="0"/>
    <s v="07-07-2025"/>
    <s v="6025202500123570|34.10.14.422.3013.6178.33903000"/>
    <n v="1"/>
  </r>
  <r>
    <s v="01"/>
    <s v="Secretaria Municipal de Cultura"/>
    <s v="25"/>
    <s v="10"/>
    <n v="14"/>
    <n v="422"/>
    <n v="3018"/>
    <n v="4326"/>
    <s v="33399000"/>
    <s v="34.10.14.422.3013.6178.33903000"/>
    <s v="2"/>
    <s v="Termo de Contrato - Serviços"/>
    <n v="7"/>
    <s v="Inexigibilidade"/>
    <n v="2025"/>
    <n v="16858"/>
    <m/>
    <s v="6025202500124789"/>
    <x v="0"/>
    <x v="354"/>
    <m/>
    <m/>
    <m/>
    <n v="12"/>
    <x v="0"/>
    <n v="1500"/>
    <n v="0"/>
    <n v="0"/>
    <n v="0"/>
    <n v="1500"/>
    <n v="125"/>
    <n v="1500"/>
    <n v="1500"/>
    <n v="125"/>
    <n v="1500"/>
    <n v="1500"/>
    <n v="0"/>
    <n v="1500"/>
    <n v="0"/>
    <n v="0"/>
    <s v="07-07-2025"/>
    <s v="6025202500124789|34.10.14.422.3013.6178.33903000"/>
    <n v="1"/>
  </r>
  <r>
    <s v="01"/>
    <s v="Secretaria Municipal de Cultura"/>
    <s v="25"/>
    <s v="10"/>
    <n v="14"/>
    <n v="422"/>
    <n v="3018"/>
    <n v="4326"/>
    <s v="33399000"/>
    <s v="34.10.14.422.3013.6178.33903000"/>
    <s v="2"/>
    <s v="Termo de Contrato - Serviços"/>
    <n v="7"/>
    <s v="Inexigibilidade"/>
    <n v="2025"/>
    <n v="16863"/>
    <s v="03287-2025-PE"/>
    <s v="6025202500122557"/>
    <x v="0"/>
    <x v="355"/>
    <s v="18/06/2025 00:00:00"/>
    <s v="25/06/2025 00:00:00"/>
    <s v="23/06/2025 00:00:00"/>
    <n v="0"/>
    <x v="2"/>
    <n v="5000"/>
    <n v="0"/>
    <n v="0"/>
    <n v="0"/>
    <n v="5000"/>
    <n v="416.66666666666669"/>
    <n v="5000"/>
    <n v="5000"/>
    <n v="416.66666666666669"/>
    <n v="5000"/>
    <n v="5000"/>
    <n v="0"/>
    <n v="5000"/>
    <n v="5000"/>
    <n v="0"/>
    <s v="07-07-2025"/>
    <s v="6025202500122557|34.10.14.422.3013.6178.33903000"/>
    <n v="1"/>
  </r>
  <r>
    <s v="01"/>
    <s v="Secretaria Municipal de Cultura"/>
    <s v="25"/>
    <s v="10"/>
    <n v="14"/>
    <n v="422"/>
    <n v="3018"/>
    <n v="4326"/>
    <s v="33399000"/>
    <s v="34.10.14.422.3018.4326.33903900"/>
    <s v="2"/>
    <s v="Termo de Contrato - Serviços"/>
    <n v="7"/>
    <s v="Inexigibilidade"/>
    <n v="2025"/>
    <n v="16869"/>
    <m/>
    <s v="6025202500124878"/>
    <x v="0"/>
    <x v="356"/>
    <m/>
    <m/>
    <m/>
    <n v="12"/>
    <x v="0"/>
    <n v="1000"/>
    <n v="0"/>
    <n v="0"/>
    <n v="0"/>
    <n v="1000"/>
    <n v="83.333333333333329"/>
    <n v="1000"/>
    <n v="1000"/>
    <n v="83.333333333333329"/>
    <n v="1000"/>
    <n v="1000"/>
    <n v="0"/>
    <n v="1000"/>
    <n v="0"/>
    <n v="0"/>
    <s v="07-07-2025"/>
    <s v="6025202500124878|34.10.14.422.3018.4326.33903900"/>
    <n v="1"/>
  </r>
  <r>
    <s v="01"/>
    <s v="Secretaria Municipal de Cultura"/>
    <s v="25"/>
    <s v="10"/>
    <n v="14"/>
    <n v="422"/>
    <n v="3018"/>
    <n v="4326"/>
    <s v="33399000"/>
    <s v="34.10.14.422.3018.4326.33903900"/>
    <s v="2"/>
    <s v="Termo de Contrato - Serviços"/>
    <n v="7"/>
    <s v="Inexigibilidade"/>
    <n v="2025"/>
    <n v="16874"/>
    <s v="03274-2025-PE"/>
    <s v="6025202500123421"/>
    <x v="0"/>
    <x v="357"/>
    <s v="18/06/2025 00:00:00"/>
    <s v="25/06/2025 00:00:00"/>
    <s v="23/06/2025 00:00:00"/>
    <n v="0"/>
    <x v="2"/>
    <n v="7100"/>
    <n v="0"/>
    <n v="0"/>
    <n v="0"/>
    <n v="7100"/>
    <n v="591.66666666666663"/>
    <n v="7100"/>
    <n v="7100"/>
    <n v="591.66666666666663"/>
    <n v="7100"/>
    <n v="7100"/>
    <n v="0"/>
    <n v="7100"/>
    <n v="0"/>
    <n v="0"/>
    <s v="07-07-2025"/>
    <s v="6025202500123421|34.10.14.422.3018.4326.33903900"/>
    <n v="1"/>
  </r>
  <r>
    <s v="01"/>
    <s v="Secretaria Municipal de Direitos Humanos e Cidadania"/>
    <s v="34"/>
    <s v="10"/>
    <n v="14"/>
    <n v="122"/>
    <n v="3024"/>
    <n v="2100"/>
    <s v="33309000"/>
    <s v="34.10.14.422.3018.4326.33903900"/>
    <s v="5"/>
    <s v="Nota de Empenho Fornecimento de Bens de Consumo e/ou Permanente"/>
    <n v="12"/>
    <s v="Pregão"/>
    <n v="2025"/>
    <n v="16882"/>
    <m/>
    <s v="6074202500044723"/>
    <x v="0"/>
    <x v="358"/>
    <m/>
    <m/>
    <m/>
    <n v="12"/>
    <x v="0"/>
    <n v="400.96"/>
    <n v="0"/>
    <n v="0"/>
    <n v="0"/>
    <n v="400.96"/>
    <n v="33.413333333333327"/>
    <n v="400.96"/>
    <n v="400.96"/>
    <n v="33.413333333333327"/>
    <n v="400.96"/>
    <n v="400.96"/>
    <n v="0"/>
    <n v="400.96"/>
    <n v="0"/>
    <n v="0"/>
    <s v="07-07-2025"/>
    <s v="6074202500044723|34.10.14.422.3018.4326.33903900"/>
    <n v="1"/>
  </r>
  <r>
    <s v="01"/>
    <s v="Secretaria Municipal de Cultura"/>
    <s v="25"/>
    <s v="10"/>
    <n v="14"/>
    <n v="422"/>
    <n v="3018"/>
    <n v="4326"/>
    <s v="33399000"/>
    <s v="34.10.14.422.3018.4326.33903900"/>
    <s v="2"/>
    <s v="Termo de Contrato - Serviços"/>
    <n v="7"/>
    <s v="Inexigibilidade"/>
    <n v="2025"/>
    <n v="16912"/>
    <s v="03265-2025-PE"/>
    <s v="6025202500121607"/>
    <x v="0"/>
    <x v="359"/>
    <s v="18/06/2025 00:00:00"/>
    <s v="25/06/2025 00:00:00"/>
    <s v="22/06/2025 00:00:00"/>
    <n v="0"/>
    <x v="2"/>
    <n v="120000"/>
    <n v="0"/>
    <n v="0"/>
    <n v="0"/>
    <n v="120000"/>
    <n v="10000"/>
    <n v="120000"/>
    <n v="120000"/>
    <n v="10000"/>
    <n v="120000"/>
    <n v="120000"/>
    <n v="0"/>
    <n v="120000"/>
    <n v="120000"/>
    <n v="0"/>
    <s v="07-07-2025"/>
    <s v="6025202500121607|34.10.14.422.3018.4326.33903900"/>
    <n v="1"/>
  </r>
  <r>
    <s v="01"/>
    <s v="Secretaria Municipal de Cultura"/>
    <s v="25"/>
    <s v="10"/>
    <n v="14"/>
    <n v="422"/>
    <n v="3018"/>
    <n v="4326"/>
    <s v="33399000"/>
    <s v="34.10.14.422.3018.4326.33903900"/>
    <s v="2"/>
    <s v="Termo de Contrato - Serviços"/>
    <n v="7"/>
    <s v="Inexigibilidade"/>
    <n v="2025"/>
    <n v="16915"/>
    <m/>
    <s v="6025202500124762"/>
    <x v="0"/>
    <x v="360"/>
    <m/>
    <m/>
    <m/>
    <n v="12"/>
    <x v="0"/>
    <n v="9000"/>
    <n v="0"/>
    <n v="0"/>
    <n v="0"/>
    <n v="9000"/>
    <n v="750"/>
    <n v="9000"/>
    <n v="9000"/>
    <n v="750"/>
    <n v="9000"/>
    <n v="9000"/>
    <n v="0"/>
    <n v="9000"/>
    <n v="0"/>
    <n v="0"/>
    <s v="07-07-2025"/>
    <s v="6025202500124762|34.10.14.422.3018.4326.33903900"/>
    <n v="1"/>
  </r>
  <r>
    <s v="01"/>
    <s v="Secretaria Municipal de Direitos Humanos e Cidadania"/>
    <s v="34"/>
    <s v="10"/>
    <n v="14"/>
    <n v="422"/>
    <n v="3013"/>
    <n v="2431"/>
    <s v="33399000"/>
    <s v="34.10.14.422.3018.4326.33903900"/>
    <s v="30"/>
    <s v="Nota de Empenho para Fornecimento de Serviços"/>
    <n v="12"/>
    <s v="Pregão"/>
    <n v="2025"/>
    <n v="16921"/>
    <m/>
    <s v="6074202500044456"/>
    <x v="0"/>
    <x v="361"/>
    <m/>
    <m/>
    <m/>
    <n v="12"/>
    <x v="0"/>
    <n v="6751.5"/>
    <n v="0"/>
    <n v="0"/>
    <n v="0"/>
    <n v="6751.5"/>
    <n v="562.625"/>
    <n v="6751.5"/>
    <n v="6751.5"/>
    <n v="562.625"/>
    <n v="6751.5"/>
    <n v="6751.5"/>
    <n v="0"/>
    <n v="6751.5"/>
    <n v="0"/>
    <n v="0"/>
    <s v="07-07-2025"/>
    <s v="6074202500044456|34.10.14.422.3018.4326.33903900"/>
    <n v="1"/>
  </r>
  <r>
    <s v="01"/>
    <s v="Secretaria Municipal de Direitos Humanos e Cidadania"/>
    <s v="34"/>
    <s v="10"/>
    <n v="14"/>
    <n v="122"/>
    <n v="3024"/>
    <n v="2100"/>
    <s v="33309000"/>
    <s v="34.10.14.422.3018.4326.33903900"/>
    <s v="5"/>
    <s v="Nota de Empenho Fornecimento de Bens de Consumo e/ou Permanente"/>
    <n v="6"/>
    <s v="Dispensa de Licitação"/>
    <n v="2025"/>
    <n v="16925"/>
    <m/>
    <s v="6074202500039800"/>
    <x v="0"/>
    <x v="362"/>
    <m/>
    <m/>
    <m/>
    <n v="12"/>
    <x v="0"/>
    <n v="3800"/>
    <n v="0"/>
    <n v="0"/>
    <n v="0"/>
    <n v="3800"/>
    <n v="316.66666666666669"/>
    <n v="3800"/>
    <n v="3800"/>
    <n v="316.66666666666669"/>
    <n v="3800"/>
    <n v="3800"/>
    <n v="0"/>
    <n v="3800"/>
    <n v="0"/>
    <n v="0"/>
    <s v="07-07-2025"/>
    <s v="6074202500039800|34.10.14.422.3018.4326.33903900"/>
    <n v="1"/>
  </r>
  <r>
    <s v="01"/>
    <s v="Secretaria Municipal de Cultura"/>
    <s v="25"/>
    <s v="10"/>
    <n v="14"/>
    <n v="422"/>
    <n v="3018"/>
    <n v="4326"/>
    <s v="33399000"/>
    <s v="34.10.14.422.3018.4326.33903900"/>
    <s v="2"/>
    <s v="Termo de Contrato - Serviços"/>
    <n v="7"/>
    <s v="Inexigibilidade"/>
    <n v="2025"/>
    <n v="16935"/>
    <m/>
    <s v="6025202500124614"/>
    <x v="0"/>
    <x v="363"/>
    <m/>
    <m/>
    <m/>
    <n v="12"/>
    <x v="0"/>
    <n v="101415.84"/>
    <n v="0"/>
    <n v="0"/>
    <n v="0"/>
    <n v="101415.84"/>
    <n v="8451.32"/>
    <n v="101415.84"/>
    <n v="101415.84"/>
    <n v="8451.32"/>
    <n v="101415.84"/>
    <n v="101415.84"/>
    <n v="0"/>
    <n v="101415.84"/>
    <n v="0"/>
    <n v="0"/>
    <s v="07-07-2025"/>
    <s v="6025202500124614|34.10.14.422.3018.4326.33903900"/>
    <n v="1"/>
  </r>
  <r>
    <s v="01"/>
    <s v="Secretaria Municipal de Direitos Humanos e Cidadania"/>
    <s v="34"/>
    <s v="10"/>
    <n v="14"/>
    <n v="422"/>
    <n v="3018"/>
    <n v="4318"/>
    <s v="33395000"/>
    <s v="34.10.14.243.3013.2157.31901100"/>
    <s v="23"/>
    <s v="Termo de Fomento - Lei Federal 13.019/2014"/>
    <n v="8"/>
    <s v="Não Aplicável"/>
    <n v="2025"/>
    <n v="17351"/>
    <m/>
    <s v="6074202500029678"/>
    <x v="0"/>
    <x v="364"/>
    <m/>
    <m/>
    <m/>
    <n v="12"/>
    <x v="0"/>
    <n v="80000"/>
    <n v="0"/>
    <n v="0"/>
    <n v="0"/>
    <n v="80000"/>
    <n v="6666.666666666667"/>
    <n v="80000"/>
    <n v="80000"/>
    <n v="6666.666666666667"/>
    <n v="80000"/>
    <n v="80000"/>
    <n v="0"/>
    <n v="80000"/>
    <n v="0"/>
    <n v="0"/>
    <s v="07-07-2025"/>
    <s v="6074202500029678|34.10.14.243.3013.2157.31901100"/>
    <n v="1"/>
  </r>
  <r>
    <s v="01"/>
    <s v="Secretaria Municipal de Direitos Humanos e Cidadania"/>
    <s v="34"/>
    <s v="10"/>
    <n v="14"/>
    <n v="122"/>
    <n v="3024"/>
    <n v="2100"/>
    <s v="33399000"/>
    <s v="34.10.14.243.3013.2157.31901100"/>
    <s v="2"/>
    <s v="Termo de Contrato - Serviços"/>
    <n v="6"/>
    <s v="Dispensa de Licitação"/>
    <n v="2025"/>
    <n v="18222"/>
    <m/>
    <s v="6074202500034060"/>
    <x v="0"/>
    <x v="365"/>
    <m/>
    <m/>
    <m/>
    <n v="12"/>
    <x v="0"/>
    <n v="16900"/>
    <n v="0"/>
    <n v="0"/>
    <n v="0"/>
    <n v="16900"/>
    <n v="1408.333333333333"/>
    <n v="16900"/>
    <n v="16900"/>
    <n v="1408.333333333333"/>
    <n v="16900"/>
    <n v="16900"/>
    <n v="0"/>
    <n v="16900"/>
    <n v="0"/>
    <n v="0"/>
    <s v="07-07-2025"/>
    <s v="6074202500034060|34.10.14.243.3013.2157.31901100"/>
    <n v="1"/>
  </r>
  <r>
    <s v="01"/>
    <s v="Secretaria Municipal de Turismo"/>
    <s v="74"/>
    <s v="10"/>
    <n v="14"/>
    <n v="422"/>
    <n v="3018"/>
    <n v="4326"/>
    <s v="33399000"/>
    <s v="34.10.14.122.3024.2100.31901100"/>
    <s v="2"/>
    <s v="Termo de Contrato - Serviços"/>
    <n v="8"/>
    <s v="Não Aplicável"/>
    <n v="2023"/>
    <n v="17599"/>
    <s v="nº 009/2023-SMTUR"/>
    <s v="6076202300003269"/>
    <x v="0"/>
    <x v="366"/>
    <s v="28/06/2023 00:00:00"/>
    <s v="03/07/2023 00:00:00"/>
    <s v="26/06/2024 00:00:00"/>
    <n v="12"/>
    <x v="2"/>
    <n v="106011.77"/>
    <n v="0"/>
    <n v="289092.34000000003"/>
    <n v="0"/>
    <n v="395104.11"/>
    <n v="32925.342500000013"/>
    <n v="395104.1100000001"/>
    <n v="395104.11"/>
    <n v="32925.342500000013"/>
    <n v="395104.1100000001"/>
    <n v="244463.61"/>
    <n v="33027.1"/>
    <n v="211436.51"/>
    <n v="145585.85"/>
    <n v="145585.85"/>
    <s v="07-07-2025"/>
    <s v="6076202300003269|34.10.14.122.3024.2100.31901100"/>
    <n v="1"/>
  </r>
  <r>
    <s v="01"/>
    <s v="Secretaria Municipal de Direitos Humanos e Cidadania"/>
    <s v="34"/>
    <s v="10"/>
    <n v="14"/>
    <n v="122"/>
    <n v="3024"/>
    <n v="2100"/>
    <s v="33399000"/>
    <s v="34.10.14.122.3024.2100.31901100"/>
    <s v="41"/>
    <s v="Nota de Empenho de Serviços com fornecimento de materiais / peças"/>
    <n v="12"/>
    <s v="Pregão"/>
    <n v="2025"/>
    <n v="18883"/>
    <m/>
    <s v="6074202500054699"/>
    <x v="0"/>
    <x v="367"/>
    <m/>
    <m/>
    <m/>
    <n v="12"/>
    <x v="0"/>
    <n v="989.4"/>
    <n v="0"/>
    <n v="0"/>
    <n v="0"/>
    <n v="989.4"/>
    <n v="82.45"/>
    <n v="989.40000000000009"/>
    <n v="989.4"/>
    <n v="82.45"/>
    <n v="989.40000000000009"/>
    <n v="989.4"/>
    <n v="0"/>
    <n v="989.4"/>
    <n v="0"/>
    <n v="0"/>
    <s v="07-07-2025"/>
    <s v="6074202500054699|34.10.14.122.3024.2100.31901100"/>
    <n v="1"/>
  </r>
  <r>
    <s v="01"/>
    <s v="Secretaria Municipal de Direitos Humanos e Cidadania"/>
    <s v="34"/>
    <s v="10"/>
    <n v="14"/>
    <n v="422"/>
    <n v="3013"/>
    <n v="6178"/>
    <s v="33399000"/>
    <s v="34.10.14.122.3024.2100.31901100"/>
    <s v="2"/>
    <s v="Termo de Contrato - Serviços"/>
    <n v="6"/>
    <s v="Dispensa de Licitação"/>
    <n v="2025"/>
    <n v="19901"/>
    <m/>
    <s v="6074202500038308"/>
    <x v="0"/>
    <x v="368"/>
    <m/>
    <m/>
    <m/>
    <n v="12"/>
    <x v="0"/>
    <n v="3879.52"/>
    <n v="0"/>
    <n v="0"/>
    <n v="0"/>
    <n v="3879.52"/>
    <n v="323.29333333333341"/>
    <n v="3879.52"/>
    <n v="3879.52"/>
    <n v="323.29333333333341"/>
    <n v="3879.52"/>
    <n v="3879.52"/>
    <n v="0"/>
    <n v="3879.52"/>
    <n v="0"/>
    <n v="0"/>
    <s v="07-07-2025"/>
    <s v="6074202500038308|34.10.14.122.3024.2100.3190110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s v="Contratos"/>
    <s v="Atividades"/>
    <n v="6074202300035830"/>
    <x v="0"/>
    <s v="34.10.14.126.3024.2.171.33904000.00.1.500.9001.0"/>
    <s v="DTIC "/>
    <s v="333/SMDHC/2023"/>
    <s v="Serviços Sustentação de TIC"/>
    <s v="PRODAMSP SA"/>
    <d v="2026-10-31T00:00:00"/>
    <n v="4110188.07"/>
    <n v="331092.96999999997"/>
    <n v="291600"/>
    <n v="291600"/>
    <n v="291600"/>
    <n v="291600"/>
    <n v="291600"/>
    <n v="291600"/>
    <n v="291600"/>
    <n v="291600"/>
    <n v="291600"/>
    <n v="313200"/>
    <n v="334800"/>
    <n v="356400"/>
  </r>
  <r>
    <x v="0"/>
    <s v="Contratos"/>
    <s v="Atividades"/>
    <n v="6074202300067960"/>
    <x v="0"/>
    <s v="34.10.14.126.3024.2.171.33904000.00.1.500.9001.0"/>
    <s v="DTIC "/>
    <s v="293/SMDHC/2023"/>
    <s v="SERVIÇOS DE IMPRESSÃO - Cresan, CRMs, SMDHC"/>
    <s v="MR COMPUTER INFORMATICA LTDA"/>
    <d v="2025-08-28T00:00:00"/>
    <n v="180594.96"/>
    <n v="16128.78"/>
    <n v="15049.58"/>
    <n v="15049.58"/>
    <n v="15049.58"/>
    <n v="15049.58"/>
    <n v="15049.58"/>
    <n v="15049.58"/>
    <n v="15049.58"/>
    <n v="15049.58"/>
    <n v="15049.58"/>
    <n v="15049.58"/>
    <n v="15049.58"/>
    <n v="15049.58"/>
  </r>
  <r>
    <x v="0"/>
    <s v="Contratos"/>
    <s v="Atividades"/>
    <n v="6074202300090880"/>
    <x v="0"/>
    <s v="34.10.14.126.3024.2.171.33904000.00.1.500.9001.0"/>
    <s v="DTIC "/>
    <s v="334/SMDHC/2023"/>
    <s v="Plataforma de Colaboração e Produtividade"/>
    <s v="PRODAMSP SA"/>
    <d v="2026-07-31T00:00:00"/>
    <n v="529952.24"/>
    <n v="47476.79"/>
    <n v="41795.47"/>
    <n v="41795.47"/>
    <n v="41795.47"/>
    <n v="41795.47"/>
    <n v="41795.47"/>
    <n v="41795.47"/>
    <n v="41795.47"/>
    <n v="47476.79"/>
    <n v="47476.79"/>
    <n v="47476.79"/>
    <n v="47476.79"/>
    <n v="47476.79"/>
  </r>
  <r>
    <x v="0"/>
    <s v="Contratos"/>
    <s v="Atividades"/>
    <n v="6074202400026510"/>
    <x v="0"/>
    <s v="34.10.14.126.3024.2.171.33904000.00.1.500.9001.0"/>
    <s v="DTIC "/>
    <s v="238/SMDHC/2024"/>
    <s v="SERVIÇOS DE IMPRESSÃO (Sede, CPIR, CPESDH, Idoso, Ban. De Alimentos, CMB)"/>
    <s v="MR COMPUTER INFORMATICA LTDA"/>
    <d v="2026-08-01T00:00:00"/>
    <n v="506030.4"/>
    <n v="21084.6"/>
    <n v="21084.6"/>
    <n v="21084.6"/>
    <n v="21084.6"/>
    <n v="21084.6"/>
    <n v="21084.6"/>
    <n v="21084.6"/>
    <n v="21084.6"/>
    <n v="22771.37"/>
    <n v="22771.37"/>
    <n v="22771.37"/>
    <n v="22771.37"/>
    <n v="22771.37"/>
  </r>
  <r>
    <x v="0"/>
    <s v="Contratos"/>
    <s v="Atividades"/>
    <n v="6074202400044930"/>
    <x v="0"/>
    <s v="34.10.14.126.3024.2.171.33904000.00.1.500.9001.0"/>
    <s v="DTIC "/>
    <s v="241/SMDHC/2024"/>
    <s v="Serviços de comunicação de Voz VoIP - SMDHC"/>
    <s v="PRODAMSP SA"/>
    <d v="2025-07-31T00:00:00"/>
    <n v="188304.73"/>
    <n v="16349.81"/>
    <n v="15222.24"/>
    <n v="15222.24"/>
    <n v="15222.24"/>
    <n v="15222.24"/>
    <n v="15222.24"/>
    <n v="15222.24"/>
    <n v="15222.24"/>
    <n v="16349.81"/>
    <n v="16349.81"/>
    <n v="16349.81"/>
    <n v="16349.81"/>
    <n v="16349.81"/>
  </r>
  <r>
    <x v="0"/>
    <s v="Contratos"/>
    <s v="Atividades"/>
    <n v="6074202300008030"/>
    <x v="0"/>
    <s v="34.10.14.122.3024.2.100.33903900.00.1.500.9001.0"/>
    <s v="ADM"/>
    <s v="172/SMDHC/2023"/>
    <s v="Manutenção de Ar Condicionado - SEDE"/>
    <s v="CLIMATECNICA AR CONDICIONADO COMERCIO E SERVICOS LTDA"/>
    <d v="2026-08-15T00:00:00"/>
    <n v="61635.6"/>
    <n v="5136.3"/>
    <n v="5136.3"/>
    <n v="5136.3"/>
    <n v="5136.3"/>
    <n v="5136.3"/>
    <n v="5136.3"/>
    <n v="5136.3"/>
    <n v="5136.3"/>
    <n v="5997.2"/>
    <n v="5997.2"/>
    <n v="5997.2"/>
    <n v="5997.2"/>
    <n v="5997.2"/>
  </r>
  <r>
    <x v="0"/>
    <s v="Contratos"/>
    <s v="Atividades"/>
    <n v="6074201700000330"/>
    <x v="1"/>
    <s v="34.10.14.122.3024.2.100.33903900.00.1.500.9001.0"/>
    <s v="ADM"/>
    <s v="010/SMDHC/2018"/>
    <s v="Locação de Imóvel da Sede - Seguro"/>
    <s v="FWMA Administradora LTDA"/>
    <d v="2027-02-10T00:00:00"/>
    <n v="4500"/>
    <m/>
    <s v="R$                        -  "/>
    <n v="4500"/>
    <s v="R$                        -  "/>
    <s v=" R$                        -  "/>
    <s v=" R$                        -  "/>
    <s v=" R$                        -  "/>
    <s v=" R$                        -  "/>
    <s v=" R$                        -  "/>
    <s v=" R$                        -  "/>
    <s v=" R$                        -  "/>
    <s v=" R$                        -  "/>
    <s v=" R$                             -  "/>
  </r>
  <r>
    <x v="0"/>
    <s v="Contratos"/>
    <s v="Atividades"/>
    <n v="6074201700000330"/>
    <x v="1"/>
    <s v="34.10.14.122.3024.2.100.33904700.00.1.500.9001.0"/>
    <s v="ADM"/>
    <s v="010/SMDHC/2018"/>
    <s v="Locação de Imóvel da Sede -IPTU"/>
    <s v="FWMA Administradora LTDA"/>
    <d v="2027-02-10T00:00:00"/>
    <n v="178220"/>
    <s v="R$                        -  "/>
    <m/>
    <n v="178220"/>
    <s v="R$                        -  "/>
    <s v=" R$                        -  "/>
    <s v=" R$                        -  "/>
    <s v=" R$                        -  "/>
    <s v=" R$                        -  "/>
    <s v=" R$                        -  "/>
    <s v=" R$                        -  "/>
    <s v=" R$                        -  "/>
    <s v=" R$                        -  "/>
    <s v=" R$                             -  "/>
  </r>
  <r>
    <x v="0"/>
    <s v="Contratos"/>
    <s v="Atividades"/>
    <n v="6074201700000330"/>
    <x v="1"/>
    <s v="34.10.14.122.3024.2.100.33903900.00.1.500.9001.0"/>
    <s v="ADM"/>
    <s v="010/SMDHC/2018"/>
    <s v="Locação de Imóvel da Sede"/>
    <s v="FWMA Administradora LTDA"/>
    <d v="2027-02-10T00:00:00"/>
    <n v="2286215.62"/>
    <n v="191701.31"/>
    <n v="177501.21"/>
    <n v="191701.31"/>
    <n v="191701.31"/>
    <n v="191701.31"/>
    <n v="191701.31"/>
    <n v="191701.31"/>
    <n v="191701.31"/>
    <n v="191701.31"/>
    <n v="191701.31"/>
    <n v="191701.31"/>
    <n v="191701.31"/>
    <n v="191701.31"/>
  </r>
  <r>
    <x v="0"/>
    <s v="Contratos"/>
    <s v="Atividades"/>
    <n v="6074201900011300"/>
    <x v="0"/>
    <s v="34.10.14.122.3024.2.100.33903900.00.1.500.9001.0"/>
    <s v="ADM"/>
    <s v="012/SMDHC/2019"/>
    <s v="Prestação de Serviço Telefônico Fixo Comutado – STFC, para atender as necessidades desta SMDHC."/>
    <s v="CLARO S.A"/>
    <d v="2026-06-06T00:00:00"/>
    <n v="19749"/>
    <n v="1645.75"/>
    <n v="1645.75"/>
    <n v="1645.75"/>
    <n v="1645.75"/>
    <n v="1645.75"/>
    <n v="1645.75"/>
    <n v="1645.75"/>
    <n v="1645.75"/>
    <n v="1645.75"/>
    <n v="1645.75"/>
    <n v="1645.75"/>
    <n v="1645.75"/>
    <n v="1645.75"/>
  </r>
  <r>
    <x v="0"/>
    <s v="Contratos"/>
    <s v="Atividades"/>
    <n v="6074202000034310"/>
    <x v="0"/>
    <s v="34.10.14.122.3024.2.100.33903900.00.1.500.9001.0"/>
    <s v="ADM"/>
    <s v="074/SMDHC/2020"/>
    <s v="serviço de transporte mediante locação de veículo"/>
    <s v="TRANSQUERQUI LTDA. - EPP"/>
    <d v="2026-11-23T00:00:00"/>
    <n v="248655.5"/>
    <n v="23413"/>
    <n v="20182.95"/>
    <n v="20182.95"/>
    <n v="20182.95"/>
    <n v="20182.95"/>
    <n v="20182.95"/>
    <n v="20182.95"/>
    <n v="20182.95"/>
    <n v="20182.95"/>
    <n v="20182.95"/>
    <n v="20182.95"/>
    <n v="23413"/>
    <n v="23413"/>
  </r>
  <r>
    <x v="0"/>
    <s v="Contratos"/>
    <s v="Atividades"/>
    <n v="6074202100003880"/>
    <x v="0"/>
    <s v="34.10.14.122.3018.4.332.33903900.00.1.500.9001.0"/>
    <s v="ADM"/>
    <s v="322/SMDHC2021"/>
    <s v="Locação de máquinas de Café - Ouvidoria"/>
    <s v="PIERCOFFEE BR SERVICES FACILITIES LTDA"/>
    <d v="2026-11-23T00:00:00"/>
    <n v="19961.400000000001"/>
    <n v="1785"/>
    <n v="1652.4"/>
    <n v="1652.4"/>
    <n v="1652.4"/>
    <n v="1652.4"/>
    <n v="1652.4"/>
    <n v="1652.4"/>
    <n v="1652.4"/>
    <n v="1652.4"/>
    <n v="1652.4"/>
    <n v="1652.4"/>
    <n v="1652.4"/>
    <n v="1785"/>
  </r>
  <r>
    <x v="0"/>
    <s v="Contratos"/>
    <s v="Atividades"/>
    <n v="6074202100023310"/>
    <x v="0"/>
    <s v="34.10.14.122.3024.2.100.33903900.00.1.500.9001.0"/>
    <s v="ADM"/>
    <s v="350/SMDHC/2021"/>
    <s v="Serviços de infraestrutura de rede - Sede SMDHC"/>
    <s v="SAGAZ SERVIÇOS E COMÉRCIO DE EQUIPAMENTOS"/>
    <d v="2026-12-14T00:00:00"/>
    <n v="461505.77"/>
    <n v="41260.449999999997"/>
    <n v="38204.120000000003"/>
    <n v="38204.120000000003"/>
    <n v="38204.120000000003"/>
    <n v="38204.120000000003"/>
    <n v="38204.120000000003"/>
    <n v="38204.120000000003"/>
    <n v="38204.120000000003"/>
    <n v="38204.120000000003"/>
    <n v="38204.120000000003"/>
    <n v="38204.120000000003"/>
    <n v="38204.120000000003"/>
    <n v="41260.449999999997"/>
  </r>
  <r>
    <x v="0"/>
    <s v="Contratos"/>
    <s v="Atividades"/>
    <n v="6074202100086750"/>
    <x v="0"/>
    <s v="34.10.14.122.3024.2.100.33903900.00.1.500.9001.0"/>
    <s v="ADM"/>
    <n v="9912565743"/>
    <s v="Serviços Postais -  Sede"/>
    <s v="EMPRESA BRASILEIRA DE CORREIOS E TELEGRAFOS"/>
    <d v="2026-02-01T00:00:00"/>
    <n v="6000"/>
    <n v="500"/>
    <n v="500"/>
    <n v="500"/>
    <n v="500"/>
    <n v="500"/>
    <n v="500"/>
    <n v="500"/>
    <n v="500"/>
    <n v="500"/>
    <n v="500"/>
    <n v="500"/>
    <n v="500"/>
    <n v="500"/>
  </r>
  <r>
    <x v="0"/>
    <s v="Contratos"/>
    <s v="Atividades"/>
    <n v="6074202200013230"/>
    <x v="0"/>
    <s v="34.10.14.122.3024.2.100.33903900.00.1.500.9001.0"/>
    <s v="ADM"/>
    <s v="141/SMDHC/2022"/>
    <s v="Locação de máquinas de Café Sede"/>
    <s v="PIERCOFFEE BR SERVICES FACILITIES LTDA"/>
    <d v="2026-07-28T00:00:00"/>
    <n v="175998.65"/>
    <n v="15281.3"/>
    <n v="14227.45"/>
    <n v="14227.45"/>
    <n v="14227.45"/>
    <n v="14227.45"/>
    <n v="14227.45"/>
    <n v="14227.45"/>
    <n v="14227.45"/>
    <n v="15281.3"/>
    <n v="15281.3"/>
    <n v="15281.3"/>
    <n v="15281.3"/>
    <n v="15281.3"/>
  </r>
  <r>
    <x v="0"/>
    <s v="Contratos"/>
    <s v="Atividades"/>
    <n v="6074202200038580"/>
    <x v="0"/>
    <s v="34.10.14.122.3024.2.100.33903900.00.1.500.9001.0"/>
    <s v="ADM"/>
    <s v="144/SMDHC/2022"/>
    <s v="Limpeza e desinfecção de reservatório"/>
    <s v="ACJS - Saneamento e Controle Ambiental"/>
    <d v="2026-07-06T00:00:00"/>
    <n v="1705.28"/>
    <s v="R$                        -  "/>
    <n v="852.64"/>
    <s v="R$                        -  "/>
    <s v=" R$                        -  "/>
    <s v=" R$                        -  "/>
    <s v=" R$                        -  "/>
    <n v="852.64"/>
    <s v="R$                        -  "/>
    <s v=" R$                        -  "/>
    <s v=" R$                        -  "/>
    <s v=" R$                        -  "/>
    <s v=" R$                        -  "/>
    <s v=" R$                             -  "/>
  </r>
  <r>
    <x v="0"/>
    <s v="Contratos"/>
    <s v="Atividades"/>
    <n v="6074202200071840"/>
    <x v="0"/>
    <s v="34.10.14.122.3024.2.100.33903900.00.1.500.9001.0"/>
    <s v="ADM"/>
    <s v="212/SMDHC/2022"/>
    <s v="Prestação de serviços técnicos especializados para manutenção preventiva e corretiva de 03 elevadores - Sede SMDHC"/>
    <s v="SANTOS &amp; SILVA - COMÉRCIO E SERVIÇOS DE MANUTENÇÃO EM ELEVADORES LTDA"/>
    <d v="2025-10-23T00:00:00"/>
    <n v="26999.18"/>
    <n v="2446.34"/>
    <n v="2193.77"/>
    <n v="2193.77"/>
    <n v="2193.77"/>
    <n v="2193.77"/>
    <n v="2193.77"/>
    <n v="2193.77"/>
    <n v="2193.77"/>
    <n v="2193.77"/>
    <n v="2193.77"/>
    <n v="2362.5700000000002"/>
    <n v="2446.34"/>
    <n v="2446.34"/>
  </r>
  <r>
    <x v="0"/>
    <s v="Contratos"/>
    <s v="Atividades"/>
    <n v="6074202200079130"/>
    <x v="0"/>
    <s v="34.10.14.122.3024.2.100.33903900.00.1.500.9001.0"/>
    <s v="ADM"/>
    <s v="062/SMDHC/2023"/>
    <s v="Transporte por fretamento"/>
    <s v="Ação Transporte e Turismo"/>
    <d v="2026-03-12T00:00:00"/>
    <n v="418574.16"/>
    <n v="35299.47"/>
    <n v="32789.730000000003"/>
    <n v="32789.730000000003"/>
    <n v="35299.47"/>
    <n v="35299.47"/>
    <n v="35299.47"/>
    <n v="35299.47"/>
    <n v="35299.47"/>
    <n v="35299.47"/>
    <n v="35299.47"/>
    <n v="35299.47"/>
    <n v="35299.47"/>
    <n v="35299.47"/>
  </r>
  <r>
    <x v="0"/>
    <s v="Contratos"/>
    <s v="Atividades"/>
    <n v="6074202200079920"/>
    <x v="0"/>
    <s v="34.10.14.122.3024.2.100.33903900.00.1.500.9001.0"/>
    <s v="ADM"/>
    <s v="325/SMDHC/2022"/>
    <s v="Locação de Veículos Novos"/>
    <s v="LOCALIZA VEICULOS ESPECIAIS AS"/>
    <d v="2026-12-23T00:00:00"/>
    <n v="182275.44"/>
    <n v="16145.74"/>
    <n v="15102.7"/>
    <n v="15102.7"/>
    <n v="15102.7"/>
    <n v="15102.7"/>
    <n v="15102.7"/>
    <n v="15102.7"/>
    <n v="15102.7"/>
    <n v="15102.7"/>
    <n v="15102.7"/>
    <n v="15102.7"/>
    <n v="15102.7"/>
    <n v="16145.74"/>
  </r>
  <r>
    <x v="0"/>
    <s v="Contratos"/>
    <s v="Atividades"/>
    <n v="6074202300019210"/>
    <x v="0"/>
    <s v="34.10.14.122.3024.2.100.33903300.00.1.500.9001.0"/>
    <s v="ADM"/>
    <s v="065/SMDHC2023"/>
    <s v="Passagens Aéreas Nacionais"/>
    <s v="LNX TRAVEL VIAGENS E TURISMO EIRELI"/>
    <d v="2026-03-27T00:00:00"/>
    <n v="100000"/>
    <n v="8333.33"/>
    <n v="8333.33"/>
    <n v="8333.33"/>
    <n v="8333.33"/>
    <n v="8333.33"/>
    <n v="8333.33"/>
    <n v="8333.33"/>
    <n v="8333.33"/>
    <n v="8333.33"/>
    <n v="8333.33"/>
    <n v="8333.33"/>
    <n v="8333.33"/>
    <n v="8333.3700000000008"/>
  </r>
  <r>
    <x v="0"/>
    <s v="Contratos"/>
    <s v="Atividades"/>
    <n v="6074202300020630"/>
    <x v="0"/>
    <s v="34.10.14.122.3024.2.100.33903900.00.1.500.9001.0"/>
    <s v="ADM"/>
    <s v="079/SMDHC/2023"/>
    <s v="Passagens aéreas"/>
    <s v="ORLEANS VIAGENS E TURISMO LTDA"/>
    <d v="2026-07-01T00:00:00"/>
    <n v="90000"/>
    <n v="7500"/>
    <n v="7500"/>
    <n v="7500"/>
    <n v="7500"/>
    <n v="7500"/>
    <n v="7500"/>
    <n v="7500"/>
    <n v="7500"/>
    <n v="7500"/>
    <n v="7500"/>
    <n v="7500"/>
    <n v="7500"/>
    <n v="7500"/>
  </r>
  <r>
    <x v="0"/>
    <s v="Contratos"/>
    <s v="Atividades"/>
    <n v="6074202300026080"/>
    <x v="0"/>
    <s v="34.10.14.122.3024.2.100.33903900.00.1.500.9001.0"/>
    <s v="ADM"/>
    <s v="152/SMDHC/2024"/>
    <s v="Locação de veículos - com motoristas - SMDHC"/>
    <s v="CS BRASIL TRANSPORTES DE PASSAGEIROS"/>
    <d v="2026-05-12T00:00:00"/>
    <n v="2928800"/>
    <n v="250000"/>
    <n v="232200"/>
    <n v="232200"/>
    <n v="232200"/>
    <n v="232200"/>
    <n v="250000"/>
    <n v="250000"/>
    <n v="250000"/>
    <n v="250000"/>
    <n v="250000"/>
    <n v="250000"/>
    <n v="250000"/>
    <n v="250000"/>
  </r>
  <r>
    <x v="0"/>
    <s v="Contratos"/>
    <s v="Atividades"/>
    <n v="6074202300027630"/>
    <x v="0"/>
    <s v="34.10.14.122.3024.2.100.33903900.00.1.500.9001.0"/>
    <s v="ADM"/>
    <s v="314/SMDHC/2023"/>
    <s v="Serviços de Controle de Acesso Sede"/>
    <s v="PAINEIRAS LIMPEZA E SERVICOS GERAIS LTDA"/>
    <d v="2026-10-22T00:00:00"/>
    <n v="455716.5"/>
    <n v="49189.05"/>
    <n v="37533.839999999997"/>
    <n v="37533.839999999997"/>
    <n v="37533.839999999997"/>
    <n v="37533.839999999997"/>
    <n v="37533.839999999997"/>
    <n v="37533.839999999997"/>
    <n v="37533.839999999997"/>
    <n v="37533.839999999997"/>
    <n v="37533.839999999997"/>
    <n v="37533.839999999997"/>
    <n v="40189.050000000003"/>
    <n v="40189.050000000003"/>
  </r>
  <r>
    <x v="0"/>
    <s v="Contratos"/>
    <s v="Atividades"/>
    <n v="6074202300065530"/>
    <x v="0"/>
    <s v="34.10.14.122.3024.2.100.33903900.00.1.500.9001.0"/>
    <s v="ADM"/>
    <s v="261/SMDHC/2024"/>
    <s v="Prestação de Serviços de Limpeza - SMDHC (Edif. São Joaquim e Patriarca)"/>
    <s v="UNISERV TERCEIRIZACAO E SERVICOS LTDA"/>
    <d v="2026-09-16T00:00:00"/>
    <n v="1304861.3999999999"/>
    <n v="108738.45"/>
    <n v="108738.45"/>
    <n v="108738.45"/>
    <n v="108738.45"/>
    <n v="108738.45"/>
    <n v="108738.45"/>
    <n v="108738.45"/>
    <n v="108738.45"/>
    <n v="108738.45"/>
    <n v="108738.45"/>
    <n v="108738.45"/>
    <n v="108738.45"/>
    <n v="108738.45"/>
  </r>
  <r>
    <x v="0"/>
    <s v="Contratos"/>
    <s v="Atividades"/>
    <n v="6074202300072300"/>
    <x v="0"/>
    <s v="34.10.14.122.3024.2.100.33903900.00.1.500.9001.0"/>
    <s v="ADM"/>
    <s v="325/SMDHC/2023"/>
    <s v="Locação Purificadores - Sede"/>
    <s v="Brazon Maxfilter Industria e Locação"/>
    <d v="2026-09-30T00:00:00"/>
    <n v="8255.8799999999992"/>
    <n v="724.47"/>
    <n v="675.83"/>
    <n v="675.83"/>
    <n v="675.83"/>
    <n v="675.83"/>
    <n v="675.83"/>
    <n v="675.83"/>
    <n v="675.83"/>
    <n v="675.83"/>
    <n v="675.83"/>
    <n v="724.47"/>
    <n v="724.47"/>
    <n v="724.47"/>
  </r>
  <r>
    <x v="0"/>
    <s v="Contratos"/>
    <s v="Atividades"/>
    <n v="6074202400004070"/>
    <x v="0"/>
    <s v="34.10.14.122.3024.2.100.33903900.00.1.500.9001.0"/>
    <s v="ADM"/>
    <s v="079/SMDHC/2024"/>
    <s v="Assistência técnica e manutenção preventiva e corretiva para bombas"/>
    <s v="ANA PAULA FLORENCIO DA SILVA"/>
    <d v="2026-03-13T00:00:00"/>
    <n v="36000"/>
    <n v="3000"/>
    <n v="3000"/>
    <n v="3000"/>
    <n v="3000"/>
    <n v="3000"/>
    <n v="3000"/>
    <n v="3000"/>
    <n v="3000"/>
    <n v="3000"/>
    <n v="3000"/>
    <n v="3000"/>
    <n v="3000"/>
    <n v="3000"/>
  </r>
  <r>
    <x v="0"/>
    <s v="Contratos"/>
    <s v="Atividades"/>
    <n v="6074202400020500"/>
    <x v="0"/>
    <s v="34.10.14.122.3024.2.100.33903900.00.1.500.9001.0"/>
    <s v="ADM"/>
    <s v="438/SMDHC/2024"/>
    <s v="Serviços de Telefonia "/>
    <s v="OPERADORA JRC TELECOMUNICACOES LTDA"/>
    <d v="2026-02-02T00:00:00"/>
    <n v="42750"/>
    <n v="3562.5"/>
    <n v="3562.5"/>
    <n v="3562.5"/>
    <n v="3562.5"/>
    <n v="3562.5"/>
    <n v="3562.5"/>
    <n v="3562.5"/>
    <n v="3562.5"/>
    <n v="3562.5"/>
    <n v="3562.5"/>
    <n v="3562.5"/>
    <n v="3562.5"/>
    <n v="3562.5"/>
  </r>
  <r>
    <x v="0"/>
    <s v="Contratos"/>
    <s v="Atividades"/>
    <n v="6074202400026080"/>
    <x v="0"/>
    <s v="34.10.14.122.3024.2.100.33903900.00.1.500.9001.0"/>
    <s v="ADM"/>
    <s v="437/SMDHC/2024"/>
    <s v="Serviços de PABX"/>
    <s v="TECHNOLOGY S/AINFRAESTRUTURA TELECOM"/>
    <m/>
    <n v="36580.879999999997"/>
    <n v="3058.6"/>
    <n v="3303.29"/>
    <n v="3303.29"/>
    <n v="3303.29"/>
    <n v="3303.29"/>
    <n v="3303.29"/>
    <n v="3303.29"/>
    <n v="3303.29"/>
    <n v="3303.29"/>
    <n v="3303.29"/>
    <n v="3303.29"/>
    <n v="3303.29"/>
    <n v="3547.98"/>
  </r>
  <r>
    <x v="0"/>
    <s v="Contratos"/>
    <s v="Atividades"/>
    <n v="6074202400039430"/>
    <x v="0"/>
    <s v=" 34.10.14.243.3013.2157.3.3.90.39.00.00.1.500.9001.0"/>
    <s v="ADM"/>
    <s v="259/SMDHC2024"/>
    <s v="Prestação de Serviços, sob demanda, de empresa especializada para elaboração de laudo de avaliação de locação de imóveis"/>
    <s v="MINERVA ENGENHARIA LTDA"/>
    <d v="2026-08-25T00:00:00"/>
    <n v="60000"/>
    <n v="5000"/>
    <n v="5000"/>
    <n v="5000"/>
    <n v="5000"/>
    <n v="5000"/>
    <n v="5000"/>
    <n v="5000"/>
    <n v="5000"/>
    <n v="5000"/>
    <n v="5000"/>
    <n v="5000"/>
    <n v="5000"/>
    <n v="5000"/>
  </r>
  <r>
    <x v="0"/>
    <s v="Contratos"/>
    <s v="Atividades"/>
    <n v="6074202400061680"/>
    <x v="0"/>
    <s v="34.10.14.122.3024.2.100.33903900.00.1.500.9001.0"/>
    <s v="ADM"/>
    <s v="345/SMDHC/2024"/>
    <s v="Serviços contínuos de copeiragem"/>
    <s v="IMPACTO SOLUCOES OPERACIONAIS LTDA"/>
    <d v="2026-11-24T00:00:00"/>
    <n v="95380.12"/>
    <n v="8471.26"/>
    <n v="7843.76"/>
    <n v="7843.76"/>
    <n v="7843.76"/>
    <n v="7843.76"/>
    <n v="7843.76"/>
    <n v="7843.76"/>
    <n v="7843.76"/>
    <n v="7843.76"/>
    <n v="7843.76"/>
    <n v="7843.76"/>
    <n v="8471.26"/>
    <n v="8471.26"/>
  </r>
  <r>
    <x v="0"/>
    <s v="Contratos"/>
    <s v="Atividades"/>
    <n v="6074202400065410"/>
    <x v="0"/>
    <s v="34.10.14.122.3024.2.100.33903900.00.1.500.9001.0"/>
    <s v="ADM"/>
    <s v="336/SMDHC/2024"/>
    <s v="Serviços de Controle de Pragas Urbanas e Vetores (Sede e Antenas)"/>
    <s v="SAKURA DEDETIZADORA LTDA"/>
    <d v="2026-12-03T00:00:00"/>
    <n v="1240"/>
    <s v="R$                        -  "/>
    <n v="580"/>
    <s v="R$                        -  "/>
    <s v=" R$                        -  "/>
    <s v=" R$                        -  "/>
    <s v=" R$                        -  "/>
    <s v=" R$                        -  "/>
    <s v=" R$                        -  "/>
    <s v=" R$                        -  "/>
    <s v=" R$                        -  "/>
    <n v="660"/>
    <s v="R$                        -  "/>
    <s v=" R$                             -  "/>
  </r>
  <r>
    <x v="1"/>
    <m/>
    <m/>
    <m/>
    <x v="1"/>
    <m/>
    <m/>
    <m/>
    <s v="Desinsetização, Desratização e Descupinização - Sede e Edif. Patriarca."/>
    <m/>
    <m/>
    <m/>
    <m/>
    <m/>
    <m/>
    <m/>
    <m/>
    <m/>
    <m/>
    <m/>
    <m/>
    <m/>
    <m/>
    <m/>
    <m/>
  </r>
  <r>
    <x v="0"/>
    <s v="Contratos"/>
    <s v="Atividades"/>
    <n v="6074202400089380"/>
    <x v="0"/>
    <s v="34.10.14.122.3024.2.100.33903900.00.1.500.9001.0"/>
    <s v="ADM"/>
    <s v="028/SMDHC/2025"/>
    <s v="Assistência técnica e manutenção preventiva e corretiva para bombas hidráulicas e suas respectivas tubulações"/>
    <s v="KATEL COMÉRCIO E ASSESSORIA EM TELEFONIA LTDA"/>
    <d v="2026-03-13T00:00:00"/>
    <n v="111996"/>
    <n v="9333"/>
    <n v="9333"/>
    <n v="9333"/>
    <n v="9333"/>
    <n v="9333"/>
    <n v="9333"/>
    <n v="9333"/>
    <n v="9333"/>
    <n v="9333"/>
    <n v="9333"/>
    <n v="9333"/>
    <n v="9333"/>
    <n v="9333"/>
  </r>
  <r>
    <x v="0"/>
    <s v="Contratos"/>
    <s v="Atividades"/>
    <n v="6074202400099120"/>
    <x v="0"/>
    <s v="34.10.14.122.3024.2.100.33903900.00.1.500.9001.0"/>
    <s v="ADM"/>
    <s v="NE"/>
    <s v="Água e Esgoto - SEDE e Ouvidoria"/>
    <s v="SABESP"/>
    <d v="2026-12-31T00:00:00"/>
    <n v="204000"/>
    <n v="17000"/>
    <n v="17000"/>
    <n v="17000"/>
    <n v="17000"/>
    <n v="17000"/>
    <n v="17000"/>
    <n v="17000"/>
    <n v="17000"/>
    <n v="17000"/>
    <n v="17000"/>
    <n v="17000"/>
    <n v="17000"/>
    <n v="17000"/>
  </r>
  <r>
    <x v="0"/>
    <s v="Contratos"/>
    <s v="Atividades"/>
    <n v="6074202400099130"/>
    <x v="0"/>
    <s v="34.10.14.122.3024.2.100.33903900.00.1.500.9001.0"/>
    <s v="ADM"/>
    <s v="NE"/>
    <s v="Fornecimento de Gás Canalisado"/>
    <s v="COMGÁS"/>
    <d v="2026-12-31T00:00:00"/>
    <n v="7200"/>
    <n v="600"/>
    <n v="600"/>
    <n v="600"/>
    <n v="600"/>
    <n v="600"/>
    <n v="600"/>
    <n v="600"/>
    <n v="600"/>
    <n v="600"/>
    <n v="600"/>
    <n v="600"/>
    <n v="600"/>
    <n v="600"/>
  </r>
  <r>
    <x v="0"/>
    <s v="Contratos"/>
    <s v="Atividades"/>
    <n v="6074202400099150"/>
    <x v="0"/>
    <s v="34.10.14.122.3024.2.100.33903900.00.1.500.9001.0"/>
    <s v="ADM"/>
    <s v="NE"/>
    <s v="Energia elétrica - Sede e Ouvidoria"/>
    <s v="ENEL"/>
    <d v="2026-12-31T00:00:00"/>
    <n v="240000"/>
    <n v="20000"/>
    <n v="20000"/>
    <n v="20000"/>
    <n v="20000"/>
    <n v="20000"/>
    <n v="20000"/>
    <n v="20000"/>
    <n v="20000"/>
    <n v="20000"/>
    <n v="20000"/>
    <n v="20000"/>
    <n v="20000"/>
    <n v="20000"/>
  </r>
  <r>
    <x v="0"/>
    <s v="Contratos"/>
    <s v="Atividades"/>
    <n v="6074202500001940"/>
    <x v="0"/>
    <s v="34.10.14.122.3024.2.100.33903000.00.1.500.9001.0"/>
    <s v="ADM"/>
    <s v="006/SMDHC/2025"/>
    <s v="Aquisição de Carimbos"/>
    <s v="D S A CHAVES LTDA"/>
    <d v="2026-12-31T00:00:00"/>
    <n v="7500"/>
    <m/>
    <m/>
    <n v="7500"/>
    <m/>
    <m/>
    <m/>
    <m/>
    <m/>
    <m/>
    <m/>
    <m/>
    <m/>
    <m/>
  </r>
  <r>
    <x v="0"/>
    <s v="Contratos"/>
    <s v="Atividades"/>
    <n v="6074202500012870"/>
    <x v="0"/>
    <s v="34.10.14.122.3024.2.100.33903900.00.1.500.9001.0"/>
    <s v="ADM"/>
    <m/>
    <s v="Licença de acesso ao sistema de pesquisa e comparação de preços praticados pela Administração Pública, denominada BANCO DE PREÇOSL"/>
    <s v="NP TECNOLOGIA E GESTÃO DE DADOS LTDA"/>
    <m/>
    <n v="15000"/>
    <m/>
    <m/>
    <m/>
    <n v="15000"/>
    <m/>
    <m/>
    <m/>
    <m/>
    <m/>
    <m/>
    <m/>
    <m/>
    <m/>
  </r>
  <r>
    <x v="0"/>
    <s v="Contratos"/>
    <s v="Atividades"/>
    <n v="6074202500013480"/>
    <x v="1"/>
    <s v="34.10.14.122.3024.2.100.33903700.00.1.500.9001.0"/>
    <s v="ADM"/>
    <s v="XX/SMDHC/2026"/>
    <s v="Serviço Integrado de Segurança"/>
    <s v="Novo Edital"/>
    <d v="2026-08-02T00:00:00"/>
    <n v="540504.6"/>
    <n v="45042.05"/>
    <n v="45042.05"/>
    <n v="45042.05"/>
    <n v="45042.05"/>
    <n v="45042.05"/>
    <n v="45042.05"/>
    <n v="45042.05"/>
    <n v="45042.05"/>
    <n v="45042.05"/>
    <n v="45042.05"/>
    <n v="45042.05"/>
    <n v="45042.05"/>
    <n v="45042.05"/>
  </r>
  <r>
    <x v="0"/>
    <s v="Contratos"/>
    <s v="Atividades"/>
    <n v="6074202500013490"/>
    <x v="1"/>
    <s v="34.10.14.122.3024.2.100.33903900.00.1.500.9001.0"/>
    <s v="ADM"/>
    <s v="xxx/SMDHC/2026"/>
    <s v="Manutenção nas unidades SMDHC e Demais Coordenações"/>
    <s v="xxxx"/>
    <s v="XX/XX/2026"/>
    <n v="1239383.04"/>
    <n v="103281.92"/>
    <n v="103281.92"/>
    <n v="103281.92"/>
    <n v="103281.92"/>
    <n v="103281.92"/>
    <n v="103281.92"/>
    <n v="103281.92"/>
    <n v="103281.92"/>
    <n v="103281.92"/>
    <n v="103281.92"/>
    <n v="103281.92"/>
    <n v="103281.92"/>
    <n v="103281.92"/>
  </r>
  <r>
    <x v="0"/>
    <s v="Contratos"/>
    <s v="Atividades"/>
    <n v="6074202500013490"/>
    <x v="1"/>
    <s v="34.10.14.122.3024.2.100.33903000.00.1.500.9001.0"/>
    <s v="ADM"/>
    <s v="xxx/SMDHC/2026"/>
    <s v="Reembolso de Materiais  nas unidades SMDHC e Demais Coordenações referente aos serviços de manutenção"/>
    <s v="xxxx"/>
    <s v="XX/XX/2026"/>
    <n v="309845.76000000001"/>
    <n v="25820.48"/>
    <n v="25820.48"/>
    <n v="25820.48"/>
    <n v="25820.48"/>
    <n v="25820.48"/>
    <n v="25820.48"/>
    <n v="25820.48"/>
    <n v="25820.48"/>
    <n v="25820.48"/>
    <n v="25820.48"/>
    <n v="25820.48"/>
    <n v="25820.48"/>
    <n v="25820.48"/>
  </r>
  <r>
    <x v="0"/>
    <s v="Contratos"/>
    <s v="Atividades"/>
    <n v="6074202500013490"/>
    <x v="1"/>
    <s v="34.10.14.122.3024.2.100.33903000.00.1.500.9001.0"/>
    <s v="ADM"/>
    <s v="xxx/SMDHC/2026"/>
    <s v="Prestação de serviços  de  motofrete para atender as Unidades de SMDHC"/>
    <s v="LANG SERVIÇOS LTDA"/>
    <s v="XX/XX/2026"/>
    <n v="113336"/>
    <n v="9444.67"/>
    <n v="9140"/>
    <n v="9140"/>
    <n v="9140"/>
    <n v="9140"/>
    <n v="9140"/>
    <n v="9140"/>
    <n v="9140"/>
    <n v="9871.2000000000007"/>
    <n v="9871.2000000000007"/>
    <n v="9871.2000000000007"/>
    <n v="9871.2000000000007"/>
    <n v="9871.2000000000007"/>
  </r>
  <r>
    <x v="0"/>
    <s v="Contratos"/>
    <s v="Atividades"/>
    <n v="6074202500046380"/>
    <x v="1"/>
    <s v="34.10.14.122.3024.2.100.33903900.00.1.500.9001.0"/>
    <s v="ADM"/>
    <s v="xxxx/SMDHC/2020"/>
    <s v="serviço de motofrete"/>
    <s v="Lang Serviços Ltda"/>
    <d v="2026-08-04T00:00:00"/>
    <n v="94649.52"/>
    <n v="9140"/>
    <n v="9140"/>
    <n v="9140"/>
    <n v="9140"/>
    <n v="9140"/>
    <n v="9140"/>
    <n v="9140"/>
    <n v="9140"/>
    <n v="9871.2000000000007"/>
    <n v="9871.2000000000007"/>
    <n v="9871.2000000000007"/>
    <n v="9871.2000000000007"/>
    <n v="9871.2000000000007"/>
  </r>
  <r>
    <x v="0"/>
    <s v="Contratos"/>
    <s v="Atividades"/>
    <n v="6074202500047180"/>
    <x v="1"/>
    <s v="34.10.14.122.3024.2.100.33903900.00.1.500.9001.0"/>
    <s v="ADM"/>
    <s v="xxx/SMDHC/2026"/>
    <s v="Prestação de serviços  de Taxi  para atender os Servidores  de SMDHC"/>
    <s v="xxxxxxxx"/>
    <s v="XX/XX/2026"/>
    <n v="113336"/>
    <n v="9444.67"/>
    <n v="9140"/>
    <n v="9140"/>
    <n v="9140"/>
    <n v="9140"/>
    <n v="9140"/>
    <n v="9140"/>
    <n v="9140"/>
    <n v="9871.2000000000007"/>
    <n v="9871.2000000000007"/>
    <n v="9871.2000000000007"/>
    <n v="9871.2000000000007"/>
    <n v="9871.2000000000007"/>
  </r>
  <r>
    <x v="0"/>
    <s v="Contratos"/>
    <s v="Atividades"/>
    <s v="60742026000xxxxx"/>
    <x v="1"/>
    <s v="34.10.14.122.3024.2.100.33903000.00.1.500.9001.0"/>
    <s v="ADM"/>
    <s v="xxx/SMDHC/2026"/>
    <s v="Aquisição de Materiais de Escritório  para atender as Unidades de SMDHC"/>
    <s v="xxxxxxxxx"/>
    <s v="XX/XX/2026"/>
    <n v="200000"/>
    <n v="200000"/>
    <m/>
    <n v="200000"/>
    <m/>
    <m/>
    <m/>
    <m/>
    <m/>
    <m/>
    <m/>
    <m/>
    <m/>
    <m/>
  </r>
  <r>
    <x v="0"/>
    <s v="Contratos"/>
    <s v="Atividades"/>
    <s v="60742026000xxxxx"/>
    <x v="1"/>
    <s v="34.10.14.122.3024.2.100.33903000.00.1.500.9001.0"/>
    <s v="ADM"/>
    <s v="xxx/SMDHC/2026"/>
    <s v="Aquisição de copos de papel 180ml, para atender as necessidades da SMDHC"/>
    <s v="xxxxxxxxx"/>
    <s v="XX/XX/2026"/>
    <n v="30000"/>
    <n v="65000"/>
    <m/>
    <n v="65000"/>
    <m/>
    <m/>
    <m/>
    <m/>
    <m/>
    <m/>
    <m/>
    <m/>
    <m/>
    <m/>
  </r>
  <r>
    <x v="0"/>
    <s v="Contratos"/>
    <s v="Atividades"/>
    <s v="60742026000xxxxx"/>
    <x v="1"/>
    <s v="34.10.14.122.3024.2.100.33903000.00.1.500.9001.0"/>
    <s v="ADM"/>
    <s v="xxx/SMDHC/2026"/>
    <s v="Aquisição de copos de café, para atender as necessidades da SMDHC"/>
    <s v="xxxxxxxxx"/>
    <s v="XX/XX/2026"/>
    <n v="30000"/>
    <n v="30000"/>
    <m/>
    <n v="30000"/>
    <m/>
    <m/>
    <m/>
    <m/>
    <m/>
    <m/>
    <m/>
    <m/>
    <m/>
    <m/>
  </r>
  <r>
    <x v="0"/>
    <s v="Contratos"/>
    <s v="Atividades"/>
    <s v="60742026000xxxxx"/>
    <x v="1"/>
    <s v="34.10.14.122.3024.2.100.33903000.00.1.500.9001.0"/>
    <s v="ADM"/>
    <s v="xxx/SMDHC/2026"/>
    <s v="Aquisição de copos de Lâmpadas, para atender as necessidades da SMDHC"/>
    <s v="xxxxxxxxx"/>
    <s v="XX/XX/2026"/>
    <n v="20000"/>
    <n v="20000"/>
    <m/>
    <n v="30000"/>
    <m/>
    <m/>
    <m/>
    <m/>
    <m/>
    <m/>
    <m/>
    <m/>
    <m/>
    <m/>
  </r>
  <r>
    <x v="0"/>
    <s v="Contratos"/>
    <s v="Atividades"/>
    <s v="60742026000xxxxx"/>
    <x v="1"/>
    <s v="34.10.14.122.3024.2.100.33903000.00.1.500.9001.0"/>
    <s v="ADM"/>
    <s v="xxx/SMDHC/2026"/>
    <s v="Aquisição de açucar, para atender as necessidades da SMDHC"/>
    <s v="xxxxxxxxx"/>
    <s v="XX/XX/2026"/>
    <n v="10000"/>
    <n v="10000"/>
    <m/>
    <m/>
    <m/>
    <m/>
    <m/>
    <m/>
    <m/>
    <m/>
    <m/>
    <m/>
    <m/>
    <m/>
  </r>
  <r>
    <x v="0"/>
    <s v="Contratos"/>
    <s v="Atividades"/>
    <s v="60742026000xxxxx"/>
    <x v="1"/>
    <s v="34.10.14.122.3024.2.100.33903000.00.1.500.9001.0"/>
    <s v="ADM"/>
    <s v="xxx/SMDHC/2026"/>
    <s v="Aquisção de Materiiais gráfico, protetor solar , boton, boné  etc"/>
    <s v="xxxxxxxxx"/>
    <s v="XX/XX/2026"/>
    <n v="100000"/>
    <n v="100000"/>
    <m/>
    <n v="30000"/>
    <m/>
    <m/>
    <n v="30000"/>
    <m/>
    <m/>
    <m/>
    <n v="40000"/>
    <m/>
    <m/>
    <m/>
  </r>
  <r>
    <x v="0"/>
    <s v="Contratos"/>
    <s v="Atividades"/>
    <s v="60742026000xxxxx"/>
    <x v="1"/>
    <s v="34.10.14.122.3024.2.100.33903000.00.1.500.9001.0"/>
    <s v="ADM"/>
    <s v="xxx/SMDHC/2026"/>
    <s v="Contratação de Empresa especializada em Manutenção de  Extintores para atender as necessidades da SMDHC"/>
    <s v="xxxxxxxxx"/>
    <s v="XX/XX/2026"/>
    <n v="10000"/>
    <n v="10000"/>
    <m/>
    <m/>
    <m/>
    <n v="10000"/>
    <m/>
    <m/>
    <m/>
    <m/>
    <m/>
    <m/>
    <m/>
    <m/>
  </r>
  <r>
    <x v="0"/>
    <s v="Contratos"/>
    <s v="Atividades"/>
    <s v="diárias"/>
    <x v="1"/>
    <s v="34.10.14.122.3024.2.100.33901400.00.1.500.9001.0"/>
    <s v="ADM"/>
    <s v="diárias"/>
    <s v="diárias"/>
    <s v="diárias"/>
    <d v="2026-12-31T00:00:00"/>
    <n v="252000"/>
    <n v="21000"/>
    <n v="21000"/>
    <n v="21000"/>
    <n v="21000"/>
    <n v="21000"/>
    <n v="21000"/>
    <n v="21000"/>
    <n v="21000"/>
    <n v="21000"/>
    <n v="21000"/>
    <n v="21000"/>
    <n v="21000"/>
    <n v="21000"/>
  </r>
  <r>
    <x v="0"/>
    <s v="Contratos"/>
    <s v="Atividades"/>
    <n v="6074202300008030"/>
    <x v="0"/>
    <s v="34.10.14.422.3013.2.053.33903900.00.1.500.9001.0"/>
    <s v="CMB"/>
    <s v="172/SMDHC/2023"/>
    <s v="Manutenção de Ar Condicionado - CMB"/>
    <s v="CLIMATECNICA AR CONDICIONADO COMERCIO E SERVICOS LTDA"/>
    <d v="2026-08-15T00:00:00"/>
    <n v="319964.28000000003"/>
    <n v="26663.69"/>
    <n v="26663.69"/>
    <n v="26663.69"/>
    <n v="26663.69"/>
    <n v="26663.69"/>
    <n v="26663.69"/>
    <n v="28691.94"/>
    <n v="28691.94"/>
    <n v="32310.92"/>
    <n v="32310.92"/>
    <n v="32310.92"/>
    <n v="32310.92"/>
    <n v="32310.92"/>
  </r>
  <r>
    <x v="0"/>
    <s v="Contratos"/>
    <s v="Atividades"/>
    <n v="6074201800009400"/>
    <x v="0"/>
    <s v="34.10.14.422.3013.2.053.33903900.00.1.500.9001.0"/>
    <s v="CMB"/>
    <s v="027/SMDHC/2019"/>
    <s v="Operação de telefonia fixa - PABX"/>
    <s v="Telefel Telecomunicxações"/>
    <d v="2026-02-13T00:00:00"/>
    <n v="15254.96"/>
    <n v="1278.25"/>
    <n v="1194.21"/>
    <n v="1278.25"/>
    <n v="1278.25"/>
    <n v="1278.25"/>
    <n v="1278.25"/>
    <n v="1278.25"/>
    <n v="1278.25"/>
    <n v="1278.25"/>
    <n v="1278.25"/>
    <n v="1278.25"/>
    <n v="1278.25"/>
    <n v="1278.25"/>
  </r>
  <r>
    <x v="0"/>
    <s v="Contratos"/>
    <s v="Atividades"/>
    <n v="6074202000023030"/>
    <x v="0"/>
    <s v="34.10.14.422.3013.2.053.33903900.00.1.500.9001.0"/>
    <s v="CMB"/>
    <s v="044/SMDHC/2020"/>
    <s v="Copeiragem e Garçonaria"/>
    <s v="Ruby Services Terceirização"/>
    <d v="2026-09-09T00:00:00"/>
    <n v="256216.44"/>
    <n v="22180.41"/>
    <n v="20936.849999999999"/>
    <n v="20936.849999999999"/>
    <n v="20936.849999999999"/>
    <n v="20936.849999999999"/>
    <n v="20936.849999999999"/>
    <n v="20936.849999999999"/>
    <n v="20936.849999999999"/>
    <n v="20936.849999999999"/>
    <n v="22180.41"/>
    <n v="22180.41"/>
    <n v="22180.41"/>
    <n v="22180.41"/>
  </r>
  <r>
    <x v="0"/>
    <s v="Contratos"/>
    <s v="Atividades"/>
    <n v="6074202000029570"/>
    <x v="0"/>
    <s v="34.10.14.422.3013.2.053.33903900.00.1.500.9001.0"/>
    <s v="CMB"/>
    <s v="051/SMDHC/2020"/>
    <s v="Tecnologia de Informação"/>
    <s v="MFC Consultoria e Assessoria"/>
    <d v="2026-10-01T00:00:00"/>
    <n v="211664.52"/>
    <n v="18418.71"/>
    <n v="17378.71"/>
    <n v="17378.71"/>
    <n v="17378.71"/>
    <n v="17378.71"/>
    <n v="17378.71"/>
    <n v="17378.71"/>
    <n v="17378.71"/>
    <n v="17378.71"/>
    <n v="17378.71"/>
    <n v="18418.71"/>
    <n v="18418.71"/>
    <n v="18418.71"/>
  </r>
  <r>
    <x v="0"/>
    <s v="Contratos"/>
    <s v="Atividades"/>
    <n v="6074202000030460"/>
    <x v="0"/>
    <s v="34.10.14.422.3013.2.053.33903900.00.1.500.9001.0"/>
    <s v="CMB"/>
    <s v="037/SMDHC/2020"/>
    <s v="Telefonia Fixa - CMB"/>
    <s v="TELEFONICA BRASIL SA"/>
    <d v="2026-08-13T00:00:00"/>
    <n v="11414.4"/>
    <n v="1582.88"/>
    <n v="500"/>
    <n v="500"/>
    <n v="500"/>
    <n v="500"/>
    <n v="500"/>
    <n v="500"/>
    <n v="500"/>
    <n v="1582.88"/>
    <n v="1582.88"/>
    <n v="1582.88"/>
    <n v="1582.88"/>
    <n v="1582.88"/>
  </r>
  <r>
    <x v="0"/>
    <s v="Contratos"/>
    <s v="Atividades"/>
    <n v="6074202300013730"/>
    <x v="0"/>
    <s v="34.10.14.422.3013.2.053.33903900.00.1.500.9001.0"/>
    <s v="CMB"/>
    <s v="067/SMDHC/2023"/>
    <s v="Limpeza e desinfecção de reservatório - CMB"/>
    <s v="ACJS - Saneamento e Controle Ambiental"/>
    <d v="2026-05-07T00:00:00"/>
    <n v="691.2"/>
    <s v="R$                        -  "/>
    <m/>
    <n v="345.6"/>
    <s v="R$                        -  "/>
    <s v=" R$                        -  "/>
    <s v=" R$                        -  "/>
    <s v=" R$                        -  "/>
    <n v="691.2"/>
    <s v="R$                        -  "/>
    <s v=" R$                        -  "/>
    <s v=" R$                        -  "/>
    <s v=" R$                        -  "/>
    <s v=" R$                             -  "/>
  </r>
  <r>
    <x v="0"/>
    <s v="Contratos"/>
    <s v="Atividades"/>
    <n v="6074202300066920"/>
    <x v="0"/>
    <s v="34.10.14.422.3013.2.053.33903700.00.1.500.9001.0"/>
    <s v="CMB"/>
    <s v="067/SMDHC/2025"/>
    <s v="Serviços de Vigilância e Segurança Patrimonial"/>
    <s v="ILRAM SEGURANÇA E VIGILANCIA LTDA"/>
    <m/>
    <n v="1083009.8400000001"/>
    <n v="95753.919999999998"/>
    <n v="89150.2"/>
    <n v="89150.2"/>
    <n v="89150.2"/>
    <n v="89150.2"/>
    <n v="89150.2"/>
    <n v="89150.2"/>
    <n v="89150.2"/>
    <n v="89150.2"/>
    <n v="89150.2"/>
    <n v="89150.2"/>
    <n v="95753.919999999998"/>
    <n v="95753.919999999998"/>
  </r>
  <r>
    <x v="0"/>
    <s v="Contratos"/>
    <s v="Atividades"/>
    <n v="6074202400020500"/>
    <x v="0"/>
    <s v="34.10.14.422.3013.2.053.33903900.00.1.500.9001.0"/>
    <s v="CMB"/>
    <s v="438/SMDHC/2024"/>
    <s v="Serviços de Telefonia "/>
    <s v="OPERADORA JRC TELECOMUNICACOES LTDA"/>
    <d v="2026-02-02T00:00:00"/>
    <n v="21375"/>
    <n v="1781.25"/>
    <n v="1781.25"/>
    <n v="1781.25"/>
    <n v="1781.25"/>
    <n v="1781.25"/>
    <n v="1781.25"/>
    <n v="1781.25"/>
    <n v="1781.25"/>
    <n v="1781.25"/>
    <n v="1781.25"/>
    <n v="1781.25"/>
    <n v="1781.25"/>
    <n v="1781.25"/>
  </r>
  <r>
    <x v="0"/>
    <s v="Contratos"/>
    <s v="Atividades"/>
    <n v="6074202400026080"/>
    <x v="0"/>
    <s v="34.10.14.422.3013.2.053.33903900.00.1.500.9001.0"/>
    <s v="CMB"/>
    <s v="437/SMDHC/2024"/>
    <s v="Serviços de PABX"/>
    <s v="TECHNOLOGY S/AINFRAESTRUTURA TELECOM"/>
    <d v="2026-12-11T00:00:00"/>
    <n v="12471.43"/>
    <n v="1109.42"/>
    <n v="1032.9100000000001"/>
    <n v="1032.9100000000001"/>
    <n v="1032.9100000000001"/>
    <n v="1032.9100000000001"/>
    <n v="1032.9100000000001"/>
    <n v="1032.9100000000001"/>
    <n v="1032.9100000000001"/>
    <n v="1032.9100000000001"/>
    <n v="1032.9100000000001"/>
    <n v="1032.9100000000001"/>
    <n v="1032.9100000000001"/>
    <n v="1109.42"/>
  </r>
  <r>
    <x v="0"/>
    <s v="Contratos"/>
    <s v="Atividades"/>
    <n v="6074202400056480"/>
    <x v="0"/>
    <s v="34.10.14.422.3013.2.053.33903900.00.1.500.9001.0"/>
    <s v="CMB"/>
    <s v="439/SMDHC/2024"/>
    <s v="Prestação de Serviços de Transporte"/>
    <s v="JK TRANSPORTES LOCACOES E SERVICOS"/>
    <d v="2026-12-11T00:00:00"/>
    <n v="1486890"/>
    <n v="132570"/>
    <n v="123120"/>
    <n v="123120"/>
    <n v="123120"/>
    <n v="123120"/>
    <n v="123120"/>
    <n v="123120"/>
    <n v="123120"/>
    <n v="123120"/>
    <n v="123120"/>
    <n v="123120"/>
    <n v="123120"/>
    <n v="132570"/>
  </r>
  <r>
    <x v="0"/>
    <s v="Contratos"/>
    <s v="Atividades"/>
    <n v="6074202400073430"/>
    <x v="0"/>
    <s v="34.10.14.422.3013.2.053.33903900.00.1.500.9001.0"/>
    <s v="CMB"/>
    <s v="337/SMDHC/2024"/>
    <s v="Serviços de Limpeza - CMB"/>
    <s v="CLEAN4 SERVICOS GERAIS E ADMINISTRATIVOS EIRELI"/>
    <d v="2026-12-01T00:00:00"/>
    <n v="564797.17000000004"/>
    <n v="50242.69"/>
    <n v="46777.68"/>
    <n v="46777.68"/>
    <n v="46777.68"/>
    <n v="46777.68"/>
    <n v="46777.68"/>
    <n v="46777.68"/>
    <n v="46777.68"/>
    <n v="46777.68"/>
    <n v="46777.68"/>
    <n v="46777.68"/>
    <n v="46777.68"/>
    <n v="50242.69"/>
  </r>
  <r>
    <x v="0"/>
    <s v="Contratos"/>
    <s v="Atividades"/>
    <n v="6074202500009730"/>
    <x v="0"/>
    <s v="34.10.14.422.3013.2.053.33903900.00.1.500.9001.0"/>
    <s v="CMB"/>
    <s v="NE"/>
    <s v="Água e Esgoto - CMB"/>
    <s v="SABESP"/>
    <d v="2026-12-31T00:00:00"/>
    <n v="360000"/>
    <n v="30000"/>
    <n v="30000"/>
    <n v="30000"/>
    <n v="30000"/>
    <n v="30000"/>
    <n v="30000"/>
    <n v="30000"/>
    <n v="30000"/>
    <n v="30000"/>
    <n v="30000"/>
    <n v="30000"/>
    <n v="30000"/>
    <n v="30000"/>
  </r>
  <r>
    <x v="0"/>
    <s v="Contratos"/>
    <s v="Atividades"/>
    <n v="6074202500013490"/>
    <x v="1"/>
    <s v="34.10.14.422.3013.2.053.33903900.00.1.500.9001.0"/>
    <s v="CMB"/>
    <s v="xxx/SMDHC/2026"/>
    <s v="Serviços de Manutenção "/>
    <s v="xxxx"/>
    <s v="XX/XX/2026"/>
    <n v="425464.8"/>
    <n v="35455.4"/>
    <n v="35455.4"/>
    <n v="35455.4"/>
    <n v="35455.4"/>
    <n v="35455.4"/>
    <n v="35455.4"/>
    <n v="35455.4"/>
    <n v="35455.4"/>
    <n v="35455.4"/>
    <n v="35455.4"/>
    <n v="35455.4"/>
    <n v="35455.4"/>
    <n v="35455.4"/>
  </r>
  <r>
    <x v="0"/>
    <s v="Contratos"/>
    <s v="Atividades"/>
    <n v="6074202500013490"/>
    <x v="1"/>
    <s v="34.10.14.422.3013.2.053.33903000.00.1.500.9001.0"/>
    <s v="CMB"/>
    <s v="xxx/SMDHC/2026"/>
    <s v="Serviços de Manutenção - Materiais"/>
    <s v="xxxx"/>
    <s v="XX/XX/2026"/>
    <n v="106366.2"/>
    <n v="8863.85"/>
    <n v="8863.85"/>
    <n v="8863.85"/>
    <n v="8863.85"/>
    <n v="8863.85"/>
    <n v="8863.85"/>
    <n v="8863.85"/>
    <n v="8863.85"/>
    <n v="8863.85"/>
    <n v="8863.85"/>
    <n v="8863.85"/>
    <n v="8863.85"/>
    <n v="8863.85"/>
  </r>
  <r>
    <x v="0"/>
    <s v="Contratos"/>
    <s v="Atividades"/>
    <n v="6074202500014380"/>
    <x v="0"/>
    <s v="34.10.14.422.3013.2.053.33903900.00.1.500.9001.0"/>
    <s v="CMB"/>
    <s v="NE"/>
    <s v="Energia elétrica - CMB"/>
    <s v="ENEL"/>
    <d v="2026-12-31T00:00:00"/>
    <n v="240000"/>
    <n v="20000"/>
    <n v="20000"/>
    <n v="20000"/>
    <n v="20000"/>
    <n v="20000"/>
    <n v="20000"/>
    <n v="20000"/>
    <n v="20000"/>
    <n v="20000"/>
    <n v="20000"/>
    <n v="20000"/>
    <n v="20000"/>
    <n v="20000"/>
  </r>
  <r>
    <x v="0"/>
    <s v="Contratos"/>
    <s v="Atividades"/>
    <n v="6074202500021280"/>
    <x v="0"/>
    <s v="34.10.14.422.3013.2.053.33903900.00.1.500.9001.0"/>
    <s v="CMB"/>
    <s v="066/SMDHC/2025"/>
    <s v="Serviços de Controle de Pragas"/>
    <s v="VERA CRUZ DEDETIZADORA "/>
    <d v="2026-05-26T00:00:00"/>
    <n v="1498.5"/>
    <n v="1498.5"/>
    <m/>
    <m/>
    <m/>
    <m/>
    <n v="749.25"/>
    <m/>
    <m/>
    <m/>
    <m/>
    <m/>
    <m/>
    <n v="749.25"/>
  </r>
  <r>
    <x v="0"/>
    <s v="Contratos"/>
    <s v="Atividades"/>
    <n v="6074202500025000"/>
    <x v="0"/>
    <s v="34.10.14.422.3013.2.053.33903000.00.1.500.9001.0"/>
    <s v="CMB"/>
    <s v="072/SMDHC/2025"/>
    <s v="Fornecimento de Gás"/>
    <s v="AMA COMERCIO E SERVICOS"/>
    <d v="2026-12-31T00:00:00"/>
    <n v="11336"/>
    <m/>
    <m/>
    <m/>
    <m/>
    <m/>
    <m/>
    <m/>
    <m/>
    <m/>
    <m/>
    <m/>
    <m/>
    <n v="11336"/>
  </r>
  <r>
    <x v="0"/>
    <s v="Contratos"/>
    <s v="Atividades"/>
    <s v="60742026000XXXXX"/>
    <x v="1"/>
    <s v="34.10.14.422.3013.2.053.33903000.00.1.500.9001.0"/>
    <s v="CMB"/>
    <s v="xxx/SMDHC/2026"/>
    <s v="Aquisição de Materiais de Consumo"/>
    <s v="xxxx"/>
    <s v="XX/XX/2026"/>
    <n v="200000"/>
    <n v="0"/>
    <m/>
    <n v="100000"/>
    <m/>
    <m/>
    <m/>
    <n v="100000"/>
    <m/>
    <m/>
    <m/>
    <m/>
    <m/>
    <m/>
  </r>
  <r>
    <x v="0"/>
    <s v="Contratos"/>
    <s v="Atividades"/>
    <n v="6074202500006200"/>
    <x v="0"/>
    <s v="34.10.08.243.3013.4.328.33904800.00.1.500.9001.0"/>
    <s v="CPCA"/>
    <s v="NE"/>
    <s v="Auxílio Ampara"/>
    <s v="Diversos Beneficiárias"/>
    <d v="2026-12-31T00:00:00"/>
    <n v="9600000"/>
    <n v="800000"/>
    <n v="800000"/>
    <n v="800000"/>
    <n v="800000"/>
    <n v="800000"/>
    <n v="800000"/>
    <n v="800000"/>
    <n v="800000"/>
    <n v="800000"/>
    <n v="800000"/>
    <n v="800000"/>
    <n v="800000"/>
    <n v="800000"/>
  </r>
  <r>
    <x v="0"/>
    <s v="Contratos"/>
    <s v="Atividades"/>
    <s v="607420260000XXXX"/>
    <x v="1"/>
    <s v="34.10.08.243.3013.4.328.33903000.00.1.500.9001.0"/>
    <s v="CPCA"/>
    <s v="XXXXX"/>
    <s v="Cartilhas ECA"/>
    <s v="XXXXXX"/>
    <d v="2026-12-31T00:00:00"/>
    <n v="200000"/>
    <n v="200000"/>
    <m/>
    <m/>
    <m/>
    <n v="200000"/>
    <m/>
    <m/>
    <m/>
    <m/>
    <m/>
    <m/>
    <m/>
    <m/>
  </r>
  <r>
    <x v="0"/>
    <s v="Contratos"/>
    <s v="Atividades"/>
    <n v="6074202200022450"/>
    <x v="0"/>
    <s v="34.10.14.422.3018.4.333.33903900.00.1.500.9001.0"/>
    <s v="CPESDH"/>
    <s v="066/SMDHC/2023"/>
    <s v="Serviços de Telefonia"/>
    <s v="TELEFONICA BRASIL SA"/>
    <d v="2026-04-26T00:00:00"/>
    <n v="1200"/>
    <n v="100"/>
    <n v="100"/>
    <n v="100"/>
    <n v="100"/>
    <n v="100"/>
    <n v="100"/>
    <n v="100"/>
    <n v="100"/>
    <n v="100"/>
    <n v="100"/>
    <n v="100"/>
    <n v="100"/>
    <n v="100"/>
  </r>
  <r>
    <x v="0"/>
    <s v="Contratos"/>
    <s v="Atividades"/>
    <n v="6074202200022450"/>
    <x v="0"/>
    <s v="34.10.14.422.3018.4.333.33903900.00.1.500.9001.0"/>
    <s v="CPESDH"/>
    <s v="NE"/>
    <s v="Fornecimento de Gás Canalisado"/>
    <s v="COMGÁS"/>
    <d v="2026-12-31T00:00:00"/>
    <n v="24000"/>
    <n v="2000"/>
    <n v="2000"/>
    <n v="2000"/>
    <n v="2000"/>
    <n v="2000"/>
    <n v="2000"/>
    <n v="2000"/>
    <n v="2000"/>
    <n v="2000"/>
    <n v="2000"/>
    <n v="2000"/>
    <n v="2000"/>
    <n v="2000"/>
  </r>
  <r>
    <x v="0"/>
    <s v="Contratos"/>
    <s v="Atividades"/>
    <n v="6074202200022450"/>
    <x v="0"/>
    <s v="34.10.14.422.3018.4.333.33903900.00.1.500.9001.0"/>
    <s v="CPESDH"/>
    <s v="NE"/>
    <s v="Energia elétrica - Centro Público"/>
    <s v="ENEL"/>
    <d v="2026-12-31T00:00:00"/>
    <n v="84000"/>
    <n v="7000"/>
    <n v="7000"/>
    <n v="7000"/>
    <n v="7000"/>
    <n v="7000"/>
    <n v="7000"/>
    <n v="7000"/>
    <n v="7000"/>
    <n v="7000"/>
    <n v="7000"/>
    <n v="7000"/>
    <n v="7000"/>
    <n v="7000"/>
  </r>
  <r>
    <x v="0"/>
    <s v="Contratos"/>
    <s v="Atividades"/>
    <n v="6074202300013730"/>
    <x v="0"/>
    <s v="34.10.14.422.3018.4.333.33903900.00.1.500.9001.0"/>
    <s v="CPESDH"/>
    <s v="067/SMDHC/2023"/>
    <s v="Limpeza e desinfecção de reservatório - Centro Publico"/>
    <s v="ACJS - Saneamento e Controle Ambiental"/>
    <d v="2026-05-07T00:00:00"/>
    <n v="1000"/>
    <n v="0"/>
    <n v="0"/>
    <n v="500"/>
    <n v="0"/>
    <n v="0"/>
    <n v="0"/>
    <n v="0"/>
    <n v="500"/>
    <n v="0"/>
    <n v="0"/>
    <n v="0"/>
    <n v="0"/>
    <n v="0"/>
  </r>
  <r>
    <x v="0"/>
    <s v="Contratos"/>
    <s v="Atividades"/>
    <n v="6074202300065530"/>
    <x v="0"/>
    <s v="34.10.14.422.3018.4.333.33903900.00.1.500.9001.0"/>
    <s v="CPESDH"/>
    <s v="261/SMDHC/2024"/>
    <s v="Prestação de Serviços de Limpeza -Centro Público"/>
    <s v="UNISERV TERCEIRIZACAO E SERVICOS LTDA "/>
    <d v="2026-09-16T00:00:00"/>
    <n v="371213.04"/>
    <n v="30934.42"/>
    <n v="30934.42"/>
    <n v="30934.42"/>
    <n v="30934.42"/>
    <n v="30934.42"/>
    <n v="30934.42"/>
    <n v="30934.42"/>
    <n v="30934.42"/>
    <n v="30934.42"/>
    <n v="30934.42"/>
    <n v="30934.42"/>
    <n v="30934.42"/>
    <n v="30934.42"/>
  </r>
  <r>
    <x v="0"/>
    <s v="Contratos"/>
    <s v="Atividades"/>
    <n v="6074202300072300"/>
    <x v="0"/>
    <s v="34.10.14.422.3018.4.333.33903900.00.1.500.9001.0"/>
    <s v="CPESDH"/>
    <s v="325/SMDHC/2023"/>
    <s v="Locação Purificadores - C. Público"/>
    <s v="Brazon Maxfilter Industria e Locação"/>
    <d v="2026-09-30T00:00:00"/>
    <n v="871.6"/>
    <n v="64"/>
    <n v="66.02"/>
    <n v="66.02"/>
    <n v="66.02"/>
    <n v="66.02"/>
    <n v="66.02"/>
    <n v="66.02"/>
    <n v="66.02"/>
    <n v="66.02"/>
    <n v="66.02"/>
    <n v="71.14"/>
    <n v="71.14"/>
    <n v="71.14"/>
  </r>
  <r>
    <x v="0"/>
    <s v="Contratos"/>
    <s v="Atividades"/>
    <n v="6074202400065410"/>
    <x v="0"/>
    <s v="34.10.14.422.3018.4.333.33903900.00.1.500.9001.0"/>
    <s v="CPESDH"/>
    <s v="336/SMDHC/2024"/>
    <s v="Serviços de Controle de Pragas Urbanas e Vetores, compreendendo"/>
    <s v="SAKURA DEDETIZADORA LTDA"/>
    <d v="2026-12-03T00:00:00"/>
    <n v="620"/>
    <s v="R$                        -  "/>
    <n v="290"/>
    <s v="R$                        -  "/>
    <s v=" R$                        -  "/>
    <s v=" R$                        -  "/>
    <s v=" R$                        -  "/>
    <s v=" R$                        -  "/>
    <s v=" R$                        -  "/>
    <s v=" R$                        -  "/>
    <s v=" R$                        -  "/>
    <n v="330"/>
    <s v="R$                        -  "/>
    <s v=" R$                             -  "/>
  </r>
  <r>
    <x v="1"/>
    <m/>
    <m/>
    <m/>
    <x v="1"/>
    <m/>
    <m/>
    <m/>
    <s v="Desinsetização, Desratização e Descupinização - Centro Público"/>
    <m/>
    <m/>
    <m/>
    <m/>
    <m/>
    <m/>
    <m/>
    <m/>
    <m/>
    <m/>
    <m/>
    <m/>
    <m/>
    <m/>
    <m/>
    <m/>
  </r>
  <r>
    <x v="0"/>
    <s v="Contratos"/>
    <s v="Atividades"/>
    <n v="6074202400091860"/>
    <x v="0"/>
    <s v="34.10.14.422.3018.4.333.33903900.00.1.500.9001.0"/>
    <s v="CPESDH"/>
    <s v="012/SMDHC/2025"/>
    <s v="Serviços de PABX"/>
    <s v="RA TELECOM LTDA"/>
    <d v="2026-03-02T00:00:00"/>
    <n v="13559.46"/>
    <n v="1144.08"/>
    <n v="1059.33"/>
    <n v="1059.33"/>
    <n v="1144.08"/>
    <n v="1144.08"/>
    <n v="1144.08"/>
    <n v="1144.08"/>
    <n v="1144.08"/>
    <n v="1144.08"/>
    <n v="1144.08"/>
    <n v="1144.08"/>
    <n v="1144.08"/>
    <n v="1144.08"/>
  </r>
  <r>
    <x v="0"/>
    <s v="Contratos"/>
    <s v="Atividades"/>
    <n v="6074202500013480"/>
    <x v="1"/>
    <s v="34.10.14.422.3018.4.333.33903700.00.1.500.9001.0"/>
    <s v="CPESDH"/>
    <s v="XX/SMDHC/2026"/>
    <s v="Serviço Integrado de Segurança Centro Público"/>
    <s v="Novo Edital"/>
    <d v="2026-08-02T00:00:00"/>
    <n v="714268.56"/>
    <n v="59522.38"/>
    <n v="59522.38"/>
    <n v="59522.38"/>
    <n v="59522.38"/>
    <n v="59522.38"/>
    <n v="59522.38"/>
    <n v="59522.38"/>
    <n v="59522.38"/>
    <n v="59522.38"/>
    <n v="59522.38"/>
    <n v="59522.38"/>
    <n v="59522.38"/>
    <n v="59522.38"/>
  </r>
  <r>
    <x v="0"/>
    <s v="Contratos"/>
    <s v="Atividades"/>
    <s v="60742026000xxxxx"/>
    <x v="1"/>
    <s v="34.10.14.422.3018.4.333.33903900.00.1.500.9001.0"/>
    <s v="CPESDH"/>
    <s v="xxx/SMDHC/2026"/>
    <s v="Contratação de Empresa especializada em Manutenção de  Extintores para atender as necessidades da SMDHC - Centro Público"/>
    <s v="xxxxxxxxx"/>
    <s v="XX/XX/2026"/>
    <n v="4000"/>
    <n v="4000"/>
    <m/>
    <n v="4000"/>
    <m/>
    <m/>
    <m/>
    <m/>
    <m/>
    <m/>
    <m/>
    <m/>
    <m/>
    <m/>
  </r>
  <r>
    <x v="0"/>
    <s v="Contratos"/>
    <s v="Atividades"/>
    <s v="60742026000xxxxx"/>
    <x v="1"/>
    <s v="34.10.14.422.3018.4.333.33903900.00.1.500.9001.0"/>
    <s v="CPESDH"/>
    <s v="xxx/SMDHC/2026"/>
    <s v="Aquisição de copos de papel 180ml, para atender as necessidades da SMDHC - Centro Público"/>
    <s v="xxxxxxxxx"/>
    <s v="XX/XX/2026"/>
    <n v="5000"/>
    <n v="5000"/>
    <m/>
    <n v="5000"/>
    <m/>
    <m/>
    <m/>
    <m/>
    <m/>
    <m/>
    <m/>
    <m/>
    <m/>
    <m/>
  </r>
  <r>
    <x v="0"/>
    <s v="Contratos"/>
    <s v="Atividades"/>
    <s v="60742026000xxxxx"/>
    <x v="1"/>
    <s v="34.10.14.422.3018.4.333.33903900.00.1.500.9001.0"/>
    <s v="CPESDH"/>
    <s v="xxx/SMDHC/2026"/>
    <s v="Contratação de Empresa especializada em Manutenção de  Extintores para atender as necessidades da SMDHC - Centro Público"/>
    <s v="xxxxxxxxx"/>
    <s v="XX/XX/2026"/>
    <n v="4000"/>
    <n v="4000"/>
    <m/>
    <n v="4000"/>
    <m/>
    <m/>
    <m/>
    <m/>
    <m/>
    <m/>
    <m/>
    <m/>
    <m/>
    <m/>
  </r>
  <r>
    <x v="0"/>
    <s v="Contratos"/>
    <s v="Atividades"/>
    <s v="60742026000xxxxx"/>
    <x v="1"/>
    <s v="34.10.14.422.3018.4.333.33903900.00.1.500.9001.0"/>
    <s v="CPESDH"/>
    <s v="xxx/SMDHC/2026"/>
    <s v="Aquisição de copos de papel 180ml, para atender as necessidades da SMDHC - Centro Público"/>
    <s v="xxxxxxxxx"/>
    <s v="XX/XX/2026"/>
    <n v="5000"/>
    <n v="5000"/>
    <m/>
    <n v="5000"/>
    <m/>
    <m/>
    <m/>
    <m/>
    <m/>
    <m/>
    <m/>
    <m/>
    <m/>
    <m/>
  </r>
  <r>
    <x v="0"/>
    <s v="Contratos"/>
    <s v="Atividades"/>
    <n v="6074202200022450"/>
    <x v="0"/>
    <s v="34.10.14.422.3018.4.334.33903900.00.1.500.9001.0"/>
    <s v="CPIR"/>
    <s v="066/SMDHC/2023"/>
    <s v="Serviços de Telefonia -CPIR"/>
    <s v="TELEFONICA BRASIL SA"/>
    <d v="2026-04-26T00:00:00"/>
    <n v="1200"/>
    <n v="100"/>
    <n v="100"/>
    <n v="100"/>
    <n v="100"/>
    <n v="100"/>
    <n v="100"/>
    <n v="100"/>
    <n v="100"/>
    <n v="100"/>
    <n v="100"/>
    <n v="100"/>
    <n v="100"/>
    <n v="100"/>
  </r>
  <r>
    <x v="0"/>
    <s v="Contratos"/>
    <s v="Atividades"/>
    <n v="6074202200032010"/>
    <x v="0"/>
    <s v="34.10.14.422.3018.4.334.33903900.00.1.500.9001.0"/>
    <s v="CPIR"/>
    <s v="059/SMDHC/2023"/>
    <s v="Gerenciamento de frotas veicular - Coodenação Igualdade Racial"/>
    <s v="Aserp Locações e Serviços Gerais Ltda"/>
    <d v="2026-02-09T00:00:00"/>
    <n v="472242.17"/>
    <n v="39598"/>
    <n v="36664.17"/>
    <n v="39598"/>
    <n v="39598"/>
    <n v="39598"/>
    <n v="39598"/>
    <n v="39598"/>
    <n v="39598"/>
    <n v="39598"/>
    <n v="39598"/>
    <n v="39598"/>
    <n v="39598"/>
    <n v="39598"/>
  </r>
  <r>
    <x v="0"/>
    <s v="Contratos"/>
    <s v="Atividades"/>
    <n v="6074202200032030"/>
    <x v="0"/>
    <s v="34.10.14.422.3018.4.334.33903900.00.1.500.9001.0"/>
    <s v="CPIR"/>
    <s v="266/SMDHC/2022"/>
    <s v="Seguro de Veículos - CPIR"/>
    <s v="GENTE SEGURADORA AS"/>
    <d v="2026-11-24T00:00:00"/>
    <n v="2500"/>
    <n v="2500"/>
    <m/>
    <s v="R$                        -  "/>
    <s v=" R$                        -  "/>
    <s v=" R$                        -  "/>
    <s v=" R$                        -  "/>
    <s v=" R$                        -  "/>
    <s v=" R$                        -  "/>
    <s v=" R$                        -  "/>
    <s v=" R$                        -  "/>
    <n v="2500"/>
    <s v="R$                        -  "/>
    <s v=" R$                             -  "/>
  </r>
  <r>
    <x v="0"/>
    <s v="Contratos"/>
    <s v="Atividades"/>
    <n v="6074202200034160"/>
    <x v="0"/>
    <s v="34.10.14.422.3018.4.334.33903900.00.1.500.9001.0"/>
    <s v="CPIR"/>
    <s v="218/SMDHC/2022"/>
    <s v="serviços de manutenção preventiva e corretiva "/>
    <s v="LA MACCHINA CENTRO AUTOMOTIVO EIRELI"/>
    <d v="2026-11-17T00:00:00"/>
    <n v="85657.32"/>
    <n v="7558.11"/>
    <n v="7054.11"/>
    <n v="7054.11"/>
    <n v="7054.11"/>
    <n v="7054.11"/>
    <n v="7054.11"/>
    <n v="7054.11"/>
    <n v="7054.11"/>
    <n v="7054.11"/>
    <n v="7054.11"/>
    <n v="7054.11"/>
    <n v="7558.11"/>
    <n v="7558.11"/>
  </r>
  <r>
    <x v="0"/>
    <s v="Contratos"/>
    <s v="Atividades"/>
    <n v="6074202200034170"/>
    <x v="0"/>
    <s v="34.10.14.422.3018.4.334.33903900.00.1.500.9001.0"/>
    <s v="CPIR"/>
    <s v="206/SMDHC/2022"/>
    <s v="serviços de monitoramento e rastreamento veicular"/>
    <s v="MIRUS RASTREAMENTO E INFORMÁTICA"/>
    <d v="2026-08-25T00:00:00"/>
    <n v="2400.7399999999998"/>
    <n v="204.45"/>
    <n v="194.07"/>
    <n v="194.07"/>
    <n v="194.07"/>
    <n v="194.07"/>
    <n v="194.07"/>
    <n v="194.07"/>
    <n v="194.07"/>
    <n v="208.45"/>
    <n v="208.45"/>
    <n v="208.45"/>
    <n v="208.45"/>
    <n v="208.45"/>
  </r>
  <r>
    <x v="0"/>
    <s v="Contratos"/>
    <s v="Atividades"/>
    <n v="6074202300072300"/>
    <x v="0"/>
    <s v="34.10.14.422.3018.4.334.33903900.00.1.500.9001.0"/>
    <s v="CPIR"/>
    <s v="325/SMDHC/2023"/>
    <s v="Locação Purificadores - CPIR"/>
    <s v="Brazon Maxfilter Industria e Locação"/>
    <d v="2026-09-30T00:00:00"/>
    <n v="396.12"/>
    <n v="32"/>
    <n v="33.01"/>
    <n v="33.01"/>
    <n v="33.01"/>
    <n v="33.01"/>
    <n v="33.01"/>
    <n v="33.01"/>
    <n v="33.01"/>
    <n v="33.01"/>
    <n v="33.01"/>
    <n v="38.130000000000003"/>
    <n v="38.130000000000003"/>
    <n v="38.130000000000003"/>
  </r>
  <r>
    <x v="0"/>
    <s v="Contratos"/>
    <s v="Atividades"/>
    <n v="6074202400008350"/>
    <x v="0"/>
    <s v="34.10.14.422.3018.4.334.33903900.00.1.500.9001.0"/>
    <s v="CPIR"/>
    <s v="143/SMDHC/2022"/>
    <s v="Prestação de Serviços por empresa especializada em Controle de Pragas Urbanas e Vetores, compreendendo Desinsetização, Desratização e Descupinização"/>
    <s v="DAVIS SOARES DA SILVA DETETIZADORA"/>
    <d v="2026-08-17T00:00:00"/>
    <n v="560"/>
    <s v="R$                        -  "/>
    <s v=" R$                        -  "/>
    <n v="280"/>
    <s v="R$                        -  "/>
    <m/>
    <s v=" R$                        -  "/>
    <s v=" R$                        -  "/>
    <s v=" R$                        -  "/>
    <n v="280"/>
    <s v="R$                        -  "/>
    <s v=" R$                        -  "/>
    <s v=" R$                        -  "/>
    <s v=" R$                             -  "/>
  </r>
  <r>
    <x v="0"/>
    <s v="Contratos"/>
    <s v="Atividades"/>
    <s v="60742026000xxxxx"/>
    <x v="1"/>
    <s v="34.10.14.422.3018.4.334.33903100.00.1.500.9001.0"/>
    <s v="CPIR"/>
    <s v="xxx/SMDHC/2026"/>
    <s v="Prêmio Luiza Mahin - Edição 2026"/>
    <s v="xxxxxxxxx"/>
    <s v="XX/XX/2026"/>
    <n v="10000"/>
    <n v="10000"/>
    <m/>
    <m/>
    <m/>
    <n v="10000"/>
    <m/>
    <m/>
    <m/>
    <m/>
    <m/>
    <m/>
    <m/>
    <m/>
  </r>
  <r>
    <x v="0"/>
    <s v="Contratos"/>
    <s v="Atividades"/>
    <n v="6064202300002770"/>
    <x v="0"/>
    <s v="34.10.14.422.3013.6.178.33903700.00.1.500.9001.0"/>
    <s v="CPM"/>
    <s v="002/SMDET/2023"/>
    <s v="Vigilância Mulheres"/>
    <s v="QRX SEGURANCA PATRIMONIAL EIRELI"/>
    <d v="2026-02-28T00:00:00"/>
    <n v="364438.34"/>
    <n v="30722.39"/>
    <n v="28607.22"/>
    <n v="28607.22"/>
    <n v="30722.39"/>
    <n v="30722.39"/>
    <n v="30722.39"/>
    <n v="30722.39"/>
    <n v="30722.39"/>
    <n v="30722.39"/>
    <n v="30722.39"/>
    <n v="30722.39"/>
    <n v="30722.39"/>
    <n v="30722.39"/>
  </r>
  <r>
    <x v="0"/>
    <s v="Contratos"/>
    <s v="Atividades"/>
    <n v="6074201700002600"/>
    <x v="1"/>
    <s v="34.10.14.422.3013.6.178.33903600.00.1.500.9001.0"/>
    <s v="CPM"/>
    <s v="SMPM/2016"/>
    <s v="Locação do imóvel Casa de Passagem "/>
    <s v="Robinson Corrêa "/>
    <d v="2026-08-29T00:00:00"/>
    <n v="128707.2"/>
    <n v="11365.6"/>
    <n v="11365.6"/>
    <n v="11365.6"/>
    <n v="11365.6"/>
    <n v="11365.6"/>
    <n v="11365.6"/>
    <n v="11365.6"/>
    <n v="11365.6"/>
    <n v="12005.6"/>
    <n v="12005.6"/>
    <n v="12005.6"/>
    <n v="12005.6"/>
    <n v="12005.6"/>
  </r>
  <r>
    <x v="0"/>
    <s v="Contratos"/>
    <s v="Atividades"/>
    <n v="6074201700002600"/>
    <x v="1"/>
    <s v="34.10.14.422.3013.6.178.33903600.00.1.500.9001.0"/>
    <s v="CPM"/>
    <s v="SMPM/2016"/>
    <s v="Reembolso  do imóvel Casa de Passagem "/>
    <s v="Robinson Corrêa "/>
    <d v="2026-08-29T00:00:00"/>
    <n v="2000"/>
    <n v="2000"/>
    <s v="R$                        -  "/>
    <n v="0"/>
    <n v="0"/>
    <n v="0"/>
    <n v="0"/>
    <n v="0"/>
    <n v="0"/>
    <n v="2000"/>
    <n v="0"/>
    <n v="0"/>
    <n v="0"/>
    <s v="R$                             -  "/>
  </r>
  <r>
    <x v="0"/>
    <s v="Contratos"/>
    <s v="Atividades"/>
    <n v="6074201700002600"/>
    <x v="1"/>
    <s v="34.10.14.422.3013.6.178.33904700.00.1.500.9001.0"/>
    <s v="CPM"/>
    <s v="SMPM/2016"/>
    <s v="IPTU do imóvel Casa de Passagem "/>
    <s v="Robinson Corrêa "/>
    <d v="2026-08-29T00:00:00"/>
    <n v="20000"/>
    <n v="2000"/>
    <s v="R$                        -  "/>
    <n v="2000"/>
    <n v="2000"/>
    <n v="2000"/>
    <n v="2000"/>
    <n v="2000"/>
    <n v="2000"/>
    <n v="2000"/>
    <n v="2000"/>
    <n v="2000"/>
    <n v="2000"/>
    <s v="R$                             -  "/>
  </r>
  <r>
    <x v="0"/>
    <s v="Contratos"/>
    <s v="Atividades"/>
    <n v="6074202000023340"/>
    <x v="0"/>
    <s v="34.10.14.422.3013.6.178.33903900.00.1.500.9001.0"/>
    <s v="CPM"/>
    <s v="024/SMDHC/2020"/>
    <s v="Serviços de gerenciamento de abastecimento de veículos"/>
    <s v="TICKET SOLUCOES HDFGT SA"/>
    <d v="2026-07-08T00:00:00"/>
    <n v="48189.599999999999"/>
    <n v="4300"/>
    <n v="4300"/>
    <n v="4300"/>
    <n v="4300"/>
    <n v="4300"/>
    <n v="4300"/>
    <n v="4300"/>
    <n v="4300"/>
    <n v="4300"/>
    <n v="4300"/>
    <n v="4300"/>
    <n v="4300"/>
    <n v="4300"/>
  </r>
  <r>
    <x v="0"/>
    <s v="Contratos"/>
    <s v="Atividades"/>
    <n v="6074202100055800"/>
    <x v="0"/>
    <s v="34.10.14.422.3013.6.178.33903900.00.1.500.9001.0"/>
    <s v="CPM"/>
    <s v="208/SMDHC/2022"/>
    <s v="Locação de veículo  &quot;Tipo D&quot;"/>
    <s v="AZUL TRANSPORTES E TURISMO LTDA"/>
    <d v="2026-09-12T00:00:00"/>
    <n v="253994.28"/>
    <n v="19185.59"/>
    <n v="20671.04"/>
    <n v="20671.04"/>
    <n v="20671.04"/>
    <n v="20671.04"/>
    <n v="20671.04"/>
    <n v="20671.04"/>
    <n v="20671.04"/>
    <n v="20671.04"/>
    <n v="22156.49"/>
    <n v="22156.49"/>
    <n v="22156.49"/>
    <n v="22156.49"/>
  </r>
  <r>
    <x v="0"/>
    <s v="Contratos"/>
    <s v="Atividades"/>
    <n v="6074202100065360"/>
    <x v="0"/>
    <s v="34.10.14.422.3013.6.178.33903900.00.1.500.9001.0"/>
    <s v="CPM"/>
    <s v="032/SMDHC/2022"/>
    <s v="Telefonia Fixa - Mulheres - 01 linha - Casa Helenira"/>
    <s v="TELEFONICA BRASIL SA"/>
    <d v="2025-07-25T00:00:00"/>
    <n v="0"/>
    <n v="0"/>
    <n v="100"/>
    <n v="100"/>
    <n v="100"/>
    <n v="100"/>
    <n v="100"/>
    <n v="100"/>
    <n v="100"/>
    <n v="100"/>
    <n v="100"/>
    <n v="100"/>
    <n v="100"/>
    <n v="100"/>
  </r>
  <r>
    <x v="0"/>
    <s v="Contratos"/>
    <s v="Atividades"/>
    <n v="6074202200031730"/>
    <x v="0"/>
    <s v="34.10.14.422.3013.6.178.33903700.00.1.500.9001.0"/>
    <s v="CPM"/>
    <s v="215/SMDHC/2022"/>
    <s v="Serviço de vigilância e segurança"/>
    <s v="RENASEB EMPRESA DE SEGURANCA E VIGILANCIA EIRELI"/>
    <d v="2026-12-06T00:00:00"/>
    <n v="122941.18"/>
    <n v="10892.87"/>
    <n v="10186.209999999999"/>
    <n v="10186.209999999999"/>
    <n v="10186.209999999999"/>
    <n v="10186.209999999999"/>
    <n v="10186.209999999999"/>
    <n v="10186.209999999999"/>
    <n v="10186.209999999999"/>
    <n v="10186.209999999999"/>
    <n v="10186.209999999999"/>
    <n v="10186.209999999999"/>
    <n v="10186.209999999999"/>
    <n v="10892.87"/>
  </r>
  <r>
    <x v="0"/>
    <s v="Contratos"/>
    <s v="Atividades"/>
    <n v="6074202200032010"/>
    <x v="0"/>
    <s v="34.10.14.422.3013.6.178.33903900.00.1.500.9001.0"/>
    <s v="CPM"/>
    <s v="059/SMDHC/2023"/>
    <s v="Gerenciamento de frotas veicular - Coodenação de Mulheres"/>
    <s v="Aserp Locações e Serviços Gerais Ltda"/>
    <d v="2026-02-09T00:00:00"/>
    <n v="344814.06"/>
    <n v="28913"/>
    <n v="26771.06"/>
    <n v="28913"/>
    <n v="28913"/>
    <n v="28913"/>
    <n v="28913"/>
    <n v="28913"/>
    <n v="28913"/>
    <n v="28913"/>
    <n v="28913"/>
    <n v="28913"/>
    <n v="28913"/>
    <n v="28913"/>
  </r>
  <r>
    <x v="0"/>
    <s v="Contratos"/>
    <s v="Atividades"/>
    <n v="6074202200032030"/>
    <x v="0"/>
    <s v="34.10.14.422.3013.6.178.33903900.00.1.500.9001.0"/>
    <s v="CPM"/>
    <s v="266/SMDHC/2022"/>
    <s v="Seguro de Veículos - Mulheres"/>
    <s v="GENTE SEGURADORA AS"/>
    <d v="2026-11-24T00:00:00"/>
    <n v="1600"/>
    <n v="1600"/>
    <m/>
    <s v="R$                        -  "/>
    <s v=" R$                        -  "/>
    <s v=" R$                        -  "/>
    <s v=" R$                        -  "/>
    <s v=" R$                        -  "/>
    <s v=" R$                        -  "/>
    <s v=" R$                        -  "/>
    <s v=" R$                        -  "/>
    <n v="1600"/>
    <s v="R$                        -  "/>
    <s v=" R$                             -  "/>
  </r>
  <r>
    <x v="0"/>
    <s v="Contratos"/>
    <s v="Atividades"/>
    <n v="6074202200034160"/>
    <x v="0"/>
    <s v="34.10.14.422.3013.6.178.33903900.00.1.500.9001.0"/>
    <s v="CPM"/>
    <s v="218/SMDHC/2022"/>
    <s v="serviços de manutenção preventiva e corretiva "/>
    <s v="LA MACCHINA CENTRO AUTOMOTIVO EIRELI"/>
    <d v="2026-11-17T00:00:00"/>
    <n v="42831.9"/>
    <n v="3780"/>
    <n v="3527.19"/>
    <n v="3527.19"/>
    <n v="3527.19"/>
    <n v="3527.19"/>
    <n v="3527.19"/>
    <n v="3527.19"/>
    <n v="3527.19"/>
    <n v="3527.19"/>
    <n v="3527.19"/>
    <n v="3527.19"/>
    <n v="3780"/>
    <n v="3780"/>
  </r>
  <r>
    <x v="0"/>
    <s v="Contratos"/>
    <s v="Atividades"/>
    <n v="6074202200034170"/>
    <x v="0"/>
    <s v="34.10.14.422.3013.6.178.33903900.00.1.500.9001.0"/>
    <s v="CPM"/>
    <s v="206/SMDHC/2022"/>
    <s v="serviços de monitoramento e rastreamento veicular"/>
    <s v="MIRUS RASTREAMENTO E INFORMÁTICA"/>
    <d v="2026-08-25T00:00:00"/>
    <n v="1600.46"/>
    <n v="138.96"/>
    <n v="129.38"/>
    <n v="129.38"/>
    <n v="129.38"/>
    <n v="129.38"/>
    <n v="129.38"/>
    <n v="129.38"/>
    <n v="129.38"/>
    <n v="138.96"/>
    <n v="138.96"/>
    <n v="138.96"/>
    <n v="138.96"/>
    <n v="138.96"/>
  </r>
  <r>
    <x v="0"/>
    <s v="Contratos"/>
    <s v="Atividades"/>
    <n v="6074202200064630"/>
    <x v="0"/>
    <s v="34.10.14.422.3013.6.178.33903900.00.1.500.9001.0"/>
    <s v="CPM"/>
    <s v="217/SMDHC/2022"/>
    <s v="Contratação Instituição Financeira  - Serviços Pagamento Auxílio aluguel"/>
    <s v="Banco do Brasil S.A. "/>
    <d v="2026-11-15T00:00:00"/>
    <n v="333200"/>
    <n v="29400"/>
    <n v="27440"/>
    <n v="27440"/>
    <n v="27440"/>
    <n v="27440"/>
    <n v="27440"/>
    <n v="27440"/>
    <n v="27440"/>
    <n v="27440"/>
    <n v="27440"/>
    <n v="27440"/>
    <n v="29400"/>
    <n v="29400"/>
  </r>
  <r>
    <x v="0"/>
    <s v="Contratos"/>
    <s v="Atividades"/>
    <n v="6074202300072300"/>
    <x v="0"/>
    <s v="34.10.14.422.3013.6.178.33903900.00.1.500.9001.0"/>
    <s v="CPM"/>
    <s v="325/SMDHC/2023"/>
    <s v="Locação Purificadores - Mulheres"/>
    <s v="Brazon Maxfilter Industria e Locação"/>
    <d v="2026-09-30T00:00:00"/>
    <n v="869.04"/>
    <n v="76.260000000000005"/>
    <n v="71.14"/>
    <n v="71.14"/>
    <n v="71.14"/>
    <n v="71.14"/>
    <n v="71.14"/>
    <n v="71.14"/>
    <n v="71.14"/>
    <n v="71.14"/>
    <n v="71.14"/>
    <n v="76.260000000000005"/>
    <n v="76.260000000000005"/>
    <n v="76.260000000000005"/>
  </r>
  <r>
    <x v="0"/>
    <s v="Contratos"/>
    <s v="Atividades"/>
    <n v="6074202300102770"/>
    <x v="0"/>
    <s v="34.10.14.422.3013.6.178.33903900.00.1.500.9001.0"/>
    <s v="CPM"/>
    <s v="002/SMDHC/2024"/>
    <s v="Serviço de manutenção de elevadores CPM"/>
    <s v="ELEVADORES SÃO PAULO LTDA - EPP"/>
    <d v="2026-02-19T00:00:00"/>
    <n v="20271"/>
    <n v="1700"/>
    <n v="1571"/>
    <n v="1700"/>
    <n v="1700"/>
    <n v="1700"/>
    <n v="1700"/>
    <n v="1700"/>
    <n v="1700"/>
    <n v="1700"/>
    <n v="1700"/>
    <n v="1700"/>
    <n v="1700"/>
    <n v="1700"/>
  </r>
  <r>
    <x v="0"/>
    <s v="Contratos"/>
    <s v="Atividades"/>
    <n v="6074202400065410"/>
    <x v="0"/>
    <s v="34.10.14.422.3013.6.178.33903900.00.1.500.9001.0"/>
    <s v="CPM"/>
    <s v="336/SMDHC/2024"/>
    <s v="Serviços de Controle de Pragas Urbanas e Vetores, compreendendo"/>
    <s v="SAKURA DEDETIZADORA LTDA"/>
    <d v="2026-12-03T00:00:00"/>
    <n v="620"/>
    <s v="R$                        -  "/>
    <n v="290"/>
    <s v="R$                        -  "/>
    <s v=" R$                        -  "/>
    <s v=" R$                        -  "/>
    <s v=" R$                        -  "/>
    <s v=" R$                        -  "/>
    <s v=" R$                        -  "/>
    <s v=" R$                        -  "/>
    <s v=" R$                        -  "/>
    <n v="330"/>
    <s v="R$                        -  "/>
    <s v=" R$                             -  "/>
  </r>
  <r>
    <x v="1"/>
    <m/>
    <m/>
    <m/>
    <x v="1"/>
    <m/>
    <m/>
    <m/>
    <s v="Desinsetização, Desratização e Descupinização - Casa Helenira."/>
    <m/>
    <m/>
    <m/>
    <m/>
    <m/>
    <m/>
    <m/>
    <m/>
    <m/>
    <m/>
    <m/>
    <m/>
    <m/>
    <m/>
    <m/>
    <m/>
  </r>
  <r>
    <x v="0"/>
    <s v="Contratos"/>
    <s v="Atividades"/>
    <n v="6074202400087020"/>
    <x v="0"/>
    <s v="34.10.14.422.3013.6.178.33903900.00.1.500.9001.0"/>
    <s v="CPM"/>
    <s v="001/SMDHC/2025"/>
    <s v="Unidade Móvel de Atendimento às Mulheres"/>
    <s v="AZUL TRANSPORTES E TURISMO LTDA"/>
    <d v="2026-01-14T00:00:00"/>
    <n v="370440"/>
    <n v="30870"/>
    <n v="30870"/>
    <n v="30870"/>
    <n v="30870"/>
    <n v="30870"/>
    <n v="30870"/>
    <n v="30870"/>
    <n v="30870"/>
    <n v="30870"/>
    <n v="30870"/>
    <n v="30870"/>
    <n v="30870"/>
    <n v="30870"/>
  </r>
  <r>
    <x v="0"/>
    <s v="Contratos"/>
    <s v="Atividades"/>
    <n v="6074202400099120"/>
    <x v="0"/>
    <s v="34.10.14.422.3013.6.178.33903900.00.1.500.9001.0"/>
    <s v="CPM"/>
    <s v="NE"/>
    <s v="Água e Esgoto - Mulheres"/>
    <s v="SABESP"/>
    <d v="2026-12-31T00:00:00"/>
    <n v="72000"/>
    <n v="6000"/>
    <n v="6000"/>
    <n v="6000"/>
    <n v="6000"/>
    <n v="6000"/>
    <n v="6000"/>
    <n v="6000"/>
    <n v="6000"/>
    <n v="6000"/>
    <n v="6000"/>
    <n v="6000"/>
    <n v="6000"/>
    <n v="6000"/>
  </r>
  <r>
    <x v="0"/>
    <s v="Contratos"/>
    <s v="Atividades"/>
    <n v="6074202500006200"/>
    <x v="0"/>
    <s v="34.10.14.244.3013.4.329.33904800.00.1.500.9001.0"/>
    <s v="CPM"/>
    <s v="NE"/>
    <s v="Auxílio Aluguel"/>
    <s v="Diversos Beneficiárias"/>
    <d v="2026-12-31T00:00:00"/>
    <n v="9000000"/>
    <n v="750000"/>
    <n v="750000"/>
    <n v="750000"/>
    <n v="750000"/>
    <n v="750000"/>
    <n v="750000"/>
    <n v="750000"/>
    <n v="750000"/>
    <n v="750000"/>
    <n v="750000"/>
    <n v="750000"/>
    <n v="750000"/>
    <n v="750000"/>
  </r>
  <r>
    <x v="0"/>
    <s v="Contratos"/>
    <s v="Atividades"/>
    <n v="6074202500010240"/>
    <x v="0"/>
    <s v="34.10.14.422.3013.6.178.33903900.00.1.500.9001.0"/>
    <s v="CPM"/>
    <s v="NE"/>
    <s v="Água e Esgoto Casa de Passagem "/>
    <s v="SABESP"/>
    <d v="2026-12-31T00:00:00"/>
    <n v="216000"/>
    <n v="18000"/>
    <n v="18000"/>
    <n v="18000"/>
    <n v="18000"/>
    <n v="18000"/>
    <n v="18000"/>
    <n v="18000"/>
    <n v="18000"/>
    <n v="18000"/>
    <n v="18000"/>
    <n v="18000"/>
    <n v="18000"/>
    <n v="18000"/>
  </r>
  <r>
    <x v="0"/>
    <s v="Contratos"/>
    <s v="Atividades"/>
    <n v="6074202500013480"/>
    <x v="1"/>
    <s v="34.10.14.422.3013.6.178.33903700.00.1.500.9001.0"/>
    <s v="CPM"/>
    <s v="XX/SMDHC/2026"/>
    <s v="Serviço Integrado de Segurança"/>
    <s v="Novo Edital"/>
    <d v="2026-08-02T00:00:00"/>
    <n v="9642625.5600000005"/>
    <n v="803552.13"/>
    <n v="803552.13"/>
    <n v="803552.13"/>
    <n v="803552.13"/>
    <n v="803552.13"/>
    <n v="803552.13"/>
    <n v="803552.13"/>
    <n v="803552.13"/>
    <n v="803552.13"/>
    <n v="803552.13"/>
    <n v="803552.13"/>
    <n v="803552.13"/>
    <n v="803552.13"/>
  </r>
  <r>
    <x v="0"/>
    <s v="Contratos"/>
    <s v="Atividades"/>
    <n v="6074202500014470"/>
    <x v="0"/>
    <s v="34.10.14.422.3013.6.178.33903900.00.1.500.9001.0"/>
    <s v="CPM"/>
    <s v="NE"/>
    <s v="Energia elétrica - Casa de Passagem "/>
    <s v="ENEL"/>
    <d v="2026-12-31T00:00:00"/>
    <n v="60000"/>
    <n v="5000"/>
    <n v="5000"/>
    <n v="5000"/>
    <n v="5000"/>
    <n v="5000"/>
    <n v="5000"/>
    <n v="5000"/>
    <n v="5000"/>
    <n v="5000"/>
    <n v="5000"/>
    <n v="5000"/>
    <n v="5000"/>
    <n v="5000"/>
  </r>
  <r>
    <x v="0"/>
    <s v="Contratos"/>
    <s v="Atividades"/>
    <s v="60742026000xxxxx"/>
    <x v="1"/>
    <s v="34.10.14.422.3013.6.178.33903000.00.1.500.9001.0"/>
    <s v="CPM"/>
    <s v="xxx/SMDHC/2026"/>
    <s v="Aquisição de copos de papel 180ml, para atender as necessidades da SMDHC Coordenação de Mulheres"/>
    <s v="xxxxxxxxx"/>
    <s v="XX/XX/2026"/>
    <n v="15000"/>
    <n v="15000"/>
    <m/>
    <n v="15000"/>
    <m/>
    <m/>
    <m/>
    <m/>
    <m/>
    <m/>
    <m/>
    <m/>
    <m/>
    <m/>
  </r>
  <r>
    <x v="0"/>
    <s v="Contratos"/>
    <s v="Atividades"/>
    <s v="60742026000xxxxx"/>
    <x v="1"/>
    <s v="34.10.14.422.3013.6.178.33903000.00.1.500.9001.0"/>
    <s v="CPM"/>
    <s v="xxx/SMDHC/2026"/>
    <s v="Aquisição de Material Gráfico e Tatuagens, para atender as necessidades da SMDHC Coordenação de Mulheres"/>
    <s v="xxxxxxxxx"/>
    <s v="XX/XX/2026"/>
    <n v="100000"/>
    <n v="100000"/>
    <m/>
    <n v="100000"/>
    <m/>
    <m/>
    <m/>
    <m/>
    <m/>
    <m/>
    <m/>
    <m/>
    <m/>
    <m/>
  </r>
  <r>
    <x v="0"/>
    <s v="Contratos"/>
    <s v="Atividades"/>
    <n v="6045201900013360"/>
    <x v="1"/>
    <s v="34.10.14.243.3013.2.157.33903600.00.1.500.9001.0"/>
    <s v="CT"/>
    <s v="01/SUB- MB/2019"/>
    <s v="Locação Conselho Jd. São Luiz"/>
    <s v="Paula / Gabriela / Thatiane"/>
    <d v="2026-09-10T00:00:00"/>
    <n v="43004.32"/>
    <n v="3750.36"/>
    <n v="3500.36"/>
    <n v="3500.36"/>
    <n v="3500.36"/>
    <n v="3500.36"/>
    <n v="3500.36"/>
    <n v="3500.36"/>
    <n v="3500.36"/>
    <n v="3500.36"/>
    <n v="3750.36"/>
    <n v="3750.36"/>
    <n v="3750.36"/>
    <n v="3750.36"/>
  </r>
  <r>
    <x v="0"/>
    <s v="Contratos"/>
    <s v="Atividades"/>
    <n v="6045201900013360"/>
    <x v="1"/>
    <s v="34.10.14.243.3013.2.157.33904700.00.1.500.9001.0"/>
    <s v="CT"/>
    <s v="01/SUB- MB/2019"/>
    <s v="IPTU Conselho Jd. São Luiz"/>
    <s v="PAULA DE SOUZA LINO ARAUJO"/>
    <d v="2026-09-10T00:00:00"/>
    <n v="1700"/>
    <n v="170"/>
    <n v="0"/>
    <n v="170"/>
    <n v="170"/>
    <n v="170"/>
    <n v="170"/>
    <n v="170"/>
    <n v="170"/>
    <n v="170"/>
    <n v="170"/>
    <n v="170"/>
    <n v="170"/>
    <n v="0"/>
  </r>
  <r>
    <x v="0"/>
    <s v="Contratos"/>
    <s v="Atividades"/>
    <n v="6045201900013360"/>
    <x v="1"/>
    <s v="34.10.14.243.3013.2.157.33903600.00.1.500.9001.0"/>
    <s v="CT"/>
    <s v="01/SUB- MB/2019"/>
    <s v="Reembolso de Seguro Contra Incendio - Conselho Jd. São Luiz"/>
    <s v="PAULA DE SOUZA LINO ARAUJO"/>
    <d v="2026-09-10T00:00:00"/>
    <n v="350"/>
    <n v="350"/>
    <m/>
    <n v="0"/>
    <n v="350"/>
    <n v="0"/>
    <n v="0"/>
    <n v="0"/>
    <n v="0"/>
    <n v="0"/>
    <n v="0"/>
    <n v="0"/>
    <n v="0"/>
    <n v="0"/>
  </r>
  <r>
    <x v="0"/>
    <s v="Contratos"/>
    <s v="Atividades"/>
    <n v="6031201700000350"/>
    <x v="1"/>
    <s v="34.10.14.243.3013.2.157.33904700.00.1.500.9001.0"/>
    <s v="CT"/>
    <s v="001/SP-BT/SF/2011"/>
    <s v="IPTU Conselho Rio Pequeno"/>
    <s v="NOVA DIRETRIZ IMOVEIS LTDA"/>
    <d v="2026-12-18T00:00:00"/>
    <n v="3500"/>
    <n v="350"/>
    <m/>
    <n v="350"/>
    <n v="350"/>
    <n v="350"/>
    <n v="350"/>
    <n v="350"/>
    <n v="350"/>
    <n v="350"/>
    <n v="350"/>
    <n v="350"/>
    <n v="350"/>
    <m/>
  </r>
  <r>
    <x v="0"/>
    <s v="Contratos"/>
    <s v="Atividades"/>
    <n v="6031201700000350"/>
    <x v="1"/>
    <s v="34.10.14.243.3013.2.157.33903900.00.1.500.9001.0"/>
    <s v="CT"/>
    <s v="001/SP-BT/SF/2011"/>
    <s v="Locação Conselho Rio Pequeno "/>
    <s v="NOVA DIRETRIZ IMOVEIS LTDA"/>
    <d v="2026-12-18T00:00:00"/>
    <n v="28574.48"/>
    <n v="2478.7399999999998"/>
    <n v="2372.34"/>
    <n v="2372.34"/>
    <n v="2372.34"/>
    <n v="2372.34"/>
    <n v="2372.34"/>
    <n v="2372.34"/>
    <n v="2372.34"/>
    <n v="2372.34"/>
    <n v="2372.34"/>
    <n v="2372.34"/>
    <n v="2372.34"/>
    <n v="2478.7399999999998"/>
  </r>
  <r>
    <x v="0"/>
    <s v="Contratos"/>
    <s v="Atividades"/>
    <n v="6031201700000350"/>
    <x v="1"/>
    <s v="34.10.14.243.3013.2.157.33903900.00.1.500.9001.0"/>
    <s v="CT"/>
    <s v="001/SP-BT/SF/2011"/>
    <s v="Reembolso de Seguro Contra IncendioLocação Conselho Rio Pequeno "/>
    <s v="NOVA DIRETRIZ IMOVEIS LTDA"/>
    <d v="2026-12-18T00:00:00"/>
    <n v="1200"/>
    <n v="100"/>
    <n v="0"/>
    <n v="250"/>
    <n v="0"/>
    <n v="0"/>
    <n v="0"/>
    <n v="0"/>
    <n v="0"/>
    <n v="0"/>
    <n v="0"/>
    <n v="0"/>
    <n v="2372.34"/>
    <n v="0"/>
  </r>
  <r>
    <x v="0"/>
    <s v="Contratos"/>
    <s v="Atividades"/>
    <n v="6034201700000360"/>
    <x v="1"/>
    <s v="34.10.14.243.3013.2.157.33903600.00.1.500.9001.0"/>
    <s v="CT"/>
    <s v="001/SP-AD/2013"/>
    <s v="Locação Conselho Pedreira"/>
    <s v="Carlos Gancalves "/>
    <d v="2026-11-23T00:00:00"/>
    <n v="45928"/>
    <n v="4078.45"/>
    <n v="3777.11"/>
    <n v="3777.11"/>
    <n v="3777.11"/>
    <n v="3777.11"/>
    <n v="3777.11"/>
    <n v="3777.11"/>
    <n v="3777.11"/>
    <n v="3777.11"/>
    <n v="3777.11"/>
    <n v="3777.11"/>
    <n v="4078.45"/>
    <n v="4078.45"/>
  </r>
  <r>
    <x v="0"/>
    <s v="Contratos"/>
    <s v="Atividades"/>
    <n v="6034201700000360"/>
    <x v="1"/>
    <s v="34.10.14.243.3013.2.157.33903600.00.1.500.9001.0"/>
    <s v="CT"/>
    <s v="001/SP-AD/2013"/>
    <s v="IPTU Conselho Pedreira"/>
    <s v="Carlos Gancalves "/>
    <d v="2026-11-23T00:00:00"/>
    <n v="121"/>
    <n v="121"/>
    <m/>
    <n v="60.5"/>
    <n v="60.5"/>
    <s v="R$                        -  "/>
    <s v=" R$                        -  "/>
    <s v=" R$                        -  "/>
    <s v=" R$                        -  "/>
    <s v=" R$                        -  "/>
    <s v=" R$                        -  "/>
    <s v=" R$                        -  "/>
    <s v=" R$                        -  "/>
    <s v=" R$                        -  "/>
  </r>
  <r>
    <x v="0"/>
    <s v="Contratos"/>
    <s v="Atividades"/>
    <n v="6037201800001300"/>
    <x v="1"/>
    <s v="34.10.14.243.3013.2.157.33903600.00.1.500.9001.0"/>
    <s v="CT"/>
    <s v="08/SPFB/2012"/>
    <s v="IPTU -  Freguesia do Ó"/>
    <s v="LUIZ ANTÔNIO SIQUEIRA"/>
    <d v="2026-06-01T00:00:00"/>
    <n v="2510"/>
    <n v="251"/>
    <n v="0"/>
    <n v="251"/>
    <n v="251"/>
    <n v="251"/>
    <n v="251"/>
    <n v="251"/>
    <n v="251"/>
    <n v="251"/>
    <n v="251"/>
    <n v="251"/>
    <n v="251"/>
    <m/>
  </r>
  <r>
    <x v="0"/>
    <s v="Contratos"/>
    <s v="Atividades"/>
    <n v="6037201800001300"/>
    <x v="1"/>
    <s v="34.10.14.243.3013.2.157.33903600.00.1.500.9001.0"/>
    <s v="CT"/>
    <s v="08/SPFB/2012"/>
    <s v="Locação Conselho Freguesia do Ó"/>
    <s v="LUIZ ANTÔNIO SIQUEIRA"/>
    <d v="2026-06-01T00:00:00"/>
    <n v="35932.61"/>
    <n v="2904.3"/>
    <n v="2904.3"/>
    <n v="2904.3"/>
    <n v="2904.3"/>
    <n v="2904.3"/>
    <n v="2904.3"/>
    <n v="3058.73"/>
    <n v="3058.73"/>
    <n v="3058.73"/>
    <n v="3058.73"/>
    <n v="3058.73"/>
    <n v="3058.73"/>
    <n v="3058.73"/>
  </r>
  <r>
    <x v="0"/>
    <s v="Contratos"/>
    <s v="Atividades"/>
    <n v="6039201600000700"/>
    <x v="1"/>
    <s v="34.10.14.243.3013.2.157.33903600.00.1.500.9001.0"/>
    <s v="CT"/>
    <s v="020/SP-IP/2016"/>
    <s v="Locação Conselho Ipiranga"/>
    <s v="Oswaldo / Cristiane / Darlene"/>
    <d v="2026-02-09T00:00:00"/>
    <n v="49455.28"/>
    <n v="4275.9399999999996"/>
    <n v="4043.94"/>
    <n v="4043.94"/>
    <n v="4043.94"/>
    <n v="4043.94"/>
    <n v="4043.94"/>
    <n v="4043.94"/>
    <n v="4043.94"/>
    <n v="4043.94"/>
    <n v="4275.9399999999996"/>
    <n v="4275.9399999999996"/>
    <n v="4275.9399999999996"/>
    <n v="4275.9399999999996"/>
  </r>
  <r>
    <x v="0"/>
    <s v="Contratos"/>
    <s v="Atividades"/>
    <n v="6039201600000700"/>
    <x v="1"/>
    <s v="34.10.14.243.3013.2.157.33904700.00.1.500.9001.0"/>
    <s v="CT"/>
    <s v="020/SP-IP/2016"/>
    <s v="IPTU Ipiranga"/>
    <s v="OSWALDO GAMBA JUNIOR"/>
    <d v="2026-02-09T00:00:00"/>
    <n v="21000"/>
    <m/>
    <m/>
    <n v="2100"/>
    <n v="2100"/>
    <n v="2100"/>
    <n v="2100"/>
    <n v="2100"/>
    <n v="2100"/>
    <n v="2100"/>
    <n v="2100"/>
    <n v="2100"/>
    <n v="2100"/>
    <m/>
  </r>
  <r>
    <x v="0"/>
    <s v="Contratos"/>
    <s v="Atividades"/>
    <n v="6040201700000390"/>
    <x v="1"/>
    <s v="34.10.14.243.3013.2.157.33903600.00.1.500.9001.0"/>
    <s v="CT"/>
    <s v="017/SP-IT/2016"/>
    <s v="Locação Conselho Itaim Paulista"/>
    <s v="Marilan / Gerson "/>
    <d v="2026-07-31T00:00:00"/>
    <n v="41497.4"/>
    <n v="2401"/>
    <n v="3377.7"/>
    <n v="3377.7"/>
    <n v="3377.7"/>
    <n v="3377.7"/>
    <n v="3377.7"/>
    <n v="3377.7"/>
    <n v="3377.7"/>
    <n v="3570.7"/>
    <n v="3570.7"/>
    <n v="3570.7"/>
    <n v="3570.7"/>
    <n v="3570.7"/>
  </r>
  <r>
    <x v="0"/>
    <s v="Contratos"/>
    <s v="Atividades"/>
    <n v="6040201700000390"/>
    <x v="1"/>
    <s v="34.10.14.243.3013.2.157.33903600.00.1.500.9001.0"/>
    <s v="CT"/>
    <s v="017/SP-IT/2016"/>
    <s v="IPTU Conselho Itaim Paulista"/>
    <s v="Marilan / Gerson "/>
    <d v="2026-07-31T00:00:00"/>
    <n v="5200"/>
    <n v="0"/>
    <n v="0"/>
    <n v="520"/>
    <n v="520"/>
    <n v="520"/>
    <n v="520"/>
    <n v="520"/>
    <n v="520"/>
    <n v="520"/>
    <n v="520"/>
    <n v="520"/>
    <n v="520"/>
    <n v="0"/>
  </r>
  <r>
    <x v="0"/>
    <s v="Contratos"/>
    <s v="Atividades"/>
    <n v="6040201700000390"/>
    <x v="1"/>
    <s v="34.10.14.243.3013.2.157.33903600.00.1.500.9001.0"/>
    <s v="CT"/>
    <s v="017/SP-IT/2016"/>
    <s v="Remmbolso de Seguro Contra Incendio Conselho Itaim Paulista"/>
    <s v="Marilan / Gerson "/>
    <d v="2026-07-31T00:00:00"/>
    <n v="1200"/>
    <n v="100"/>
    <n v="0"/>
    <n v="0"/>
    <n v="0"/>
    <n v="650"/>
    <n v="0"/>
    <n v="0"/>
    <n v="0"/>
    <n v="0"/>
    <n v="0"/>
    <n v="0"/>
    <n v="0"/>
    <n v="0"/>
  </r>
  <r>
    <x v="0"/>
    <s v="Contratos"/>
    <s v="Atividades"/>
    <n v="6045201700000370"/>
    <x v="1"/>
    <s v="34.10.14.243.3013.2.157.33903600.00.1.500.9001.0"/>
    <s v="CT"/>
    <s v="S/N"/>
    <s v="Locação Conselho M Boi Mirim"/>
    <s v="Francisco Alves Arruda"/>
    <d v="2026-10-15T00:00:00"/>
    <n v="45593.760000000002"/>
    <n v="2300"/>
    <n v="3753.48"/>
    <n v="3753.48"/>
    <n v="3753.48"/>
    <n v="3753.48"/>
    <n v="3753.48"/>
    <n v="3753.48"/>
    <n v="3753.48"/>
    <n v="3753.48"/>
    <n v="3753.48"/>
    <n v="3937.48"/>
    <n v="3937.48"/>
    <n v="3937.48"/>
  </r>
  <r>
    <x v="0"/>
    <s v="Contratos"/>
    <s v="Atividades"/>
    <n v="6045201700000370"/>
    <x v="1"/>
    <s v="34.10.14.243.3013.2.157.33903600.00.1.500.9001.0"/>
    <s v="CT"/>
    <s v="S/N"/>
    <s v="IPTU M Boi Mirim"/>
    <s v="Francisco Alves Arruda"/>
    <d v="2026-10-15T00:00:00"/>
    <n v="2700"/>
    <n v="270"/>
    <m/>
    <n v="270"/>
    <n v="270"/>
    <n v="270"/>
    <n v="270"/>
    <n v="270"/>
    <n v="270"/>
    <n v="270"/>
    <n v="270"/>
    <n v="270"/>
    <n v="270"/>
    <m/>
  </r>
  <r>
    <x v="0"/>
    <s v="Contratos"/>
    <s v="Atividades"/>
    <n v="6048201700000220"/>
    <x v="1"/>
    <s v="34.10.14.243.3013.2.157.33903900.00.1.500.9001.0"/>
    <s v="CT"/>
    <s v=" 001/SP-PE/2011"/>
    <s v="Locação Conselho Cangaíba"/>
    <s v="Ventura Empreendimentos"/>
    <d v="2026-06-12T00:00:00"/>
    <n v="48972.41"/>
    <n v="2843.08"/>
    <n v="4062.08"/>
    <n v="4062.08"/>
    <n v="4062.08"/>
    <n v="4062.08"/>
    <n v="4062.08"/>
    <n v="4062.08"/>
    <n v="4062.08"/>
    <n v="4062.08"/>
    <n v="4062.08"/>
    <n v="4062.08"/>
    <n v="4062.08"/>
    <n v="4289.53"/>
  </r>
  <r>
    <x v="0"/>
    <s v="Contratos"/>
    <s v="Atividades"/>
    <n v="6048201700000220"/>
    <x v="1"/>
    <s v="34.10.14.243.3013.2.157.33903900.00.1.500.9001.0"/>
    <s v="CT"/>
    <s v=" 001/SP-PE/2011"/>
    <s v="IPTU -Locação Conselho Cangaíba"/>
    <s v="Ventura Empreendimentos"/>
    <d v="2026-06-12T00:00:00"/>
    <n v="3320"/>
    <s v="R$                        -  "/>
    <s v=" R$                        -  "/>
    <n v="332"/>
    <n v="332"/>
    <n v="332"/>
    <n v="332"/>
    <n v="332"/>
    <n v="332"/>
    <n v="332"/>
    <n v="332"/>
    <n v="332"/>
    <n v="332"/>
    <s v="R$                             -  "/>
  </r>
  <r>
    <x v="0"/>
    <s v="Contratos"/>
    <s v="Atividades"/>
    <n v="6048201700000220"/>
    <x v="1"/>
    <s v="34.10.14.243.3013.2.157.33903900.00.1.500.9001.0"/>
    <s v="CT"/>
    <s v=" 001/SP-PE/2011"/>
    <s v="Reembolso de Seguro - Conselho Tutelar Cangaiba"/>
    <s v="Ventura Empreendimentos"/>
    <d v="2026-06-12T00:00:00"/>
    <n v="350"/>
    <n v="350"/>
    <s v="R$                        -  "/>
    <n v="350"/>
    <n v="0"/>
    <n v="0"/>
    <n v="0"/>
    <n v="0"/>
    <n v="0"/>
    <n v="0"/>
    <n v="0"/>
    <n v="0"/>
    <n v="0"/>
    <s v="R$                             -  "/>
  </r>
  <r>
    <x v="0"/>
    <s v="Contratos"/>
    <s v="Atividades"/>
    <n v="6049201600000240"/>
    <x v="1"/>
    <s v="34.10.14.243.3013.2.157.33903600.00.1.500.9001.0"/>
    <s v="CT"/>
    <s v="01/SP/PR/2016"/>
    <s v="Locação Conselho Anhanguera"/>
    <s v="Edson Moraes "/>
    <d v="2026-09-03T00:00:00"/>
    <n v="57500.28"/>
    <n v="4959.6899999999996"/>
    <n v="4707.6899999999996"/>
    <n v="4707.6899999999996"/>
    <n v="4707.6899999999996"/>
    <n v="4707.6899999999996"/>
    <n v="4707.6899999999996"/>
    <n v="4707.6899999999996"/>
    <n v="4707.6899999999996"/>
    <n v="4707.6899999999996"/>
    <n v="4959.6899999999996"/>
    <n v="4959.6899999999996"/>
    <n v="4959.6899999999996"/>
    <n v="4959.6899999999996"/>
  </r>
  <r>
    <x v="0"/>
    <s v="Contratos"/>
    <s v="Atividades"/>
    <n v="6049201600000240"/>
    <x v="1"/>
    <s v="34.10.14.243.3013.2.157.33903600.00.1.500.9001.0"/>
    <s v="CT"/>
    <s v="01/SP/PR/2016"/>
    <s v="IPTU Conselho Anhanguera"/>
    <s v="Edson Moraes "/>
    <d v="2026-09-03T00:00:00"/>
    <n v="1500"/>
    <n v="150"/>
    <m/>
    <n v="150"/>
    <n v="150"/>
    <n v="150"/>
    <n v="150"/>
    <n v="150"/>
    <n v="150"/>
    <n v="150"/>
    <n v="150"/>
    <n v="150"/>
    <n v="150"/>
    <m/>
  </r>
  <r>
    <x v="0"/>
    <s v="Contratos"/>
    <s v="Atividades"/>
    <n v="6049201600000240"/>
    <x v="1"/>
    <s v="34.10.14.243.3013.2.157.33903600.00.1.500.9001.0"/>
    <s v="CT"/>
    <s v="01/SP/PR/2016"/>
    <s v="Reembolso de Seguro contra Incendio Conselho Anhanguera"/>
    <s v="Edson Moraes "/>
    <d v="2026-09-03T00:00:00"/>
    <n v="1200"/>
    <n v="100"/>
    <m/>
    <n v="0"/>
    <n v="700"/>
    <n v="0"/>
    <n v="0"/>
    <n v="0"/>
    <n v="0"/>
    <n v="0"/>
    <n v="0"/>
    <n v="123.74"/>
    <n v="0"/>
    <n v="0"/>
  </r>
  <r>
    <x v="0"/>
    <s v="Contratos"/>
    <s v="Atividades"/>
    <n v="6055201700004390"/>
    <x v="1"/>
    <s v="34.10.14.243.3013.2.157.33903600.00.1.500.9001.0"/>
    <s v="CT"/>
    <s v="010/SP-MP/GAB/2013"/>
    <s v="IPTU Conselho Jd. Helena"/>
    <s v="JOSE ANTERO FILHO"/>
    <d v="2026-10-31T00:00:00"/>
    <n v="100"/>
    <n v="100"/>
    <n v="0"/>
    <n v="100"/>
    <n v="0"/>
    <n v="0"/>
    <n v="0"/>
    <n v="0"/>
    <n v="0"/>
    <n v="0"/>
    <n v="0"/>
    <n v="0"/>
    <n v="0"/>
    <n v="0"/>
  </r>
  <r>
    <x v="0"/>
    <s v="Contratos"/>
    <s v="Atividades"/>
    <n v="6055201700004390"/>
    <x v="1"/>
    <s v="34.10.14.243.3013.2.157.33903600.00.1.500.9001.0"/>
    <s v="CT"/>
    <s v="010/SP-MP/GAB/2013"/>
    <s v="Locação Conselho Jd. Helena"/>
    <s v="JOSE ANTERO FILHO"/>
    <d v="2026-10-31T00:00:00"/>
    <n v="42454.86"/>
    <n v="3705.11"/>
    <n v="3482.17"/>
    <n v="3482.17"/>
    <n v="3482.17"/>
    <n v="3482.17"/>
    <n v="3482.17"/>
    <n v="3482.17"/>
    <n v="3482.17"/>
    <n v="3482.17"/>
    <n v="3482.17"/>
    <n v="3705.11"/>
    <n v="3705.11"/>
    <n v="3705.11"/>
  </r>
  <r>
    <x v="0"/>
    <s v="Contratos"/>
    <s v="Atividades"/>
    <n v="6055201700004390"/>
    <x v="1"/>
    <s v="34.10.14.243.3013.2.157.33903600.00.1.500.9001.0"/>
    <s v="CT"/>
    <s v="010/SP-MP/GAB/2013"/>
    <s v="Reembolso de Seguro contra incendio - Conselho Jd. Helena"/>
    <s v="JOSE ANTERO FILHO"/>
    <d v="2026-10-31T00:00:00"/>
    <n v="1200"/>
    <n v="100"/>
    <n v="0"/>
    <n v="0"/>
    <n v="0"/>
    <n v="0"/>
    <n v="0"/>
    <n v="0"/>
    <n v="0"/>
    <n v="0"/>
    <n v="0"/>
    <n v="0"/>
    <n v="500"/>
    <n v="0"/>
  </r>
  <r>
    <x v="0"/>
    <s v="Contratos"/>
    <s v="Atividades"/>
    <n v="6060201900024200"/>
    <x v="1"/>
    <s v="34.10.14.243.3013.2.157.33904700.00.1.500.9001.0"/>
    <s v="CT"/>
    <s v="024/SUB-VP/2019"/>
    <s v="IPTU Conselho  Vila Prudente"/>
    <s v="EVIDÊNCIA CORRETORA DE IMÓVEIS E SEGUROS"/>
    <d v="2026-10-14T00:00:00"/>
    <n v="9500"/>
    <m/>
    <m/>
    <n v="950"/>
    <n v="950"/>
    <n v="950"/>
    <n v="950"/>
    <n v="950"/>
    <n v="950"/>
    <n v="950"/>
    <n v="950"/>
    <n v="950"/>
    <n v="950"/>
    <m/>
  </r>
  <r>
    <x v="0"/>
    <s v="Contratos"/>
    <s v="Atividades"/>
    <n v="6060201900024200"/>
    <x v="1"/>
    <s v="34.10.14.243.3013.2.157.33903900.00.1.500.9001.0"/>
    <s v="CT"/>
    <s v="024/SUB-VP/2019"/>
    <s v="Reembolso de Seguro Contra Incendio - Conselho  Vila Prudente"/>
    <s v="EVIDÊNCIA CORRETORA DE IMÓVEIS E SEGUROS"/>
    <d v="2026-10-14T00:00:00"/>
    <n v="400"/>
    <m/>
    <m/>
    <m/>
    <m/>
    <m/>
    <m/>
    <n v="500"/>
    <m/>
    <m/>
    <m/>
    <m/>
    <n v="400"/>
    <m/>
  </r>
  <r>
    <x v="0"/>
    <s v="Contratos"/>
    <s v="Atividades"/>
    <n v="6060201900024200"/>
    <x v="1"/>
    <s v="34.10.14.243.3013.2.157.33903900.00.1.500.9001.0"/>
    <s v="CT"/>
    <s v="024/SUB-VP/2019"/>
    <s v="Locação Conselho  Vila Prudente"/>
    <s v="EVIDÊNCIA CORRETORA DE IMÓVEIS E SEGUROS"/>
    <d v="2026-10-14T00:00:00"/>
    <n v="92828.160000000003"/>
    <n v="8065.68"/>
    <n v="7625.68"/>
    <n v="7625.68"/>
    <n v="7625.68"/>
    <n v="7625.68"/>
    <n v="7625.68"/>
    <n v="7625.68"/>
    <n v="7625.68"/>
    <n v="7625.68"/>
    <n v="7625.68"/>
    <n v="8065.68"/>
    <n v="8065.68"/>
    <n v="8065.68"/>
  </r>
  <r>
    <x v="0"/>
    <s v="Contratos"/>
    <s v="Atividades"/>
    <s v="606020xx000xxxxx"/>
    <x v="1"/>
    <s v="34.10.14.243.3013.2.157.33904700.00.1.500.9001.0"/>
    <s v="CT"/>
    <s v="NE"/>
    <s v="INSS PATRONAL Pagamento Conslheiros Tutelares"/>
    <s v="xxxxx"/>
    <d v="2026-12-31T00:00:00"/>
    <n v="4500000"/>
    <n v="375000"/>
    <n v="375000"/>
    <n v="375000"/>
    <n v="375000"/>
    <n v="375000"/>
    <n v="375000"/>
    <n v="375000"/>
    <n v="375000"/>
    <n v="375000"/>
    <n v="375000"/>
    <n v="375000"/>
    <n v="375000"/>
    <n v="375000"/>
  </r>
  <r>
    <x v="0"/>
    <s v="Contratos"/>
    <s v="Atividades"/>
    <n v="6074202000015330"/>
    <x v="0"/>
    <s v="34.10.14.243.3013.2.157.33903900.00.1.500.9001.0"/>
    <s v="CT"/>
    <s v="143/SMDHC/2022"/>
    <s v="impressão corporativa"/>
    <s v="MJ TECNOLOGIA DO BRASIL LTDA"/>
    <d v="2026-07-08T00:00:00"/>
    <n v="145540.14000000001"/>
    <n v="12561.5"/>
    <n v="11695.19"/>
    <n v="11695.19"/>
    <n v="11695.19"/>
    <n v="11695.19"/>
    <n v="11695.19"/>
    <n v="11695.19"/>
    <n v="12561.5"/>
    <n v="12561.5"/>
    <n v="12561.5"/>
    <n v="12561.5"/>
    <n v="12561.5"/>
    <n v="12561.5"/>
  </r>
  <r>
    <x v="0"/>
    <s v="Contratos"/>
    <s v="Atividades"/>
    <n v="6074202000026790"/>
    <x v="1"/>
    <s v="34.10.14.243.3013.2.157.33903600.00.1.500.9001.0"/>
    <s v="CT"/>
    <s v="086/SMDHC/2020"/>
    <s v="Locação Conselho Pinheiros"/>
    <s v="Renata Ursula "/>
    <d v="2026-12-14T00:00:00"/>
    <n v="128665.60000000001"/>
    <n v="8000"/>
    <n v="10668.8"/>
    <n v="10668.8"/>
    <n v="10668.8"/>
    <n v="10668.8"/>
    <n v="10668.8"/>
    <n v="10668.8"/>
    <n v="10668.8"/>
    <n v="10668.8"/>
    <n v="10668.8"/>
    <n v="10668.8"/>
    <n v="10668.8"/>
    <n v="11308.8"/>
  </r>
  <r>
    <x v="0"/>
    <s v="Contratos"/>
    <s v="Atividades"/>
    <n v="6074202000026790"/>
    <x v="1"/>
    <s v="34.10.14.243.3013.2.157.33904700.00.1.500.9001.0"/>
    <s v="CT"/>
    <s v="086/SMDHC/2020"/>
    <s v="IPTU Conselho Pinheiros"/>
    <s v="Renata Ursula "/>
    <d v="2026-12-14T00:00:00"/>
    <n v="10032"/>
    <n v="1003.2"/>
    <n v="0"/>
    <n v="1003.2"/>
    <n v="1003.2"/>
    <n v="1003.2"/>
    <n v="1003.2"/>
    <n v="1003.2"/>
    <n v="1003.2"/>
    <n v="1003.2"/>
    <n v="1003.2"/>
    <n v="1003.2"/>
    <n v="1003.2"/>
    <m/>
  </r>
  <r>
    <x v="0"/>
    <s v="Contratos"/>
    <s v="Atividades"/>
    <n v="6074202000026790"/>
    <x v="1"/>
    <s v="34.10.14.243.3013.2.157.33903600.00.1.500.9001.0"/>
    <s v="CT"/>
    <s v="086/SMDHC/2020"/>
    <s v="Reembolso de Seguro Contra Incêncdio - Conselho Pinheiros"/>
    <s v="Renata Ursula "/>
    <d v="2026-12-14T00:00:00"/>
    <n v="1200"/>
    <n v="100"/>
    <n v="0"/>
    <n v="0"/>
    <n v="0"/>
    <n v="0"/>
    <n v="0"/>
    <n v="0"/>
    <n v="0"/>
    <n v="0"/>
    <n v="0"/>
    <n v="0"/>
    <n v="0"/>
    <n v="600"/>
  </r>
  <r>
    <x v="0"/>
    <s v="Contratos"/>
    <s v="Atividades"/>
    <n v="6074202000030040"/>
    <x v="1"/>
    <s v="34.10.14.243.3013.2.157.33904700.00.1.500.9001.0"/>
    <s v="CT"/>
    <s v="056/SMDHC/2020"/>
    <s v="IPTU Conselho São Mateus"/>
    <s v="TERRA URBANIZADA ADMINISTRACAO LTDA"/>
    <d v="2026-12-18T00:00:00"/>
    <n v="3200"/>
    <m/>
    <n v="0"/>
    <n v="320"/>
    <n v="320"/>
    <n v="320"/>
    <n v="320"/>
    <n v="320"/>
    <n v="320"/>
    <n v="320"/>
    <n v="320"/>
    <n v="320"/>
    <n v="320"/>
    <n v="0"/>
  </r>
  <r>
    <x v="0"/>
    <s v="Contratos"/>
    <s v="Atividades"/>
    <n v="6074202000030040"/>
    <x v="1"/>
    <s v="34.10.14.243.3013.2.157.33903900.00.1.500.9001.0"/>
    <s v="CT"/>
    <s v="056/SMDHC/2020"/>
    <s v="Locação Conselho São Mateus"/>
    <s v="TERRA URBANIZADA ADMINISTRACAO LTDA"/>
    <d v="2026-12-18T00:00:00"/>
    <n v="98416.8"/>
    <n v="8561.4"/>
    <n v="8081.4"/>
    <n v="8081.4"/>
    <n v="8081.4"/>
    <n v="8081.4"/>
    <n v="8081.4"/>
    <n v="8081.4"/>
    <n v="8081.4"/>
    <n v="8081.4"/>
    <n v="8081.4"/>
    <n v="8561.4"/>
    <n v="8561.4"/>
    <n v="8561.4"/>
  </r>
  <r>
    <x v="0"/>
    <s v="Contratos"/>
    <s v="Atividades"/>
    <n v="6074202000030040"/>
    <x v="1"/>
    <s v="34.10.14.243.3013.2.157.33903900.00.1.500.9001.0"/>
    <s v="CT"/>
    <s v="056/SMDHC/2020"/>
    <s v="Reembolso de Seguro Contra Incendio Conselho São Mateus"/>
    <s v="TERRA URBANIZADA ADMINISTRACAO LTDA"/>
    <d v="2026-12-18T00:00:00"/>
    <n v="1200"/>
    <n v="100"/>
    <n v="0"/>
    <n v="0"/>
    <n v="0"/>
    <n v="0"/>
    <n v="600"/>
    <n v="0"/>
    <n v="0"/>
    <n v="0"/>
    <n v="0"/>
    <n v="0"/>
    <n v="320"/>
    <n v="0"/>
  </r>
  <r>
    <x v="0"/>
    <s v="Contratos"/>
    <s v="Atividades"/>
    <n v="6074202000031710"/>
    <x v="1"/>
    <s v="34.10.14.243.3013.2.157.33903600.00.1.500.9001.0"/>
    <s v="CT"/>
    <s v="040/SMDHC/2020"/>
    <s v="Locação Cidade Tiradentes I"/>
    <s v="Alipio da Silva Cordeiro Neto"/>
    <d v="2026-04-27T00:00:00"/>
    <n v="77336"/>
    <n v="5000"/>
    <n v="6278"/>
    <n v="6278"/>
    <n v="6278"/>
    <n v="6278"/>
    <n v="6278"/>
    <n v="6278"/>
    <n v="6278"/>
    <n v="6678"/>
    <n v="6678"/>
    <n v="6678"/>
    <n v="6678"/>
    <n v="6678"/>
  </r>
  <r>
    <x v="0"/>
    <s v="Contratos"/>
    <s v="Atividades"/>
    <n v="6074202000031710"/>
    <x v="1"/>
    <s v="34.10.14.243.3013.2.157.33904700.00.1.500.9001.0"/>
    <s v="CT"/>
    <s v="040/SMDHC/2020"/>
    <s v="IPTU Cidade Tiradentes I"/>
    <s v="Alipio da Silva Cordeiro Neto"/>
    <d v="2026-04-27T00:00:00"/>
    <n v="250"/>
    <m/>
    <m/>
    <n v="83.33"/>
    <n v="83.33"/>
    <n v="83.34"/>
    <m/>
    <m/>
    <m/>
    <m/>
    <m/>
    <m/>
    <m/>
    <m/>
  </r>
  <r>
    <x v="0"/>
    <s v="Contratos"/>
    <s v="Atividades"/>
    <n v="6074202000031710"/>
    <x v="1"/>
    <s v="34.10.14.243.3013.2.157.33903600.00.1.500.9001.0"/>
    <s v="CT"/>
    <s v="040/SMDHC/2020"/>
    <s v="Reembolso de Seguro Contra Incendio"/>
    <s v="Alipio da Silva Cordeiro Neto"/>
    <d v="2026-04-27T00:00:00"/>
    <n v="1200"/>
    <n v="100"/>
    <m/>
    <m/>
    <m/>
    <m/>
    <m/>
    <n v="350"/>
    <m/>
    <m/>
    <m/>
    <m/>
    <m/>
    <m/>
  </r>
  <r>
    <x v="0"/>
    <s v="Contratos"/>
    <s v="Atividades"/>
    <n v="6074202000035720"/>
    <x v="0"/>
    <s v="34.10.14.243.3013.2.157.33903900.00.1.500.9001.0"/>
    <s v="CT"/>
    <s v="143/SMDHC/2022"/>
    <s v="Telefonia Fixa - Conselho Tutelar"/>
    <s v="TELEFONICA BRASIL SA"/>
    <d v="2026-10-26T00:00:00"/>
    <n v="108901.5"/>
    <n v="9075.1299999999992"/>
    <n v="9075.1299999999992"/>
    <n v="9075.1299999999992"/>
    <n v="9075.1299999999992"/>
    <n v="9075.1299999999992"/>
    <n v="9075.1299999999992"/>
    <n v="9075.1299999999992"/>
    <n v="9075.1299999999992"/>
    <n v="9075.1299999999992"/>
    <n v="9075.1299999999992"/>
    <n v="9075.1299999999992"/>
    <n v="9075.1299999999992"/>
    <n v="9075.1299999999992"/>
  </r>
  <r>
    <x v="0"/>
    <s v="Contratos"/>
    <s v="Atividades"/>
    <n v="6074202000035890"/>
    <x v="0"/>
    <s v="34.10.14.243.3013.2.157.33903700.00.1.500.9001.0"/>
    <s v="CT"/>
    <s v="143/SMDHC/2022"/>
    <s v="Central de Monitoramento Remoto"/>
    <s v="RUBY PROTEÇÃO E MONITORAMENTO LTDA"/>
    <d v="2026-10-28T00:00:00"/>
    <n v="277973.28000000003"/>
    <n v="26123.86"/>
    <n v="24644.15"/>
    <n v="24644.15"/>
    <n v="24644.15"/>
    <n v="24644.15"/>
    <n v="24644.15"/>
    <n v="24644.15"/>
    <n v="24644.15"/>
    <n v="24644.15"/>
    <n v="24644.15"/>
    <n v="24644.15"/>
    <n v="26123.86"/>
    <n v="26123.86"/>
  </r>
  <r>
    <x v="0"/>
    <s v="Contratos"/>
    <s v="Atividades"/>
    <n v="6074202000037450"/>
    <x v="1"/>
    <s v="34.10.14.243.3013.2.157.33903900.00.1.500.9001.0"/>
    <s v="CT"/>
    <s v="049/SMDHC/2020"/>
    <s v="Locação Conselho Pirituba"/>
    <s v="ESCRITORIO IMOBILIARIO ALMEIDA FLORES LTDA"/>
    <d v="2026-09-27T00:00:00"/>
    <n v="53275.6"/>
    <n v="4626.3"/>
    <n v="4346.3"/>
    <n v="4346.3"/>
    <n v="4346.3"/>
    <n v="4346.3"/>
    <n v="4346.3"/>
    <n v="4346.3"/>
    <n v="4346.3"/>
    <n v="4346.3"/>
    <n v="4626.3"/>
    <n v="4626.3"/>
    <n v="4626.3"/>
    <n v="4626.3"/>
  </r>
  <r>
    <x v="0"/>
    <s v="Contratos"/>
    <s v="Atividades"/>
    <n v="6074202000037450"/>
    <x v="1"/>
    <s v="34.10.14.243.3013.2.157.33903900.00.1.500.9001.0"/>
    <s v="CT"/>
    <s v="049/SMDHC/2020"/>
    <s v="IPTU Conselho Pirituba"/>
    <s v="ESCRITORIO IMOBILIARIO ALMEIDA FLORES LTDA"/>
    <d v="2026-09-27T00:00:00"/>
    <n v="23200"/>
    <m/>
    <m/>
    <n v="2320"/>
    <n v="2320"/>
    <n v="2320"/>
    <n v="2320"/>
    <n v="2320"/>
    <n v="2320"/>
    <n v="2320"/>
    <n v="2320"/>
    <n v="2320"/>
    <n v="2320"/>
    <m/>
  </r>
  <r>
    <x v="0"/>
    <s v="Contratos"/>
    <s v="Atividades"/>
    <n v="6074202000039610"/>
    <x v="0"/>
    <s v="34.10.14.243.3013.2.157.33903900.00.1.500.9001.0"/>
    <s v="CT"/>
    <s v="143/SMDHC/2022"/>
    <s v="Serviços de PABX - CT"/>
    <s v="RA TELECOM LTDA"/>
    <d v="2026-11-02T00:00:00"/>
    <n v="96932.160000000003"/>
    <n v="6448.52"/>
    <n v="8609.56"/>
    <n v="8609.56"/>
    <n v="8609.56"/>
    <n v="8609.56"/>
    <n v="8609.56"/>
    <n v="8609.56"/>
    <n v="8609.56"/>
    <n v="8609.56"/>
    <n v="8609.56"/>
    <n v="8609.56"/>
    <n v="9125.44"/>
    <n v="9125.44"/>
  </r>
  <r>
    <x v="0"/>
    <s v="Contratos"/>
    <s v="Atividades"/>
    <n v="6074202100003880"/>
    <x v="0"/>
    <s v="34.10.14.243.3013.2.157.33903900.00.1.500.9001.0"/>
    <s v="CT"/>
    <s v="322/SMDHC2021"/>
    <s v="Locação de máquinas de Café CT"/>
    <s v="PIERCOFFEE BR SERVICES FACILITIES LTDA"/>
    <d v="2026-11-23T00:00:00"/>
    <n v="65200"/>
    <n v="5800"/>
    <n v="5400"/>
    <n v="5400"/>
    <n v="5400"/>
    <n v="5400"/>
    <n v="5400"/>
    <n v="5400"/>
    <n v="5400"/>
    <n v="5400"/>
    <n v="5400"/>
    <n v="5400"/>
    <n v="5400"/>
    <n v="5800"/>
  </r>
  <r>
    <x v="0"/>
    <s v="Contratos"/>
    <s v="Atividades"/>
    <n v="6074202100003880"/>
    <x v="0"/>
    <s v="34.10.14.243.3013.2.157.33903900.00.1.500.9001.0"/>
    <s v="CT"/>
    <s v="323/SMDHC/2021"/>
    <s v="Locação de máquinas de Café CT"/>
    <s v="GRAN COFFEE COMERCIO LOCACAO E SERVICOS S.A."/>
    <d v="2026-11-23T00:00:00"/>
    <n v="483200"/>
    <n v="43200"/>
    <n v="40000"/>
    <n v="40000"/>
    <n v="40000"/>
    <n v="40000"/>
    <n v="40000"/>
    <n v="40000"/>
    <n v="40000"/>
    <n v="40000"/>
    <n v="40000"/>
    <n v="40000"/>
    <n v="40000"/>
    <n v="43200"/>
  </r>
  <r>
    <x v="0"/>
    <s v="Contratos"/>
    <s v="Atividades"/>
    <n v="6074202100014100"/>
    <x v="1"/>
    <s v="34.10.14.243.3013.2.157.33903600.00.1.500.9001.0"/>
    <s v="CT"/>
    <s v="082/SMDHC/2021"/>
    <s v="Locação Conselho Sacomã"/>
    <s v="RITA DE CASSIA HIPOLIDI"/>
    <d v="2026-05-11T00:00:00"/>
    <n v="63863.24"/>
    <n v="4100"/>
    <n v="5103.2700000000004"/>
    <n v="5103.2700000000004"/>
    <n v="5103.2700000000004"/>
    <n v="5103.2700000000004"/>
    <n v="5431.27"/>
    <n v="5431.27"/>
    <n v="5431.27"/>
    <n v="5431.27"/>
    <n v="5431.27"/>
    <n v="5431.27"/>
    <n v="5431.27"/>
    <n v="5431.27"/>
  </r>
  <r>
    <x v="0"/>
    <s v="Contratos"/>
    <s v="Atividades"/>
    <n v="6074202100014100"/>
    <x v="1"/>
    <s v="34.10.14.243.3013.2.157.33903600.00.1.500.9001.0"/>
    <s v="CT"/>
    <s v="082/SMDHC/2021"/>
    <s v="IPTU Conselho Sacomã"/>
    <s v="RITA DE CASSIA HIPOLIDI"/>
    <d v="2026-05-11T00:00:00"/>
    <n v="1700"/>
    <n v="1700"/>
    <n v="0"/>
    <n v="170"/>
    <n v="170"/>
    <n v="170"/>
    <n v="170"/>
    <n v="170"/>
    <n v="170"/>
    <n v="170"/>
    <n v="170"/>
    <n v="170"/>
    <n v="170"/>
    <n v="0"/>
  </r>
  <r>
    <x v="0"/>
    <s v="Contratos"/>
    <s v="Atividades"/>
    <n v="6074202100014100"/>
    <x v="1"/>
    <s v="34.10.14.243.3013.2.157.33903600.00.1.500.9001.0"/>
    <s v="CT"/>
    <s v="082/SMDHC/2021"/>
    <s v="Reembolso de  Seguro Contra Incendio- Conselho Sacomã"/>
    <s v="RITA DE CASSIA HIPOLIDI"/>
    <d v="2026-05-11T00:00:00"/>
    <n v="1200"/>
    <n v="100"/>
    <n v="0"/>
    <n v="0"/>
    <n v="350"/>
    <n v="0"/>
    <n v="0"/>
    <n v="0"/>
    <n v="0"/>
    <n v="0"/>
    <n v="0"/>
    <n v="0"/>
    <n v="0"/>
    <n v="0"/>
  </r>
  <r>
    <x v="0"/>
    <s v="Contratos"/>
    <s v="Atividades"/>
    <n v="6074202100023310"/>
    <x v="0"/>
    <s v="34.10.14.243.3013.2.157.33903900.00.1.500.9001.0"/>
    <s v="CT"/>
    <s v="143/SMDHC/2022"/>
    <s v="Serviços de infraestrutura de rede - Conselho Tutelar"/>
    <s v="SAGAZ SERVIÇOS E COMÉRCIO DE EQUIPAMENTOS"/>
    <d v="2026-12-14T00:00:00"/>
    <n v="997082.96"/>
    <n v="89143.18"/>
    <n v="82539.98"/>
    <n v="82539.98"/>
    <n v="82539.98"/>
    <n v="82539.98"/>
    <n v="82539.98"/>
    <n v="82539.98"/>
    <n v="82539.98"/>
    <n v="82539.98"/>
    <n v="82539.98"/>
    <n v="82539.98"/>
    <n v="82539.98"/>
    <n v="89143.18"/>
  </r>
  <r>
    <x v="0"/>
    <s v="Contratos"/>
    <s v="Atividades"/>
    <n v="6074202100030840"/>
    <x v="0"/>
    <s v="34.10.14.243.3013.2.157.33903900.00.1.500.9001.0"/>
    <s v="CT"/>
    <s v="143/SMDHC/2022"/>
    <s v="Serviço Móvel Pessoal"/>
    <s v="TIM S A"/>
    <d v="2026-08-01T00:00:00"/>
    <n v="396000"/>
    <n v="33000"/>
    <n v="33000"/>
    <n v="33000"/>
    <n v="33000"/>
    <n v="33000"/>
    <n v="33000"/>
    <n v="33000"/>
    <n v="33000"/>
    <n v="33000"/>
    <n v="33000"/>
    <n v="33000"/>
    <n v="33000"/>
    <n v="33000"/>
  </r>
  <r>
    <x v="0"/>
    <s v="Contratos"/>
    <s v="Atividades"/>
    <n v="6074202100037760"/>
    <x v="0"/>
    <s v="34.10.14.243.3013.2.157.33903900.00.1.500.9001.0"/>
    <s v="CT"/>
    <s v="192/SMDHC/2021"/>
    <s v="Locação de vagas garagem"/>
    <s v="Guarda de Veículos JDN Ltda."/>
    <d v="2026-08-19T00:00:00"/>
    <n v="38463.599999999999"/>
    <n v="5517.8"/>
    <n v="6410.6"/>
    <n v="6852.02"/>
    <n v="6852.02"/>
    <n v="6852.02"/>
    <n v="6852.02"/>
    <n v="6852.02"/>
    <n v="6852.02"/>
    <n v="7839.92"/>
    <n v="7839.92"/>
    <n v="7839.92"/>
    <n v="7839.92"/>
    <n v="7839.92"/>
  </r>
  <r>
    <x v="0"/>
    <s v="Contratos"/>
    <s v="Atividades"/>
    <n v="6074202100041150"/>
    <x v="0"/>
    <s v="34.10.14.243.3013.2.157.33903900.00.1.500.9001.0"/>
    <s v="CT"/>
    <s v="286/SMDHC/2021"/>
    <s v="Locação de microcomputadores tipo desktop"/>
    <s v="RPC INFORMATICA LTDA"/>
    <d v="2026-11-17T00:00:00"/>
    <n v="1198631.2"/>
    <n v="105224.6"/>
    <n v="98818.2"/>
    <n v="98818.2"/>
    <n v="98818.2"/>
    <n v="98818.2"/>
    <n v="98818.2"/>
    <n v="98818.2"/>
    <n v="98818.2"/>
    <n v="98818.2"/>
    <n v="98818.2"/>
    <n v="98818.2"/>
    <n v="105224.6"/>
    <n v="105224.6"/>
  </r>
  <r>
    <x v="0"/>
    <s v="Contratos"/>
    <s v="Atividades"/>
    <n v="6074202100043010"/>
    <x v="1"/>
    <s v="34.10.14.243.3013.2.157.33903600.00.1.500.9001.0"/>
    <s v="CT"/>
    <s v="224/SMDHC/2021"/>
    <s v="IPTU Conselho Butantã"/>
    <s v="Ivo Giunti Yoshioka"/>
    <d v="2026-09-23T00:00:00"/>
    <n v="8500"/>
    <n v="850"/>
    <m/>
    <n v="850"/>
    <n v="850"/>
    <n v="850"/>
    <n v="850"/>
    <n v="850"/>
    <n v="850"/>
    <n v="850"/>
    <n v="850"/>
    <n v="850"/>
    <n v="850"/>
    <m/>
  </r>
  <r>
    <x v="0"/>
    <s v="Contratos"/>
    <s v="Atividades"/>
    <n v="6074202100043010"/>
    <x v="1"/>
    <s v="34.10.14.243.3013.2.157.33903600.00.1.500.9001.0"/>
    <s v="CT"/>
    <s v="224/SMDHC/2021"/>
    <s v="Locação Conselho Butantã"/>
    <s v="Ivo Giunti Yoshioka"/>
    <d v="2026-09-23T00:00:00"/>
    <n v="75495.759999999995"/>
    <n v="6557.98"/>
    <n v="6157.98"/>
    <n v="6157.98"/>
    <n v="6157.98"/>
    <n v="6157.98"/>
    <n v="6157.98"/>
    <n v="6157.98"/>
    <n v="6157.98"/>
    <n v="6157.98"/>
    <n v="6557.98"/>
    <n v="6557.98"/>
    <n v="6557.98"/>
    <n v="6557.98"/>
  </r>
  <r>
    <x v="0"/>
    <s v="Contratos"/>
    <s v="Atividades"/>
    <n v="6074202100043010"/>
    <x v="1"/>
    <s v="34.10.14.243.3013.2.157.33903900.00.1.500.9001.0"/>
    <s v="CT"/>
    <s v="224/SMDHC/2021"/>
    <s v="Reembolso de Seguro Contra Incendio Conselho Butantã"/>
    <s v="Ivo Giunti Yoshioka"/>
    <d v="2026-09-23T00:00:00"/>
    <n v="1200"/>
    <n v="100"/>
    <m/>
    <n v="700"/>
    <n v="0"/>
    <n v="0"/>
    <n v="0"/>
    <n v="0"/>
    <n v="0"/>
    <n v="0"/>
    <n v="850"/>
    <n v="850"/>
    <n v="0"/>
    <m/>
  </r>
  <r>
    <x v="0"/>
    <s v="Contratos"/>
    <s v="Atividades"/>
    <n v="6074202100043970"/>
    <x v="1"/>
    <s v="34.10.14.243.3013.2.157.33903900.00.1.500.9001.0"/>
    <s v="CT"/>
    <s v="139/SMDHC/2022"/>
    <s v="Locação Conselho Cidade Lider"/>
    <s v="AVALIZAR ADMINISTRADORA"/>
    <d v="2026-08-03T00:00:00"/>
    <n v="70408"/>
    <n v="5364.5"/>
    <n v="5364.5"/>
    <n v="5364.5"/>
    <n v="5364.5"/>
    <n v="5364.5"/>
    <n v="5364.5"/>
    <n v="6226.5"/>
    <n v="6226.5"/>
    <n v="6226.5"/>
    <n v="6226.5"/>
    <n v="6226.5"/>
    <n v="6226.5"/>
    <n v="6226.5"/>
  </r>
  <r>
    <x v="0"/>
    <s v="Contratos"/>
    <s v="Atividades"/>
    <n v="6074202100043970"/>
    <x v="1"/>
    <s v="34.10.14.243.3013.2.157.33903900.00.1.500.9001.0"/>
    <s v="CT"/>
    <s v="139/SMDHC/2022"/>
    <s v="IPTU Cidade Lider"/>
    <s v="AVALIZAR ADMINISTRADORA"/>
    <d v="2026-08-03T00:00:00"/>
    <n v="3850"/>
    <n v="385"/>
    <m/>
    <n v="385"/>
    <n v="385"/>
    <n v="385"/>
    <n v="385"/>
    <n v="385"/>
    <n v="385"/>
    <n v="385"/>
    <n v="385"/>
    <n v="385"/>
    <n v="385"/>
    <m/>
  </r>
  <r>
    <x v="0"/>
    <s v="Contratos"/>
    <s v="Atividades"/>
    <n v="6074202100053370"/>
    <x v="1"/>
    <s v="34.10.14.243.3013.2.157.33903600.00.1.500.9001.0"/>
    <s v="CT"/>
    <s v="075/SMDHC/2023"/>
    <s v="Locação Conselho Ermelino Matarazzo"/>
    <s v="MASATOSHI/ TIEKO YOSHIMOTO SAGA"/>
    <d v="2026-04-18T00:00:00"/>
    <n v="72194.34"/>
    <n v="5293.33"/>
    <n v="5698.57"/>
    <n v="5698.57"/>
    <n v="5698.57"/>
    <n v="6122.07"/>
    <n v="6122.07"/>
    <n v="6122.07"/>
    <n v="6122.07"/>
    <n v="6122.07"/>
    <n v="6122.07"/>
    <n v="6122.07"/>
    <n v="6122.07"/>
    <n v="6122.07"/>
  </r>
  <r>
    <x v="0"/>
    <s v="Contratos"/>
    <s v="Atividades"/>
    <n v="6074202100053370"/>
    <x v="1"/>
    <s v="34.10.14.243.3013.2.157.33903600.00.1.500.9001.0"/>
    <s v="CT"/>
    <s v="075/SMDHC/2023"/>
    <s v="IPTU Conselho Ermelino Matarazzo"/>
    <s v="MASATOSHI/ TIEKO YOSHIMOTO SAGA"/>
    <d v="2026-04-18T00:00:00"/>
    <n v="3000"/>
    <n v="300"/>
    <m/>
    <n v="300"/>
    <n v="300"/>
    <n v="300"/>
    <n v="300"/>
    <n v="300"/>
    <n v="300"/>
    <n v="300"/>
    <n v="300"/>
    <n v="300"/>
    <n v="300"/>
    <m/>
  </r>
  <r>
    <x v="0"/>
    <s v="Contratos"/>
    <s v="Atividades"/>
    <n v="6074202100053370"/>
    <x v="1"/>
    <s v="34.10.14.243.3013.2.157.33903600.00.1.500.9001.0"/>
    <s v="CT"/>
    <s v="075/SMDHC/2023"/>
    <s v="Reembolso de Segueo Contra Incendio - Conselho Ermelino Matarazzo"/>
    <s v="MASATOSHI/ TIEKO YOSHIMOTO SAGA"/>
    <d v="2026-04-18T00:00:00"/>
    <n v="1200"/>
    <n v="100"/>
    <m/>
    <m/>
    <m/>
    <m/>
    <m/>
    <n v="350"/>
    <m/>
    <m/>
    <m/>
    <m/>
    <m/>
    <m/>
  </r>
  <r>
    <x v="0"/>
    <s v="Contratos"/>
    <s v="Atividades"/>
    <n v="6074202100058360"/>
    <x v="1"/>
    <s v="34.10.14.243.3013.2.157.33903600.00.1.500.9001.0"/>
    <s v="CT"/>
    <s v="257/SMDHC/2021"/>
    <s v="IPTU Conselho Tremembé"/>
    <s v="PEDRO TEDI BARBOSA BRAGA"/>
    <d v="2026-10-14T00:00:00"/>
    <n v="1100"/>
    <m/>
    <m/>
    <n v="110"/>
    <n v="110"/>
    <n v="110"/>
    <n v="110"/>
    <n v="110"/>
    <n v="110"/>
    <n v="110"/>
    <n v="110"/>
    <n v="110"/>
    <n v="110"/>
    <n v="0"/>
  </r>
  <r>
    <x v="0"/>
    <s v="Contratos"/>
    <s v="Atividades"/>
    <n v="6074202100058360"/>
    <x v="1"/>
    <s v="34.10.14.243.3013.2.157.33903600.00.1.500.9001.0"/>
    <s v="CT"/>
    <s v="257/SMDHC/2021"/>
    <s v="Locação Conselho Tremembé"/>
    <s v="PEDRO TEDI BARBOSA BRAGA"/>
    <d v="2026-10-14T00:00:00"/>
    <n v="54012.480000000003"/>
    <n v="4723.04"/>
    <n v="4427.04"/>
    <n v="4427.04"/>
    <n v="4427.04"/>
    <n v="4427.04"/>
    <n v="4427.04"/>
    <n v="4427.04"/>
    <n v="4427.04"/>
    <n v="4427.04"/>
    <n v="4427.04"/>
    <n v="4723.04"/>
    <n v="4723.04"/>
    <n v="4723.04"/>
  </r>
  <r>
    <x v="0"/>
    <s v="Contratos"/>
    <s v="Atividades"/>
    <n v="6074202100058360"/>
    <x v="1"/>
    <s v="34.10.14.243.3013.2.157.33903600.00.1.500.9001.0"/>
    <s v="CT"/>
    <s v="257/SMDHC/2021"/>
    <s v="Reembolso de Seguro Contra Incendio - Conselho Tremembé"/>
    <s v="PEDRO TEDI BARBOSA BRAGA"/>
    <d v="2026-10-14T00:00:00"/>
    <n v="1200"/>
    <n v="100"/>
    <n v="0"/>
    <n v="350"/>
    <n v="0"/>
    <n v="0"/>
    <n v="0"/>
    <n v="0"/>
    <n v="0"/>
    <n v="0"/>
    <n v="0"/>
    <n v="0"/>
    <n v="0"/>
    <n v="0"/>
  </r>
  <r>
    <x v="0"/>
    <s v="Contratos"/>
    <s v="Atividades"/>
    <n v="6074202100065480"/>
    <x v="1"/>
    <s v="34.10.14.243.3013.2.157.33903600.00.1.500.9001.0"/>
    <s v="CT"/>
    <s v="003/SMDHC/2022"/>
    <s v="Locação Conselho Brasilândia "/>
    <s v="JOSE ANTONIO FLORIO"/>
    <d v="2026-02-01T00:00:00"/>
    <n v="66141"/>
    <n v="4500"/>
    <n v="5181.75"/>
    <n v="5541.75"/>
    <n v="5541.75"/>
    <n v="5541.75"/>
    <n v="5541.75"/>
    <n v="5541.75"/>
    <n v="5541.75"/>
    <n v="5541.75"/>
    <n v="5541.75"/>
    <n v="5541.75"/>
    <n v="5541.75"/>
    <n v="5541.75"/>
  </r>
  <r>
    <x v="0"/>
    <s v="Contratos"/>
    <s v="Atividades"/>
    <n v="6074202100065480"/>
    <x v="1"/>
    <s v="34.10.14.243.3013.2.157.33903600.00.1.500.9001.0"/>
    <s v="CT"/>
    <s v="003/SMDHC/2022"/>
    <s v="IPTU Conselho Brasilândia "/>
    <s v="JOSE ANTONIO FLORIO"/>
    <d v="2026-02-01T00:00:00"/>
    <n v="5005"/>
    <m/>
    <m/>
    <n v="500.5"/>
    <n v="500.5"/>
    <n v="500.5"/>
    <n v="500.5"/>
    <n v="500.5"/>
    <n v="500.5"/>
    <n v="500.5"/>
    <n v="500.5"/>
    <n v="500.5"/>
    <n v="500.5"/>
    <m/>
  </r>
  <r>
    <x v="0"/>
    <s v="Contratos"/>
    <s v="Atividades"/>
    <n v="6074202100065810"/>
    <x v="1"/>
    <s v="34.10.14.243.3013.2.157.33903600.00.1.500.9001.0"/>
    <s v="CT"/>
    <s v="338/SMDHC/2022"/>
    <s v="IPTU Conselho São Rafael"/>
    <s v="Manoel de Araujo Neto"/>
    <d v="2026-12-25T00:00:00"/>
    <n v="150"/>
    <n v="150"/>
    <m/>
    <n v="150"/>
    <m/>
    <s v="R$                        -  "/>
    <m/>
    <m/>
    <m/>
    <m/>
    <m/>
    <m/>
    <m/>
    <m/>
  </r>
  <r>
    <x v="0"/>
    <s v="Contratos"/>
    <s v="Atividades"/>
    <n v="6074202100065810"/>
    <x v="1"/>
    <s v="34.10.14.243.3013.2.157.33903600.00.1.500.9001.0"/>
    <s v="CT"/>
    <s v="338/SMDHC/2022"/>
    <s v="Locação Conselho São Rafael"/>
    <s v="Manoel de Araujo Neto"/>
    <d v="2026-12-25T00:00:00"/>
    <n v="77832.639999999999"/>
    <n v="6832.72"/>
    <n v="6416.72"/>
    <n v="6416.72"/>
    <n v="6416.72"/>
    <n v="6416.72"/>
    <n v="6416.72"/>
    <n v="6416.72"/>
    <n v="6416.72"/>
    <n v="6416.72"/>
    <n v="6416.72"/>
    <n v="6416.72"/>
    <n v="6832.72"/>
    <n v="6832.72"/>
  </r>
  <r>
    <x v="0"/>
    <s v="Contratos"/>
    <s v="Atividades"/>
    <n v="6074202100065810"/>
    <x v="1"/>
    <s v="34.10.14.243.3013.2.157.33903600.00.1.500.9001.0"/>
    <s v="CT"/>
    <s v="338/SMDHC/2022"/>
    <s v="Reembolso de Seguro Contra Incendio Conselho São Rafael"/>
    <s v="Manoel de Araujo Neto"/>
    <d v="2026-12-25T00:00:00"/>
    <n v="1200"/>
    <n v="100"/>
    <n v="0"/>
    <s v="R$                        -  "/>
    <m/>
    <s v="R$                        -  "/>
    <m/>
    <m/>
    <m/>
    <m/>
    <m/>
    <m/>
    <m/>
    <n v="200"/>
  </r>
  <r>
    <x v="0"/>
    <s v="Contratos"/>
    <s v="Atividades"/>
    <n v="6074202100066240"/>
    <x v="1"/>
    <s v="34.10.14.243.3013.2.157.33903600.00.1.500.9001.0"/>
    <s v="CT"/>
    <s v="143/SMDHC/2022"/>
    <s v="Locação Conselho Lajeado"/>
    <s v="Ademir do Sacramento"/>
    <d v="2026-07-06T00:00:00"/>
    <n v="66988.800000000003"/>
    <n v="4800"/>
    <n v="5390.4"/>
    <n v="5390.4"/>
    <n v="5390.4"/>
    <n v="5390.4"/>
    <n v="5390.4"/>
    <n v="5390.4"/>
    <n v="5774.4"/>
    <n v="5774.4"/>
    <n v="5774.4"/>
    <n v="5774.4"/>
    <n v="5774.4"/>
    <n v="5774.4"/>
  </r>
  <r>
    <x v="0"/>
    <s v="Contratos"/>
    <s v="Atividades"/>
    <n v="6074202100066240"/>
    <x v="1"/>
    <s v="34.10.14.243.3013.2.157.33903600.00.1.500.9001.0"/>
    <s v="CT"/>
    <s v="143/SMDHC/2022"/>
    <s v="IPTU Conselho Lajeado"/>
    <s v="Ademir do Sacramento"/>
    <d v="2026-07-06T00:00:00"/>
    <n v="600"/>
    <n v="0"/>
    <n v="0"/>
    <n v="60"/>
    <n v="60"/>
    <n v="60"/>
    <n v="60"/>
    <n v="60"/>
    <n v="60"/>
    <n v="60"/>
    <n v="60"/>
    <n v="60"/>
    <n v="60"/>
    <n v="0"/>
  </r>
  <r>
    <x v="0"/>
    <s v="Contratos"/>
    <s v="Atividades"/>
    <n v="6074202100066240"/>
    <x v="1"/>
    <s v="34.10.14.243.3013.2.157.33903600.00.1.500.9001.0"/>
    <s v="CT"/>
    <s v="143/SMDHC/2022"/>
    <s v="Reembolso de Seguro Contra Incendio -Conselho Lajeado"/>
    <s v="Ademir do Sacramento"/>
    <d v="2026-07-06T00:00:00"/>
    <n v="1200"/>
    <n v="100"/>
    <n v="0"/>
    <n v="0"/>
    <n v="0"/>
    <n v="0"/>
    <n v="0"/>
    <n v="0"/>
    <n v="0"/>
    <n v="350"/>
    <n v="0"/>
    <n v="0"/>
    <n v="0"/>
    <n v="0"/>
  </r>
  <r>
    <x v="0"/>
    <s v="Contratos"/>
    <s v="Atividades"/>
    <n v="6074202100078260"/>
    <x v="1"/>
    <s v="34.10.14.243.3013.2.157.33903600.00.1.500.9001.0"/>
    <s v="CT"/>
    <s v="351/SMDHC/2021"/>
    <s v="Locação Conselho Aricanduva"/>
    <s v="CIBELE PEREIRA COSTA"/>
    <d v="2026-12-15T00:00:00"/>
    <n v="96728.52"/>
    <n v="8620.7099999999991"/>
    <n v="8620.7099999999991"/>
    <n v="8620.7099999999991"/>
    <n v="8620.7099999999991"/>
    <n v="8620.7099999999991"/>
    <n v="8620.7099999999991"/>
    <n v="8620.7099999999991"/>
    <n v="8620.7099999999991"/>
    <n v="8620.7099999999991"/>
    <n v="8620.7099999999991"/>
    <n v="8620.7099999999991"/>
    <n v="8620.7099999999991"/>
    <n v="9180.7099999999991"/>
  </r>
  <r>
    <x v="0"/>
    <s v="Contratos"/>
    <s v="Atividades"/>
    <n v="6074202100078260"/>
    <x v="1"/>
    <s v="34.10.14.243.3013.2.157.33903600.00.1.500.9001.0"/>
    <s v="CT"/>
    <s v="351/SMDHC/2021"/>
    <s v="IPTU Conselho Aricanduva"/>
    <s v="CIBELE PEREIRA COSTA"/>
    <d v="2026-12-15T00:00:00"/>
    <n v="8000"/>
    <n v="0"/>
    <n v="0"/>
    <n v="8000"/>
    <n v="0"/>
    <n v="0"/>
    <n v="0"/>
    <n v="0"/>
    <n v="0"/>
    <n v="0"/>
    <n v="0"/>
    <n v="0"/>
    <n v="0"/>
    <n v="0"/>
  </r>
  <r>
    <x v="0"/>
    <s v="Contratos"/>
    <s v="Atividades"/>
    <n v="6074202100078260"/>
    <x v="1"/>
    <s v="34.10.14.243.3013.2.157.33903600.00.1.500.9001.0"/>
    <s v="CT"/>
    <s v="351/SMDHC/2021"/>
    <s v="Reembolso de Seguro Contra Incendio Conselho Aricanduva"/>
    <s v="CIBELE PEREIRA COSTA"/>
    <d v="2026-12-15T00:00:00"/>
    <n v="1200"/>
    <n v="100"/>
    <n v="0"/>
    <n v="350"/>
    <n v="0"/>
    <n v="0"/>
    <n v="0"/>
    <n v="0"/>
    <n v="0"/>
    <n v="0"/>
    <n v="0"/>
    <n v="0"/>
    <n v="0"/>
    <n v="0"/>
  </r>
  <r>
    <x v="0"/>
    <s v="Contratos"/>
    <s v="Atividades"/>
    <n v="6074202100079440"/>
    <x v="0"/>
    <s v="34.10.14.243.3013.2.157.33903900.00.1.500.9001.0"/>
    <s v="CT"/>
    <s v="145/SMDHC/2022"/>
    <s v="Serviços de Limpeza, Asseio e Conservação Predial 52 Conselhos Tutelares"/>
    <s v="Clean4 Serviços gerais e administrativos Eirelli ME"/>
    <d v="2026-09-11T00:00:00"/>
    <n v="3261393.76"/>
    <n v="284106.71999999997"/>
    <n v="265620.86"/>
    <n v="265620.86"/>
    <n v="265620.86"/>
    <n v="265620.86"/>
    <n v="265620.86"/>
    <n v="265620.86"/>
    <n v="265620.86"/>
    <n v="265620.86"/>
    <n v="284106.71999999997"/>
    <n v="284106.71999999997"/>
    <n v="284106.71999999997"/>
    <n v="284106.71999999997"/>
  </r>
  <r>
    <x v="0"/>
    <s v="Contratos"/>
    <s v="Atividades"/>
    <n v="6074202100086750"/>
    <x v="0"/>
    <s v="34.10.14.243.3013.2.157.33903900.00.1.500.9001.0"/>
    <s v="CT"/>
    <n v="9912565743"/>
    <s v="Serviços Postais - Conselho Tutelar"/>
    <s v="EMPRESA BRASILEIRA DE CORREIOS E TELEGRAFOS"/>
    <d v="2026-02-01T00:00:00"/>
    <n v="624000"/>
    <n v="52000"/>
    <n v="30000"/>
    <n v="30000"/>
    <n v="30000"/>
    <n v="30000"/>
    <n v="30000"/>
    <n v="30000"/>
    <n v="30000"/>
    <n v="30000"/>
    <n v="30000"/>
    <n v="30000"/>
    <n v="30000"/>
    <n v="30000"/>
  </r>
  <r>
    <x v="0"/>
    <s v="Contratos"/>
    <s v="Atividades"/>
    <n v="6074202200013810"/>
    <x v="1"/>
    <s v="34.10.14.243.3013.2.157.33903600.00.1.500.9001.0"/>
    <s v="CT"/>
    <s v="070/SMDHC/2022"/>
    <s v="Locação Conselho Cidade Ademar"/>
    <s v="Renata / Ricardo / Ronaldo"/>
    <d v="2026-04-03T00:00:00"/>
    <n v="86047.2"/>
    <n v="7290.6"/>
    <n v="6810.6"/>
    <n v="6810.6"/>
    <n v="6810.6"/>
    <n v="7290.6"/>
    <n v="7290.6"/>
    <n v="7290.6"/>
    <n v="7290.6"/>
    <n v="7290.6"/>
    <n v="7290.6"/>
    <n v="7290.6"/>
    <n v="7290.6"/>
    <n v="7290.6"/>
  </r>
  <r>
    <x v="0"/>
    <s v="Contratos"/>
    <s v="Atividades"/>
    <n v="6074202200013810"/>
    <x v="1"/>
    <s v="34.10.14.243.3013.2.157.33903600.00.1.500.9001.0"/>
    <s v="CT"/>
    <s v="070/SMDHC/2022"/>
    <s v="IPTU Conselho Cidade Ademar"/>
    <s v="Renata / Ricardo / Ronaldo"/>
    <d v="2026-04-03T00:00:00"/>
    <n v="9500"/>
    <n v="950"/>
    <n v="0"/>
    <n v="950"/>
    <n v="950"/>
    <n v="950"/>
    <n v="950"/>
    <n v="950"/>
    <n v="950"/>
    <n v="950"/>
    <n v="950"/>
    <n v="950"/>
    <n v="950"/>
    <m/>
  </r>
  <r>
    <x v="0"/>
    <s v="Contratos"/>
    <s v="Atividades"/>
    <n v="6074202200024380"/>
    <x v="1"/>
    <s v="34.10.14.243.3013.2.157.33903900.00.1.500.9001.0"/>
    <s v="CT"/>
    <s v="294/SMDHC/2023"/>
    <s v="Condomínio - Conselho Bela Vista"/>
    <s v="PROVINCIA CARMELITANA FLUMINENSE"/>
    <d v="2026-09-10T00:00:00"/>
    <n v="38000"/>
    <n v="3500"/>
    <n v="3000"/>
    <n v="3000"/>
    <n v="3000"/>
    <n v="3000"/>
    <n v="3000"/>
    <n v="3000"/>
    <n v="3000"/>
    <n v="3000"/>
    <n v="3500"/>
    <n v="3500"/>
    <n v="3500"/>
    <n v="3500"/>
  </r>
  <r>
    <x v="0"/>
    <s v="Contratos"/>
    <s v="Atividades"/>
    <n v="6074202200024380"/>
    <x v="1"/>
    <s v="34.10.14.243.3013.2.157.33903900.00.1.500.9001.0"/>
    <s v="CT"/>
    <s v="294/SMDHC/2023"/>
    <s v="IPTU - Conselho Bela Vista"/>
    <s v="PROVINCIA CARMELITANA FLUMINENSE"/>
    <d v="2026-09-10T00:00:00"/>
    <n v="11000"/>
    <n v="1100"/>
    <n v="1100"/>
    <n v="1100"/>
    <n v="1100"/>
    <n v="1100"/>
    <n v="1100"/>
    <n v="1100"/>
    <n v="1100"/>
    <n v="1100"/>
    <n v="1100"/>
    <n v="1100"/>
    <s v="R$                        -  "/>
    <s v=" R$                             -  "/>
  </r>
  <r>
    <x v="0"/>
    <s v="Contratos"/>
    <s v="Atividades"/>
    <n v="6074202200024380"/>
    <x v="1"/>
    <s v="34.10.14.243.3013.2.157.33903900.00.1.500.9001.0"/>
    <s v="CT"/>
    <s v="294/SMDHC/2023"/>
    <s v="Locação - Conselho Bela Vista"/>
    <s v="PROVINCIA CARMELITANA FLUMINENSE"/>
    <d v="2025-09-10T00:00:00"/>
    <n v="82458.399999999994"/>
    <n v="7298.2"/>
    <n v="6658.2"/>
    <n v="6658.2"/>
    <n v="6658.2"/>
    <n v="6658.2"/>
    <n v="6658.2"/>
    <n v="6658.2"/>
    <n v="6658.2"/>
    <n v="6658.2"/>
    <n v="7298.2"/>
    <n v="7298.2"/>
    <n v="7298.2"/>
    <n v="7298.2"/>
  </r>
  <r>
    <x v="0"/>
    <s v="Contratos"/>
    <s v="Atividades"/>
    <n v="6074202200059300"/>
    <x v="1"/>
    <s v="34.10.14.243.3013.2.157.33903600.00.1.500.9001.0"/>
    <s v="CT"/>
    <s v="072/SMDHC/2023"/>
    <s v="IPTU Conselho Jaraguá"/>
    <s v="SILVIA MARIA PALMAGNANI"/>
    <d v="2026-04-11T00:00:00"/>
    <n v="1600"/>
    <n v="160"/>
    <m/>
    <n v="160"/>
    <n v="160"/>
    <n v="160"/>
    <n v="160"/>
    <n v="160"/>
    <n v="160"/>
    <n v="160"/>
    <n v="160"/>
    <n v="160"/>
    <n v="160"/>
    <n v="0"/>
  </r>
  <r>
    <x v="0"/>
    <s v="Contratos"/>
    <s v="Atividades"/>
    <n v="6074202200059300"/>
    <x v="1"/>
    <s v="34.10.14.243.3013.2.157.33903600.00.1.500.9001.0"/>
    <s v="CT"/>
    <s v="072/SMDHC/2023"/>
    <s v="Locação Conselho Jaraguá"/>
    <s v="SILVIA MARIA PALMAGNANI"/>
    <d v="2026-04-11T00:00:00"/>
    <n v="54554.64"/>
    <n v="4626.22"/>
    <n v="4306.22"/>
    <n v="4306.22"/>
    <n v="4306.22"/>
    <n v="4626.22"/>
    <n v="4626.22"/>
    <n v="4626.22"/>
    <n v="4626.22"/>
    <n v="4626.22"/>
    <n v="4626.22"/>
    <n v="4626.22"/>
    <n v="4626.22"/>
    <n v="4626.22"/>
  </r>
  <r>
    <x v="0"/>
    <s v="Contratos"/>
    <s v="Atividades"/>
    <n v="6074202200059300"/>
    <x v="1"/>
    <s v="34.10.14.243.3013.2.157.33903600.00.1.500.9001.0"/>
    <s v="CT"/>
    <s v="072/SMDHC/2023"/>
    <s v="Reembolso de Seguro Contra Incendio Conselho Jaraguá"/>
    <s v="SILVIA MARIA PALMAGNANI"/>
    <d v="2026-04-11T00:00:00"/>
    <n v="1200"/>
    <n v="100"/>
    <n v="0"/>
    <n v="0"/>
    <n v="0"/>
    <n v="0"/>
    <n v="200"/>
    <n v="0"/>
    <n v="0"/>
    <n v="0"/>
    <n v="0"/>
    <n v="0"/>
    <n v="0"/>
    <n v="0"/>
  </r>
  <r>
    <x v="0"/>
    <s v="Contratos"/>
    <s v="Atividades"/>
    <n v="6074202200059570"/>
    <x v="1"/>
    <s v="34.10.14.243.3013.2.157.33903600.00.1.500.9001.0"/>
    <s v="CT"/>
    <s v="313/SMDHC/2023"/>
    <s v="Locação Conselho Curuçá"/>
    <s v="Ermoaci / Elizabeth"/>
    <d v="2026-09-11T00:00:00"/>
    <n v="59760"/>
    <n v="5220"/>
    <n v="4860"/>
    <n v="4860"/>
    <n v="4860"/>
    <n v="4860"/>
    <n v="4860"/>
    <n v="4860"/>
    <n v="4860"/>
    <n v="4860"/>
    <n v="5220"/>
    <n v="5220"/>
    <n v="5220"/>
    <n v="5220"/>
  </r>
  <r>
    <x v="0"/>
    <s v="Contratos"/>
    <s v="Atividades"/>
    <n v="6074202200059570"/>
    <x v="1"/>
    <s v="34.10.14.243.3013.2.157.33903900.00.1.500.9001.0"/>
    <s v="CT"/>
    <s v="313/SMDHC/2023"/>
    <s v="Reembolso de seguro contra incendio  Conselho Curuçá"/>
    <s v="Ermoaci / Elizabeth"/>
    <d v="2026-09-11T00:00:00"/>
    <n v="1200"/>
    <n v="100"/>
    <n v="0"/>
    <n v="0"/>
    <n v="0"/>
    <n v="0"/>
    <n v="0"/>
    <n v="0"/>
    <n v="0"/>
    <n v="0"/>
    <n v="0"/>
    <n v="0"/>
    <n v="200"/>
    <n v="0"/>
  </r>
  <r>
    <x v="0"/>
    <s v="Contratos"/>
    <s v="Atividades"/>
    <n v="6074202300019210"/>
    <x v="0"/>
    <s v="34.10.14.243.3013.2.157.33903900.00.1.500.9001.0"/>
    <s v="CT"/>
    <s v="143/SMDHC/2022"/>
    <s v="Passagens Aéreas Nacionais"/>
    <s v="LNX TRAVEL VIAGENS E TURISMO EIRELI"/>
    <d v="2026-03-27T00:00:00"/>
    <n v="20000"/>
    <n v="1666.67"/>
    <n v="1666.67"/>
    <n v="1666.67"/>
    <n v="1666.67"/>
    <n v="1666.67"/>
    <n v="1666.67"/>
    <n v="1666.67"/>
    <n v="1666.67"/>
    <n v="1666.67"/>
    <n v="1666.67"/>
    <n v="1666.67"/>
    <n v="1666.67"/>
    <n v="1666.67"/>
  </r>
  <r>
    <x v="0"/>
    <s v="Contratos"/>
    <s v="Atividades"/>
    <n v="6074202300020630"/>
    <x v="0"/>
    <s v="34.10.14.243.3013.2.157.33903300.00.1.500.9001.0"/>
    <s v="CT"/>
    <s v="143/SMDHC/2022"/>
    <s v="Passagens aéreas"/>
    <s v="ORLEANS VIAGENS E TURISMO LTDA"/>
    <d v="2026-07-02T00:00:00"/>
    <n v="30000"/>
    <n v="2500"/>
    <n v="2500"/>
    <n v="2500"/>
    <n v="2500"/>
    <n v="2500"/>
    <n v="2500"/>
    <n v="2500"/>
    <n v="2500"/>
    <n v="2500"/>
    <n v="2500"/>
    <n v="2500"/>
    <n v="2500"/>
    <n v="2500"/>
  </r>
  <r>
    <x v="0"/>
    <s v="Contratos"/>
    <s v="Atividades"/>
    <n v="6074202300026080"/>
    <x v="0"/>
    <s v="34.10.14.243.3013.2.157.33903900.00.1.500.9001.0"/>
    <s v="CT"/>
    <s v="152/SMDHC/2024"/>
    <s v="Locação de veículos com motoristas - CT"/>
    <s v="CS BRASIL TRANSPORTES DE PASSAGEIROS"/>
    <d v="2029-05-12T00:00:00"/>
    <n v="10880000"/>
    <n v="928000"/>
    <n v="864000"/>
    <n v="864000"/>
    <n v="864000"/>
    <n v="864000"/>
    <n v="928000"/>
    <n v="928000"/>
    <n v="928000"/>
    <n v="928000"/>
    <n v="928000"/>
    <n v="928000"/>
    <n v="928000"/>
    <n v="928000"/>
  </r>
  <r>
    <x v="0"/>
    <s v="Contratos"/>
    <s v="Atividades"/>
    <n v="6074202300028040"/>
    <x v="1"/>
    <s v="34.10.14.243.3013.2.157.33903900.00.1.500.9001.0"/>
    <s v="CT"/>
    <s v="140/SMDHC/2023"/>
    <s v="Locação Conselho Campo Limpo + Condominio"/>
    <s v="Aribisa Empreendimentos"/>
    <d v="2026-07-06T00:00:00"/>
    <n v="162976.07999999999"/>
    <n v="10950.48"/>
    <n v="13212.2"/>
    <n v="13212.2"/>
    <n v="13212.2"/>
    <n v="13212.2"/>
    <n v="13212.2"/>
    <n v="13212.2"/>
    <n v="13950.48"/>
    <n v="13950.48"/>
    <n v="13950.48"/>
    <n v="13950.48"/>
    <n v="13950.48"/>
    <n v="13950.48"/>
  </r>
  <r>
    <x v="0"/>
    <s v="Contratos"/>
    <s v="Atividades"/>
    <n v="6074202300028040"/>
    <x v="1"/>
    <s v="34.10.14.243.3013.2.157.33903900.00.1.500.9001.0"/>
    <s v="CT"/>
    <s v="140/SMDHC/2023"/>
    <s v="IPTU - Locação Conselho Campo Limpo"/>
    <s v="Aribisa Empreendimentos"/>
    <d v="2026-07-06T00:00:00"/>
    <n v="19000"/>
    <m/>
    <m/>
    <n v="1900"/>
    <n v="1900"/>
    <n v="1900"/>
    <n v="1900"/>
    <n v="1900"/>
    <n v="1900"/>
    <n v="1900"/>
    <n v="1900"/>
    <n v="1900"/>
    <n v="1900"/>
    <m/>
  </r>
  <r>
    <x v="0"/>
    <s v="Contratos"/>
    <s v="Atividades"/>
    <n v="6074202300028040"/>
    <x v="1"/>
    <s v="34.10.14.243.3013.2.157.33903900.00.1.500.9001.0"/>
    <s v="CT"/>
    <s v="140/SMDHC/2023"/>
    <s v="Reembolso Enel + Sabesp - Locação Conselho Campo Limpo"/>
    <s v="Aribisa Empreendimentos"/>
    <d v="2026-07-06T00:00:00"/>
    <n v="1200"/>
    <n v="100"/>
    <n v="1300"/>
    <n v="1300"/>
    <n v="1300"/>
    <n v="1300"/>
    <n v="1300"/>
    <n v="1300"/>
    <n v="1300"/>
    <n v="1300"/>
    <n v="1300"/>
    <n v="1300"/>
    <n v="1300"/>
    <n v="1300"/>
  </r>
  <r>
    <x v="0"/>
    <s v="Contratos"/>
    <s v="Atividades"/>
    <n v="6074202300031760"/>
    <x v="1"/>
    <s v="34.10.14.243.3013.2.157.33903600.00.1.500.9001.0"/>
    <s v="CT"/>
    <s v="313/SMDHC/2023"/>
    <s v="IPTU Jaçana"/>
    <s v="Maria / Armando"/>
    <d v="2026-09-17T00:00:00"/>
    <n v="3750"/>
    <n v="375"/>
    <n v="0"/>
    <n v="375"/>
    <n v="375"/>
    <n v="375"/>
    <n v="375"/>
    <n v="375"/>
    <n v="375"/>
    <n v="375"/>
    <n v="375"/>
    <n v="375"/>
    <n v="375"/>
    <m/>
  </r>
  <r>
    <x v="0"/>
    <s v="Contratos"/>
    <s v="Atividades"/>
    <n v="6074202300031760"/>
    <x v="1"/>
    <s v="34.10.14.243.3013.2.157.33903600.00.1.500.9001.0"/>
    <s v="CT"/>
    <s v="313/SMDHC/2023"/>
    <s v="Locação Conselho Jaçana"/>
    <s v="Maria / Armando"/>
    <d v="2026-09-17T00:00:00"/>
    <n v="63502"/>
    <n v="5558.5"/>
    <n v="5158.5"/>
    <n v="5158.5"/>
    <n v="5158.5"/>
    <n v="5158.5"/>
    <n v="5158.5"/>
    <n v="5158.5"/>
    <n v="5158.5"/>
    <n v="5158.5"/>
    <n v="5558.5"/>
    <n v="5558.5"/>
    <n v="5558.5"/>
    <n v="5558.5"/>
  </r>
  <r>
    <x v="0"/>
    <s v="Contratos"/>
    <s v="Atividades"/>
    <n v="6074202300031760"/>
    <x v="1"/>
    <s v="34.10.14.243.3013.2.157.33903600.00.1.500.9001.0"/>
    <s v="CT"/>
    <s v="313/SMDHC/2023"/>
    <s v="Reembolso de Seguro Contra Incendio locação Conselho Jaçana"/>
    <s v="Maria / Armando"/>
    <d v="2026-09-17T00:00:00"/>
    <n v="1200"/>
    <n v="100"/>
    <n v="0"/>
    <n v="0"/>
    <n v="0"/>
    <n v="0"/>
    <n v="0"/>
    <n v="0"/>
    <n v="0"/>
    <n v="0"/>
    <n v="0"/>
    <n v="0"/>
    <n v="200"/>
    <n v="0"/>
  </r>
  <r>
    <x v="0"/>
    <s v="Contratos"/>
    <s v="Atividades"/>
    <n v="6074202300044040"/>
    <x v="1"/>
    <s v="34.10.14.243.3013.2.157.33903600.00.1.500.9001.0"/>
    <s v="CT"/>
    <s v="327SMDHC/2023"/>
    <s v="Locação Conselho Guaianases"/>
    <s v="Givaldo dos Santos "/>
    <d v="2026-10-05T00:00:00"/>
    <n v="68070"/>
    <n v="5000"/>
    <n v="5572.5"/>
    <n v="5572.5"/>
    <n v="5572.5"/>
    <n v="5572.5"/>
    <n v="5572.5"/>
    <n v="5572.5"/>
    <n v="5572.5"/>
    <n v="5572.5"/>
    <n v="5572.5"/>
    <n v="5972.5"/>
    <n v="5972.5"/>
    <n v="5972.5"/>
  </r>
  <r>
    <x v="0"/>
    <s v="Contratos"/>
    <s v="Atividades"/>
    <n v="6074202300044050"/>
    <x v="1"/>
    <s v="34.10.14.243.3013.2.157.33903600.00.1.500.9001.0"/>
    <s v="CT"/>
    <s v="383/SMDHC/2023"/>
    <s v="Locação Conselho Mooca"/>
    <s v="Ari Mota"/>
    <d v="2026-11-09T00:00:00"/>
    <n v="81204"/>
    <n v="6000"/>
    <n v="6687"/>
    <n v="6687"/>
    <n v="6687"/>
    <n v="6687"/>
    <n v="6687"/>
    <n v="6687"/>
    <n v="6687"/>
    <n v="6687"/>
    <n v="6687"/>
    <n v="6687"/>
    <n v="7167"/>
    <n v="7167"/>
  </r>
  <r>
    <x v="0"/>
    <s v="Contratos"/>
    <s v="Atividades"/>
    <n v="6074202300044050"/>
    <x v="1"/>
    <s v="34.10.14.243.3013.2.157.33903600.00.1.500.9001.0"/>
    <s v="CT"/>
    <s v="383/SMDHC/2023"/>
    <s v="IPTU Conselho Mooca"/>
    <s v="Ari Mota"/>
    <d v="2026-11-09T00:00:00"/>
    <n v="8500"/>
    <n v="850"/>
    <m/>
    <n v="850"/>
    <n v="850"/>
    <n v="850"/>
    <n v="850"/>
    <n v="850"/>
    <n v="850"/>
    <n v="850"/>
    <n v="850"/>
    <n v="850"/>
    <n v="850"/>
    <m/>
  </r>
  <r>
    <x v="0"/>
    <s v="Contratos"/>
    <s v="Atividades"/>
    <n v="6074202300044050"/>
    <x v="1"/>
    <s v="34.10.14.243.3013.2.157.33903600.00.1.500.9001.0"/>
    <s v="CT"/>
    <s v="383/SMDHC/2023"/>
    <s v="Reembolso de Seguro Contra Incendio - Conselho Mooca"/>
    <s v="Ari Mota"/>
    <d v="2026-11-09T00:00:00"/>
    <n v="1200"/>
    <n v="1200"/>
    <m/>
    <n v="0"/>
    <n v="0"/>
    <n v="0"/>
    <n v="1200"/>
    <n v="0"/>
    <n v="0"/>
    <n v="0"/>
    <n v="0"/>
    <n v="0"/>
    <n v="0"/>
    <m/>
  </r>
  <r>
    <x v="0"/>
    <s v="Contratos"/>
    <s v="Atividades"/>
    <n v="6074202300049830"/>
    <x v="1"/>
    <s v="34.10.14.243.3013.2.157.33903600.00.1.500.9001.0"/>
    <s v="CT"/>
    <s v="166/SMDHC/2024"/>
    <s v="IPTU Casa Verde "/>
    <s v="Minas"/>
    <d v="2026-07-17T00:00:00"/>
    <n v="2500"/>
    <n v="250"/>
    <m/>
    <n v="250"/>
    <n v="250"/>
    <n v="250"/>
    <n v="250"/>
    <n v="250"/>
    <n v="250"/>
    <n v="250"/>
    <n v="250"/>
    <n v="250"/>
    <n v="250"/>
    <m/>
  </r>
  <r>
    <x v="0"/>
    <s v="Contratos"/>
    <s v="Atividades"/>
    <n v="6074202300049830"/>
    <x v="1"/>
    <s v="34.10.14.243.3013.2.157.33903600.00.1.500.9001.0"/>
    <s v="CT"/>
    <s v="166/SMDHC/2024"/>
    <s v="Locação Conselho Casa Verde"/>
    <s v="Minas/Elisangela/Rosangela"/>
    <d v="2026-07-17T00:00:00"/>
    <n v="121680"/>
    <n v="10440"/>
    <n v="9720"/>
    <n v="9720"/>
    <n v="9720"/>
    <n v="9720"/>
    <n v="9720"/>
    <n v="10440"/>
    <n v="10440"/>
    <n v="10440"/>
    <n v="10440"/>
    <n v="10440"/>
    <n v="10440"/>
    <n v="10440"/>
  </r>
  <r>
    <x v="0"/>
    <s v="Contratos"/>
    <s v="Atividades"/>
    <n v="6074202300049830"/>
    <x v="1"/>
    <s v="34.10.14.243.3013.2.157.33903900.00.1.500.9001.0"/>
    <s v="CT"/>
    <s v="166/SMDHC/2024"/>
    <s v="Reembolso de Seguro Contra Incendio  Conselho Casa Verde"/>
    <s v="Minas/Elisangela/Rosangela"/>
    <d v="2026-07-17T00:00:00"/>
    <n v="1200"/>
    <n v="100"/>
    <n v="0"/>
    <n v="0"/>
    <n v="0"/>
    <n v="0"/>
    <n v="0"/>
    <n v="0"/>
    <n v="400"/>
    <n v="0"/>
    <n v="0"/>
    <n v="0"/>
    <n v="0"/>
    <n v="0"/>
  </r>
  <r>
    <x v="0"/>
    <s v="Contratos"/>
    <s v="Atividades"/>
    <n v="6074202300071940"/>
    <x v="0"/>
    <s v="34.10.14.243.3013.2.157.33903900.00.1.500.9001.0"/>
    <s v="CT"/>
    <s v="245/SMDHC/2023"/>
    <s v="Locação Purificadores CTs"/>
    <s v="Brazon Maxfilter Industria e Locação"/>
    <d v="2026-08-25T00:00:00"/>
    <n v="45722.559999999998"/>
    <n v="3965.52"/>
    <n v="3699.28"/>
    <n v="3699.28"/>
    <n v="3699.28"/>
    <n v="3699.28"/>
    <n v="3699.28"/>
    <n v="3699.28"/>
    <n v="3699.28"/>
    <n v="3965.52"/>
    <n v="3965.52"/>
    <n v="3965.52"/>
    <n v="3965.52"/>
    <n v="3965.52"/>
  </r>
  <r>
    <x v="0"/>
    <s v="Contratos"/>
    <s v="Atividades"/>
    <n v="6074202300075610"/>
    <x v="1"/>
    <s v="34.10.14.243.3013.2.157.33903600.00.1.500.9001.0"/>
    <s v="CT"/>
    <s v="0001/SMDHC/2024"/>
    <s v="IPTU Conselho Sé"/>
    <s v="DENISE APARECIDA FRANCO ROCCA"/>
    <d v="2026-01-15T00:00:00"/>
    <n v="1100"/>
    <n v="110"/>
    <n v="0"/>
    <n v="110"/>
    <n v="110"/>
    <n v="110"/>
    <n v="110"/>
    <n v="110"/>
    <n v="110"/>
    <n v="110"/>
    <n v="110"/>
    <n v="110"/>
    <n v="110"/>
    <n v="0"/>
  </r>
  <r>
    <x v="0"/>
    <s v="Contratos"/>
    <s v="Atividades"/>
    <n v="6074202300075610"/>
    <x v="1"/>
    <s v="34.10.14.243.3013.2.157.33903600.00.1.500.9001.0"/>
    <s v="CT"/>
    <s v="0001/SMDHC/2024"/>
    <s v="Locação Conselho Sé (locação + Condominio)"/>
    <s v="DENISE APARECIDA FRANCO ROCCA"/>
    <d v="2026-01-15T00:00:00"/>
    <n v="85200"/>
    <n v="7100"/>
    <n v="7100"/>
    <n v="7100"/>
    <n v="7100"/>
    <n v="7100"/>
    <n v="7100"/>
    <n v="7100"/>
    <n v="7100"/>
    <n v="7100"/>
    <n v="7100"/>
    <n v="7100"/>
    <n v="7100"/>
    <n v="7100"/>
  </r>
  <r>
    <x v="0"/>
    <s v="Contratos"/>
    <s v="Atividades"/>
    <n v="6074202300075610"/>
    <x v="1"/>
    <s v="34.10.14.243.3013.2.157.33903600.00.1.500.9001.0"/>
    <s v="CT"/>
    <s v="0001/SMDHC/2024"/>
    <s v="Reembolso de Seguro Contra Incendio Conselho Sé"/>
    <s v="DENISE APARECIDA FRANCO ROCCA"/>
    <d v="2026-01-15T00:00:00"/>
    <n v="1200"/>
    <n v="100"/>
    <n v="0"/>
    <n v="0"/>
    <n v="110"/>
    <n v="0"/>
    <n v="350"/>
    <n v="0"/>
    <n v="0"/>
    <n v="0"/>
    <n v="0"/>
    <n v="0"/>
    <n v="0"/>
    <n v="0"/>
  </r>
  <r>
    <x v="0"/>
    <s v="Contratos"/>
    <s v="Atividades"/>
    <n v="6074202400008350"/>
    <x v="0"/>
    <s v="34.10.14.243.3013.2.157.33903900.00.1.500.9001.0"/>
    <s v="CT"/>
    <s v="143/SMDHC/2022"/>
    <s v="Prestação de Serviços por empresa especializada em Controle de Pragas Urbanas e Vetores, compreendendo Desinsetização, Desratização e Descupinização"/>
    <s v="DAVIS SOARES DA SILVA DETETIZADORA"/>
    <d v="2026-08-17T00:00:00"/>
    <n v="13440"/>
    <s v="R$                        -  "/>
    <s v=" R$                        -  "/>
    <n v="6720"/>
    <s v="R$                        -  "/>
    <m/>
    <s v=" R$                        -  "/>
    <s v=" R$                        -  "/>
    <s v=" R$                        -  "/>
    <n v="6720"/>
    <s v="R$                        -  "/>
    <s v=" R$                        -  "/>
    <s v=" R$                        -  "/>
    <s v=" R$                             -  "/>
  </r>
  <r>
    <x v="0"/>
    <s v="Contratos"/>
    <s v="Atividades"/>
    <n v="6074202400025170"/>
    <x v="0"/>
    <s v="34.10.14.243.3013.2.157.33903900.00.1.500.9001.0"/>
    <s v="CT"/>
    <s v="330/SMDHC/2024"/>
    <s v="Prestação de Serviços de RECEPÇÃO para as sedes dos 52 (cinquenta e dois) Conselhos Tutelares do Município de São Paulo."/>
    <s v="SOLITA TECNOLOGIA E SERVICOS EMPRESARIAIS LTDA"/>
    <d v="2026-10-16T00:00:00"/>
    <n v="2909714.16"/>
    <n v="242476.18"/>
    <n v="242476.18"/>
    <n v="242476.18"/>
    <n v="242476.18"/>
    <n v="242476.18"/>
    <n v="242476.18"/>
    <n v="242476.18"/>
    <n v="242476.18"/>
    <n v="242476.18"/>
    <n v="242476.18"/>
    <n v="242476.18"/>
    <n v="242476.18"/>
    <n v="242476.18"/>
  </r>
  <r>
    <x v="0"/>
    <s v="Contratos"/>
    <s v="Atividades"/>
    <n v="6074202400054350"/>
    <x v="0"/>
    <s v="34.10.14.243.3013.2.157.33903900.00.1.500.9001.0"/>
    <s v="CT"/>
    <s v="341/SMDHC/2024"/>
    <s v="Serviços Bancários Auxilio Ampara"/>
    <s v="BANCO DO BRASIL SA"/>
    <d v="2026-11-11T00:00:00"/>
    <n v="685000"/>
    <n v="24000"/>
    <n v="2000"/>
    <n v="2000"/>
    <n v="2000"/>
    <n v="2000"/>
    <n v="2000"/>
    <n v="2000"/>
    <n v="2000"/>
    <n v="2000"/>
    <n v="2000"/>
    <n v="2000"/>
    <n v="2000"/>
    <n v="2000"/>
  </r>
  <r>
    <x v="0"/>
    <s v="Contratos"/>
    <s v="Atividades"/>
    <n v="6074202400061970"/>
    <x v="1"/>
    <s v="34.10.14.243.3013.2.157.33903600.00.1.500.9001.0"/>
    <s v="CT"/>
    <s v="005/SMDHC/2025"/>
    <s v="Locação Conselho Lapa"/>
    <s v="Miyoko // Kiyoshi"/>
    <d v="2026-02-24T00:00:00"/>
    <n v="109480"/>
    <n v="8500"/>
    <n v="8500"/>
    <n v="9180"/>
    <n v="9180"/>
    <n v="9180"/>
    <n v="9180"/>
    <n v="9180"/>
    <n v="9180"/>
    <n v="9180"/>
    <n v="9180"/>
    <n v="9180"/>
    <n v="9180"/>
    <n v="9180"/>
  </r>
  <r>
    <x v="0"/>
    <s v="Contratos"/>
    <s v="Atividades"/>
    <n v="6074202400061970"/>
    <x v="1"/>
    <s v="34.10.14.243.3013.2.157.33903600.00.1.500.9001.0"/>
    <s v="CT"/>
    <s v="005/SMDHC/2025"/>
    <s v="IPTU Conselho Lapa"/>
    <s v="Miyoko // Kiyoshi"/>
    <d v="2026-02-24T00:00:00"/>
    <n v="9000"/>
    <n v="900"/>
    <s v="R$                        -  "/>
    <n v="900"/>
    <n v="900"/>
    <n v="900"/>
    <n v="900"/>
    <n v="900"/>
    <n v="900"/>
    <n v="900"/>
    <n v="900"/>
    <n v="900"/>
    <n v="900"/>
    <s v="R$                             -  "/>
  </r>
  <r>
    <x v="0"/>
    <s v="Contratos"/>
    <s v="Atividades"/>
    <n v="6074202400061970"/>
    <x v="1"/>
    <s v="34.10.14.243.3013.2.157.33903600.00.1.500.9001.0"/>
    <s v="CT"/>
    <s v="005/SMDHC/2025"/>
    <s v="Reembolso de Seguro Contra Incedio- Conselho Lapa"/>
    <s v="Miyoko // Kiyoshi"/>
    <d v="2026-02-24T00:00:00"/>
    <n v="1200"/>
    <n v="100"/>
    <s v="R$                        -  "/>
    <n v="0"/>
    <n v="500"/>
    <n v="0"/>
    <n v="0"/>
    <n v="0"/>
    <n v="0"/>
    <n v="900"/>
    <n v="0"/>
    <n v="0"/>
    <n v="0"/>
    <s v="R$                             -  "/>
  </r>
  <r>
    <x v="0"/>
    <s v="Contratos"/>
    <s v="Atividades"/>
    <n v="6074202400066370"/>
    <x v="1"/>
    <s v="34.10.14.243.3013.2.157.33903900.00.1.500.9001.0"/>
    <s v="CT"/>
    <s v="071/SMDHC/2025"/>
    <s v="Locação Conselho Guaianases"/>
    <s v="MMM SOLUCOES CONSULTORIA E GESTAO EMPRESARIAL LTDA"/>
    <d v="2026-03-09T00:00:00"/>
    <n v="89040"/>
    <n v="7560"/>
    <n v="7000"/>
    <n v="7000"/>
    <n v="7000"/>
    <n v="7560"/>
    <n v="7560"/>
    <n v="7560"/>
    <n v="7560"/>
    <n v="7560"/>
    <n v="7560"/>
    <n v="7560"/>
    <n v="7560"/>
    <n v="7560"/>
  </r>
  <r>
    <x v="0"/>
    <s v="Contratos"/>
    <s v="Atividades"/>
    <n v="6074202400066370"/>
    <x v="1"/>
    <s v="34.10.14.243.3013.2.157.33903900.00.1.500.9001.0"/>
    <s v="CT"/>
    <s v="071/SMDHC/2025"/>
    <s v="Locação Conselho Guaianases - IPTU"/>
    <s v="MMM SOLUCOES CONSULTORIA E GESTAO EMPRESARIAL LTDA"/>
    <d v="2026-03-09T00:00:00"/>
    <n v="750"/>
    <n v="750"/>
    <s v="R$                        -  "/>
    <n v="75"/>
    <n v="75"/>
    <n v="75"/>
    <n v="75"/>
    <n v="75"/>
    <n v="75"/>
    <n v="75"/>
    <n v="75"/>
    <n v="75"/>
    <n v="75"/>
    <m/>
  </r>
  <r>
    <x v="0"/>
    <s v="Contratos"/>
    <s v="Atividades"/>
    <n v="6074202400066370"/>
    <x v="1"/>
    <s v="34.10.14.243.3013.2.157.33903900.00.1.500.9001.0"/>
    <s v="CT"/>
    <s v="071/SMDHC/2025"/>
    <s v="Reembolso de Seguro Contra Incendio -Locação Conselho Guaianases "/>
    <s v="MMM SOLUCOES CONSULTORIA E GESTAO EMPRESARIAL LTDA"/>
    <d v="2026-03-09T00:00:00"/>
    <n v="1200"/>
    <n v="100"/>
    <s v="R$                        -  "/>
    <n v="0"/>
    <n v="0"/>
    <n v="0"/>
    <n v="0"/>
    <n v="0"/>
    <n v="500"/>
    <n v="0"/>
    <n v="0"/>
    <n v="0"/>
    <n v="0"/>
    <m/>
  </r>
  <r>
    <x v="0"/>
    <s v="Contratos"/>
    <s v="Atividades"/>
    <n v="6074202400099110"/>
    <x v="0"/>
    <s v="34.10.14.243.3013.2.157.33903900.00.1.500.9001.0"/>
    <s v="CT"/>
    <s v="NE"/>
    <s v="Água e Esgoto - CT"/>
    <s v="SABESP"/>
    <d v="2026-12-31T00:00:00"/>
    <n v="240000"/>
    <n v="20000"/>
    <n v="20000"/>
    <n v="20000"/>
    <n v="20000"/>
    <n v="20000"/>
    <n v="20000"/>
    <n v="20000"/>
    <n v="20000"/>
    <n v="20000"/>
    <n v="20000"/>
    <n v="20000"/>
    <n v="20000"/>
    <n v="20000"/>
  </r>
  <r>
    <x v="0"/>
    <s v="Contratos"/>
    <s v="Atividades"/>
    <n v="6074202400099140"/>
    <x v="0"/>
    <s v="34.10.14.243.3013.2.157.33903900.00.1.500.9001.0"/>
    <s v="CT"/>
    <s v="NE"/>
    <s v="Energia elétrica - CT"/>
    <s v="ENEL"/>
    <d v="2026-12-31T00:00:00"/>
    <n v="240000"/>
    <n v="20000"/>
    <n v="20000"/>
    <n v="20000"/>
    <n v="20000"/>
    <n v="20000"/>
    <n v="20000"/>
    <n v="20000"/>
    <n v="20000"/>
    <n v="20000"/>
    <n v="20000"/>
    <n v="20000"/>
    <n v="20000"/>
    <n v="20000"/>
  </r>
  <r>
    <x v="0"/>
    <s v="Contratos"/>
    <s v="Atividades"/>
    <n v="6074202500013480"/>
    <x v="1"/>
    <s v="34.10.14.243.3013.2.157.33903700.00.1.500.9001.0"/>
    <s v="CT"/>
    <s v="XX/SMDHC/2026"/>
    <s v="Serviço Integrado de Segurança"/>
    <s v="Novo Edital"/>
    <d v="2026-08-02T00:00:00"/>
    <n v="8686591.6799999997"/>
    <n v="723882.64"/>
    <n v="723882.64"/>
    <n v="723882.64"/>
    <n v="723882.64"/>
    <n v="723882.64"/>
    <n v="723882.64"/>
    <n v="723882.64"/>
    <n v="723882.64"/>
    <n v="723882.64"/>
    <n v="723882.64"/>
    <n v="723882.64"/>
    <n v="723882.64"/>
    <n v="723882.64"/>
  </r>
  <r>
    <x v="0"/>
    <s v="Contratos"/>
    <s v="Atividades"/>
    <n v="6074202500013490"/>
    <x v="1"/>
    <s v="34.10.14.243.3013.2.157.33903900.00.1.500.9001.0"/>
    <s v="CT"/>
    <s v="xxx/SMDHC/2026"/>
    <s v="Manutenção nas unidades do CT"/>
    <s v="xxxx"/>
    <s v="XX/XX/2026"/>
    <n v="2008231.32"/>
    <n v="167352.60999999999"/>
    <n v="167352.60999999999"/>
    <n v="167352.60999999999"/>
    <n v="167352.60999999999"/>
    <n v="167352.60999999999"/>
    <n v="167352.60999999999"/>
    <n v="167352.60999999999"/>
    <n v="167352.60999999999"/>
    <n v="167352.60999999999"/>
    <n v="167352.60999999999"/>
    <n v="167352.60999999999"/>
    <n v="167352.60999999999"/>
    <n v="167352.65"/>
  </r>
  <r>
    <x v="0"/>
    <s v="Contratos"/>
    <s v="Atividades"/>
    <n v="6074202500013490"/>
    <x v="1"/>
    <s v="34.10.14.243.3013.2.157.33903000.00.1.500.9001.0"/>
    <s v="CT"/>
    <s v="xxx/SMDHC/2026"/>
    <s v="Reembolso de Materiais referente aos  serviços de Manutenção "/>
    <s v="xxxx"/>
    <s v="XX/XX/2026"/>
    <n v="502057.83"/>
    <n v="41838.15"/>
    <n v="41838.15"/>
    <n v="41838.15"/>
    <n v="41838.15"/>
    <n v="41838.15"/>
    <n v="41838.15"/>
    <n v="41838.15"/>
    <n v="41838.15"/>
    <n v="41838.15"/>
    <n v="41838.15"/>
    <n v="41838.15"/>
    <n v="41838.15"/>
    <n v="41838.15"/>
  </r>
  <r>
    <x v="0"/>
    <s v="Contratos"/>
    <s v="Atividades"/>
    <n v="6074202500026580"/>
    <x v="1"/>
    <s v="34.10.14.243.3013.2.157.33903600.00.1.500.9001.0"/>
    <s v="CT"/>
    <s v="XXX/SMDHC/2025"/>
    <s v="Locação Conselho Perus"/>
    <s v="Jacqueline / Josiane / Vivian"/>
    <s v="xx/xx/2026"/>
    <n v="87360"/>
    <n v="7560"/>
    <n v="7000"/>
    <n v="7000"/>
    <n v="7000"/>
    <n v="7000"/>
    <n v="7000"/>
    <n v="7000"/>
    <n v="7560"/>
    <n v="7560"/>
    <n v="7560"/>
    <n v="7560"/>
    <n v="7560"/>
    <n v="7560"/>
  </r>
  <r>
    <x v="0"/>
    <s v="Contratos"/>
    <s v="Atividades"/>
    <n v="6074202500026580"/>
    <x v="1"/>
    <s v="34.10.14.243.3013.2.157.33903600.00.1.500.9001.0"/>
    <s v="CT"/>
    <s v="XXX/SMDHC/2025"/>
    <s v="IPTU Conselho Perus"/>
    <s v="Jacqueline / Josiane / Vivian"/>
    <s v="xx/xx/2026"/>
    <n v="2500"/>
    <n v="250"/>
    <n v="0"/>
    <n v="250"/>
    <n v="250"/>
    <n v="250"/>
    <n v="250"/>
    <n v="250"/>
    <n v="250"/>
    <n v="250"/>
    <n v="250"/>
    <n v="250"/>
    <n v="250"/>
    <n v="0"/>
  </r>
  <r>
    <x v="0"/>
    <s v="Contratos"/>
    <s v="Atividades"/>
    <n v="6074202500026580"/>
    <x v="1"/>
    <s v="34.10.14.243.3013.2.157.33903600.00.1.500.9001.0"/>
    <s v="CT"/>
    <s v="XXX/SMDHC/2025"/>
    <s v="Reembolso de Seguro Contra Incendio Conselho Perus"/>
    <s v="Jacqueline / Josiane / Vivian"/>
    <s v="xx/xx/2026"/>
    <n v="500"/>
    <n v="100"/>
    <n v="0"/>
    <n v="500"/>
    <n v="0"/>
    <n v="0"/>
    <n v="0"/>
    <n v="0"/>
    <n v="0"/>
    <n v="0"/>
    <n v="0"/>
    <n v="0"/>
    <n v="0"/>
    <n v="0"/>
  </r>
  <r>
    <x v="0"/>
    <s v="Contratos"/>
    <s v="Atividades"/>
    <s v="60742026000xxxxx"/>
    <x v="1"/>
    <s v="34.10.14.243.3013.2.157.33903000.00.1.500.9001.0"/>
    <s v="CT"/>
    <s v="xxx/SMDHC/2026"/>
    <s v="Aquisição de copos de papel 180ml, para atender as necessidades da SMDHC - Conselho Tutetar"/>
    <s v="xxxxxxxxx"/>
    <s v="XX/XX/2026"/>
    <n v="35000"/>
    <n v="35000"/>
    <m/>
    <n v="35000"/>
    <m/>
    <m/>
    <m/>
    <m/>
    <m/>
    <m/>
    <m/>
    <m/>
    <m/>
    <m/>
  </r>
  <r>
    <x v="0"/>
    <s v="Contratos"/>
    <s v="Atividades"/>
    <s v="60742026000xxxxxx"/>
    <x v="1"/>
    <s v="34.10.08.243.3013.2.033.33903900.00.1.500.9001.0"/>
    <s v="CT"/>
    <s v="xxx/SMDHC/2026"/>
    <s v="Formação dos Conselhos Tutelares"/>
    <s v="xxxxxxxx"/>
    <s v="xx/xx/2026"/>
    <n v="200000"/>
    <n v="0"/>
    <n v="0"/>
    <n v="0"/>
    <n v="300000"/>
    <n v="0"/>
    <n v="0"/>
    <n v="0"/>
    <n v="0"/>
    <n v="0"/>
    <n v="0"/>
    <n v="0"/>
    <n v="0"/>
    <n v="0"/>
  </r>
  <r>
    <x v="0"/>
    <s v="Contratos"/>
    <s v="Atividades"/>
    <n v="6074202200005770"/>
    <x v="1"/>
    <s v="34.10.14.122.3024.2.106.33903900.00.1.500.9001.0"/>
    <s v="DGESP"/>
    <s v="001/SMDHC/2022"/>
    <s v="prestação de serviço de agente de integração de estágios"/>
    <s v="CENTRO DE INTEGRACAO EMPRESA ESCOLA CIEE"/>
    <d v="2026-02-01T00:00:00"/>
    <n v="1800000"/>
    <n v="150000"/>
    <n v="150000"/>
    <n v="150000"/>
    <n v="150000"/>
    <n v="150000"/>
    <n v="150000"/>
    <n v="150000"/>
    <n v="150000"/>
    <n v="150000"/>
    <n v="150000"/>
    <n v="150000"/>
    <n v="150000"/>
    <n v="150000"/>
  </r>
  <r>
    <x v="0"/>
    <s v="Contratos"/>
    <s v="Atividades"/>
    <n v="6074201900011180"/>
    <x v="0"/>
    <s v="34.10.14.122.3024.2.100.33903900.00.1.500.9001.0"/>
    <s v="DTIC"/>
    <s v="011/SMDHC/2019"/>
    <s v="Serviço de Locação Sistema PABX com DRD"/>
    <s v="RA TELECOM LTDA"/>
    <d v="2026-06-05T00:00:00"/>
    <n v="49672.6"/>
    <n v="4236.05"/>
    <n v="4004.05"/>
    <n v="4004.05"/>
    <n v="4004.05"/>
    <n v="4004.05"/>
    <n v="4004.05"/>
    <n v="4236.05"/>
    <n v="4236.05"/>
    <n v="4236.05"/>
    <n v="4236.05"/>
    <n v="4236.05"/>
    <n v="4236.05"/>
    <n v="4236.05"/>
  </r>
  <r>
    <x v="0"/>
    <s v="Contratos"/>
    <s v="Atividades"/>
    <n v="6074202000011890"/>
    <x v="0"/>
    <s v="34.10.14.126.3011.2.818.33904000.00.1.500.9001.0"/>
    <s v="DTIC"/>
    <s v="048/SMDHC/2020"/>
    <s v="Serviço de link de acesso à internet com banda de 100MB, para utilização no auditório SMDHC"/>
    <s v="EDSON RODRIGO MELLADO DE LIMA"/>
    <d v="2026-09-25T00:00:00"/>
    <n v="69771.72"/>
    <n v="5711.81"/>
    <n v="5711.81"/>
    <n v="5711.81"/>
    <n v="5711.81"/>
    <n v="5711.81"/>
    <n v="5711.81"/>
    <n v="5711.81"/>
    <n v="5711.81"/>
    <n v="5711.81"/>
    <n v="5711.81"/>
    <n v="6121.81"/>
    <n v="6121.81"/>
    <n v="6121.81"/>
  </r>
  <r>
    <x v="0"/>
    <s v="Contratos"/>
    <s v="Atividades"/>
    <n v="6074202100075180"/>
    <x v="0"/>
    <s v="34.10.14.126.3024.2.171.33904000.00.1.500.9001.0"/>
    <s v="DTIC"/>
    <s v="030/SMDHC/2022"/>
    <s v="locação de Computadores"/>
    <s v="MJ TECNOLOGIA DO BRASIL LTDA"/>
    <d v="2026-03-09T00:00:00"/>
    <n v="151911.04000000001"/>
    <n v="12798.88"/>
    <n v="11961.12"/>
    <n v="11961.12"/>
    <n v="12798.88"/>
    <n v="12798.88"/>
    <n v="12798.88"/>
    <n v="12798.88"/>
    <n v="12798.88"/>
    <n v="12798.88"/>
    <n v="12798.88"/>
    <n v="12798.88"/>
    <n v="12798.88"/>
    <n v="12798.88"/>
  </r>
  <r>
    <x v="0"/>
    <s v="Contratos"/>
    <s v="Atividades"/>
    <n v="6074202400042910"/>
    <x v="0"/>
    <s v="34.10.14.126.3024.2.171.33904000.00.1.500.9001.0"/>
    <s v="DTIC"/>
    <s v="262/SMDHC/2024"/>
    <s v="Serviços de Acesso à Rede Corporativa PMSP e Internet SD-WAN"/>
    <s v="PRODAM"/>
    <d v="2026-09-17T00:00:00"/>
    <n v="1652562.8"/>
    <n v="200000"/>
    <n v="200000"/>
    <n v="200000"/>
    <n v="200000"/>
    <n v="200000"/>
    <n v="200000"/>
    <n v="200000"/>
    <n v="200000"/>
    <n v="200000"/>
    <n v="200000"/>
    <n v="200000"/>
    <n v="200000"/>
    <n v="200000"/>
  </r>
  <r>
    <x v="0"/>
    <s v="Contratos"/>
    <s v="Atividades"/>
    <n v="6074202500006770"/>
    <x v="0"/>
    <s v="34.10.14.126.3011.2.818.33904000.00.1.500.9001.0"/>
    <s v="DTIC"/>
    <s v="048/SMDHC/2025"/>
    <s v="licença de uso do ChatGPT plus"/>
    <s v="LILIAN ARRUDA DA SILVA"/>
    <d v="2026-05-07T00:00:00"/>
    <n v="2558"/>
    <m/>
    <m/>
    <m/>
    <m/>
    <m/>
    <n v="2558"/>
    <m/>
    <m/>
    <m/>
    <m/>
    <m/>
    <m/>
    <m/>
  </r>
  <r>
    <x v="0"/>
    <s v="Contratos"/>
    <s v="Atividades"/>
    <s v="60742026000xxxxx"/>
    <x v="1"/>
    <s v="34.10.14.422.3018.2.142.33903100.00.1.500.9001.0"/>
    <s v="EDH"/>
    <s v="xxx/SMDHC/2026"/>
    <s v="13º Prêmio Educação e Direitos HUmanos e aquisição de Troféus "/>
    <s v="xxxxxxxxx"/>
    <s v="XX/XX/2026"/>
    <n v="100000"/>
    <n v="100000"/>
    <m/>
    <n v="100000"/>
    <m/>
    <m/>
    <m/>
    <m/>
    <m/>
    <m/>
    <m/>
    <m/>
    <m/>
    <m/>
  </r>
  <r>
    <x v="0"/>
    <s v="Contratos"/>
    <s v="Atividades"/>
    <s v="60742026000xxxxx"/>
    <x v="1"/>
    <s v="34.10.14.422.3018.2.142.33903600.00.1.500.9001.0"/>
    <s v="EDH"/>
    <s v="xxx/SMDHC/2026"/>
    <s v="Contratação Artística"/>
    <s v="xxxxxxxxx"/>
    <s v="XX/XX/2026"/>
    <n v="50000"/>
    <n v="50000"/>
    <m/>
    <n v="50000"/>
    <m/>
    <m/>
    <m/>
    <m/>
    <m/>
    <m/>
    <m/>
    <m/>
    <m/>
    <m/>
  </r>
  <r>
    <x v="0"/>
    <s v="Contratos"/>
    <s v="Atividades"/>
    <s v="60742026000xxxxx"/>
    <x v="1"/>
    <s v="34.10.14.422.3018.4.335.33903900.00.1.500.9001.0"/>
    <s v="EGRESSOS"/>
    <s v="xxx/SMDHC/2026"/>
    <s v="Contratação de Serviços  para atender as necessidades da SMDHC -Coodernação de Egressos"/>
    <s v="xxxxxxxxx"/>
    <s v="XX/XX/2026"/>
    <n v="50000"/>
    <n v="50000"/>
    <m/>
    <n v="0"/>
    <m/>
    <n v="50000"/>
    <m/>
    <m/>
    <m/>
    <m/>
    <m/>
    <m/>
    <m/>
    <m/>
  </r>
  <r>
    <x v="0"/>
    <s v="Contratos"/>
    <s v="Atividades"/>
    <n v="6074202100026480"/>
    <x v="0"/>
    <s v="34.10.14.422.3007.4.330.33903700.00.1.500.9001.0"/>
    <s v="IDOSO"/>
    <s v="232/SMDHC/2021"/>
    <s v="Serviço Integrado de Segurança - Polo Cultural do Idoso 1 Segurança  (Diurno Segunda a domingo  das 07 as 19 h) e   1 Segurança  (Noturno  Segunda a domingo  das 19  as 07 h) "/>
    <s v="QRX SEGURANCA PATRIMONIAL EIRELI"/>
    <d v="2025-10-05T00:00:00"/>
    <n v="237161.88"/>
    <n v="22509.37"/>
    <n v="21136.43"/>
    <n v="21136.43"/>
    <n v="21136.43"/>
    <n v="21136.43"/>
    <n v="21136.43"/>
    <n v="21136.43"/>
    <n v="21136.43"/>
    <n v="21136.43"/>
    <n v="21136.43"/>
    <n v="22509.37"/>
    <n v="22509.37"/>
    <n v="22509.37"/>
  </r>
  <r>
    <x v="0"/>
    <s v="Contratos"/>
    <s v="Atividades"/>
    <n v="6074202200022450"/>
    <x v="0"/>
    <s v="34.10.14.422.3007.4.330.33903900.00.1.500.9001.0"/>
    <s v="IDOSO"/>
    <s v="066/SMDHC/2023"/>
    <s v="Idoso - 02 Linhas"/>
    <s v="TELEFONICA BRASIL SA"/>
    <d v="2026-04-26T00:00:00"/>
    <n v="1200"/>
    <n v="100"/>
    <n v="100"/>
    <n v="100"/>
    <n v="100"/>
    <n v="100"/>
    <n v="100"/>
    <n v="100"/>
    <n v="100"/>
    <n v="100"/>
    <n v="100"/>
    <n v="100"/>
    <n v="100"/>
    <n v="100"/>
  </r>
  <r>
    <x v="0"/>
    <s v="Contratos"/>
    <s v="Atividades"/>
    <n v="6074202200031730"/>
    <x v="0"/>
    <s v="34.10.14.422.3007.4.330.33903700.00.1.500.9001.0"/>
    <s v="IDOSO"/>
    <s v="215/SMDHC/2022"/>
    <s v="Serviço de vigilância e segurança"/>
    <s v="RENASEB EMPRESA DE SEGURANCA E VIGILANCIA EIRELI"/>
    <d v="2026-12-06T00:00:00"/>
    <n v="122941.18"/>
    <n v="10892.87"/>
    <n v="10186.209999999999"/>
    <n v="10186.209999999999"/>
    <n v="10186.209999999999"/>
    <n v="10186.209999999999"/>
    <n v="10186.209999999999"/>
    <n v="10186.209999999999"/>
    <n v="10186.209999999999"/>
    <n v="10186.209999999999"/>
    <n v="10186.209999999999"/>
    <n v="10186.209999999999"/>
    <n v="10186.209999999999"/>
    <n v="10892.87"/>
  </r>
  <r>
    <x v="0"/>
    <s v="Contratos"/>
    <s v="Atividades"/>
    <n v="6074202300013730"/>
    <x v="0"/>
    <s v="34.10.14.422.3007.4.330.33903900.00.1.500.9001.0"/>
    <s v="IDOSO"/>
    <s v="067/SMDHC/2023"/>
    <s v="Limpeza e desinfecção de reservatório - Idoso"/>
    <s v="ACJS - Saneamento e Controle Ambiental"/>
    <d v="2026-05-07T00:00:00"/>
    <n v="785"/>
    <s v="R$                        -  "/>
    <s v=" R$                        -  "/>
    <n v="392.5"/>
    <m/>
    <s v="R$                        -  "/>
    <s v=" R$                        -  "/>
    <s v=" R$                        -  "/>
    <n v="785"/>
    <s v="R$                        -  "/>
    <s v=" R$                        -  "/>
    <s v=" R$                        -  "/>
    <s v=" R$                        -  "/>
    <s v=" R$                             -  "/>
  </r>
  <r>
    <x v="0"/>
    <s v="Contratos"/>
    <s v="Atividades"/>
    <n v="6074202300065530"/>
    <x v="0"/>
    <s v="34.10.14.422.3007.4.330.33903900.00.1.500.9001.0"/>
    <s v="IDOSO"/>
    <s v="261/SMDHC2024"/>
    <s v="Prestação de Serviços de Limpeza - Polo Cultural do Idoso e CEDPES"/>
    <s v="UNISERV TERCEIRIZACAO E SERVICOS LTDA "/>
    <d v="2026-09-16T00:00:00"/>
    <n v="183859.44"/>
    <n v="15321.62"/>
    <n v="15321.62"/>
    <n v="15321.62"/>
    <n v="15321.62"/>
    <n v="15321.62"/>
    <n v="15321.62"/>
    <n v="15321.62"/>
    <n v="15321.62"/>
    <n v="15321.62"/>
    <n v="15321.62"/>
    <n v="15321.62"/>
    <n v="15321.62"/>
    <n v="15321.62"/>
  </r>
  <r>
    <x v="0"/>
    <s v="Contratos"/>
    <s v="Atividades"/>
    <n v="6074202300066920"/>
    <x v="0"/>
    <s v="34.10.14.422.3007.4.330.33903700.00.1.500.9001.0"/>
    <s v="IDOSO"/>
    <s v="067/SMDHC/2025"/>
    <s v="Serviços de Vigilância e Segurança Patrimonial - CEDPES"/>
    <s v="RENASEB - EMPRESA DE SEGURANCA E VIGILANCIA LTDA"/>
    <m/>
    <n v="266559.82"/>
    <n v="23712.38"/>
    <n v="20441.7"/>
    <n v="22077.040000000001"/>
    <n v="22077.040000000001"/>
    <n v="22077.040000000001"/>
    <n v="22077.040000000001"/>
    <n v="22077.040000000001"/>
    <n v="22077.040000000001"/>
    <n v="22077.040000000001"/>
    <n v="22077.040000000001"/>
    <n v="22077.040000000001"/>
    <n v="23712.38"/>
    <n v="23712.38"/>
  </r>
  <r>
    <x v="0"/>
    <s v="Contratos"/>
    <s v="Atividades"/>
    <n v="6074202300072300"/>
    <x v="0"/>
    <s v="34.10.14.422.3007.4.330.33903900.00.1.500.9001.0"/>
    <s v="IDOSO"/>
    <s v="325/SMDHC/2023"/>
    <s v="Locação Purificadores - Idoso"/>
    <s v="Brazon Maxfilter Industria e Locação"/>
    <d v="2026-09-30T00:00:00"/>
    <n v="869.04"/>
    <n v="76.260000000000005"/>
    <n v="71.14"/>
    <n v="71.14"/>
    <n v="71.14"/>
    <n v="71.14"/>
    <n v="71.14"/>
    <n v="71.14"/>
    <n v="71.14"/>
    <n v="71.14"/>
    <n v="71.14"/>
    <n v="76.260000000000005"/>
    <n v="76.260000000000005"/>
    <n v="76.260000000000005"/>
  </r>
  <r>
    <x v="0"/>
    <s v="Contratos"/>
    <s v="Atividades"/>
    <n v="6074202400065410"/>
    <x v="0"/>
    <s v="34.10.14.422.3007.4.330.33903900.00.1.500.9001.0"/>
    <s v="IDOSO"/>
    <s v="336/SMDHC/2024"/>
    <s v="Serviços de Controle de Pragas Urbanas e Vetores, compreendendo"/>
    <s v="SAKURA DEDETIZADORA LTDA"/>
    <d v="2026-12-03T00:00:00"/>
    <n v="1240"/>
    <s v="R$                        -  "/>
    <n v="580"/>
    <s v="R$                        -  "/>
    <s v=" R$                        -  "/>
    <s v=" R$                        -  "/>
    <s v=" R$                        -  "/>
    <s v=" R$                        -  "/>
    <s v=" R$                        -  "/>
    <s v=" R$                        -  "/>
    <s v=" R$                        -  "/>
    <n v="660"/>
    <s v="R$                        -  "/>
    <s v=" R$                             -  "/>
  </r>
  <r>
    <x v="1"/>
    <m/>
    <m/>
    <m/>
    <x v="1"/>
    <m/>
    <m/>
    <m/>
    <s v="Desinsetização, Desratização e Descupinização - Polo Idoso e CEDPES."/>
    <m/>
    <m/>
    <m/>
    <m/>
    <m/>
    <m/>
    <m/>
    <m/>
    <m/>
    <m/>
    <m/>
    <m/>
    <m/>
    <m/>
    <m/>
    <m/>
  </r>
  <r>
    <x v="0"/>
    <s v="Contratos"/>
    <s v="Atividades"/>
    <n v="6074202400099120"/>
    <x v="0"/>
    <s v="34.10.14.422.3007.4.330.33903900.00.1.500.9001.0"/>
    <s v="IDOSO"/>
    <s v="NE"/>
    <s v="Água e Esgoto - CEDPES"/>
    <s v="SABESP"/>
    <d v="2026-12-31T00:00:00"/>
    <n v="7200"/>
    <n v="600"/>
    <n v="600"/>
    <n v="600"/>
    <n v="600"/>
    <n v="600"/>
    <n v="600"/>
    <n v="600"/>
    <n v="600"/>
    <n v="600"/>
    <n v="600"/>
    <n v="600"/>
    <n v="600"/>
    <n v="600"/>
  </r>
  <r>
    <x v="0"/>
    <s v="Contratos"/>
    <s v="Atividades"/>
    <n v="6074202400099150"/>
    <x v="0"/>
    <s v="34.10.14.422.3007.4.330.33903900.00.1.500.9001.0"/>
    <s v="IDOSO"/>
    <s v="NE"/>
    <s v="Energia elétrica - CEDPES"/>
    <s v="ENEL"/>
    <d v="2026-12-31T00:00:00"/>
    <n v="12000"/>
    <n v="1000"/>
    <n v="1000"/>
    <n v="1000"/>
    <n v="1000"/>
    <n v="1000"/>
    <n v="1000"/>
    <n v="1000"/>
    <n v="1000"/>
    <n v="1000"/>
    <n v="1000"/>
    <n v="1000"/>
    <n v="1000"/>
    <n v="1000"/>
  </r>
  <r>
    <x v="0"/>
    <s v="Contratos"/>
    <s v="Atividades"/>
    <n v="6074202500013480"/>
    <x v="1"/>
    <s v="34.10.14.422.3007.4.330.33903700.00.1.500.9001.0"/>
    <s v="IDOSO"/>
    <s v="XX/SMDHC/2026"/>
    <s v="Serviço Integrado de Segurança - Polo Cultural do Idoso 1 Segurança  (Diurno Segunda a domingo  das 07 as 19 h)"/>
    <s v="Novo Edital"/>
    <d v="2026-08-02T00:00:00"/>
    <n v="357134.28"/>
    <n v="29761.19"/>
    <n v="29761.19"/>
    <n v="29761.19"/>
    <n v="29761.19"/>
    <n v="29761.19"/>
    <n v="29761.19"/>
    <n v="29761.19"/>
    <n v="29761.19"/>
    <n v="29761.19"/>
    <n v="29761.19"/>
    <n v="29761.19"/>
    <n v="29761.19"/>
    <n v="29761.19"/>
  </r>
  <r>
    <x v="0"/>
    <s v="Contratos"/>
    <s v="Atividades"/>
    <s v="60742026000xxxxx"/>
    <x v="1"/>
    <s v="34.10.14.422.3007.4.330.33903000.00.1.500.9001.0"/>
    <s v="IDOSO"/>
    <s v="xxx/SMDHC/2026"/>
    <s v="Aquisição de copos de papel 180ml, para atender as necessidades da SMDHC -Coodernação dos Idosos"/>
    <s v="xxxxxxxxx"/>
    <s v="XX/XX/2026"/>
    <n v="5000"/>
    <n v="5000"/>
    <m/>
    <n v="5000"/>
    <m/>
    <m/>
    <m/>
    <m/>
    <m/>
    <m/>
    <m/>
    <m/>
    <m/>
    <m/>
  </r>
  <r>
    <x v="0"/>
    <s v="Contratos"/>
    <s v="Atividades"/>
    <s v="60742026000xxxxx"/>
    <x v="1"/>
    <s v="34.10.14.422.3007.4.330.33903000.00.1.500.9001.0"/>
    <s v="IDOSO"/>
    <s v="xxx/SMDHC/2026"/>
    <s v="Material Grafico ( Cartilha /Folders ) para atender as necessidades da SMDHC -Coodernação dos Idosos"/>
    <s v="xxxxxxxxx"/>
    <s v="XX/XX/2026"/>
    <n v="100000"/>
    <n v="100000"/>
    <m/>
    <n v="0"/>
    <m/>
    <n v="100000"/>
    <m/>
    <m/>
    <m/>
    <m/>
    <m/>
    <m/>
    <m/>
    <m/>
  </r>
  <r>
    <x v="0"/>
    <s v="Contratos"/>
    <s v="Atividades"/>
    <n v="6074202300030120"/>
    <x v="0"/>
    <s v="34.10.14.422.3018.2.051.33903900.00.1.500.9001.0"/>
    <s v="IMIGRANTES"/>
    <s v="145/SMDHC/2023"/>
    <s v="Unidade Móvel de Atendimento - Imigrantes"/>
    <s v="AZUL TRANSPORTES E TURISMO LTDA"/>
    <d v="2026-06-15T00:00:00"/>
    <n v="366890.16"/>
    <n v="32394.18"/>
    <n v="28026.18"/>
    <n v="28026.18"/>
    <n v="28026.18"/>
    <n v="28026.18"/>
    <n v="28026.18"/>
    <n v="32394.18"/>
    <n v="32394.18"/>
    <n v="32394.18"/>
    <n v="32394.18"/>
    <n v="32394.18"/>
    <n v="32394.18"/>
    <n v="32394.18"/>
  </r>
  <r>
    <x v="0"/>
    <s v="Contratos"/>
    <s v="Atividades"/>
    <n v="6074202500013480"/>
    <x v="1"/>
    <s v="34.10.14.422.3018.2.051.33903700.00.1.500.9001.0"/>
    <s v="IMIGRANTES"/>
    <s v="XX/SMDHC/2026"/>
    <s v="Serviço Integrado de Segurança Imigrantes"/>
    <s v="Novo Edital"/>
    <d v="2026-08-02T00:00:00"/>
    <n v="357134.28"/>
    <n v="29761.19"/>
    <n v="29761.19"/>
    <n v="29761.19"/>
    <n v="29761.19"/>
    <n v="29761.19"/>
    <n v="29761.19"/>
    <n v="29761.19"/>
    <n v="29761.19"/>
    <n v="29761.19"/>
    <n v="29761.19"/>
    <n v="29761.19"/>
    <n v="29761.19"/>
    <n v="29761.19"/>
  </r>
  <r>
    <x v="0"/>
    <s v="Contratos"/>
    <s v="Atividades"/>
    <s v="60742026000XXXXX"/>
    <x v="1"/>
    <s v="34.10.14.422.3018.2.051.33903000.00.1.500.9001.0"/>
    <s v="IMIGRANTES"/>
    <s v="XX/SMDHC/2026"/>
    <s v="Material Gráfico"/>
    <s v="xxxxxxx"/>
    <d v="2026-12-31T00:00:00"/>
    <n v="100000"/>
    <n v="100000"/>
    <m/>
    <m/>
    <m/>
    <n v="100000"/>
    <m/>
    <m/>
    <m/>
    <m/>
    <m/>
    <m/>
    <m/>
    <m/>
  </r>
  <r>
    <x v="0"/>
    <s v="Contratos"/>
    <s v="Atividades"/>
    <s v="60742026000xxxxx"/>
    <x v="1"/>
    <s v="34.10.14.422.3013.4.322.33903600.00.1.500.9001.0"/>
    <s v="INDIGENA"/>
    <s v="xxx/SMDHC/2026"/>
    <s v="Contratação Palestrante"/>
    <s v="xxxxxxxxx"/>
    <s v="XX/XX/2026"/>
    <n v="12000"/>
    <n v="12000"/>
    <m/>
    <m/>
    <n v="6000"/>
    <n v="6000"/>
    <m/>
    <m/>
    <m/>
    <m/>
    <m/>
    <m/>
    <m/>
    <m/>
  </r>
  <r>
    <x v="0"/>
    <s v="Contratos"/>
    <s v="Atividades"/>
    <s v="60742026000xxxxx"/>
    <x v="1"/>
    <s v="34.10.14.422.3013.4.322.33903900.00.1.500.9001.0"/>
    <s v="INDIGENA"/>
    <s v="xxx/SMDHC/2026"/>
    <s v="Serviços  Diversos"/>
    <s v="xxxxxxxxx"/>
    <s v="XX/XX/2026"/>
    <n v="50000"/>
    <n v="50000"/>
    <m/>
    <n v="5000"/>
    <n v="10000"/>
    <n v="10000"/>
    <n v="10000"/>
    <n v="10000"/>
    <n v="10000"/>
    <n v="5000"/>
    <m/>
    <m/>
    <m/>
    <m/>
  </r>
  <r>
    <x v="0"/>
    <s v="Contratos"/>
    <s v="Atividades"/>
    <n v="6064201800000520"/>
    <x v="1"/>
    <s v="34.10.14.422.3018.4.319.33904800.00.1.500.9001.0"/>
    <s v="LGBTI"/>
    <s v="NE"/>
    <s v="Transferência de Recursos para SMDET - Projeto POT Transcidadnia"/>
    <s v="Diversos Beneficiáriios"/>
    <d v="2026-12-31T00:00:00"/>
    <n v="14345100"/>
    <n v="1195425"/>
    <n v="1195425"/>
    <n v="1195425"/>
    <n v="1195425"/>
    <n v="1195425"/>
    <n v="1195425"/>
    <n v="1195425"/>
    <n v="1195425"/>
    <n v="1195425"/>
    <n v="1195425"/>
    <n v="1195425"/>
    <n v="1195425"/>
    <n v="1195425"/>
  </r>
  <r>
    <x v="0"/>
    <s v="Contratos"/>
    <s v="Atividades"/>
    <n v="6074202000000750"/>
    <x v="0"/>
    <s v="34.10.14.422.3018.4.326.33903900.00.1.500.9001.0"/>
    <s v="LGBTI"/>
    <s v="033/SMDHC/2020"/>
    <s v="Transporte de Passageiros"/>
    <s v="AZUL TRANSPORTES E TURISMO LTDA"/>
    <d v="2026-08-05T00:00:00"/>
    <n v="1210526.8"/>
    <n v="104633.9"/>
    <n v="98193.9"/>
    <n v="98193.9"/>
    <n v="98193.9"/>
    <n v="98193.9"/>
    <n v="98193.9"/>
    <n v="98193.9"/>
    <n v="98193.9"/>
    <n v="104633.9"/>
    <n v="104633.9"/>
    <n v="104633.9"/>
    <n v="104633.9"/>
    <n v="104633.9"/>
  </r>
  <r>
    <x v="0"/>
    <s v="Contratos"/>
    <s v="Atividades"/>
    <n v="6074202100045240"/>
    <x v="0"/>
    <s v="34.10.14.422.3018.4.319.33804100.00.1.500.9001.0"/>
    <s v="LGBTI"/>
    <s v="NE"/>
    <s v="Taxa de participação na Rainbow Cities Network"/>
    <s v="TAXA RAINBOW"/>
    <d v="2026-04-01T00:00:00"/>
    <n v="15000"/>
    <n v="15000"/>
    <n v="0"/>
    <n v="0"/>
    <n v="0"/>
    <n v="0"/>
    <n v="0"/>
    <n v="0"/>
    <n v="0"/>
    <n v="0"/>
    <n v="0"/>
    <n v="0"/>
    <n v="0"/>
    <n v="0"/>
  </r>
  <r>
    <x v="0"/>
    <s v="Contratos"/>
    <s v="Atividades"/>
    <n v="6074202500013590"/>
    <x v="0"/>
    <s v="34.10.14.422.3018.4.326.33903900.00.1.500.9001.0"/>
    <s v="LGBTI"/>
    <s v="030/SMDHC/2025"/>
    <s v="Contratação de serviços cartoriais, com fins de contratar a Central de Protesto do Estado de São Paulo/Instituto de Estudos de Protesto de Títulos do Brasil-Seção de SP (CENPROT/IEPTB), para o programa Respeito Tem Nome."/>
    <s v="INSTITUTO DE ESTUDOS DE PROTESTO DE TÍTULOS DO BRASIL - SEÇÃO SÃO PAULO - IEPTB - SP"/>
    <d v="2026-12-31T00:00:00"/>
    <n v="48463.199999999997"/>
    <n v="4038.6"/>
    <n v="4038.6"/>
    <n v="4038.6"/>
    <n v="4038.6"/>
    <n v="4038.6"/>
    <n v="4038.6"/>
    <n v="4038.6"/>
    <n v="4038.6"/>
    <n v="4038.6"/>
    <n v="4038.6"/>
    <n v="4038.6"/>
    <n v="4038.6"/>
    <n v="4038.6"/>
  </r>
  <r>
    <x v="0"/>
    <s v="Contratos"/>
    <s v="Atividades"/>
    <s v="6074202600000xxx"/>
    <x v="1"/>
    <s v="34.10.14.422.3018.4.326.33903000.00.1.500.9001.0"/>
    <s v="LGBTI"/>
    <s v="xx/SMDHC/2026"/>
    <s v="Material Gráfico"/>
    <s v="xxxxxxx"/>
    <d v="2026-12-31T00:00:00"/>
    <n v="100000"/>
    <n v="100000"/>
    <m/>
    <m/>
    <n v="50000"/>
    <m/>
    <n v="50000"/>
    <m/>
    <m/>
    <m/>
    <m/>
    <m/>
    <m/>
    <m/>
  </r>
  <r>
    <x v="0"/>
    <s v="Contratos"/>
    <s v="Atividades"/>
    <n v="6074201700000540"/>
    <x v="1"/>
    <s v="34.10.14.122.3018.4.332.33903900.00.1.500.9001.0"/>
    <s v="OUVIDORIA"/>
    <s v="068/SMDHC/2015"/>
    <s v="Locação Ed. Patriarca"/>
    <s v="Atenas Administração de Négocios"/>
    <d v="2026-11-30T00:00:00"/>
    <n v="67325.78"/>
    <n v="5584.73"/>
    <n v="5584.73"/>
    <n v="5584.73"/>
    <n v="5584.73"/>
    <n v="5584.73"/>
    <n v="5584.73"/>
    <n v="5584.73"/>
    <n v="5584.73"/>
    <n v="5584.73"/>
    <n v="5584.73"/>
    <n v="5584.73"/>
    <n v="5584.73"/>
    <n v="5893.75"/>
  </r>
  <r>
    <x v="0"/>
    <s v="Contratos"/>
    <s v="Atividades"/>
    <n v="6074201700000540"/>
    <x v="1"/>
    <s v="34.10.14.122.3018.4.332.33903900.00.1.500.9001.0"/>
    <s v="OUVIDORIA"/>
    <s v="068/SMDHC/2015"/>
    <s v="Condomínio Ed. Patriarca"/>
    <s v="Atenas Administração de Négocios"/>
    <d v="2026-11-30T00:00:00"/>
    <n v="79200"/>
    <n v="6600"/>
    <n v="6600"/>
    <n v="6600"/>
    <n v="6600"/>
    <n v="6600"/>
    <n v="6600"/>
    <n v="6600"/>
    <n v="6600"/>
    <n v="6600"/>
    <n v="6600"/>
    <n v="6600"/>
    <n v="6600"/>
    <n v="6600"/>
  </r>
  <r>
    <x v="0"/>
    <s v="Contratos"/>
    <s v="Atividades"/>
    <n v="6074201700000540"/>
    <x v="1"/>
    <s v="34.10.14.122.3018.4.332.33903900.00.1.500.9001.0"/>
    <s v="OUVIDORIA"/>
    <s v="068/SMDHC/2015"/>
    <s v="Reembolso Energia Elétrica Ed. Patriarca"/>
    <s v="Atenas Administração de Négocios"/>
    <d v="2026-11-30T00:00:00"/>
    <n v="7200"/>
    <n v="600"/>
    <n v="600"/>
    <n v="600"/>
    <n v="600"/>
    <n v="600"/>
    <n v="600"/>
    <n v="600"/>
    <n v="600"/>
    <n v="600"/>
    <n v="600"/>
    <n v="600"/>
    <n v="600"/>
    <n v="600"/>
  </r>
  <r>
    <x v="0"/>
    <s v="Contratos"/>
    <s v="Atividades"/>
    <n v="6074201700000540"/>
    <x v="1"/>
    <s v="34.10.14.122.3018.4.332.33903900.00.1.500.9001.0"/>
    <s v="OUVIDORIA"/>
    <s v="068/SMDHC/2015"/>
    <s v="IPTU Ed. Patriarca"/>
    <s v="Atenas Administração de Négocios"/>
    <d v="2026-11-30T00:00:00"/>
    <n v="8000"/>
    <n v="800"/>
    <s v="R$                        -  "/>
    <n v="800"/>
    <n v="800"/>
    <n v="800"/>
    <n v="800"/>
    <n v="800"/>
    <n v="800"/>
    <n v="800"/>
    <n v="800"/>
    <n v="800"/>
    <n v="800"/>
    <s v="R$                             -  "/>
  </r>
  <r>
    <x v="0"/>
    <s v="Contratos"/>
    <s v="Atividades"/>
    <n v="6074202200022450"/>
    <x v="0"/>
    <s v="34.10.14.122.3018.4.332.33903900.00.1.500.9001.0"/>
    <s v="OUVIDORIA"/>
    <s v="066/SMDHC/2023"/>
    <s v="Ouvidoria - 02 Linhas"/>
    <s v="TELEFONICA BRASIL SA"/>
    <d v="2026-04-26T00:00:00"/>
    <n v="1200"/>
    <n v="100"/>
    <n v="100"/>
    <n v="100"/>
    <n v="100"/>
    <n v="100"/>
    <n v="100"/>
    <n v="100"/>
    <n v="100"/>
    <n v="100"/>
    <n v="100"/>
    <n v="100"/>
    <n v="100"/>
    <n v="100"/>
  </r>
  <r>
    <x v="0"/>
    <s v="Contratos"/>
    <s v="Atividades"/>
    <n v="6074202400025320"/>
    <x v="1"/>
    <s v="34.10.14.422.3023.4.321.33903900.00.1.500.9001.0"/>
    <s v="POP RUA"/>
    <s v="138/SMDHC/2023"/>
    <s v="Prestação de serviços de fornecimento de sopão quente, chá quente, chocolate quente e água para atender a população em situação de rua durante o período de baixas temperaturas"/>
    <s v="FGRSILVA BUFFET E EVENTOS LTDA"/>
    <d v="2026-06-29T00:00:00"/>
    <n v="16817724"/>
    <n v="2000000"/>
    <m/>
    <m/>
    <m/>
    <n v="2000000"/>
    <n v="2000000"/>
    <n v="2000000"/>
    <n v="2000000"/>
    <n v="2000000"/>
    <n v="2000000"/>
    <m/>
    <m/>
    <m/>
  </r>
  <r>
    <x v="0"/>
    <s v="Contratos"/>
    <s v="Atividades"/>
    <n v="6074202400082860"/>
    <x v="1"/>
    <s v="34.10.14.422.3023.4.321.33903100.00.1.500.9001.0"/>
    <s v="POP RUA"/>
    <s v="NE"/>
    <s v="Edital do Prêmio 19 de Agosto de Boas Prática"/>
    <s v="DIVERSOS"/>
    <d v="2026-06-10T00:00:00"/>
    <n v="20000"/>
    <n v="20000"/>
    <m/>
    <m/>
    <m/>
    <m/>
    <m/>
    <n v="20000"/>
    <m/>
    <m/>
    <m/>
    <m/>
    <m/>
    <m/>
  </r>
  <r>
    <x v="0"/>
    <s v="Contratos"/>
    <s v="Atividades"/>
    <n v="6074202400099120"/>
    <x v="0"/>
    <s v="34.10.14.422.3013.2.431.33903900.00.1.500.9001.0"/>
    <s v="POP RUA"/>
    <s v="257/SMDHC/20221"/>
    <s v="Água e Esgoto - Pop Rua"/>
    <s v="SABESP"/>
    <d v="2026-12-31T00:00:00"/>
    <n v="72000"/>
    <n v="6000"/>
    <n v="6000"/>
    <n v="6000"/>
    <n v="6000"/>
    <n v="6000"/>
    <n v="6000"/>
    <n v="6000"/>
    <n v="6000"/>
    <n v="6000"/>
    <n v="6000"/>
    <n v="6000"/>
    <n v="6000"/>
    <n v="6000"/>
  </r>
  <r>
    <x v="0"/>
    <s v="Contratos"/>
    <s v="Atividades"/>
    <n v="6074202400099150"/>
    <x v="0"/>
    <s v="34.10.14.422.3013.2.431.33903900.00.1.500.9001.0"/>
    <s v="POP RUA"/>
    <s v="257/SMDHC/20221"/>
    <s v="Energia elétrica - Recifran"/>
    <s v="ENEL"/>
    <d v="2026-12-31T00:00:00"/>
    <n v="30000"/>
    <n v="2500"/>
    <n v="2500"/>
    <n v="2500"/>
    <n v="2500"/>
    <n v="2500"/>
    <n v="2500"/>
    <n v="2500"/>
    <n v="2500"/>
    <n v="2500"/>
    <n v="2500"/>
    <n v="2500"/>
    <n v="2500"/>
    <n v="2500"/>
  </r>
  <r>
    <x v="0"/>
    <s v="Contratos"/>
    <s v="Atividades"/>
    <n v="6074202500004810"/>
    <x v="0"/>
    <s v="34.10.14.422.3023.4.321.33903900.00.1.500.9001.0"/>
    <s v="POP RUA"/>
    <s v="002/SMDHC/2025"/>
    <s v="Fornecimento de kits-hidratação para a população em situação de rua durante os dias de operação de Altas Temperaturas"/>
    <s v="GRUPO JKM ALIMENTACAO LTDA"/>
    <d v="2026-01-27T00:00:00"/>
    <n v="10374000"/>
    <n v="850000"/>
    <n v="850000"/>
    <n v="850000"/>
    <n v="800000"/>
    <s v="R$                        -  "/>
    <s v=" R$                        -  "/>
    <s v=" R$                        -  "/>
    <s v=" R$                        -  "/>
    <s v=" R$                        -  "/>
    <s v=" R$                        -  "/>
    <n v="850000"/>
    <n v="850000"/>
    <n v="800000"/>
  </r>
  <r>
    <x v="0"/>
    <s v="Contratos"/>
    <s v="Atividades"/>
    <n v="6074202500013480"/>
    <x v="1"/>
    <s v="34.10.14.422.3013.2.431.33903700.00.1.500.9001.0"/>
    <s v="POP RUA"/>
    <s v="XX/SMDHC/2026"/>
    <s v="Serviço Integrado de Segurança"/>
    <s v="Novo Edital"/>
    <d v="2026-08-02T00:00:00"/>
    <n v="714268.56"/>
    <n v="59522.38"/>
    <n v="59522.38"/>
    <n v="59522.38"/>
    <n v="59522.38"/>
    <n v="59522.38"/>
    <n v="59522.38"/>
    <n v="59522.38"/>
    <n v="59522.38"/>
    <n v="59522.38"/>
    <n v="59522.38"/>
    <n v="59522.38"/>
    <n v="59522.38"/>
    <n v="59522.38"/>
  </r>
  <r>
    <x v="0"/>
    <s v="Contratos"/>
    <s v="Atividades"/>
    <n v="6012202300112290"/>
    <x v="1"/>
    <s v="34.10.08.605.3016.4.470.33903900.00.1.500.9001.0"/>
    <s v="SESANA"/>
    <s v="383/SMDHC/2023"/>
    <s v="Locação Ed. Conde de Prates"/>
    <s v="SNA PARTICIPACOES LTDA"/>
    <d v="2026-07-31T00:00:00"/>
    <n v="247327.2"/>
    <n v="18000"/>
    <n v="20010.599999999999"/>
    <n v="20010.599999999999"/>
    <n v="20010.599999999999"/>
    <n v="20010.599999999999"/>
    <n v="20010.599999999999"/>
    <n v="20010.599999999999"/>
    <n v="20010.599999999999"/>
    <n v="21450.6"/>
    <n v="21450.6"/>
    <n v="21450.6"/>
    <n v="21450.6"/>
    <n v="21450.6"/>
  </r>
  <r>
    <x v="0"/>
    <s v="Contratos"/>
    <s v="Atividades"/>
    <n v="6012202300112290"/>
    <x v="1"/>
    <s v="34.10.08.605.3016.4.470.33903900.00.1.500.9001.0"/>
    <s v="SESANA"/>
    <s v="383/SMDHC/2023"/>
    <s v="Locação Ed. Conde de Prates - IPTU"/>
    <s v="SNA PARTICIPACOES LTDA"/>
    <d v="2026-07-31T00:00:00"/>
    <n v="6100"/>
    <n v="610"/>
    <n v="610"/>
    <n v="610"/>
    <n v="610"/>
    <n v="610"/>
    <n v="610"/>
    <n v="610"/>
    <n v="610"/>
    <n v="610"/>
    <n v="610"/>
    <n v="610"/>
    <s v="R$                        -  "/>
    <s v=" R$                             -  "/>
  </r>
  <r>
    <x v="0"/>
    <s v="Contratos"/>
    <s v="Atividades"/>
    <n v="6012202300112290"/>
    <x v="1"/>
    <s v="34.10.08.605.3016.4.470.33903900.00.1.500.9001.0"/>
    <s v="SESANA"/>
    <s v="383/SMDHC/2023"/>
    <s v="Locação Ed. Conde de Prates - Condomínio"/>
    <s v="SNA PARTICIPACOES LTDA"/>
    <d v="2026-07-31T00:00:00"/>
    <n v="72000"/>
    <n v="6000"/>
    <n v="6000"/>
    <n v="6000"/>
    <n v="6000"/>
    <n v="6000"/>
    <n v="6000"/>
    <n v="6000"/>
    <n v="6000"/>
    <n v="6000"/>
    <n v="6000"/>
    <n v="6000"/>
    <n v="6000"/>
    <n v="6000"/>
  </r>
  <r>
    <x v="0"/>
    <s v="Contratos"/>
    <s v="Atividades"/>
    <n v="6064202300002770"/>
    <x v="0"/>
    <s v="34.10.08.605.3016.4.470.33903700.00.1.500.9001.0"/>
    <s v="SESANA"/>
    <s v="002/SMDET/2023"/>
    <s v="Vigilância CRESAN"/>
    <s v="QRX SEGURANCA PATRIMONIAL EIRELI"/>
    <d v="2026-02-28T00:00:00"/>
    <n v="1462352.78"/>
    <n v="121789.89"/>
    <n v="114789.89"/>
    <n v="114789.89"/>
    <n v="123277.3"/>
    <n v="123277.3"/>
    <n v="123277.3"/>
    <n v="123277.3"/>
    <n v="123277.3"/>
    <n v="123277.3"/>
    <n v="123277.3"/>
    <n v="123277.3"/>
    <n v="123277.3"/>
    <n v="123277.3"/>
  </r>
  <r>
    <x v="0"/>
    <s v="Contratos"/>
    <s v="Atividades"/>
    <n v="6074202100007580"/>
    <x v="0"/>
    <s v="34.10.08.605.3016.4.470.33903900.00.1.500.9001.0"/>
    <s v="SESANA"/>
    <s v="049/SMDHC/2021"/>
    <s v="Serviço de Logística - SESANA 10 Vans"/>
    <s v="AZUL TRANSPORTES E TURISMO LTDA"/>
    <d v="2026-08-24T00:00:00"/>
    <n v="2954565.09"/>
    <n v="198232.47"/>
    <n v="267437.65999999997"/>
    <n v="267437.65999999997"/>
    <n v="267437.65999999997"/>
    <n v="285058.32"/>
    <n v="285058.32"/>
    <n v="285058.32"/>
    <n v="285058.32"/>
    <n v="285058.32"/>
    <n v="285058.32"/>
    <n v="285058.32"/>
    <n v="285058.32"/>
    <n v="285058.32"/>
  </r>
  <r>
    <x v="0"/>
    <s v="Contratos"/>
    <s v="Atividades"/>
    <n v="6074202300027630"/>
    <x v="0"/>
    <s v="34.10.08.605.3016.4470.33903900.00.1.500.9001.0"/>
    <s v="SESANA"/>
    <s v="314/SMDHC/2023"/>
    <s v="Serviços de Controle de Acesso - SESANA"/>
    <s v="PAINEIRAS LIMPEZA E SERVICOS GERAIS LTDA"/>
    <d v="2026-10-22T00:00:00"/>
    <n v="151167.26"/>
    <n v="13341.18"/>
    <n v="12448.49"/>
    <n v="12448.49"/>
    <n v="12448.49"/>
    <n v="12448.49"/>
    <n v="12448.49"/>
    <n v="12448.49"/>
    <n v="12448.49"/>
    <n v="12448.49"/>
    <n v="12448.49"/>
    <n v="12448.49"/>
    <n v="13341.18"/>
    <n v="13341.18"/>
  </r>
  <r>
    <x v="0"/>
    <s v="Contratos"/>
    <s v="Atividades"/>
    <n v="6074202300065530"/>
    <x v="0"/>
    <s v="34.10.08.605.3016.4.470.33903900.00.1.500.9001.0"/>
    <s v="SESANA"/>
    <s v="261/SMDHC/2024"/>
    <s v="Prestação de Serviços de Limpeza - SESANA SEDE"/>
    <s v="UNISERV TERCEIRIZACAO E SERVICOS LTDA"/>
    <d v="2026-09-16T00:00:00"/>
    <n v="123304.68"/>
    <n v="10275.39"/>
    <n v="10275.39"/>
    <n v="10275.39"/>
    <n v="10275.39"/>
    <n v="10275.39"/>
    <n v="10275.39"/>
    <n v="10275.39"/>
    <n v="10275.39"/>
    <n v="10275.39"/>
    <n v="10275.39"/>
    <n v="10275.39"/>
    <n v="10275.39"/>
    <n v="10275.39"/>
  </r>
  <r>
    <x v="0"/>
    <s v="Contratos"/>
    <s v="Atividades"/>
    <n v="6074202300068360"/>
    <x v="0"/>
    <s v="34.10.08.605.3016.4.470.33903900.00.1.500.9001.0"/>
    <s v="SESANA"/>
    <s v="295/SMDHC/2023"/>
    <s v="Prestação de serviços de locação de Sistema PABX"/>
    <s v="RA TELECOM LTDA - EPP"/>
    <d v="2026-09-07T00:00:00"/>
    <n v="5945.52"/>
    <n v="478.42"/>
    <n v="495.46"/>
    <n v="495.46"/>
    <n v="495.46"/>
    <n v="495.46"/>
    <n v="495.46"/>
    <n v="495.46"/>
    <n v="495.46"/>
    <n v="495.46"/>
    <n v="533.73"/>
    <n v="533.73"/>
    <n v="533.73"/>
    <n v="533.73"/>
  </r>
  <r>
    <x v="0"/>
    <s v="Contratos"/>
    <s v="Atividades"/>
    <n v="6074202300072300"/>
    <x v="0"/>
    <s v="34.10.08.605.3016.4.470.33903900.00.1.500.9001.0"/>
    <s v="SESANA"/>
    <s v="325/SMDHC/2023"/>
    <s v="Locação Purificadores - Sesana"/>
    <s v="Brazon Maxfilter Industria e Locação"/>
    <d v="2026-09-30T00:00:00"/>
    <n v="869.04"/>
    <n v="76.260000000000005"/>
    <n v="71.14"/>
    <n v="71.14"/>
    <n v="71.14"/>
    <n v="71.14"/>
    <n v="71.14"/>
    <n v="71.14"/>
    <n v="71.14"/>
    <n v="71.14"/>
    <n v="71.14"/>
    <n v="76.260000000000005"/>
    <n v="76.260000000000005"/>
    <n v="76.260000000000005"/>
  </r>
  <r>
    <x v="0"/>
    <s v="Contratos"/>
    <s v="Atividades"/>
    <n v="6074202300085730"/>
    <x v="0"/>
    <s v="34.10.08.605.3016.4.470.33903900.00.1.500.9001.0"/>
    <s v="SESANA"/>
    <s v="404/SMDHC/2023"/>
    <s v="Locação, Instalação e Manutenção - Repelência de pombos"/>
    <s v="ROBOTX ELETRÔNICOS LTDA"/>
    <d v="2026-01-07T00:00:00"/>
    <n v="118548"/>
    <n v="10776.9"/>
    <n v="10776.9"/>
    <n v="10776.9"/>
    <n v="10776.9"/>
    <n v="10776.9"/>
    <n v="10776.9"/>
    <n v="10776.9"/>
    <n v="10776.9"/>
    <n v="10776.9"/>
    <n v="10776.9"/>
    <n v="10776.9"/>
    <n v="10776.9"/>
    <n v="10776.9"/>
  </r>
  <r>
    <x v="0"/>
    <s v="Contratos"/>
    <s v="Atividades"/>
    <n v="6074202300091880"/>
    <x v="0"/>
    <s v="34.10.08.605.3016.4.470.33903000.00.1.500.9001.0"/>
    <s v="SESANA"/>
    <s v="405/SMDHC/2023"/>
    <s v="Fornecimento de garrafões de 20 (vinte) litros de água"/>
    <s v="THHD COMERCIAL LTDA"/>
    <d v="2026-12-04T00:00:00"/>
    <n v="15504.6"/>
    <n v="1375.65"/>
    <n v="1284.45"/>
    <n v="1284.45"/>
    <n v="1284.45"/>
    <n v="1284.45"/>
    <n v="1284.45"/>
    <n v="1284.45"/>
    <n v="1284.45"/>
    <n v="1284.45"/>
    <n v="1284.45"/>
    <n v="1284.45"/>
    <n v="1284.45"/>
    <n v="1375.65"/>
  </r>
  <r>
    <x v="0"/>
    <s v="Contratos"/>
    <s v="Atividades"/>
    <n v="6074202400020500"/>
    <x v="0"/>
    <s v="34.10.08.605.3016.4.470.33903900.00.1.500.9001.0"/>
    <s v="SESANA"/>
    <s v="438/SMDHC/2024"/>
    <s v="Serviços de Telefonia "/>
    <s v="OPERADORA JRC TELECOMUNICACOES LTDA"/>
    <d v="2026-02-02T00:00:00"/>
    <n v="21375"/>
    <n v="1781.25"/>
    <n v="1781.25"/>
    <n v="1781.25"/>
    <n v="1781.25"/>
    <n v="1781.25"/>
    <n v="1781.25"/>
    <n v="1781.25"/>
    <n v="1781.25"/>
    <n v="1781.25"/>
    <n v="1781.25"/>
    <n v="1781.25"/>
    <n v="1781.25"/>
    <n v="1781.25"/>
  </r>
  <r>
    <x v="0"/>
    <s v="Contratos"/>
    <s v="Atividades"/>
    <n v="6074202400061680"/>
    <x v="0"/>
    <s v="34.10.08.605.3016.4.470.33903900.00.1.500.9001.0"/>
    <s v="SESANA"/>
    <s v="345/SMDHC/2024"/>
    <s v="Serviços contínuos de copeiragem"/>
    <s v="IMPACTO SOLUCOES OPERACIONAIS LTDA"/>
    <d v="2026-11-24T00:00:00"/>
    <n v="47643.58"/>
    <n v="4212.3900000000003"/>
    <n v="3921.88"/>
    <n v="3921.88"/>
    <n v="3921.88"/>
    <n v="3921.88"/>
    <n v="3921.88"/>
    <n v="3921.88"/>
    <n v="3921.88"/>
    <n v="3921.88"/>
    <n v="3921.88"/>
    <n v="3921.88"/>
    <n v="4212.3900000000003"/>
    <n v="4212.3900000000003"/>
  </r>
  <r>
    <x v="0"/>
    <s v="Contratos"/>
    <s v="Atividades"/>
    <n v="6074202400067390"/>
    <x v="0"/>
    <s v="34.10.08.605.3016.4.470.33903900.00.1.500.9001.0"/>
    <s v="SESANA"/>
    <s v="429/SMDHC/2024"/>
    <s v="Serviços de Desinsetização - CRESANs"/>
    <s v="AWK AMBIENTAL LTDA"/>
    <d v="2026-01-27T00:00:00"/>
    <n v="15012"/>
    <n v="1251"/>
    <n v="1251"/>
    <n v="1251"/>
    <n v="1251"/>
    <n v="1251"/>
    <n v="1251"/>
    <n v="1251"/>
    <n v="1251"/>
    <n v="1251"/>
    <n v="1251"/>
    <n v="1251"/>
    <n v="1251"/>
    <n v="1251"/>
  </r>
  <r>
    <x v="0"/>
    <s v="Contratos"/>
    <s v="Atividades"/>
    <n v="6074202400073430"/>
    <x v="0"/>
    <s v="34.10.08.605.3016.4.470.33903900.00.1.500.9001.0"/>
    <s v="SESANA"/>
    <s v="337/SMDHC/2024"/>
    <s v="Serviços de Limpeza - CRESAN"/>
    <s v="CLEAN4 SERVICOS GERAIS E ADMINISTRATIVOS EIRELI"/>
    <d v="2026-12-01T00:00:00"/>
    <n v="697755.07"/>
    <n v="62070.239999999998"/>
    <n v="57789.53"/>
    <n v="57789.53"/>
    <n v="57789.53"/>
    <n v="57789.53"/>
    <n v="57789.53"/>
    <n v="57789.53"/>
    <n v="57789.53"/>
    <n v="57789.53"/>
    <n v="57789.53"/>
    <n v="57789.53"/>
    <n v="57789.53"/>
    <n v="62070.239999999998"/>
  </r>
  <r>
    <x v="0"/>
    <s v="Contratos"/>
    <s v="Atividades"/>
    <n v="6074202400099120"/>
    <x v="0"/>
    <s v="34.10.08.605.3016.4.470.33903900.00.1.500.9001.0"/>
    <s v="SESANA"/>
    <s v="NE"/>
    <s v="Água e Esgoto - (cresans e Frota)"/>
    <s v="SABESP"/>
    <d v="2026-12-31T00:00:00"/>
    <n v="240000"/>
    <n v="20000"/>
    <n v="20000"/>
    <n v="20000"/>
    <n v="20000"/>
    <n v="20000"/>
    <n v="20000"/>
    <n v="20000"/>
    <n v="20000"/>
    <n v="20000"/>
    <n v="20000"/>
    <n v="20000"/>
    <n v="20000"/>
    <n v="20000"/>
  </r>
  <r>
    <x v="0"/>
    <s v="Contratos"/>
    <s v="Atividades"/>
    <n v="6074202400099150"/>
    <x v="0"/>
    <s v="34.10.08.605.3016.4.470.33903900.00.1.500.9001.0"/>
    <s v="SESANA"/>
    <s v="NE"/>
    <s v="Energia elétrica (Cresans, Sacolão Tiradentes, Frota e City Jaraguá)"/>
    <s v="ENEL"/>
    <d v="2026-12-31T00:00:00"/>
    <n v="240000"/>
    <n v="20000"/>
    <n v="20000"/>
    <n v="20000"/>
    <n v="20000"/>
    <n v="20000"/>
    <n v="20000"/>
    <n v="20000"/>
    <n v="20000"/>
    <n v="20000"/>
    <n v="20000"/>
    <n v="20000"/>
    <n v="20000"/>
    <n v="20000"/>
  </r>
  <r>
    <x v="0"/>
    <s v="Contratos"/>
    <s v="Atividades"/>
    <n v="6074202500013480"/>
    <x v="1"/>
    <s v="34.10.08.605.3016.4.470.33903700.00.1.500.9001.0"/>
    <s v="SESANA"/>
    <s v="XX/SMDHC/2026"/>
    <s v="Serviço Integrado de Segurança - SESANA"/>
    <s v="Novo Edital"/>
    <d v="2026-08-02T00:00:00"/>
    <n v="91685.16"/>
    <n v="7640.43"/>
    <n v="7640.43"/>
    <n v="7640.43"/>
    <n v="7640.43"/>
    <n v="7640.43"/>
    <n v="7640.43"/>
    <n v="7640.43"/>
    <n v="7640.43"/>
    <n v="7640.43"/>
    <n v="7640.43"/>
    <n v="7640.43"/>
    <n v="7640.43"/>
    <n v="7640.43"/>
  </r>
  <r>
    <x v="0"/>
    <s v="Contratos"/>
    <s v="Atividades"/>
    <n v="6074202500016960"/>
    <x v="0"/>
    <s v="34.10.08.605.3016.4.470.33903900.00.1.500.9001.0"/>
    <s v="SESANA"/>
    <s v="047/SMDHC/2025"/>
    <s v="serviços de limpeza e desinfecção"/>
    <s v="DESINTEC CONTROLE AMBIENTAL LTDA"/>
    <s v="xx/05/2026"/>
    <n v="4553.3"/>
    <m/>
    <m/>
    <m/>
    <m/>
    <n v="2276.65"/>
    <n v="2276.65"/>
    <m/>
    <m/>
    <m/>
    <m/>
    <m/>
    <m/>
    <m/>
  </r>
  <r>
    <x v="0"/>
    <s v="Contratos"/>
    <s v="Atividades"/>
    <n v="6074202500025000"/>
    <x v="0"/>
    <s v="34.10.08.605.3016.4.470.33903000.00.1.500.9001.0"/>
    <s v="SESANA"/>
    <s v="072/SMDHC/2025"/>
    <s v="Fornecimento de Gás"/>
    <s v="AMA COMERCIO E SERVICOS"/>
    <d v="2026-12-31T00:00:00"/>
    <n v="4250"/>
    <m/>
    <m/>
    <m/>
    <m/>
    <m/>
    <m/>
    <m/>
    <m/>
    <m/>
    <m/>
    <m/>
    <m/>
    <n v="4250"/>
  </r>
  <r>
    <x v="0"/>
    <s v="Contratos"/>
    <s v="Atividades"/>
    <s v="60742026000xxxxx"/>
    <x v="1"/>
    <s v="34.10.08.605.3016.4.470.33903000.00.1.500.9001.0"/>
    <s v="SESANA"/>
    <s v="xxx/SMDHC/2026"/>
    <s v="Aquisição de copos de papel 180ml, para atender as necessidades da SMDHC -SESANA"/>
    <s v="xxxxxxxxx"/>
    <s v="XX/XX/2026"/>
    <n v="10000"/>
    <n v="10000"/>
    <m/>
    <n v="10000"/>
    <m/>
    <m/>
    <m/>
    <m/>
    <m/>
    <m/>
    <m/>
    <m/>
    <m/>
    <m/>
  </r>
  <r>
    <x v="0"/>
    <s v="Contratos"/>
    <s v="Atividades"/>
    <n v="6074202300069590"/>
    <x v="0"/>
    <s v="34.10.08.605.3016.4.470.33903900.00.1.500.9001.0"/>
    <s v="SESANA"/>
    <s v="381/SMDHC/2023"/>
    <s v="Locação de banheiros "/>
    <s v="PILAR ECOTEC AMBIENTAL LTDA"/>
    <d v="2026-11-10T00:00:00"/>
    <n v="18606900"/>
    <n v="0"/>
    <n v="1674621"/>
    <n v="1674621"/>
    <n v="1674621"/>
    <n v="1674621"/>
    <n v="1674621"/>
    <n v="1674621"/>
    <n v="1674621"/>
    <n v="1674621"/>
    <n v="1674621"/>
    <n v="1674621"/>
    <n v="2914667"/>
    <n v="2914667"/>
  </r>
  <r>
    <x v="0"/>
    <s v="Parcerias"/>
    <s v="Atividades"/>
    <s v="607420170000708-4"/>
    <x v="1"/>
    <s v="34.10.08.243.3013.4.328.33503900.00.1.500.9001.0"/>
    <s v="CPCA"/>
    <s v="TCL/001/2018/SMDHC/CPCA"/>
    <s v="Apoio Psicossocial a crianças, adolescentes e jovens com diagnóstico de câncer ou transplantados de fígado e rins"/>
    <s v="Associação Pró-Hope Apoio à Criança com Câncer / Casa Hope"/>
    <d v="2025-07-23T00:00:00"/>
    <n v="1225834.8500000001"/>
    <n v="102152.9"/>
    <n v="102152.9"/>
    <n v="102152.9"/>
    <n v="102152.9"/>
    <n v="102152.9"/>
    <n v="102152.9"/>
    <n v="102152.9"/>
    <n v="102152.9"/>
    <n v="102152.9"/>
    <n v="102152.9"/>
    <n v="102152.9"/>
    <n v="102152.9"/>
    <n v="102152.9"/>
  </r>
  <r>
    <x v="0"/>
    <s v="Parcerias"/>
    <s v="Atividades"/>
    <n v="6074202000012180"/>
    <x v="0"/>
    <s v="34.10.14.422.3018.2.051.33503900.00.1.500.9001.0"/>
    <s v="CPIPTD"/>
    <s v="TCL/002/2020/SMDHC/CPIPTD"/>
    <s v="Gestão do Centro de Referência e atendimento para Imigrantes"/>
    <s v="SEFRAS - Ação Social Franciscana"/>
    <d v="2026-05-25T00:00:00"/>
    <n v="2119032.64"/>
    <n v="176586.05"/>
    <n v="169794.28"/>
    <n v="169794.28"/>
    <n v="169794.28"/>
    <n v="169794.28"/>
    <n v="179981.94"/>
    <n v="179981.94"/>
    <n v="179981.94"/>
    <n v="179981.94"/>
    <n v="179981.94"/>
    <n v="179981.94"/>
    <n v="179981.94"/>
    <n v="179981.94"/>
  </r>
  <r>
    <x v="0"/>
    <s v="Parcerias"/>
    <s v="Atividades"/>
    <n v="6074202300110720"/>
    <x v="0"/>
    <s v="34.10.14.422.3018.4.334.33503900.00.1.500.9001.0"/>
    <s v="CPIR"/>
    <s v="TCL/066/2023/SMDHC/CPIR"/>
    <s v="Gestão dos Centros de Referência de Promoção da Igualdade Racial – CRPIR - LOTE 1"/>
    <s v="APOIO - Associação de Auxílio Mútuo da Região Leste"/>
    <d v="2026-12-04T00:00:00"/>
    <n v="2151706.4900000002"/>
    <n v="179308.87"/>
    <n v="178416.79"/>
    <n v="178416.79"/>
    <n v="178416.79"/>
    <n v="178416.79"/>
    <n v="178416.79"/>
    <n v="178416.79"/>
    <n v="178416.79"/>
    <n v="178416.79"/>
    <n v="178416.79"/>
    <n v="178416.79"/>
    <n v="178416.79"/>
    <n v="189121.8"/>
  </r>
  <r>
    <x v="0"/>
    <s v="Parcerias"/>
    <s v="Atividades"/>
    <n v="6074202300110730"/>
    <x v="0"/>
    <s v="34.10.14.422.3018.4.334.33503900.00.1.500.9001.0"/>
    <s v="CPIR"/>
    <s v="TCL/067/2023/SMDHC/CPIR"/>
    <s v="Gestão dos Centros de Referência de Promoção da Igualdade Racial – CRPIR - LOTE 2"/>
    <s v="APOIO - Associação de Auxílio Mútuo da Região Leste"/>
    <d v="2026-12-04T00:00:00"/>
    <n v="2210204.17"/>
    <n v="184183.67999999999"/>
    <n v="183267.35"/>
    <n v="183267.34"/>
    <n v="183267.34"/>
    <n v="183267.34"/>
    <n v="183267.36"/>
    <n v="183267.34"/>
    <n v="183267.34"/>
    <n v="183267.34"/>
    <n v="183267.34"/>
    <n v="183267.34"/>
    <n v="183267.35"/>
    <n v="194263.39"/>
  </r>
  <r>
    <x v="0"/>
    <s v="Parcerias"/>
    <s v="Atividades"/>
    <n v="6074202300110740"/>
    <x v="0"/>
    <s v="34.10.14.422.3018.4.334.33503900.00.1.500.9001.0"/>
    <s v="CPIR"/>
    <s v="TCL/068/2023/SMDHC/CPIR"/>
    <s v="Gestão dos Centros de Referência de Promoção da Igualdade Racial – CRPIR - LOTE 3"/>
    <s v="Instituto Social Espaço Negro"/>
    <d v="2026-12-04T00:00:00"/>
    <n v="2045553.52"/>
    <n v="170462.79"/>
    <n v="169614.72"/>
    <n v="169614.72"/>
    <n v="169614.72"/>
    <n v="169614.72"/>
    <n v="169614.72"/>
    <n v="169614.72"/>
    <n v="169614.72"/>
    <n v="169614.72"/>
    <n v="169614.72"/>
    <n v="169614.72"/>
    <n v="169614.72"/>
    <n v="179791.6"/>
  </r>
  <r>
    <x v="0"/>
    <s v="Parcerias"/>
    <s v="Atividades"/>
    <n v="6074202300110750"/>
    <x v="0"/>
    <s v="34.10.14.422.3018.4.334.33503900.00.1.500.9001.0"/>
    <s v="CPIR"/>
    <s v="TCL/069/2023/SMDHC/CPIR"/>
    <s v="Gestão dos Centros de Referência de Promoção da Igualdade Racial – CRPIR - LOTE 4"/>
    <s v="Instituto Social Espaço Negro"/>
    <d v="2026-12-04T00:00:00"/>
    <n v="2264664.4300000002"/>
    <n v="188722.04"/>
    <n v="187783.12"/>
    <n v="187783.12"/>
    <n v="187783.12"/>
    <n v="187783.12"/>
    <n v="187783.12"/>
    <n v="187783.12"/>
    <n v="187783.12"/>
    <n v="187783.12"/>
    <n v="187783.12"/>
    <n v="187783.12"/>
    <n v="187783.12"/>
    <n v="199050.11"/>
  </r>
  <r>
    <x v="0"/>
    <s v="Parcerias"/>
    <s v="Atividades"/>
    <n v="6074202200048430"/>
    <x v="0"/>
    <s v="34.10.14.422.3018.4.318.33503900.00.1.500.9001.0"/>
    <s v="CPJ"/>
    <s v="TCL/007/2022/SMDHC/CPJ"/>
    <s v="Expansão dos programas de empreendedorismo para as juventudes em vulnerabilidade da cidade de SP"/>
    <s v="Instituto Besouro de Fomento Social e Pesquisa"/>
    <d v="2026-02-24T00:00:00"/>
    <n v="13532839.9"/>
    <n v="1127736.6599999999"/>
    <n v="1044617.08"/>
    <n v="1415281.82"/>
    <n v="1107294.1000000001"/>
    <n v="1107294.1000000001"/>
    <n v="1107294.1000000001"/>
    <n v="1107294.1000000001"/>
    <n v="1107294.1000000001"/>
    <n v="1107294.1000000001"/>
    <n v="1107294.1000000001"/>
    <n v="1107294.1000000001"/>
    <n v="1107294.1000000001"/>
    <n v="1107294.1000000001"/>
  </r>
  <r>
    <x v="0"/>
    <s v="Parcerias"/>
    <s v="Atividades"/>
    <n v="6074202400105280"/>
    <x v="0"/>
    <s v="34.10.14.422.3018.4.326.33503900.00.1.500.9001.0"/>
    <s v="CPLGBTI"/>
    <s v="TCL/020/2024/SMDHC/CPLGBTI"/>
    <s v="Gestão do Centro de Referência LGBTI+ Luana Barbosa dos Reis e Unidade Móvel LGBTI+ Norte (distrito Brasilândia ou Pirituba) - LOTE 1"/>
    <s v="Associação Lyra"/>
    <d v="2029-11-18T00:00:00"/>
    <n v="2038134.3"/>
    <n v="169844.53"/>
    <n v="169561.92"/>
    <n v="169561.92"/>
    <n v="169561.92"/>
    <n v="169561.93"/>
    <n v="169561.92"/>
    <n v="169561.92"/>
    <n v="169561.92"/>
    <n v="169561.92"/>
    <n v="169561.92"/>
    <n v="169561.92"/>
    <n v="169561.93"/>
    <n v="172953.16"/>
  </r>
  <r>
    <x v="0"/>
    <s v="Parcerias"/>
    <s v="Atividades"/>
    <n v="6074202400105300"/>
    <x v="0"/>
    <s v="34.10.14.422.3018.4.326.33503900.00.1.500.9001.0"/>
    <s v="CPLGBTI"/>
    <s v="TCL/021/2024/SMDHC/CPLGBTI"/>
    <s v="Gestão do Centro de Referência LGBTI+ Edson Neris e Unidade Móvel LGBTI+ Sul"/>
    <s v="UNAS: União de Núcleos, Associações dos Moradores de Heliópolis e Região"/>
    <d v="2029-11-25T00:00:00"/>
    <n v="2034694.31"/>
    <n v="169557.86"/>
    <n v="168854.3"/>
    <n v="168854.3"/>
    <n v="168854.3"/>
    <n v="168854.3"/>
    <n v="168854.32"/>
    <n v="168854.3"/>
    <n v="168854.3"/>
    <n v="168854.3"/>
    <n v="168854.3"/>
    <n v="168854.3"/>
    <n v="168854.3"/>
    <n v="177296.99"/>
  </r>
  <r>
    <x v="0"/>
    <s v="Parcerias"/>
    <s v="Atividades"/>
    <n v="6074202400105310"/>
    <x v="0"/>
    <s v="34.10.14.422.3018.4.326.33503900.00.1.500.9001.0"/>
    <s v="CPLGBTI"/>
    <s v="TCL/022/2024/SMDHC/CPLGBTI"/>
    <s v="Gestão do Centro de Referência LGBTI+ Laura Vermont e Unidade Móvel LGBTI+ Leste (distrito São Miguel Paulista) - LOTE 3"/>
    <s v="ACESD: Associação Cultural Educacional e Social Dynamite"/>
    <d v="2029-11-18T00:00:00"/>
    <n v="2067358.4"/>
    <n v="172279.87"/>
    <n v="171993.21"/>
    <n v="171993.21"/>
    <n v="171993.21"/>
    <n v="171993.21"/>
    <n v="171993.22"/>
    <n v="171993.21"/>
    <n v="171993.21"/>
    <n v="171993.21"/>
    <n v="171993.21"/>
    <n v="171993.21"/>
    <n v="171993.22"/>
    <n v="175433.07"/>
  </r>
  <r>
    <x v="0"/>
    <s v="Parcerias"/>
    <s v="Atividades"/>
    <n v="6074202400105320"/>
    <x v="0"/>
    <s v="34.10.14.422.3018.4.326.33503900.00.1.500.9001.0"/>
    <s v="CPLGBTI"/>
    <s v="TCL/023/2024/SMDHC/CPLGBTI"/>
    <s v="Gestão do Centro de Referência LGBTI+ Claudia Wonder e Unidade Móvel LGBTI+ Oeste (distrito Vila Sônia ou Butantã) - LOTE 4"/>
    <s v="Instituto Claret - Solidariedade e Desenvolvimento Humano"/>
    <d v="2029-11-22T00:00:00"/>
    <n v="2121411.9300000002"/>
    <n v="176784.33"/>
    <n v="176490.17"/>
    <n v="176490.18"/>
    <n v="176490.18"/>
    <n v="176490.18"/>
    <n v="176490.18"/>
    <n v="176490.17"/>
    <n v="176490.17"/>
    <n v="176490.18"/>
    <n v="176490.18"/>
    <n v="176490.18"/>
    <n v="176490.18"/>
    <n v="180019.98"/>
  </r>
  <r>
    <x v="0"/>
    <s v="Parcerias"/>
    <s v="Atividades"/>
    <n v="6074202400105330"/>
    <x v="0"/>
    <s v="34.10.14.422.3018.4.326.33503900.00.1.500.9001.0"/>
    <s v="CPLGBTI"/>
    <s v="TCL/024/2024/SMDHC/CPLGBTI"/>
    <s v="Gestão do Centro de Referência LGBTI+ Brunna Valin e Unidade Móvel LGBTI+ Centro (distrito República ou Sé) - LOTE 5"/>
    <s v="Grupo Pela VIDDA: Valorização Integração e Dignidade do Doente de Aids de São Paulo"/>
    <d v="2029-11-25T00:00:00"/>
    <n v="2190348.54"/>
    <n v="182529.05"/>
    <n v="182529.04"/>
    <n v="182529.04"/>
    <n v="182529.04"/>
    <n v="182529.05"/>
    <n v="182529.05"/>
    <n v="182529.04"/>
    <n v="182529.04"/>
    <n v="182529.04"/>
    <n v="182529.05"/>
    <n v="182529.05"/>
    <n v="182529.05"/>
    <n v="182529.05"/>
  </r>
  <r>
    <x v="0"/>
    <s v="Parcerias"/>
    <s v="Atividades"/>
    <n v="6074201900002390"/>
    <x v="1"/>
    <s v="34.10.14.422.3013.6.178.33503900.00.1.500.9001.0"/>
    <s v="CPM"/>
    <s v="TCL/003/2016/SMPM/CPM"/>
    <s v="Casa de Acolhimento Provisório de Curta Duração, na Zona Norte de São Paulo"/>
    <s v="UPM: União Popular de Mulheres de Campo Limpo e Adjacências"/>
    <d v="2025-11-05T00:00:00"/>
    <n v="2266324.2000000002"/>
    <n v="188860.35"/>
    <n v="188860.35"/>
    <n v="188860.35"/>
    <n v="188860.35"/>
    <n v="188860.35"/>
    <n v="188860.35"/>
    <n v="188860.35"/>
    <n v="188860.35"/>
    <n v="188860.35"/>
    <n v="188860.35"/>
    <n v="188860.35"/>
    <n v="188860.35"/>
    <n v="188860.35"/>
  </r>
  <r>
    <x v="0"/>
    <s v="Parcerias"/>
    <s v="Atividades"/>
    <n v="6074202400022310"/>
    <x v="0"/>
    <s v="34.10.14.422.3013.6.178.33503900.00.1.500.9001.0"/>
    <s v="CPM"/>
    <s v="TCL/014/2024/SMDHC/CPM"/>
    <s v="Gestão do Centro de Referência e Cidadania da Mulher CRCM - Casa da Mulher Parelheiros"/>
    <s v="Associação Afro-Brasileira Nossa Senhora Aparecida"/>
    <d v="2027-04-10T00:00:00"/>
    <n v="1739907.46"/>
    <n v="144992.29"/>
    <n v="144992.29"/>
    <n v="144992.29"/>
    <n v="144992.28"/>
    <n v="144992.29"/>
    <n v="144992.29"/>
    <n v="144992.29"/>
    <n v="144992.29"/>
    <n v="144992.29"/>
    <n v="144992.28"/>
    <n v="144992.29"/>
    <n v="144992.29"/>
    <n v="144992.29"/>
  </r>
  <r>
    <x v="0"/>
    <s v="Parcerias"/>
    <s v="Atividades"/>
    <n v="6074202400022320"/>
    <x v="0"/>
    <s v="34.10.14.422.3013.6.178.33503900.00.1.500.9001.0"/>
    <s v="CPM"/>
    <s v="TCL/015/2024/SMDHC/CPM"/>
    <s v="Gestão do Centro de Referência e Cidadania da Mulher CRCM - Casa da Mulher Vila Perus e CRCM – Casa da Mulher Cachoeirinha"/>
    <s v="Centro de Integração Assistencial e Profissional São Patrício"/>
    <d v="2027-04-10T00:00:00"/>
    <n v="3282359.52"/>
    <n v="273529.96000000002"/>
    <n v="269487.64"/>
    <n v="269487.64"/>
    <n v="269487.64"/>
    <n v="274877.40000000002"/>
    <n v="274877.40000000002"/>
    <n v="274877.40000000002"/>
    <n v="274877.40000000002"/>
    <n v="274877.40000000002"/>
    <n v="274877.40000000002"/>
    <n v="274877.40000000002"/>
    <n v="274877.40000000002"/>
    <n v="274877.40000000002"/>
  </r>
  <r>
    <x v="0"/>
    <s v="Parcerias"/>
    <s v="Atividades"/>
    <n v="6074202400022330"/>
    <x v="0"/>
    <s v="34.10.14.422.3013.6.178.33503900.00.1.500.9001.0"/>
    <s v="CPM"/>
    <s v="TCL/016/2024/SMDHC/CPM"/>
    <s v="Gestão do Centro de Referência e Cidadania da Mulher CRCM - Casa da Mulher Itaquera e CRCM - Casa da Mulher São Miguel"/>
    <s v="Casa de Isabel - Centro de Apoio a Mulher a Criança e o Adolescente Vítimas de Violência Doméstica e Situação de Risco"/>
    <d v="2027-04-10T00:00:00"/>
    <n v="3661246.56"/>
    <n v="305103.88"/>
    <n v="294118.99"/>
    <n v="294118.99"/>
    <n v="294118.99"/>
    <n v="308765.51"/>
    <n v="308765.51"/>
    <n v="308765.51"/>
    <n v="308765.51"/>
    <n v="308765.51"/>
    <n v="308765.51"/>
    <n v="308765.51"/>
    <n v="308765.51"/>
    <n v="308765.51"/>
  </r>
  <r>
    <x v="0"/>
    <s v="Parcerias"/>
    <s v="Atividades"/>
    <n v="6074202400022350"/>
    <x v="0"/>
    <s v="34.10.14.422.3013.6.178.33503900.00.1.500.9001.0"/>
    <s v="CPM"/>
    <s v="TCL/017/2024/SMDHC/CPM"/>
    <s v="Gestão do Centro de Referência e Cidadania da Mulher CRCM - Casa da Mulher Santo Amaro e CRM Casa da Mulher Capela do Socorro"/>
    <s v="APOIO - Associação de Auxílio Mútuo da Região Leste"/>
    <d v="2027-04-10T00:00:00"/>
    <n v="3448158.71"/>
    <n v="287346.56"/>
    <n v="283100.06"/>
    <n v="283100.06"/>
    <n v="283100.06"/>
    <n v="288762.06"/>
    <n v="288762.06"/>
    <n v="288762.06"/>
    <n v="288762.06"/>
    <n v="288762.06"/>
    <n v="288762.06"/>
    <n v="288762.05"/>
    <n v="288762.06"/>
    <n v="288762.06"/>
  </r>
  <r>
    <x v="0"/>
    <s v="Parcerias"/>
    <s v="Atividades"/>
    <n v="6074202400085530"/>
    <x v="0"/>
    <s v="34.10.14.422.3013.2.053.33503900.00.1.500.9001.0"/>
    <s v="CPM"/>
    <s v="TCL/019/2024/SMDHC/CPM"/>
    <s v="Casa da Mulher Brasileira, Postos Avançados e Unidade Móvel de Atendimento à Mulher"/>
    <s v="Instituto Hera Artemisul / Casa da Mulher Paulistana"/>
    <d v="2029-09-30T00:00:00"/>
    <n v="5852384.6399999997"/>
    <n v="487698.72"/>
    <n v="487698.72"/>
    <n v="487698.72"/>
    <n v="487698.72"/>
    <n v="487698.72"/>
    <n v="487698.72"/>
    <n v="487698.72"/>
    <n v="487698.72"/>
    <n v="487698.72"/>
    <n v="487698.72"/>
    <n v="487698.72"/>
    <n v="487698.72"/>
    <n v="487698.72"/>
  </r>
  <r>
    <x v="0"/>
    <s v="Parcerias"/>
    <s v="Atividades"/>
    <n v="6074202400064510"/>
    <x v="1"/>
    <s v="34.10.14.422.3013.6.178.33503900.00.1.500.9001.0"/>
    <s v="CPM"/>
    <s v="TCL/025/2022/SMADS/CPM"/>
    <s v="Centro de Defesa e Convivência da Mulher - CDCM Casa Zizi"/>
    <s v="Centro de Integração Assistencial e Profissional São Patrício"/>
    <d v="2027-01-31T00:00:00"/>
    <n v="508284.84"/>
    <n v="42357.07"/>
    <n v="42357.07"/>
    <n v="42357.07"/>
    <n v="42357.07"/>
    <n v="42357.07"/>
    <n v="42357.07"/>
    <n v="42357.07"/>
    <n v="42357.07"/>
    <n v="42357.07"/>
    <n v="42357.07"/>
    <n v="42357.07"/>
    <n v="42357.07"/>
    <n v="42357.07"/>
  </r>
  <r>
    <x v="0"/>
    <s v="Parcerias"/>
    <s v="Atividades"/>
    <n v="6074202400064440"/>
    <x v="1"/>
    <s v="34.10.14.422.3013.6.178.33503900.00.1.500.9001.0"/>
    <s v="CPM"/>
    <s v="TCL/029/2022/SMADS/CPM"/>
    <s v="CDCM - Francisca Franco "/>
    <s v="Fundação Francisca Franco"/>
    <d v="2027-01-31T00:00:00"/>
    <n v="652528.56000000006"/>
    <n v="54377.38"/>
    <n v="54377.38"/>
    <n v="54377.38"/>
    <n v="54377.38"/>
    <n v="54377.38"/>
    <n v="54377.38"/>
    <n v="54377.38"/>
    <n v="54377.38"/>
    <n v="54377.38"/>
    <n v="54377.38"/>
    <n v="54377.38"/>
    <n v="54377.38"/>
    <n v="54377.38"/>
  </r>
  <r>
    <x v="0"/>
    <s v="Parcerias"/>
    <s v="Atividades"/>
    <n v="6074202300078960"/>
    <x v="0"/>
    <s v="34.10.14.422.3013.6.178.33503900.00.1.500.9001.0"/>
    <s v="CPM"/>
    <s v="TCL/051/2023/SMDHC/CPM"/>
    <s v="Gestão do Centro de Referência e Cidadania da Mulher CRCM - Casa da Mulher de Brasilândia"/>
    <s v="Instituto Vida São Paulo"/>
    <d v="2026-10-04T00:00:00"/>
    <n v="1355821.55"/>
    <n v="112985.13"/>
    <n v="111315.4"/>
    <n v="111315.4"/>
    <n v="111315.4"/>
    <n v="111315.39"/>
    <n v="111315.4"/>
    <n v="111315.4"/>
    <n v="111315.4"/>
    <n v="111315.4"/>
    <n v="111315.4"/>
    <n v="117994.32"/>
    <n v="117994.32"/>
    <n v="117994.32"/>
  </r>
  <r>
    <x v="0"/>
    <s v="Parcerias"/>
    <s v="Atividades"/>
    <n v="6074202300078970"/>
    <x v="0"/>
    <s v="34.10.14.422.3013.6.178.33503900.00.1.500.9001.0"/>
    <s v="CPM"/>
    <s v="TCL/052/2023/SMDHC/CPM"/>
    <s v="Gestão do Centro de Referência e Cidadania da Mulher CRCM - Casa da Mulher Maria de Lourdes Rodrigues"/>
    <s v="UPM: União Popular de Mulheres de Campo Limpo e Adjacências"/>
    <d v="2026-09-29T00:00:00"/>
    <n v="2093832.37"/>
    <n v="174486.03"/>
    <n v="171907.42"/>
    <n v="171907.42"/>
    <n v="171907.41"/>
    <n v="171907.42"/>
    <n v="171907.42"/>
    <n v="171907.42"/>
    <n v="171907.42"/>
    <n v="171907.42"/>
    <n v="171907.41"/>
    <n v="182221.87"/>
    <n v="182221.87"/>
    <n v="182221.87"/>
  </r>
  <r>
    <x v="0"/>
    <s v="Parcerias"/>
    <s v="Atividades"/>
    <n v="6074202300078980"/>
    <x v="0"/>
    <s v="34.10.14.422.3013.6.178.33503900.00.1.500.9001.0"/>
    <s v="CPM"/>
    <s v="TCL/053/2023/SMDHC/CPM"/>
    <s v="Centro de Referência e Cidadania da Mulher CRCM - Casa da Mulher Eliane de Grammont"/>
    <s v="Centro de Integração Assistencial e Profissional São Patrício"/>
    <d v="2026-09-29T00:00:00"/>
    <n v="1817784"/>
    <n v="151482"/>
    <n v="149243.35"/>
    <n v="149243.35"/>
    <n v="149243.35"/>
    <n v="149243.35"/>
    <n v="149243.35"/>
    <n v="149243.35"/>
    <n v="149243.35"/>
    <n v="149243.35"/>
    <n v="149243.35"/>
    <n v="158197.95000000001"/>
    <n v="158197.95000000001"/>
    <n v="158197.95000000001"/>
  </r>
  <r>
    <x v="0"/>
    <s v="Parcerias"/>
    <s v="Atividades"/>
    <n v="6074202300078990"/>
    <x v="0"/>
    <s v="34.10.14.422.3013.6.178.33503900.00.1.500.9001.0"/>
    <s v="CPM"/>
    <s v="TCL/054/2023/SMDHC/CPM"/>
    <s v="Gestão do Centro de Referência e Cidadania da Mulher CRCM - Casa da Mulher 25 de Março"/>
    <s v="Centro de Integração Assistencial e Profissional São Patrício"/>
    <d v="2026-09-29T00:00:00"/>
    <n v="1989522.02"/>
    <n v="165793.5"/>
    <n v="163343.35"/>
    <n v="163343.35"/>
    <n v="163343.35"/>
    <n v="163343.35999999999"/>
    <n v="163343.35999999999"/>
    <n v="163343.35"/>
    <n v="163343.35"/>
    <n v="163343.35"/>
    <n v="163343.35"/>
    <n v="173143.95"/>
    <n v="173143.95"/>
    <n v="173143.95"/>
  </r>
  <r>
    <x v="0"/>
    <s v="Parcerias"/>
    <s v="Atividades"/>
    <n v="6074202400073980"/>
    <x v="1"/>
    <s v="34.10.14.422.3013.6.178.33503900.00.1.500.9001.0"/>
    <s v="CPM"/>
    <s v="TCL/075/2023/SMADS/CPM"/>
    <s v="Centro de Defesa e de Convivência da Mulher - CDCM Casa Sofia"/>
    <s v="Sociedade Santos Mártires"/>
    <d v="2028-03-31T00:00:00"/>
    <n v="442825.56"/>
    <n v="36902.129999999997"/>
    <n v="36902.129999999997"/>
    <n v="36902.129999999997"/>
    <n v="36902.129999999997"/>
    <n v="36902.129999999997"/>
    <n v="36902.129999999997"/>
    <n v="36902.129999999997"/>
    <n v="36902.129999999997"/>
    <n v="36902.129999999997"/>
    <n v="36902.129999999997"/>
    <n v="36902.129999999997"/>
    <n v="36902.129999999997"/>
    <n v="36902.129999999997"/>
  </r>
  <r>
    <x v="0"/>
    <s v="Parcerias"/>
    <s v="Atividades"/>
    <n v="6074202400095530"/>
    <x v="1"/>
    <s v="34.10.14.422.3013.6.178.33503900.00.1.500.9001.0"/>
    <s v="CPM"/>
    <s v="TCL/103/2020/SMADS/CPM"/>
    <s v="Centro de Defesa e Convivência da Mulher - CDCM Casa Márcia Martins"/>
    <s v="Associação Fala Mulher"/>
    <d v="2025-12-02T00:00:00"/>
    <n v="564492.36"/>
    <n v="47041.03"/>
    <n v="47041.03"/>
    <n v="47041.03"/>
    <n v="47041.03"/>
    <n v="47041.03"/>
    <n v="47041.03"/>
    <n v="47041.03"/>
    <n v="47041.03"/>
    <n v="47041.03"/>
    <n v="47041.03"/>
    <n v="47041.03"/>
    <n v="47041.03"/>
    <n v="47041.03"/>
  </r>
  <r>
    <x v="0"/>
    <s v="Parcerias"/>
    <s v="Atividades"/>
    <n v="6074202400089750"/>
    <x v="1"/>
    <s v="34.10.14.422.3013.6.178.33503900.00.1.500.9001.0"/>
    <s v="CPM"/>
    <s v="TCL/130/2024/SMADS/CPM"/>
    <s v="Centro de Defesa e Convivência da Mulher - CDCM Casa Viviane dos Santos"/>
    <s v="AVIB: Associação de Voluntários Integrados no Brasil"/>
    <d v="2029-05-01T00:00:00"/>
    <n v="526183.19999999995"/>
    <n v="43848.6"/>
    <n v="43848.6"/>
    <n v="43848.6"/>
    <n v="43848.6"/>
    <n v="43848.6"/>
    <n v="43848.6"/>
    <n v="43848.6"/>
    <n v="43848.6"/>
    <n v="43848.6"/>
    <n v="43848.6"/>
    <n v="43848.6"/>
    <n v="43848.6"/>
    <n v="43848.6"/>
  </r>
  <r>
    <x v="0"/>
    <s v="Parcerias"/>
    <s v="Atividades"/>
    <n v="6074202400063000"/>
    <x v="1"/>
    <s v="34.10.14.422.3013.6.178.33503900.00.1.500.9001.0"/>
    <s v="CPM"/>
    <s v="TCL/192/2021/SMADS/CPM"/>
    <s v="Centro de Defesa e Convivência da Mulher – CDCM Casa Mariás"/>
    <s v="NCCV: Núcleo Cristão Cidadania e Vida"/>
    <d v="2026-06-12T00:00:00"/>
    <n v="625891.24"/>
    <n v="52157.599999999999"/>
    <n v="50638.44"/>
    <n v="50638.46"/>
    <n v="50638.46"/>
    <n v="50638.46"/>
    <n v="50638.46"/>
    <n v="50638.46"/>
    <n v="53676.75"/>
    <n v="53676.75"/>
    <n v="53676.75"/>
    <n v="53676.75"/>
    <n v="53676.75"/>
    <n v="53676.75"/>
  </r>
  <r>
    <x v="0"/>
    <s v="Parcerias"/>
    <s v="Atividades"/>
    <n v="6074202400102230"/>
    <x v="1"/>
    <s v="34.10.14.422.3013.6.178.33503900.00.1.500.9001.0"/>
    <s v="CPM"/>
    <s v="TCL/214/2019/SMADS/CPM"/>
    <s v="Centro de Integração Social da Mulher – CISM II"/>
    <s v="Associação Fala Mulher"/>
    <d v="2029-06-15T00:00:00"/>
    <n v="504570.48"/>
    <n v="42047.54"/>
    <n v="42047.54"/>
    <n v="42047.54"/>
    <n v="42047.54"/>
    <n v="42047.54"/>
    <n v="42047.54"/>
    <n v="42047.54"/>
    <n v="42047.54"/>
    <n v="42047.54"/>
    <n v="42047.54"/>
    <n v="42047.54"/>
    <n v="42047.54"/>
    <n v="42047.54"/>
  </r>
  <r>
    <x v="0"/>
    <s v="Parcerias"/>
    <s v="Atividades"/>
    <n v="6074202400095510"/>
    <x v="1"/>
    <s v="34.10.14.422.3013.6.178.33503900.00.1.500.9001.0"/>
    <s v="CPM"/>
    <s v="TCL/229/2023/SMADS/CPM"/>
    <s v="Centro de Defesa e Convivência da Mulher - CDCM Casa da Mulher Crê-se"/>
    <s v="GFWC CrêSer"/>
    <d v="2028-05-31T00:00:00"/>
    <n v="517105.32"/>
    <n v="43092.11"/>
    <n v="43092.11"/>
    <n v="43092.11"/>
    <n v="43092.11"/>
    <n v="43092.11"/>
    <n v="43092.11"/>
    <n v="43092.11"/>
    <n v="43092.11"/>
    <n v="43092.11"/>
    <n v="43092.11"/>
    <n v="43092.11"/>
    <n v="43092.11"/>
    <n v="43092.11"/>
  </r>
  <r>
    <x v="0"/>
    <s v="Parcerias"/>
    <s v="Atividades"/>
    <n v="6074202400102280"/>
    <x v="1"/>
    <s v="34.10.14.422.3013.6.178.33503900.00.1.500.9001.0"/>
    <s v="CPM"/>
    <s v="TCL/286/2023/SMADS/CPM"/>
    <s v="Centro de Defesa e Convivência da Mulher - CDCM Margarida Maria Alves"/>
    <s v="Associação Comunitária e Beneficente Padre José Augusto Machado Moreira"/>
    <d v="2028-06-30T00:00:00"/>
    <n v="535867.92000000004"/>
    <n v="44655.66"/>
    <n v="44655.66"/>
    <n v="44655.66"/>
    <n v="44655.66"/>
    <n v="44655.66"/>
    <n v="44655.66"/>
    <n v="44655.66"/>
    <n v="44655.66"/>
    <n v="44655.66"/>
    <n v="44655.66"/>
    <n v="44655.66"/>
    <n v="44655.66"/>
    <n v="44655.66"/>
  </r>
  <r>
    <x v="0"/>
    <s v="Parcerias"/>
    <s v="Atividades"/>
    <n v="6074202400095440"/>
    <x v="1"/>
    <s v="34.10.14.422.3013.6.178.33503900.00.1.500.9001.0"/>
    <s v="CPM"/>
    <s v="TCL/301/2021/SMADS/CPM"/>
    <s v="Centro de Defesa e Convivência da Mulher - CDCM Marielle Franco"/>
    <s v="Centro de Integração Assistencial e Profissional São Patrício"/>
    <d v="2026-11-10T00:00:00"/>
    <n v="461831.88"/>
    <n v="38485.99"/>
    <n v="38104.94"/>
    <n v="38104.94"/>
    <n v="38104.94"/>
    <n v="38104.94"/>
    <n v="38104.94"/>
    <n v="38104.94"/>
    <n v="38104.94"/>
    <n v="38104.94"/>
    <n v="38104.94"/>
    <n v="38104.94"/>
    <n v="40391.24"/>
    <n v="40391.24"/>
  </r>
  <r>
    <x v="0"/>
    <s v="Parcerias"/>
    <s v="Atividades"/>
    <n v="6074202400102310"/>
    <x v="1"/>
    <s v="34.10.14.422.3013.6.178.33503900.00.1.500.9001.0"/>
    <s v="CPM"/>
    <s v="TCL/315/2023/SMADS/CPM"/>
    <s v="Centro de Defesa e Convivência da Mulher - CDCM Cidinha Kopcak"/>
    <s v="Associação Comunitária e Beneficente Padre José Augusto Machado Moreira"/>
    <d v="2028-06-30T00:00:00"/>
    <n v="613770.36"/>
    <n v="51147.53"/>
    <n v="51147.53"/>
    <n v="51147.53"/>
    <n v="51147.53"/>
    <n v="51147.53"/>
    <n v="51147.53"/>
    <n v="51147.53"/>
    <n v="51147.53"/>
    <n v="51147.53"/>
    <n v="51147.53"/>
    <n v="51147.53"/>
    <n v="51147.53"/>
    <n v="51147.53"/>
  </r>
  <r>
    <x v="0"/>
    <s v="Parcerias"/>
    <s v="Atividades"/>
    <n v="6074202400074010"/>
    <x v="1"/>
    <s v="34.10.14.422.3013.6.178.33503900.00.1.500.9001.0"/>
    <s v="CPM"/>
    <s v="TCL/459/2023/SMADS/CPM"/>
    <s v="Centro de Defesa e de Convivência da Mulher - CDCM Naná Serafim"/>
    <s v="Casa de Isabel - Centro de Apoio a Mulher a Criança e o Adolescente Vítimas de Violência Doméstica e Situação de Risco"/>
    <d v="2028-09-14T00:00:00"/>
    <n v="598404.12"/>
    <n v="49867.01"/>
    <n v="49867.01"/>
    <n v="49867.01"/>
    <n v="49867.01"/>
    <n v="49867.01"/>
    <n v="49867.01"/>
    <n v="49867.01"/>
    <n v="49867.01"/>
    <n v="49867.01"/>
    <n v="49867.01"/>
    <n v="49867.01"/>
    <n v="49867.01"/>
    <n v="49867.01"/>
  </r>
  <r>
    <x v="0"/>
    <s v="Parcerias"/>
    <s v="Atividades"/>
    <n v="6074202400089710"/>
    <x v="1"/>
    <s v="34.10.14.422.3013.6.178.33503900.00.1.500.9001.0"/>
    <s v="CPM"/>
    <s v="TCL/503/2023/SMADS/CPM"/>
    <s v="Centro de Defesa e Convivência da Mulher - CDCM Casa Anastácia"/>
    <s v="AVIB: Associação de Voluntários Integrados no Brasil"/>
    <d v="2028-10-27T00:00:00"/>
    <n v="587579.64"/>
    <n v="48964.97"/>
    <n v="48964.97"/>
    <n v="48964.97"/>
    <n v="48964.97"/>
    <n v="48964.97"/>
    <n v="48964.97"/>
    <n v="48964.97"/>
    <n v="48964.97"/>
    <n v="48964.97"/>
    <n v="48964.97"/>
    <n v="48964.97"/>
    <n v="48964.97"/>
    <n v="48964.97"/>
  </r>
  <r>
    <x v="0"/>
    <s v="Parcerias"/>
    <s v="Atividades"/>
    <n v="6074202400095470"/>
    <x v="1"/>
    <s v="34.10.14.422.3013.6.178.33503900.00.1.500.9001.0"/>
    <s v="CPM"/>
    <s v="TCL/566/2023/SMADS/CPM"/>
    <s v="Centro de Defesa e Convivência da Mulher - CDCM Mulheres Vivas"/>
    <s v="UPM: União Popular de Mulheres de Campo Limpo e Adjacências"/>
    <d v="2028-11-12T00:00:00"/>
    <n v="727578.72"/>
    <n v="60631.56"/>
    <n v="60631.56"/>
    <n v="60631.56"/>
    <n v="60631.56"/>
    <n v="60631.56"/>
    <n v="60631.56"/>
    <n v="60631.56"/>
    <n v="60631.56"/>
    <n v="60631.56"/>
    <n v="60631.56"/>
    <n v="60631.56"/>
    <n v="60631.56"/>
    <n v="60631.56"/>
  </r>
  <r>
    <x v="0"/>
    <s v="Parcerias"/>
    <s v="Atividades"/>
    <n v="6074202400102200"/>
    <x v="1"/>
    <s v="34.10.14.422.3013.6.178.33503900.00.1.500.9001.0"/>
    <s v="CPM"/>
    <s v="TCL/624/2023/SMADS/CPM"/>
    <s v="Centro de Defesa e Convivência da Mulher - CDCM Casa Sonia Maria Batista"/>
    <s v="UNAS: União de Núcleos, Associações dos Moradores de Heliópolis e Região"/>
    <d v="2028-12-09T00:00:00"/>
    <n v="537264.12"/>
    <n v="44772.01"/>
    <n v="44772.01"/>
    <n v="44772.01"/>
    <n v="44772.01"/>
    <n v="44772.01"/>
    <n v="44772.01"/>
    <n v="44772.01"/>
    <n v="44772.01"/>
    <n v="44772.01"/>
    <n v="44772.01"/>
    <n v="44772.01"/>
    <n v="44772.01"/>
    <n v="44772.01"/>
  </r>
  <r>
    <x v="0"/>
    <s v="Parcerias"/>
    <s v="Atividades"/>
    <n v="6074202400084440"/>
    <x v="0"/>
    <s v="34.10.14.422.3007.4.330.33503900.00.1.500.9001.0"/>
    <s v="CPPI"/>
    <s v="TCL/018/2024/SMDHC/CPPI"/>
    <s v="Centro de Referência de Direitos Humanos e Cidadania da Pessoa Idosa e Posto Avançado de Direitos Humanos e Cidadania da Pessoa Idosa."/>
    <s v="APOIO - Associação de Auxílio Mútuo da Região Leste"/>
    <d v="2029-09-22T00:00:00"/>
    <n v="1909411.73"/>
    <n v="159117.64000000001"/>
    <n v="159117.64000000001"/>
    <n v="159117.65"/>
    <n v="159117.65"/>
    <n v="159117.64000000001"/>
    <n v="159117.64000000001"/>
    <n v="159117.64000000001"/>
    <n v="159117.64000000001"/>
    <n v="159117.64000000001"/>
    <n v="159117.65"/>
    <n v="159117.64000000001"/>
    <n v="159117.65"/>
    <n v="159117.65"/>
  </r>
  <r>
    <x v="0"/>
    <s v="Parcerias"/>
    <s v="Atividades"/>
    <n v="6074202400008320"/>
    <x v="0"/>
    <s v="34.10.14.422.3013.2.431.33503900.00.1.500.9001.0"/>
    <s v="CPPSR"/>
    <s v="TCL/012/2024/SMDHC/CPPSR"/>
    <s v="Gestão do Estação Cidadania"/>
    <s v="Instituto Claret - Solidariedade e Desenvolvimento Humano"/>
    <d v="2027-03-27T00:00:00"/>
    <n v="5538363.0899999999"/>
    <n v="461530.26"/>
    <n v="448087.62"/>
    <n v="448087.63"/>
    <n v="448087.63"/>
    <n v="466011.16"/>
    <n v="466011.13"/>
    <n v="466011.13"/>
    <n v="466011.13"/>
    <n v="466011.13"/>
    <n v="466011.13"/>
    <n v="466011.14"/>
    <n v="466011.13"/>
    <n v="466011.13"/>
  </r>
  <r>
    <x v="0"/>
    <s v="Parcerias"/>
    <s v="Atividades"/>
    <n v="6074202400008330"/>
    <x v="0"/>
    <s v="34.10.14.422.3013.2.431.33503900.00.1.500.9001.0"/>
    <s v="CPPSR"/>
    <s v="TCL/013/2024/SMDHC/CPPSR"/>
    <s v="Gestão do Estação Cidadania"/>
    <s v="Centro Assistencial ao Povo Carente do Estado de São Paulo"/>
    <d v="2027-03-31T00:00:00"/>
    <n v="4658664.76"/>
    <n v="388222.06"/>
    <n v="388222.06"/>
    <n v="388222.06"/>
    <n v="388222.07"/>
    <n v="388222.07"/>
    <n v="388222.07"/>
    <n v="388222.07"/>
    <n v="388222.06"/>
    <n v="388222.06"/>
    <n v="388222.06"/>
    <n v="388222.06"/>
    <n v="388222.06"/>
    <n v="388222.06"/>
  </r>
  <r>
    <x v="0"/>
    <s v="Parcerias"/>
    <s v="Atividades"/>
    <n v="6074202000060590"/>
    <x v="0"/>
    <s v="34.10.14.422.3013.2.431.33503900.00.1.500.9001.0"/>
    <s v="CPPSR"/>
    <s v="TCL/410/2018/SMADS/CPPSR"/>
    <s v="Serviço de Inclusão Social e Produtiva - SEFRAS/RECIFRAN"/>
    <s v="SEFRAS - Ação Social Franciscana"/>
    <d v="2025-08-15T00:00:00"/>
    <n v="698812.8"/>
    <n v="58234.400000000001"/>
    <n v="58234.400000000001"/>
    <n v="58234.400000000001"/>
    <n v="58234.400000000001"/>
    <n v="58234.400000000001"/>
    <n v="58234.400000000001"/>
    <n v="58234.400000000001"/>
    <n v="58234.400000000001"/>
    <n v="58234.400000000001"/>
    <n v="58234.400000000001"/>
    <n v="58234.400000000001"/>
    <n v="58234.400000000001"/>
    <n v="58234.400000000001"/>
  </r>
  <r>
    <x v="0"/>
    <s v="Parcerias"/>
    <s v="Atividades"/>
    <n v="6074202000060600"/>
    <x v="0"/>
    <s v="34.10.14.422.3013.2.431.33503900.00.1.500.9001.0"/>
    <s v="CPPSR"/>
    <s v="TCL/506/2018/SMDHC/CPPSR"/>
    <s v="Serviço de Inclusão Social e Produtiva - PROGRAMA REVIRAVOLTA/COOPERE"/>
    <s v="CGGDH: Centro Gaspar Garcia de Direitos Humanos"/>
    <d v="2025-09-30T00:00:00"/>
    <n v="952049.28"/>
    <n v="79337.440000000002"/>
    <n v="79337.440000000002"/>
    <n v="79337.440000000002"/>
    <n v="79337.440000000002"/>
    <n v="79337.440000000002"/>
    <n v="79337.440000000002"/>
    <n v="79337.440000000002"/>
    <n v="79337.440000000002"/>
    <n v="79337.440000000002"/>
    <n v="79337.440000000002"/>
    <n v="79337.440000000002"/>
    <n v="79337.440000000002"/>
    <n v="79337.440000000002"/>
  </r>
  <r>
    <x v="0"/>
    <s v="Parcerias"/>
    <s v="Atividades"/>
    <n v="6074202300097670"/>
    <x v="0"/>
    <s v="34.10.14.122.3018.4.332.33503900.00.1.500.9001.0"/>
    <s v="ODH"/>
    <s v="TCL/061/2023/SMDHC/ODH"/>
    <s v="Gestão do Núcleos de Atendimentos em Direitos Humanos da Lapa, Santana e Ipiranga"/>
    <s v="IASSP: Instituto Atuar Social São Paulo"/>
    <d v="2026-10-28T00:00:00"/>
    <n v="1962177.43"/>
    <n v="163514.79"/>
    <n v="161098.31"/>
    <n v="161098.31"/>
    <n v="161098.31"/>
    <n v="161098.31"/>
    <n v="161098.31"/>
    <n v="161098.31"/>
    <n v="161098.31"/>
    <n v="161098.31"/>
    <n v="161098.32"/>
    <n v="170764.21"/>
    <n v="170764.21"/>
    <n v="170764.21"/>
  </r>
  <r>
    <x v="0"/>
    <s v="Parcerias"/>
    <s v="Atividades"/>
    <n v="6074202300097680"/>
    <x v="0"/>
    <s v="34.10.14.122.3018.4.332.33503900.00.1.500.9001.0"/>
    <s v="ODH"/>
    <s v="TCL/062/2023/SMDHC/ODH"/>
    <s v="Gestão do Núcleos de Atendimentos em Direitos Humanos NDH(s) da Penha, São Mateus, São Miguel Paulista e Cidade Tiradentes"/>
    <s v="Associação Cultural Poder Negro"/>
    <d v="2026-10-28T00:00:00"/>
    <n v="2419584.6800000002"/>
    <n v="201632.06"/>
    <n v="199635.7"/>
    <n v="199635.7"/>
    <n v="199635.7"/>
    <n v="199635.7"/>
    <n v="199635.7"/>
    <n v="199635.7"/>
    <n v="199635.7"/>
    <n v="199635.7"/>
    <n v="199635.7"/>
    <n v="199635.7"/>
    <n v="211613.84"/>
    <n v="211613.84"/>
  </r>
  <r>
    <x v="0"/>
    <s v="Parcerias"/>
    <s v="Atividades"/>
    <n v="6074202300097690"/>
    <x v="0"/>
    <s v="34.10.14.122.3018.4.332.33503900.00.1.500.9001.0"/>
    <s v="ODH"/>
    <s v="TCL/063/2023/SMDHC/ODH"/>
    <s v="Gestão do Núcleos de Atendimentos em Direitos Humanos NDH(s) do Butantã, Campo Limpo, Jabaquara e Capela do Socorro"/>
    <s v="Instituto Pesquisa Popular Meu Lugar"/>
    <d v="2026-10-28T00:00:00"/>
    <n v="2419584.6800000002"/>
    <n v="201632.06"/>
    <n v="199635.7"/>
    <n v="199635.7"/>
    <n v="199635.7"/>
    <n v="199635.7"/>
    <n v="199635.7"/>
    <n v="199635.7"/>
    <n v="199635.7"/>
    <n v="199635.7"/>
    <n v="199635.7"/>
    <n v="199635.7"/>
    <n v="211613.84"/>
    <n v="211613.84"/>
  </r>
  <r>
    <x v="2"/>
    <s v="Parcerias"/>
    <s v="Atividades"/>
    <n v="6074202300116570"/>
    <x v="1"/>
    <s v="78.10.08.605.3016.4.302.33503900.00.1.500.9001.1"/>
    <s v="SESANA"/>
    <s v="TCL/073/2023/SMDHC/SESANA"/>
    <s v="Armazém Solidário"/>
    <s v="INTECS: Instituto Nacional de Tecnologia, Educação, Cultural e Saúde"/>
    <d v="2028-11-25T00:00:00"/>
    <n v="38820625.079999998"/>
    <n v="3235052.09"/>
    <n v="3235052.09"/>
    <n v="3235052.09"/>
    <n v="3235052.09"/>
    <n v="3235052.09"/>
    <n v="3235052.09"/>
    <n v="3235052.09"/>
    <n v="3235052.09"/>
    <n v="3235052.09"/>
    <n v="3235052.09"/>
    <n v="3235052.09"/>
    <n v="3235052.09"/>
    <n v="3235052.09"/>
  </r>
  <r>
    <x v="2"/>
    <s v="Parcerias"/>
    <s v="Atividades"/>
    <n v="6074202200088130"/>
    <x v="1"/>
    <s v="78.10.14.422.3023.4.426.33503900.00.1.500.9001.0"/>
    <s v="COSAN"/>
    <s v="TCL/001/2022/SMDHC/COSAN"/>
    <s v="Bom Prato M'Boi Mirim (NECESSITA REVISÃO)"/>
    <s v="Associação Comunitária Sempre Viva"/>
    <d v="2025-06-30T00:00:00"/>
    <n v="1746315.84"/>
    <n v="145526.32"/>
    <n v="145526.32"/>
    <n v="145526.32"/>
    <n v="145526.32"/>
    <n v="145526.32"/>
    <n v="145526.32"/>
    <n v="145526.32"/>
    <n v="145526.32"/>
    <n v="145526.32"/>
    <n v="145526.32"/>
    <n v="145526.32"/>
    <n v="145526.32"/>
    <n v="145526.32"/>
  </r>
  <r>
    <x v="2"/>
    <s v="Parcerias"/>
    <s v="Atividades"/>
    <n v="6074202400099050"/>
    <x v="1"/>
    <s v="78.10.14.422.3023.4.426.33503900.00.1.500.9001.0"/>
    <s v="COSAN"/>
    <s v="TCL/001/2023/SMDHC/COSAN"/>
    <s v="Bom Prato - Unidade Guaianases (refeitório Cidade Tiradentes) (NECESSITA REVISÃO)"/>
    <s v="Associação das Donas de Casa de Guaianases"/>
    <d v="2025-09-29T00:00:00"/>
    <n v="781008"/>
    <n v="65084"/>
    <n v="65084"/>
    <n v="65084"/>
    <n v="65084"/>
    <n v="65084"/>
    <n v="65084"/>
    <n v="65084"/>
    <n v="65084"/>
    <n v="65084"/>
    <n v="65084"/>
    <n v="65084"/>
    <n v="65084"/>
    <n v="65084"/>
  </r>
  <r>
    <x v="2"/>
    <s v="Parcerias"/>
    <s v="Atividades"/>
    <n v="6074202400104550"/>
    <x v="1"/>
    <s v="78.10.14.422.3023.4.426.33503900.00.1.500.9001.0"/>
    <s v="COSAN"/>
    <s v="TCL/002/2021/SMDHC/COSAN"/>
    <s v="Bom Prato - Unidade Limão (refeitório Mauá) (NECESSITA REVISÃO)"/>
    <s v="Instituto Propav"/>
    <d v="2025-07-30T00:00:00"/>
    <n v="1619219.64"/>
    <n v="134934.97"/>
    <n v="134934.97"/>
    <n v="134934.97"/>
    <n v="134934.97"/>
    <n v="134934.97"/>
    <n v="134934.97"/>
    <n v="134934.97"/>
    <n v="134934.97"/>
    <n v="134934.97"/>
    <n v="134934.97"/>
    <n v="134934.97"/>
    <n v="134934.97"/>
    <n v="134934.97"/>
  </r>
  <r>
    <x v="2"/>
    <s v="Parcerias"/>
    <s v="Atividades"/>
    <n v="6074202200088160"/>
    <x v="1"/>
    <s v="78.10.14.422.3023.4.426.33503900.00.1.500.9001.0"/>
    <s v="COSAN"/>
    <s v="TCL/002/2022/SMDHC/COSAN"/>
    <s v="Bom Prato Parelheiros (NECESSITA REVISÃO)"/>
    <s v="Associação Comunitária Sempre Viva"/>
    <d v="2025-06-30T00:00:00"/>
    <n v="1703030.16"/>
    <n v="141919.18"/>
    <n v="141919.18"/>
    <n v="141919.18"/>
    <n v="141919.18"/>
    <n v="141919.18"/>
    <n v="141919.18"/>
    <n v="141919.18"/>
    <n v="141919.18"/>
    <n v="141919.18"/>
    <n v="141919.18"/>
    <n v="141919.18"/>
    <n v="141919.18"/>
    <n v="141919.18"/>
  </r>
  <r>
    <x v="2"/>
    <s v="Parcerias"/>
    <s v="Atividades"/>
    <n v="6074202400104570"/>
    <x v="1"/>
    <s v="78.10.14.422.3023.4.426.33503900.00.1.500.9001.0"/>
    <s v="COSAN"/>
    <s v="TCL/003/2021/SMDHC/COSAN"/>
    <s v="Bom Prato - Unidade Brás (refeitório Mauá) (NECESSITA REVISÃO)"/>
    <s v="Instituto Propav"/>
    <d v="2025-02-27T00:00:00"/>
    <n v="657496.80000000005"/>
    <n v="54791.4"/>
    <n v="54791.4"/>
    <n v="54791.4"/>
    <n v="54791.4"/>
    <n v="54791.4"/>
    <n v="54791.4"/>
    <n v="54791.4"/>
    <n v="54791.4"/>
    <n v="54791.4"/>
    <n v="54791.4"/>
    <n v="54791.4"/>
    <n v="54791.4"/>
    <n v="54791.4"/>
  </r>
  <r>
    <x v="2"/>
    <s v="Parcerias"/>
    <s v="Atividades"/>
    <n v="6074202400099080"/>
    <x v="1"/>
    <s v="78.10.14.422.3023.4.426.33503900.00.1.500.9001.0"/>
    <s v="COSAN"/>
    <s v="TCL/004/2021/SMDHC/COSAN"/>
    <s v="Bom Prato - Unidade Santana (refeitório Canindé) (NECESSITA REVISÃO)"/>
    <s v="Associação Comunitária e Educacional Maria de Nazaré"/>
    <d v="2025-11-12T00:00:00"/>
    <n v="637208.4"/>
    <n v="53100.7"/>
    <n v="53100.7"/>
    <n v="53100.7"/>
    <n v="53100.7"/>
    <n v="53100.7"/>
    <n v="53100.7"/>
    <n v="53100.7"/>
    <n v="53100.7"/>
    <n v="53100.7"/>
    <n v="53100.7"/>
    <n v="53100.7"/>
    <n v="53100.7"/>
    <n v="53100.7"/>
  </r>
  <r>
    <x v="2"/>
    <s v="Parcerias"/>
    <s v="Atividades"/>
    <n v="6074202300112910"/>
    <x v="1"/>
    <s v="78.10.14.422.3023.4.426.33503900.00.1.500.9001.0"/>
    <s v="SESANA"/>
    <s v="TCL/001/2024/SMDHC/SESANA"/>
    <s v="Cozinha Escola Grajaú - Org. Grupo de Apoio Gaivotas"/>
    <s v="Grupo de Apoio Comunitário Gaivotas"/>
    <d v="2026-03-06T00:00:00"/>
    <n v="2762321.3"/>
    <n v="230193.44"/>
    <n v="219231.85"/>
    <n v="219231.85"/>
    <n v="232385.76"/>
    <n v="232385.76"/>
    <n v="232385.76"/>
    <n v="232385.76"/>
    <n v="232385.76"/>
    <n v="232385.76"/>
    <n v="232385.76"/>
    <n v="232385.76"/>
    <n v="232385.76"/>
    <n v="232385.76"/>
  </r>
  <r>
    <x v="2"/>
    <s v="Parcerias"/>
    <s v="Atividades"/>
    <n v="6074202300113000"/>
    <x v="1"/>
    <s v="78.10.14.422.3023.4.426.33503900.00.1.500.9001.0"/>
    <s v="SESANA"/>
    <s v="TCL/002/2024/SMDHC/SESANA"/>
    <s v="Cozinha Escola Parelheiros - Org. Elo Fraterno"/>
    <s v="Associação Elo Fraterno"/>
    <d v="2026-02-21T00:00:00"/>
    <n v="2775475.21"/>
    <n v="231289.60000000001"/>
    <n v="219231.85"/>
    <n v="232385.76"/>
    <n v="232385.76"/>
    <n v="232385.76"/>
    <n v="232385.76"/>
    <n v="232385.76"/>
    <n v="232385.76"/>
    <n v="232385.76"/>
    <n v="232385.76"/>
    <n v="232385.76"/>
    <n v="232385.76"/>
    <n v="232385.76"/>
  </r>
  <r>
    <x v="2"/>
    <s v="Parcerias"/>
    <s v="Atividades"/>
    <n v="6074202300113020"/>
    <x v="1"/>
    <s v="78.10.14.422.3023.4.426.33503900.00.1.500.9001.0"/>
    <s v="SESANA"/>
    <s v="TCL/003/2024/SMDHC/SESANA"/>
    <s v="Cozinha Escola Jabaquara - Org. Cidade Azul e Adjacentes"/>
    <s v="ACAAD: Associação da Cidade Azul e Adjacências"/>
    <d v="2026-03-06T00:00:00"/>
    <n v="2762321.3"/>
    <n v="230193.44"/>
    <n v="219231.85"/>
    <n v="219231.85"/>
    <n v="232385.76"/>
    <n v="232385.76"/>
    <n v="232385.76"/>
    <n v="232385.76"/>
    <n v="232385.76"/>
    <n v="232385.76"/>
    <n v="232385.76"/>
    <n v="232385.76"/>
    <n v="232385.76"/>
    <n v="232385.76"/>
  </r>
  <r>
    <x v="2"/>
    <s v="Parcerias"/>
    <s v="Atividades"/>
    <n v="6074202300113050"/>
    <x v="1"/>
    <s v="78.10.14.422.3023.4.426.33503900.00.1.500.9001.0"/>
    <s v="SESANA"/>
    <s v="TCL/004/2024/SMDHC/SESANA"/>
    <s v="Cozinha Escola Artur Alvim - Org. Pra Cima Zona Leste"/>
    <s v="Instituto Pra Cima Zona Leste"/>
    <d v="2026-02-21T00:00:00"/>
    <n v="2775475.21"/>
    <n v="231289.60000000001"/>
    <n v="219231.85"/>
    <n v="232385.76"/>
    <n v="232385.76"/>
    <n v="232385.76"/>
    <n v="232385.76"/>
    <n v="232385.76"/>
    <n v="232385.76"/>
    <n v="232385.76"/>
    <n v="232385.76"/>
    <n v="232385.76"/>
    <n v="232385.76"/>
    <n v="232385.76"/>
  </r>
  <r>
    <x v="2"/>
    <s v="Parcerias"/>
    <s v="Atividades"/>
    <n v="6074202300119090"/>
    <x v="1"/>
    <s v="78.10.14.422.3023.4.426.33503900.00.1.500.9001.0"/>
    <s v="SESANA"/>
    <s v="TCL/005/2024/SMDHC/SESANA"/>
    <s v="Cozinha Escola São Rafael - Org. Associação Brasileiras Pipas"/>
    <s v="ABP: Associação Brasileira de Pipas"/>
    <d v="2026-03-05T00:00:00"/>
    <n v="2762321.3"/>
    <n v="230193.44"/>
    <n v="219231.85"/>
    <n v="219231.85"/>
    <n v="232385.76"/>
    <n v="232385.76"/>
    <n v="232385.76"/>
    <n v="232385.76"/>
    <n v="232385.76"/>
    <n v="232385.76"/>
    <n v="232385.76"/>
    <n v="232385.76"/>
    <n v="232385.76"/>
    <n v="232385.76"/>
  </r>
  <r>
    <x v="2"/>
    <s v="Parcerias"/>
    <s v="Atividades"/>
    <n v="6074202300039620"/>
    <x v="1"/>
    <s v="78.10.14.422.3023.4.426.33503900.00.1.500.9001.0"/>
    <s v="SESANA"/>
    <s v="TCL/006/2023/SMDHC/SESANA"/>
    <s v="Gestão de Unidade da Rede Cozinha Escola"/>
    <s v="Instituto Pra Viver Melhor"/>
    <d v="2025-08-11T00:00:00"/>
    <n v="2696551.75"/>
    <n v="224712.65"/>
    <n v="219231.85"/>
    <n v="219231.85"/>
    <n v="219231.85"/>
    <n v="219231.85"/>
    <n v="219231.85"/>
    <n v="219231.85"/>
    <n v="219231.85"/>
    <n v="232385.76"/>
    <n v="232385.76"/>
    <n v="232385.76"/>
    <n v="232385.76"/>
    <n v="232385.76"/>
  </r>
  <r>
    <x v="2"/>
    <s v="Parcerias"/>
    <s v="Atividades"/>
    <n v="6074202300119100"/>
    <x v="1"/>
    <s v="78.10.14.422.3023.4.426.33503900.00.1.500.9001.0"/>
    <s v="SESANA"/>
    <s v="TCL/006/2024/SMDHC/SESANA"/>
    <s v="Cozinha Escola Brasilândia - Org. Educar para Transformar"/>
    <s v="Associação Educar para Transformar"/>
    <d v="2026-03-05T00:00:00"/>
    <n v="2762321.3"/>
    <n v="230193.44"/>
    <n v="219231.85"/>
    <n v="219231.85"/>
    <n v="232385.76"/>
    <n v="232385.76"/>
    <n v="232385.76"/>
    <n v="232385.76"/>
    <n v="232385.76"/>
    <n v="232385.76"/>
    <n v="232385.76"/>
    <n v="232385.76"/>
    <n v="232385.76"/>
    <n v="232385.76"/>
  </r>
  <r>
    <x v="2"/>
    <s v="Parcerias"/>
    <s v="Atividades"/>
    <n v="6074202300039990"/>
    <x v="1"/>
    <s v="78.10.14.422.3023.4.426.33503900.00.1.500.9001.0"/>
    <s v="SESANA"/>
    <s v="TCL/007/2023/SMDHC/SESANA"/>
    <s v="Gestão de Unidade da Rede Cozinha Escola"/>
    <s v="Associação Ethos Sustentável"/>
    <d v="2025-08-11T00:00:00"/>
    <n v="2696551.75"/>
    <n v="224712.65"/>
    <n v="219231.85"/>
    <n v="219231.85"/>
    <n v="219231.85"/>
    <n v="219231.85"/>
    <n v="219231.85"/>
    <n v="219231.85"/>
    <n v="219231.85"/>
    <n v="232385.76"/>
    <n v="232385.76"/>
    <n v="232385.76"/>
    <n v="232385.76"/>
    <n v="232385.76"/>
  </r>
  <r>
    <x v="2"/>
    <s v="Parcerias"/>
    <s v="Atividades"/>
    <n v="6074202300119130"/>
    <x v="1"/>
    <s v="78.10.14.422.3023.4.426.33503900.00.1.500.9001.0"/>
    <s v="SESANA"/>
    <s v="TCL/007/2024/SMDHC/SESANA"/>
    <s v="Cozinha Escola Cidade Dutra - Org. Acezos"/>
    <s v="Associação ACEZOS"/>
    <d v="2026-03-05T00:00:00"/>
    <n v="2762321.3"/>
    <n v="230193.44"/>
    <n v="219231.85"/>
    <n v="219231.85"/>
    <n v="232385.76"/>
    <n v="232385.76"/>
    <n v="232385.76"/>
    <n v="232385.76"/>
    <n v="232385.76"/>
    <n v="232385.76"/>
    <n v="232385.76"/>
    <n v="232385.76"/>
    <n v="232385.76"/>
    <n v="232385.76"/>
  </r>
  <r>
    <x v="2"/>
    <s v="Parcerias"/>
    <s v="Atividades"/>
    <n v="6074202300040000"/>
    <x v="1"/>
    <s v="78.10.14.422.3023.4.426.33503900.00.1.500.9001.0"/>
    <s v="SESANA"/>
    <s v="TCL/008/2023/SMDHC/SESANA"/>
    <s v="Gestão de Unidade da Rede Cozinha Escola"/>
    <s v="Associação Beneficente Folhinhas Verdes"/>
    <d v="2025-08-11T00:00:00"/>
    <n v="2696551.75"/>
    <n v="224712.65"/>
    <n v="219231.85"/>
    <n v="219231.85"/>
    <n v="219231.85"/>
    <n v="219231.85"/>
    <n v="219231.85"/>
    <n v="219231.85"/>
    <n v="219231.85"/>
    <n v="232385.76"/>
    <n v="232385.76"/>
    <n v="232385.76"/>
    <n v="232385.76"/>
    <n v="232385.76"/>
  </r>
  <r>
    <x v="2"/>
    <s v="Parcerias"/>
    <s v="Atividades"/>
    <n v="6074202300119110"/>
    <x v="1"/>
    <s v="78.10.14.422.3023.4.426.33503900.00.1.500.9001.0"/>
    <s v="SESANA"/>
    <s v="TCL/008/2024/SMDHC/SESANA"/>
    <s v="Cozinha Escola Sacomã - Org. Água no Deserto"/>
    <s v="Associação Água no Deserto"/>
    <d v="2026-03-07T00:00:00"/>
    <n v="2762321.3"/>
    <n v="230193.44"/>
    <n v="219231.85"/>
    <n v="219231.85"/>
    <n v="232385.76"/>
    <n v="232385.76"/>
    <n v="232385.76"/>
    <n v="232385.76"/>
    <n v="232385.76"/>
    <n v="232385.76"/>
    <n v="232385.76"/>
    <n v="232385.76"/>
    <n v="232385.76"/>
    <n v="232385.76"/>
  </r>
  <r>
    <x v="2"/>
    <s v="Parcerias"/>
    <s v="Atividades"/>
    <n v="6074202300040010"/>
    <x v="1"/>
    <s v="78.10.14.422.3023.4.426.33503900.00.1.500.9001.0"/>
    <s v="SESANA"/>
    <s v="TCL/009/2023/SMDHC/SESANA"/>
    <s v="Gestão de Unidade da Rede Cozinha Escola"/>
    <s v="União da Periferia do Itaim Paulista"/>
    <d v="2025-08-11T00:00:00"/>
    <n v="2696551.75"/>
    <n v="224712.65"/>
    <n v="219231.85"/>
    <n v="219231.85"/>
    <n v="219231.85"/>
    <n v="219231.85"/>
    <n v="219231.85"/>
    <n v="219231.85"/>
    <n v="219231.85"/>
    <n v="232385.76"/>
    <n v="232385.76"/>
    <n v="232385.76"/>
    <n v="232385.76"/>
    <n v="232385.76"/>
  </r>
  <r>
    <x v="2"/>
    <s v="Parcerias"/>
    <s v="Atividades"/>
    <n v="6074202300119120"/>
    <x v="1"/>
    <s v="78.10.14.422.3023.4.426.33503900.00.1.500.9001.0"/>
    <s v="SESANA"/>
    <s v="TCL/009/2024/SMDHC/SESANA"/>
    <s v="Cozinha Escola José Bonifácio - Org. Unindo Forças"/>
    <s v="Associação Cultural para Desenvolvimento Educacional Unindo Forças"/>
    <d v="2026-02-28T00:00:00"/>
    <n v="2762321.3"/>
    <n v="230193.44"/>
    <n v="219231.85"/>
    <n v="219231.85"/>
    <n v="232385.76"/>
    <n v="232385.76"/>
    <n v="232385.76"/>
    <n v="232385.76"/>
    <n v="232385.76"/>
    <n v="232385.76"/>
    <n v="232385.76"/>
    <n v="232385.76"/>
    <n v="232385.76"/>
    <n v="232385.76"/>
  </r>
  <r>
    <x v="2"/>
    <s v="Parcerias"/>
    <s v="Atividades"/>
    <n v="6074202300040090"/>
    <x v="1"/>
    <s v="78.10.14.422.3023.4.426.33503900.00.1.500.9001.0"/>
    <s v="SESANA"/>
    <s v="TCL/010/2023/SMDHC/SESANA"/>
    <s v="Gestão de Unidade da Rede Cozinha Escola"/>
    <s v="Instituto Fênix Vida e Luz"/>
    <d v="2025-08-11T00:00:00"/>
    <n v="2696551.75"/>
    <n v="224712.65"/>
    <n v="219231.85"/>
    <n v="219231.85"/>
    <n v="219231.85"/>
    <n v="219231.85"/>
    <n v="219231.85"/>
    <n v="219231.85"/>
    <n v="219231.85"/>
    <n v="232385.76"/>
    <n v="232385.76"/>
    <n v="232385.76"/>
    <n v="232385.76"/>
    <n v="232385.76"/>
  </r>
  <r>
    <x v="2"/>
    <s v="Parcerias"/>
    <s v="Atividades"/>
    <n v="6074202300040290"/>
    <x v="1"/>
    <s v="78.10.14.422.3023.4.426.33503900.00.1.500.9001.0"/>
    <s v="SESANA"/>
    <s v="TCL/011/2023/SMDHC/SESANA"/>
    <s v="Gestão de Unidade da Rede Cozinha Escola"/>
    <s v="Associação da Pedra para a Rocha"/>
    <d v="2025-08-11T00:00:00"/>
    <n v="2696551.75"/>
    <n v="224712.65"/>
    <n v="219231.85"/>
    <n v="219231.85"/>
    <n v="219231.85"/>
    <n v="219231.85"/>
    <n v="219231.85"/>
    <n v="219231.85"/>
    <n v="219231.85"/>
    <n v="232385.76"/>
    <n v="232385.76"/>
    <n v="232385.76"/>
    <n v="232385.76"/>
    <n v="232385.76"/>
  </r>
  <r>
    <x v="2"/>
    <s v="Parcerias"/>
    <s v="Atividades"/>
    <n v="6074202300119070"/>
    <x v="1"/>
    <s v="78.10.14.422.3023.4.426.33503900.00.1.500.9001.0"/>
    <s v="SESANA"/>
    <s v="TCL/011/2024/SMDHC/SESANA"/>
    <s v="Cozinha Escola Rio pequeno - Org Instituto Campeão"/>
    <s v="Instituto Brasileiro Campeão de Assistência aos Municípios e Organizações Sociais Públicas e Privadas"/>
    <d v="2025-06-30T00:00:00"/>
    <n v="2709705.66"/>
    <n v="225808.81"/>
    <n v="219231.85"/>
    <n v="219231.85"/>
    <n v="219231.85"/>
    <n v="219231.85"/>
    <n v="219231.85"/>
    <n v="219231.85"/>
    <n v="232385.76"/>
    <n v="232385.76"/>
    <n v="232385.76"/>
    <n v="232385.76"/>
    <n v="232385.76"/>
    <n v="232385.76"/>
  </r>
  <r>
    <x v="2"/>
    <s v="Parcerias"/>
    <s v="Atividades"/>
    <n v="6074202300040330"/>
    <x v="1"/>
    <s v="78.10.14.422.3023.4.426.33503900.00.1.500.9001.0"/>
    <s v="SESANA"/>
    <s v="TCL/012/2023/SMDHC/SESANA"/>
    <s v="Gestão de Unidade da Rede Cozinha Escola"/>
    <s v="Centro Social Padres Paulo de Coppi e Maurilio Maritano / Anjos do Bem"/>
    <d v="2025-09-21T00:00:00"/>
    <n v="2670243.9300000002"/>
    <n v="222520.33"/>
    <n v="219231.85"/>
    <n v="219231.85"/>
    <n v="219231.85"/>
    <n v="219231.85"/>
    <n v="219231.85"/>
    <n v="219231.85"/>
    <n v="219231.85"/>
    <n v="219231.85"/>
    <n v="219231.85"/>
    <n v="232385.76"/>
    <n v="232385.76"/>
    <n v="232385.76"/>
  </r>
  <r>
    <x v="2"/>
    <s v="Parcerias"/>
    <s v="Atividades"/>
    <n v="6074202300040350"/>
    <x v="1"/>
    <s v="78.10.14.422.3023.4.426.33503900.00.1.500.9001.0"/>
    <s v="SESANA"/>
    <s v="TCL/013/2023/SMDHC/SESANA"/>
    <s v="Gestão de Unidade da Rede Cozinha Escola"/>
    <s v="Ação Comunitária Nova Heliópolis"/>
    <d v="2025-08-11T00:00:00"/>
    <n v="2736013.48"/>
    <n v="228001.12"/>
    <n v="219231.85"/>
    <n v="219231.85"/>
    <n v="219231.85"/>
    <n v="219231.85"/>
    <n v="232385.76"/>
    <n v="232385.76"/>
    <n v="232385.76"/>
    <n v="232385.76"/>
    <n v="232385.76"/>
    <n v="232385.76"/>
    <n v="232385.76"/>
    <n v="232385.76"/>
  </r>
  <r>
    <x v="2"/>
    <s v="Parcerias"/>
    <s v="Atividades"/>
    <n v="6074202300040370"/>
    <x v="1"/>
    <s v="78.10.14.422.3023.4.426.33503900.00.1.500.9001.0"/>
    <s v="SESANA"/>
    <s v="TCL/014/2023/SMDHC/SESANA"/>
    <s v="Gestão de Unidade da Rede Cozinha Escola"/>
    <s v="MEPSRSP: Movimento Estadual da População em Situação de Rua de São Paulo"/>
    <d v="2025-08-11T00:00:00"/>
    <n v="2696551.75"/>
    <n v="224712.65"/>
    <n v="219231.85"/>
    <n v="219231.85"/>
    <n v="219231.85"/>
    <n v="219231.85"/>
    <n v="219231.85"/>
    <n v="219231.85"/>
    <n v="219231.85"/>
    <n v="232385.76"/>
    <n v="232385.76"/>
    <n v="232385.76"/>
    <n v="232385.76"/>
    <n v="232385.76"/>
  </r>
  <r>
    <x v="2"/>
    <s v="Parcerias"/>
    <s v="Atividades"/>
    <n v="6074202300040240"/>
    <x v="1"/>
    <s v="78.10.14.422.3023.4.426.33503900.00.1.500.9001.0"/>
    <s v="SESANA"/>
    <s v="TCL/015/2023/SMDHC/SESANA"/>
    <s v="Gestão de Unidade da Rede Cozinha Escola"/>
    <s v="Associação Expansão Cultural"/>
    <d v="2025-08-11T00:00:00"/>
    <n v="2696551.75"/>
    <n v="224712.65"/>
    <n v="219231.85"/>
    <n v="219231.85"/>
    <n v="219231.85"/>
    <n v="219231.85"/>
    <n v="219231.85"/>
    <n v="219231.85"/>
    <n v="219231.85"/>
    <n v="232385.76"/>
    <n v="232385.76"/>
    <n v="232385.76"/>
    <n v="232385.76"/>
    <n v="232385.76"/>
  </r>
  <r>
    <x v="2"/>
    <s v="Parcerias"/>
    <s v="Atividades"/>
    <n v="6074202300040340"/>
    <x v="1"/>
    <s v="78.10.14.422.3023.4.426.33503900.00.1.500.9001.0"/>
    <s v="SESANA"/>
    <s v="TCL/016/2023/SMDHC/SESANA"/>
    <s v="Gestão de Unidade da Rede Cozinha Escola"/>
    <s v="Centro Assistencial ao Povo Carente do Estado de São Paulo"/>
    <d v="2025-08-11T00:00:00"/>
    <n v="2696551.75"/>
    <n v="224712.65"/>
    <n v="219231.85"/>
    <n v="219231.85"/>
    <n v="219231.85"/>
    <n v="219231.85"/>
    <n v="219231.85"/>
    <n v="219231.85"/>
    <n v="219231.85"/>
    <n v="232385.76"/>
    <n v="232385.76"/>
    <n v="232385.76"/>
    <n v="232385.76"/>
    <n v="232385.76"/>
  </r>
  <r>
    <x v="2"/>
    <s v="Parcerias"/>
    <s v="Atividades"/>
    <n v="6074202300040360"/>
    <x v="1"/>
    <s v="78.10.14.422.3023.4.426.33503900.00.1.500.9001.0"/>
    <s v="SESANA"/>
    <s v="TCL/017/2023/SMDHC/SESANA"/>
    <s v="Gestão de Unidade da Rede Cozinha Escola"/>
    <s v="FUEC: Associação Família Unida em Cristo"/>
    <d v="2025-08-11T00:00:00"/>
    <n v="2696551.75"/>
    <n v="224712.65"/>
    <n v="219231.85"/>
    <n v="219231.85"/>
    <n v="219231.85"/>
    <n v="219231.85"/>
    <n v="219231.85"/>
    <n v="219231.85"/>
    <n v="219231.85"/>
    <n v="232385.76"/>
    <n v="232385.76"/>
    <n v="232385.76"/>
    <n v="232385.76"/>
    <n v="232385.76"/>
  </r>
  <r>
    <x v="2"/>
    <s v="Parcerias"/>
    <s v="Atividades"/>
    <n v="6074202300040380"/>
    <x v="1"/>
    <s v="78.10.14.422.3023.4.426.33503900.00.1.500.9001.0"/>
    <s v="SESANA"/>
    <s v="TCL/018/2023/SMDHC/SESANA"/>
    <s v="Gestão de Unidade da Rede Cozinha Escola"/>
    <s v="Associação Projeto Social Unidos pela Fé"/>
    <d v="2025-08-11T00:00:00"/>
    <n v="2696551.75"/>
    <n v="224712.65"/>
    <n v="219231.85"/>
    <n v="219231.85"/>
    <n v="219231.85"/>
    <n v="219231.85"/>
    <n v="219231.85"/>
    <n v="219231.85"/>
    <n v="219231.85"/>
    <n v="232385.76"/>
    <n v="232385.76"/>
    <n v="232385.76"/>
    <n v="232385.76"/>
    <n v="232385.76"/>
  </r>
  <r>
    <x v="2"/>
    <s v="Parcerias"/>
    <s v="Atividades"/>
    <n v="6074202300040400"/>
    <x v="1"/>
    <s v="78.10.14.422.3023.4.426.33503900.00.1.500.9001.0"/>
    <s v="SESANA"/>
    <s v="TCL/019/2023/SMDHC/SESANA"/>
    <s v="Gestão de Unidade da Rede Cozinha Escola"/>
    <s v="Associação Comunitária Amanhã para Todos do Parque Santo Antônio"/>
    <d v="2025-08-11T00:00:00"/>
    <n v="2696551.75"/>
    <n v="224712.65"/>
    <n v="219231.85"/>
    <n v="219231.85"/>
    <n v="219231.85"/>
    <n v="219231.85"/>
    <n v="219231.85"/>
    <n v="219231.85"/>
    <n v="219231.85"/>
    <n v="232385.76"/>
    <n v="232385.76"/>
    <n v="232385.76"/>
    <n v="232385.76"/>
    <n v="232385.76"/>
  </r>
  <r>
    <x v="2"/>
    <s v="Parcerias"/>
    <s v="Atividades"/>
    <n v="6074202300042630"/>
    <x v="1"/>
    <s v="78.10.14.422.3023.4.426.33503900.00.1.500.9001.0"/>
    <s v="SESANA"/>
    <s v="TCL/020/2023/SMDHC/SESANA"/>
    <s v="Gestão de Unidade da Rede Cozinha Escola"/>
    <s v="Instituto Beneficente Mão Forte"/>
    <d v="2025-08-11T00:00:00"/>
    <n v="2696551.75"/>
    <n v="224712.65"/>
    <n v="219231.85"/>
    <n v="219231.85"/>
    <n v="219231.85"/>
    <n v="219231.85"/>
    <n v="219231.85"/>
    <n v="219231.85"/>
    <n v="219231.85"/>
    <n v="232385.76"/>
    <n v="232385.76"/>
    <n v="232385.76"/>
    <n v="232385.76"/>
    <n v="232385.76"/>
  </r>
  <r>
    <x v="2"/>
    <s v="Parcerias"/>
    <s v="Atividades"/>
    <n v="6074202300040230"/>
    <x v="1"/>
    <s v="78.10.14.422.3023.4.426.33503900.00.1.500.9001.0"/>
    <s v="SESANA"/>
    <s v="TCL/021/2023/SMDHC/SESANA"/>
    <s v="Gestão de Unidade da Rede Cozinha Escola"/>
    <s v="Associação Beneficente Menina dos Olhos de Ouro"/>
    <d v="2025-08-26T00:00:00"/>
    <n v="2696551.75"/>
    <n v="224712.65"/>
    <n v="219231.85"/>
    <n v="219231.85"/>
    <n v="219231.85"/>
    <n v="219231.85"/>
    <n v="219231.85"/>
    <n v="219231.85"/>
    <n v="219231.85"/>
    <n v="232385.76"/>
    <n v="232385.76"/>
    <n v="232385.76"/>
    <n v="232385.76"/>
    <n v="232385.76"/>
  </r>
  <r>
    <x v="2"/>
    <s v="Parcerias"/>
    <s v="Atividades"/>
    <n v="6074202300040440"/>
    <x v="1"/>
    <s v="78.10.14.422.3023.4.426.33503900.00.1.500.9001.0"/>
    <s v="SESANA"/>
    <s v="TCL/022/2023/SMDHC/SESANA"/>
    <s v="Gestão de Unidade da Rede Cozinha Escola"/>
    <s v="SOM@R - Associação de Desenvolvimento Social"/>
    <d v="2025-08-31T00:00:00"/>
    <n v="2683397.84"/>
    <n v="223616.49"/>
    <n v="219231.85"/>
    <n v="219231.85"/>
    <n v="219231.85"/>
    <n v="219231.85"/>
    <n v="219231.85"/>
    <n v="219231.85"/>
    <n v="219231.85"/>
    <n v="219231.85"/>
    <n v="232385.76"/>
    <n v="232385.76"/>
    <n v="232385.76"/>
    <n v="232385.76"/>
  </r>
  <r>
    <x v="2"/>
    <s v="Parcerias"/>
    <s v="Atividades"/>
    <n v="6074202300040450"/>
    <x v="1"/>
    <s v="78.10.14.422.3023.4.426.33503900.00.1.500.9001.0"/>
    <s v="SESANA"/>
    <s v="TCL/023/2023/SMDHC/SESANA"/>
    <s v="Gestão de Unidade da Rede Cozinha Escola"/>
    <s v="ANDDDES: Agência Nacional de Defesa e Garantia dos Direitos Difusos à Educação e à Saúde"/>
    <d v="2025-08-11T00:00:00"/>
    <n v="2696551.75"/>
    <n v="224712.65"/>
    <n v="219231.85"/>
    <n v="219231.85"/>
    <n v="219231.85"/>
    <n v="219231.85"/>
    <n v="219231.85"/>
    <n v="219231.85"/>
    <n v="219231.85"/>
    <n v="232385.76"/>
    <n v="232385.76"/>
    <n v="232385.76"/>
    <n v="232385.76"/>
    <n v="232385.76"/>
  </r>
  <r>
    <x v="2"/>
    <s v="Parcerias"/>
    <s v="Atividades"/>
    <n v="6074202300040390"/>
    <x v="1"/>
    <s v="78.10.14.422.3023.4.426.33503900.00.1.500.9001.0"/>
    <s v="SESANA"/>
    <s v="TCL/024/2023/SMDHC/SESANA"/>
    <s v="Gestão de Unidade da Rede Cozinha Escola"/>
    <s v="Associação Beneficente Juventude Evangélica Unidas por São Paulo"/>
    <d v="2025-08-17T00:00:00"/>
    <n v="2696551.75"/>
    <n v="224712.65"/>
    <n v="219231.85"/>
    <n v="219231.85"/>
    <n v="219231.85"/>
    <n v="219231.85"/>
    <n v="219231.85"/>
    <n v="219231.85"/>
    <n v="219231.85"/>
    <n v="232385.76"/>
    <n v="232385.76"/>
    <n v="232385.76"/>
    <n v="232385.76"/>
    <n v="232385.76"/>
  </r>
  <r>
    <x v="2"/>
    <s v="Parcerias"/>
    <s v="Atividades"/>
    <n v="6074202300040320"/>
    <x v="1"/>
    <s v="78.10.14.422.3023.4.426.33503900.00.1.500.9001.0"/>
    <s v="SESANA"/>
    <s v="TCL/025/2023/SMDHC/SESANA"/>
    <s v="Gestão de Unidade da Rede Cozinha Escola"/>
    <s v="Associação de Moradia Conjunto Teotônio Vilela"/>
    <d v="2025-08-17T00:00:00"/>
    <n v="2696551.75"/>
    <n v="224712.65"/>
    <n v="219231.85"/>
    <n v="219231.85"/>
    <n v="219231.85"/>
    <n v="219231.85"/>
    <n v="219231.85"/>
    <n v="219231.85"/>
    <n v="219231.85"/>
    <n v="232385.76"/>
    <n v="232385.76"/>
    <n v="232385.76"/>
    <n v="232385.76"/>
    <n v="232385.76"/>
  </r>
  <r>
    <x v="2"/>
    <s v="Parcerias"/>
    <s v="Atividades"/>
    <n v="6074202300040060"/>
    <x v="1"/>
    <s v="78.10.14.422.3023.4.426.33503900.00.1.500.9001.0"/>
    <s v="SESANA"/>
    <s v="TCL/026/2023/SMDHC/SESANA"/>
    <s v="Gestão de Unidade da Rede Cozinha Escola"/>
    <s v="Associação Beneficente Luz do Saber"/>
    <d v="2025-08-16T00:00:00"/>
    <n v="2696551.75"/>
    <n v="224712.65"/>
    <n v="219231.85"/>
    <n v="219231.85"/>
    <n v="219231.85"/>
    <n v="219231.85"/>
    <n v="219231.85"/>
    <n v="219231.85"/>
    <n v="219231.85"/>
    <n v="232385.76"/>
    <n v="232385.76"/>
    <n v="232385.76"/>
    <n v="232385.76"/>
    <n v="232385.76"/>
  </r>
  <r>
    <x v="2"/>
    <s v="Parcerias"/>
    <s v="Atividades"/>
    <n v="6074202300040070"/>
    <x v="1"/>
    <s v="78.10.14.422.3023.4.426.33503900.00.1.500.9001.0"/>
    <s v="SESANA"/>
    <s v="TCL/027/2023/SMDHC/SESANA"/>
    <s v="Gestão de Unidade da Rede Cozinha Escola"/>
    <s v="IPCB - Instituto de Pesquisa da Cozinha Brasileira"/>
    <d v="2025-08-20T00:00:00"/>
    <n v="2696551.75"/>
    <n v="224712.65"/>
    <n v="219231.85"/>
    <n v="219231.85"/>
    <n v="219231.85"/>
    <n v="219231.85"/>
    <n v="219231.85"/>
    <n v="219231.85"/>
    <n v="219231.85"/>
    <n v="232385.76"/>
    <n v="232385.76"/>
    <n v="232385.76"/>
    <n v="232385.76"/>
    <n v="232385.76"/>
  </r>
  <r>
    <x v="2"/>
    <s v="Parcerias"/>
    <s v="Atividades"/>
    <n v="6074202300040310"/>
    <x v="1"/>
    <s v="78.10.14.422.3023.4.426.33503900.00.1.500.9001.0"/>
    <s v="SESANA"/>
    <s v="TCL/028/2023/SMDHC/SESANA"/>
    <s v="Gestão de Unidade da Rede Cozinha Escola"/>
    <s v="SEVA: Seguindo a Verdade em Amor"/>
    <d v="2025-08-17T00:00:00"/>
    <n v="2696551.75"/>
    <n v="224712.65"/>
    <n v="219231.85"/>
    <n v="219231.85"/>
    <n v="219231.85"/>
    <n v="219231.85"/>
    <n v="219231.85"/>
    <n v="219231.85"/>
    <n v="219231.85"/>
    <n v="232385.76"/>
    <n v="232385.76"/>
    <n v="232385.76"/>
    <n v="232385.76"/>
    <n v="232385.76"/>
  </r>
  <r>
    <x v="2"/>
    <s v="Parcerias"/>
    <s v="Atividades"/>
    <n v="6074202300040260"/>
    <x v="1"/>
    <s v="78.10.14.422.3023.4.426.33503900.00.1.500.9001.0"/>
    <s v="SESANA"/>
    <s v="TCL/029/2023/SMDHC/SESANA"/>
    <s v="Gestão de Unidade da Rede Cozinha Escola"/>
    <s v="Movimento Organizacional Vencer, Educar e Realizar - MOVER Helipa"/>
    <d v="2025-08-17T00:00:00"/>
    <n v="2696551.75"/>
    <n v="224712.65"/>
    <n v="219231.85"/>
    <n v="219231.85"/>
    <n v="219231.85"/>
    <n v="219231.85"/>
    <n v="219231.85"/>
    <n v="219231.85"/>
    <n v="219231.85"/>
    <n v="232385.76"/>
    <n v="232385.76"/>
    <n v="232385.76"/>
    <n v="232385.76"/>
    <n v="232385.76"/>
  </r>
  <r>
    <x v="2"/>
    <s v="Parcerias"/>
    <s v="Atividades"/>
    <n v="6074202300040430"/>
    <x v="1"/>
    <s v="78.10.14.422.3023.4.426.33503900.00.1.500.9001.0"/>
    <s v="SESANA"/>
    <s v="TCL/030/2023/SMDHC/SESANA"/>
    <s v="Gestão de Unidade da Rede Cozinha Escola"/>
    <s v="Associação dos Moradores do Parque Vera Cruz no Estado de São Paulo"/>
    <d v="2025-08-02T00:00:00"/>
    <n v="2696551.75"/>
    <n v="224712.65"/>
    <n v="219231.85"/>
    <n v="219231.85"/>
    <n v="219231.85"/>
    <n v="219231.85"/>
    <n v="219231.85"/>
    <n v="219231.85"/>
    <n v="219231.85"/>
    <n v="232385.76"/>
    <n v="232385.76"/>
    <n v="232385.76"/>
    <n v="232385.76"/>
    <n v="232385.76"/>
  </r>
  <r>
    <x v="2"/>
    <s v="Parcerias"/>
    <s v="Atividades"/>
    <n v="6074202300040420"/>
    <x v="1"/>
    <s v="78.10.14.422.3023.4.426.33503900.00.1.500.9001.0"/>
    <s v="SESANA"/>
    <s v="TCL/031/2023/SMDHC/SESANA"/>
    <s v="Gestão de Unidade da Rede Cozinha Escola"/>
    <s v="Instituto Macedônia"/>
    <d v="2025-08-20T00:00:00"/>
    <n v="2696551.75"/>
    <n v="224712.65"/>
    <n v="219231.85"/>
    <n v="219231.85"/>
    <n v="219231.85"/>
    <n v="219231.85"/>
    <n v="219231.85"/>
    <n v="219231.85"/>
    <n v="219231.85"/>
    <n v="232385.76"/>
    <n v="232385.76"/>
    <n v="232385.76"/>
    <n v="232385.76"/>
    <n v="232385.76"/>
  </r>
  <r>
    <x v="2"/>
    <s v="Parcerias"/>
    <s v="Atividades"/>
    <n v="6074202300040040"/>
    <x v="1"/>
    <s v="78.10.14.422.3023.4.426.33503900.00.1.500.9001.0"/>
    <s v="SESANA"/>
    <s v="TCL/032/2023/SMDHC/SESANA"/>
    <s v="Gestão de Unidade da Rede Cozinha Escola"/>
    <s v="Associação Cantinho do Céu"/>
    <d v="2025-10-13T00:00:00"/>
    <n v="2670243.9300000002"/>
    <n v="222520.33"/>
    <n v="219231.85"/>
    <n v="219231.85"/>
    <n v="219231.85"/>
    <n v="219231.85"/>
    <n v="219231.85"/>
    <n v="219231.85"/>
    <n v="219231.85"/>
    <n v="219231.85"/>
    <n v="219231.85"/>
    <n v="232385.76"/>
    <n v="232385.76"/>
    <n v="232385.76"/>
  </r>
  <r>
    <x v="2"/>
    <s v="Parcerias"/>
    <s v="Atividades"/>
    <n v="6074202300065900"/>
    <x v="1"/>
    <s v="78.10.14.422.3023.4.426.33503900.00.1.500.9001.0"/>
    <s v="SESANA"/>
    <s v="TCL/033/2023/SMDHC/SESANA"/>
    <s v="Gestão de Unidade da Rede Cozinha Escola"/>
    <s v="UNAS: União de Núcleos, Associações dos Moradores de Heliópolis e Região"/>
    <d v="2025-10-02T00:00:00"/>
    <n v="2670243.9300000002"/>
    <n v="222520.33"/>
    <n v="219231.85"/>
    <n v="219231.85"/>
    <n v="219231.85"/>
    <n v="219231.85"/>
    <n v="219231.85"/>
    <n v="219231.85"/>
    <n v="219231.85"/>
    <n v="219231.85"/>
    <n v="219231.85"/>
    <n v="232385.76"/>
    <n v="232385.76"/>
    <n v="232385.76"/>
  </r>
  <r>
    <x v="2"/>
    <s v="Parcerias"/>
    <s v="Atividades"/>
    <n v="6074202300065910"/>
    <x v="1"/>
    <s v="78.10.14.422.3023.4.426.33503900.00.1.500.9001.0"/>
    <s v="SESANA"/>
    <s v="TCL/034/2023/SMDHC/SESANA"/>
    <s v="Gestão de Unidade da Rede Cozinha Escola"/>
    <s v="Instituto Escola do Povo / Instituto G10 Favelas"/>
    <d v="2025-10-27T00:00:00"/>
    <n v="2670243.9300000002"/>
    <n v="222520.33"/>
    <n v="219231.85"/>
    <n v="219231.85"/>
    <n v="219231.85"/>
    <n v="219231.85"/>
    <n v="219231.85"/>
    <n v="219231.85"/>
    <n v="219231.85"/>
    <n v="219231.85"/>
    <n v="219231.85"/>
    <n v="232385.76"/>
    <n v="232385.76"/>
    <n v="232385.76"/>
  </r>
  <r>
    <x v="2"/>
    <s v="Parcerias"/>
    <s v="Atividades"/>
    <n v="6074202300066050"/>
    <x v="1"/>
    <s v="78.10.14.422.3023.4.426.33503900.00.1.500.9001.0"/>
    <s v="SESANA"/>
    <s v="TCL/035/2023/SMDHC/SESANA"/>
    <s v="Gestão de Unidade da Rede Cozinha Escola"/>
    <s v="CEI: Centro de Convivência Itatinga"/>
    <d v="2025-12-05T00:00:00"/>
    <n v="2643936.11"/>
    <n v="220328.01"/>
    <n v="219231.85"/>
    <n v="219231.85"/>
    <n v="219231.85"/>
    <n v="219231.85"/>
    <n v="219231.85"/>
    <n v="219231.85"/>
    <n v="219231.85"/>
    <n v="219231.85"/>
    <n v="219231.85"/>
    <n v="219231.85"/>
    <n v="219231.85"/>
    <n v="232385.76"/>
  </r>
  <r>
    <x v="2"/>
    <s v="Parcerias"/>
    <s v="Atividades"/>
    <n v="6074202300065930"/>
    <x v="1"/>
    <s v="78.10.14.422.3023.4.426.33503900.00.1.500.9001.0"/>
    <s v="SESANA"/>
    <s v="TCL/036/2023/SMDHC/SESANA"/>
    <s v="Gestão de Unidade da Rede Cozinha Escola"/>
    <s v="CEDESC: Centro de Desenvolvimento Educacional, Social e Cultural do Parque Fernanda"/>
    <d v="2025-10-17T00:00:00"/>
    <n v="2657090.02"/>
    <n v="221424.17"/>
    <n v="219231.85"/>
    <n v="219231.85"/>
    <n v="219231.85"/>
    <n v="219231.85"/>
    <n v="219231.85"/>
    <n v="219231.85"/>
    <n v="219231.85"/>
    <n v="219231.85"/>
    <n v="219231.85"/>
    <n v="219231.85"/>
    <n v="232385.76"/>
    <n v="232385.76"/>
  </r>
  <r>
    <x v="2"/>
    <s v="Parcerias"/>
    <s v="Atividades"/>
    <n v="6074202300065950"/>
    <x v="1"/>
    <s v="78.10.14.422.3023.4.426.33503900.00.1.500.9001.0"/>
    <s v="SESANA"/>
    <s v="TCL/037/2023/SMDHC/SESANA"/>
    <s v="Gestão de Unidade da Rede Cozinha Escola"/>
    <s v="Instituto Social Aequalitas"/>
    <d v="2025-11-15T00:00:00"/>
    <n v="2657090.02"/>
    <n v="221424.17"/>
    <n v="219231.85"/>
    <n v="219231.85"/>
    <n v="219231.85"/>
    <n v="219231.85"/>
    <n v="219231.85"/>
    <n v="219231.85"/>
    <n v="219231.85"/>
    <n v="219231.85"/>
    <n v="219231.85"/>
    <n v="219231.85"/>
    <n v="232385.76"/>
    <n v="232385.76"/>
  </r>
  <r>
    <x v="2"/>
    <s v="Parcerias"/>
    <s v="Atividades"/>
    <n v="6074202300065960"/>
    <x v="1"/>
    <s v="78.10.14.422.3023.4.426.33503900.00.1.500.9001.0"/>
    <s v="SESANA"/>
    <s v="TCL/038/2023/SMDHC/SESANA"/>
    <s v="Gestão de Unidade da Rede Cozinha Escola"/>
    <s v="Centro Educacional Plantando Vidas"/>
    <d v="2025-11-01T00:00:00"/>
    <n v="2657090.02"/>
    <n v="221424.17"/>
    <n v="219231.85"/>
    <n v="219231.85"/>
    <n v="219231.85"/>
    <n v="219231.85"/>
    <n v="219231.85"/>
    <n v="219231.85"/>
    <n v="219231.85"/>
    <n v="219231.85"/>
    <n v="219231.85"/>
    <n v="219231.85"/>
    <n v="232385.76"/>
    <n v="232385.76"/>
  </r>
  <r>
    <x v="2"/>
    <s v="Parcerias"/>
    <s v="Atividades"/>
    <n v="6074202300065970"/>
    <x v="1"/>
    <s v="78.10.14.422.3023.4.426.33503900.00.1.500.9001.0"/>
    <s v="SESANA"/>
    <s v="TCL/039/2023/SMDHC/SESANA"/>
    <s v="Gestão de Unidade da Rede Cozinha Escola"/>
    <s v="União Popular de Moradia Adão Manoel Da Silva"/>
    <d v="2025-11-01T00:00:00"/>
    <n v="2657090.02"/>
    <n v="221424.17"/>
    <n v="219231.85"/>
    <n v="219231.85"/>
    <n v="219231.85"/>
    <n v="219231.85"/>
    <n v="219231.85"/>
    <n v="219231.85"/>
    <n v="219231.85"/>
    <n v="219231.85"/>
    <n v="219231.85"/>
    <n v="219231.85"/>
    <n v="232385.76"/>
    <n v="232385.76"/>
  </r>
  <r>
    <x v="2"/>
    <s v="Parcerias"/>
    <s v="Atividades"/>
    <n v="6074202300065850"/>
    <x v="1"/>
    <s v="78.10.14.422.3023.4.426.33503900.00.1.500.9001.0"/>
    <s v="SESANA"/>
    <s v="TCL/040/2023/SMDHC/SESANA"/>
    <s v="Gestão de Unidade da Rede Cozinha Escola"/>
    <s v="Associação Nova Cibran"/>
    <d v="2025-10-10T00:00:00"/>
    <n v="2670243.9300000002"/>
    <n v="222520.33"/>
    <n v="219231.85"/>
    <n v="219231.85"/>
    <n v="219231.85"/>
    <n v="219231.85"/>
    <n v="219231.85"/>
    <n v="219231.85"/>
    <n v="219231.85"/>
    <n v="219231.85"/>
    <n v="219231.85"/>
    <n v="232385.76"/>
    <n v="232385.76"/>
    <n v="232385.76"/>
  </r>
  <r>
    <x v="2"/>
    <s v="Parcerias"/>
    <s v="Atividades"/>
    <n v="6074202300066080"/>
    <x v="1"/>
    <s v="78.10.14.422.3023.4.426.33503900.00.1.500.9001.0"/>
    <s v="SESANA"/>
    <s v="TCL/041/2023/SMDHC/SESANA"/>
    <s v="Gestão de Unidade da Rede Cozinha Escola"/>
    <s v="Associação Guarauna de Arte e Cultura"/>
    <d v="2025-10-17T00:00:00"/>
    <n v="2657090.02"/>
    <n v="221424.17"/>
    <n v="219231.85"/>
    <n v="219231.85"/>
    <n v="219231.85"/>
    <n v="219231.85"/>
    <n v="219231.85"/>
    <n v="219231.85"/>
    <n v="219231.85"/>
    <n v="219231.85"/>
    <n v="219231.85"/>
    <n v="219231.85"/>
    <n v="232385.76"/>
    <n v="232385.76"/>
  </r>
  <r>
    <x v="2"/>
    <s v="Parcerias"/>
    <s v="Atividades"/>
    <n v="6074202300066090"/>
    <x v="1"/>
    <s v="78.10.14.422.3023.4.426.33503900.00.1.500.9001.0"/>
    <s v="SESANA"/>
    <s v="TCL/042/2023/SMDHC/SESANA"/>
    <s v="Gestão de Unidade da Rede Cozinha Escola"/>
    <s v="Associação de Moradores Miraguaia Jardim Jaraguá"/>
    <d v="2025-12-09T00:00:00"/>
    <n v="2643936.11"/>
    <n v="220328.01"/>
    <n v="219231.85"/>
    <n v="219231.85"/>
    <n v="219231.85"/>
    <n v="219231.85"/>
    <n v="219231.85"/>
    <n v="219231.85"/>
    <n v="219231.85"/>
    <n v="219231.85"/>
    <n v="219231.85"/>
    <n v="219231.85"/>
    <n v="219231.85"/>
    <n v="232385.76"/>
  </r>
  <r>
    <x v="2"/>
    <s v="Parcerias"/>
    <s v="Atividades"/>
    <n v="6074202300066150"/>
    <x v="1"/>
    <s v="78.10.14.422.3023.4.426.33503900.00.1.500.9001.0"/>
    <s v="SESANA"/>
    <s v="TCL/043/2023/SMDHC/SESANA"/>
    <s v="Gestão de Unidade da Rede Cozinha Escola"/>
    <s v="Comunidade Evangélica Baluarte da Verdade"/>
    <d v="2025-11-09T00:00:00"/>
    <n v="2657090.02"/>
    <n v="221424.17"/>
    <n v="219231.85"/>
    <n v="219231.85"/>
    <n v="219231.85"/>
    <n v="219231.85"/>
    <n v="219231.85"/>
    <n v="219231.85"/>
    <n v="219231.85"/>
    <n v="219231.85"/>
    <n v="219231.85"/>
    <n v="219231.85"/>
    <n v="232385.76"/>
    <n v="232385.76"/>
  </r>
  <r>
    <x v="2"/>
    <s v="Parcerias"/>
    <s v="Atividades"/>
    <n v="6074202300066190"/>
    <x v="1"/>
    <s v="78.10.14.422.3023.4.426.33503900.00.1.500.9001.0"/>
    <s v="SESANA"/>
    <s v="TCL/044/2023/SMDHC/SESANA"/>
    <s v="Gestão de Unidade da Rede Cozinha Escola"/>
    <s v="Organização Comunitária Reage São Paulo"/>
    <d v="2025-10-05T00:00:00"/>
    <n v="2670243.9300000002"/>
    <n v="222520.33"/>
    <n v="219231.85"/>
    <n v="219231.85"/>
    <n v="219231.85"/>
    <n v="219231.85"/>
    <n v="219231.85"/>
    <n v="219231.85"/>
    <n v="219231.85"/>
    <n v="219231.85"/>
    <n v="219231.85"/>
    <n v="232385.76"/>
    <n v="232385.76"/>
    <n v="232385.76"/>
  </r>
  <r>
    <x v="2"/>
    <s v="Parcerias"/>
    <s v="Atividades"/>
    <n v="6074202300066210"/>
    <x v="1"/>
    <s v="78.10.14.422.3023.4.426.33503900.00.1.500.9001.0"/>
    <s v="SESANA"/>
    <s v="TCL/045/2023/SMDHC/SESANA"/>
    <s v="Gestão de Unidade da Rede Cozinha Escola"/>
    <s v="Instituto Educacional e Cultural Silva"/>
    <d v="2025-11-16T00:00:00"/>
    <n v="2657090.02"/>
    <n v="221424.17"/>
    <n v="219231.85"/>
    <n v="219231.85"/>
    <n v="219231.85"/>
    <n v="219231.85"/>
    <n v="219231.85"/>
    <n v="219231.85"/>
    <n v="219231.85"/>
    <n v="219231.85"/>
    <n v="219231.85"/>
    <n v="219231.85"/>
    <n v="232385.76"/>
    <n v="232385.76"/>
  </r>
  <r>
    <x v="2"/>
    <s v="Parcerias"/>
    <s v="Atividades"/>
    <n v="6074202300066000"/>
    <x v="1"/>
    <s v="78.10.14.422.3023.4.426.33503900.00.1.500.9001.0"/>
    <s v="SESANA"/>
    <s v="TCL/046/2023/SMDHC/SESANA"/>
    <s v="Gestão de Unidade da Rede Cozinha Escola"/>
    <s v="Instituto Grande Vitoria Capadócia"/>
    <d v="2025-10-27T00:00:00"/>
    <n v="2657090.02"/>
    <n v="221424.17"/>
    <n v="219231.85"/>
    <n v="219231.85"/>
    <n v="219231.85"/>
    <n v="219231.85"/>
    <n v="219231.85"/>
    <n v="219231.85"/>
    <n v="219231.85"/>
    <n v="219231.85"/>
    <n v="219231.85"/>
    <n v="219231.85"/>
    <n v="232385.76"/>
    <n v="232385.76"/>
  </r>
  <r>
    <x v="2"/>
    <s v="Parcerias"/>
    <s v="Atividades"/>
    <n v="6074202300065840"/>
    <x v="1"/>
    <s v="78.10.14.422.3023.4.426.33503900.00.1.500.9001.0"/>
    <s v="SESANA"/>
    <s v="TCL/047/2023/SMDHC/SESANA"/>
    <s v="Gestão de Unidade da Rede Cozinha Escola"/>
    <s v="Instituto Social MUVT"/>
    <d v="2025-11-01T00:00:00"/>
    <n v="2657090.02"/>
    <n v="221424.17"/>
    <n v="219231.85"/>
    <n v="219231.85"/>
    <n v="219231.85"/>
    <n v="219231.85"/>
    <n v="219231.85"/>
    <n v="219231.85"/>
    <n v="219231.85"/>
    <n v="219231.85"/>
    <n v="219231.85"/>
    <n v="219231.85"/>
    <n v="232385.76"/>
    <n v="232385.76"/>
  </r>
  <r>
    <x v="2"/>
    <s v="Parcerias"/>
    <s v="Atividades"/>
    <n v="6074202300066100"/>
    <x v="1"/>
    <s v="78.10.14.422.3023.4.426.33503900.00.1.500.9001.0"/>
    <s v="SESANA"/>
    <s v="TCL/048/2023/SMDHC/SESANA"/>
    <s v="Gestão de Unidade da Rede Cozinha Escola"/>
    <s v="Associação Comunitária do Bombeiro e Adjacências"/>
    <d v="2025-10-27T00:00:00"/>
    <n v="2657090.02"/>
    <n v="221424.17"/>
    <n v="219231.85"/>
    <n v="219231.85"/>
    <n v="219231.85"/>
    <n v="219231.85"/>
    <n v="219231.85"/>
    <n v="219231.85"/>
    <n v="219231.85"/>
    <n v="219231.85"/>
    <n v="219231.85"/>
    <n v="219231.85"/>
    <n v="232385.76"/>
    <n v="232385.76"/>
  </r>
  <r>
    <x v="2"/>
    <s v="Parcerias"/>
    <s v="Atividades"/>
    <n v="6074202300066140"/>
    <x v="1"/>
    <s v="78.10.14.422.3023.4.426.33503900.00.1.500.9001.0"/>
    <s v="SESANA"/>
    <s v="TCL/049/2023/SMDHC/SESANA"/>
    <s v="Gestão de Unidade da Rede Cozinha Escola"/>
    <s v="Associação de Moradores com Muita Garra"/>
    <d v="2025-10-25T00:00:00"/>
    <n v="2657090.02"/>
    <n v="221424.17"/>
    <n v="219231.85"/>
    <n v="219231.85"/>
    <n v="219231.85"/>
    <n v="219231.85"/>
    <n v="219231.85"/>
    <n v="219231.85"/>
    <n v="219231.85"/>
    <n v="219231.85"/>
    <n v="219231.85"/>
    <n v="219231.85"/>
    <n v="232385.76"/>
    <n v="232385.76"/>
  </r>
  <r>
    <x v="2"/>
    <s v="Parcerias"/>
    <s v="Atividades"/>
    <n v="6074202300066160"/>
    <x v="1"/>
    <s v="78.10.14.422.3023.4.426.33503900.00.1.500.9001.0"/>
    <s v="SESANA"/>
    <s v="TCL/050/2023/SMDHC/SESANA"/>
    <s v="Gestão de Unidade da Rede Cozinha Escola"/>
    <s v="Associação G. Vital"/>
    <d v="2025-11-16T00:00:00"/>
    <n v="2657090.02"/>
    <n v="221424.17"/>
    <n v="219231.85"/>
    <n v="219231.85"/>
    <n v="219231.85"/>
    <n v="219231.85"/>
    <n v="219231.85"/>
    <n v="219231.85"/>
    <n v="219231.85"/>
    <n v="219231.85"/>
    <n v="219231.85"/>
    <n v="219231.85"/>
    <n v="232385.76"/>
    <n v="232385.76"/>
  </r>
  <r>
    <x v="2"/>
    <s v="Parcerias"/>
    <s v="Atividades"/>
    <n v="6074202300066110"/>
    <x v="1"/>
    <s v="78.10.14.422.3023.4.426.33503900.00.1.500.9001.0"/>
    <s v="SESANA"/>
    <s v="TCL/055/2023/SMDHC/SESANA"/>
    <s v="Gestão de Unidade da Rede Cozinha Escola"/>
    <s v="União Pelos Direitos Humanos dos Moradores Do Jardim das Rosas"/>
    <d v="2025-11-03T00:00:00"/>
    <n v="2657090.02"/>
    <n v="221424.17"/>
    <n v="219231.85"/>
    <n v="219231.85"/>
    <n v="219231.85"/>
    <n v="219231.85"/>
    <n v="219231.85"/>
    <n v="219231.85"/>
    <n v="219231.85"/>
    <n v="219231.85"/>
    <n v="219231.85"/>
    <n v="219231.85"/>
    <n v="232385.76"/>
    <n v="232385.76"/>
  </r>
  <r>
    <x v="2"/>
    <s v="Parcerias"/>
    <s v="Atividades"/>
    <n v="6074202300066170"/>
    <x v="1"/>
    <s v="78.10.14.422.3023.4.426.33503900.00.1.500.9001.0"/>
    <s v="SESANA"/>
    <s v="TCL/056/2023/SMDHC/SESANA"/>
    <s v="Gestão de Unidade da Rede Cozinha Escola"/>
    <s v="Associação Cristã Beneficiente do Brasil"/>
    <d v="2025-11-10T00:00:00"/>
    <n v="2657090.02"/>
    <n v="221424.17"/>
    <n v="219231.85"/>
    <n v="219231.85"/>
    <n v="219231.85"/>
    <n v="219231.85"/>
    <n v="219231.85"/>
    <n v="219231.85"/>
    <n v="219231.85"/>
    <n v="219231.85"/>
    <n v="219231.85"/>
    <n v="219231.85"/>
    <n v="232385.76"/>
    <n v="232385.76"/>
  </r>
  <r>
    <x v="2"/>
    <s v="Parcerias"/>
    <s v="Atividades"/>
    <n v="6074202300066200"/>
    <x v="1"/>
    <s v="78.10.14.422.3023.4.426.33503900.00.1.500.9001.0"/>
    <s v="SESANA"/>
    <s v="TCL/057/2023/SMDHC/SESANA"/>
    <s v="Gestão de Unidade da Rede Cozinha Escola"/>
    <s v="Associação da Comunidade do Tiro ao Pombo"/>
    <d v="2025-11-19T00:00:00"/>
    <n v="2657090.02"/>
    <n v="221424.17"/>
    <n v="219231.85"/>
    <n v="219231.85"/>
    <n v="219231.85"/>
    <n v="219231.85"/>
    <n v="219231.85"/>
    <n v="219231.85"/>
    <n v="219231.85"/>
    <n v="219231.85"/>
    <n v="219231.85"/>
    <n v="219231.85"/>
    <n v="232385.76"/>
    <n v="232385.76"/>
  </r>
  <r>
    <x v="2"/>
    <s v="Parcerias"/>
    <s v="Atividades"/>
    <n v="6074202300065890"/>
    <x v="1"/>
    <s v="78.10.14.422.3023.4.426.33503900.00.1.500.9001.0"/>
    <s v="SESANA"/>
    <s v="TCL/058/2023/SMDHC/SESANA"/>
    <s v="Gestão de Unidade da Rede Cozinha Escola"/>
    <s v="Instituto Academia Carolinas - Centro Social, Educacional e Cultural"/>
    <d v="2025-11-10T00:00:00"/>
    <n v="2657090.02"/>
    <n v="221424.17"/>
    <n v="219231.85"/>
    <n v="219231.85"/>
    <n v="219231.85"/>
    <n v="219231.85"/>
    <n v="219231.85"/>
    <n v="219231.85"/>
    <n v="219231.85"/>
    <n v="219231.85"/>
    <n v="219231.85"/>
    <n v="219231.85"/>
    <n v="232385.76"/>
    <n v="232385.76"/>
  </r>
  <r>
    <x v="2"/>
    <s v="Parcerias"/>
    <s v="Atividades"/>
    <n v="6074202300065980"/>
    <x v="1"/>
    <s v="78.10.14.422.3023.4.426.33503900.00.1.500.9001.0"/>
    <s v="SESANA"/>
    <s v="TCL/059/2023/SMDHC/SESANA"/>
    <s v="Gestão de Unidade da Rede Cozinha Escola"/>
    <s v="Associação Unidos do Jangadeiro"/>
    <d v="2025-11-17T00:00:00"/>
    <n v="2657090.02"/>
    <n v="221424.17"/>
    <n v="219231.85"/>
    <n v="219231.85"/>
    <n v="219231.85"/>
    <n v="219231.85"/>
    <n v="219231.85"/>
    <n v="219231.85"/>
    <n v="219231.85"/>
    <n v="219231.85"/>
    <n v="219231.85"/>
    <n v="219231.85"/>
    <n v="232385.76"/>
    <n v="232385.76"/>
  </r>
  <r>
    <x v="2"/>
    <s v="Parcerias"/>
    <s v="Atividades"/>
    <n v="6074202300066220"/>
    <x v="1"/>
    <s v="78.10.14.422.3023.4.426.33503900.00.1.500.9001.0"/>
    <s v="SESANA"/>
    <s v="TCL/060/2023/SMDHC/SESANA"/>
    <s v="Gestão de Unidade da Rede Cozinha Escola"/>
    <s v="IBRASAC: Instituto Brasileiro de Alianças Socioambiental Cultural"/>
    <d v="2025-11-18T00:00:00"/>
    <n v="2657090.02"/>
    <n v="221424.17"/>
    <n v="219231.85"/>
    <n v="219231.85"/>
    <n v="219231.85"/>
    <n v="219231.85"/>
    <n v="219231.85"/>
    <n v="219231.85"/>
    <n v="219231.85"/>
    <n v="219231.85"/>
    <n v="219231.85"/>
    <n v="219231.85"/>
    <n v="232385.76"/>
    <n v="232385.76"/>
  </r>
  <r>
    <x v="2"/>
    <s v="Parcerias"/>
    <s v="Atividades"/>
    <n v="6074202300066030"/>
    <x v="1"/>
    <s v="78.10.14.422.3023.4.426.33503900.00.1.500.9001.0"/>
    <s v="SESANA"/>
    <s v="TCL/064/2023/SMDHC/SESANA"/>
    <s v="Gestão de Unidade da Rede Cozinha Escola"/>
    <s v="Instituto Propor"/>
    <d v="2025-12-06T00:00:00"/>
    <n v="2643936.11"/>
    <n v="220328.01"/>
    <n v="219231.85"/>
    <n v="219231.85"/>
    <n v="219231.85"/>
    <n v="219231.85"/>
    <n v="219231.85"/>
    <n v="219231.85"/>
    <n v="219231.85"/>
    <n v="219231.85"/>
    <n v="219231.85"/>
    <n v="219231.85"/>
    <n v="219231.85"/>
    <n v="232385.76"/>
  </r>
  <r>
    <x v="2"/>
    <s v="Parcerias"/>
    <s v="Atividades"/>
    <n v="6074202300066040"/>
    <x v="1"/>
    <s v="78.10.14.422.3023.4.426.33503900.00.1.500.9001.0"/>
    <s v="SESANA"/>
    <s v="TCL/065/2023/SMDHC/SESANA"/>
    <s v="Gestão de Unidade da Rede Cozinha Escola"/>
    <s v="Centro de Integração Assistencial e Profissional São Patrício"/>
    <d v="2025-12-09T00:00:00"/>
    <n v="2643936.11"/>
    <n v="220328.01"/>
    <n v="219231.85"/>
    <n v="219231.85"/>
    <n v="219231.85"/>
    <n v="219231.85"/>
    <n v="219231.85"/>
    <n v="219231.85"/>
    <n v="219231.85"/>
    <n v="219231.85"/>
    <n v="219231.85"/>
    <n v="219231.85"/>
    <n v="219231.85"/>
    <n v="232385.76"/>
  </r>
  <r>
    <x v="2"/>
    <s v="Parcerias"/>
    <s v="Atividades"/>
    <n v="6074202300112960"/>
    <x v="1"/>
    <s v="78.10.14.422.3023.4.426.33503900.00.1.500.9001.0"/>
    <s v="SESANA"/>
    <s v="TCL/071/2023/SMDHC/SESANA"/>
    <s v="Gestão de Unidade da Rede Cozinha Escola"/>
    <s v="Associação Por Uma Semente de Paz"/>
    <d v="2026-01-10T00:00:00"/>
    <n v="2788629.12"/>
    <n v="232385.76"/>
    <n v="232385.76"/>
    <n v="232385.76"/>
    <n v="232385.76"/>
    <n v="232385.76"/>
    <n v="232385.76"/>
    <n v="232385.76"/>
    <n v="232385.76"/>
    <n v="232385.76"/>
    <n v="232385.76"/>
    <n v="232385.76"/>
    <n v="232385.76"/>
    <n v="232385.76"/>
  </r>
  <r>
    <x v="2"/>
    <s v="Parcerias"/>
    <s v="Atividades"/>
    <n v="6074202300112970"/>
    <x v="1"/>
    <s v="78.10.14.422.3023.4.426.33503900.00.1.500.9001.0"/>
    <s v="SESANA"/>
    <s v="TCL/072/2023/SMDHC/SESANA"/>
    <s v="Gestão de Unidade da Rede Cozinha Escola"/>
    <s v="Associação Amigos da Família"/>
    <d v="2026-01-10T00:00:00"/>
    <n v="2788629.12"/>
    <n v="232385.76"/>
    <n v="232385.76"/>
    <n v="232385.76"/>
    <n v="232385.76"/>
    <n v="232385.76"/>
    <n v="232385.76"/>
    <n v="232385.76"/>
    <n v="232385.76"/>
    <n v="232385.76"/>
    <n v="232385.76"/>
    <n v="232385.76"/>
    <n v="232385.76"/>
    <n v="232385.76"/>
  </r>
  <r>
    <x v="3"/>
    <s v="Parcerias"/>
    <s v="Atividades"/>
    <n v="6074202100030640"/>
    <x v="1"/>
    <s v="90.10.08.243.3013.6.160.33503900.08.1.759.0958.0"/>
    <s v="FUMCAD"/>
    <s v="TCL/004/2022/SMDHC/FUMCAD"/>
    <s v="Implantação e Gestão do Centro de Referência da Criança e Adolescente e do Centro de Referência Especializado para Crianças e Adolescentes em Situação de Rua"/>
    <s v="SEFRAS - Ação Social Franciscana"/>
    <d v="2026-07-14T00:00:00"/>
    <n v="1038197.16"/>
    <n v="86516.43"/>
    <n v="173032.86"/>
    <n v="173032.86"/>
    <n v="173032.86"/>
    <n v="173032.86"/>
    <n v="173032.86"/>
    <n v="173032.86"/>
    <s v=" R$ -   "/>
    <s v=" R$ -   "/>
    <s v=" R$ -   "/>
    <s v=" R$ -   "/>
    <s v=" R$ -   "/>
    <s v=" R$ -   "/>
  </r>
  <r>
    <x v="3"/>
    <s v="Parcerias"/>
    <s v="Atividades"/>
    <n v="6074201900024020"/>
    <x v="1"/>
    <s v="90.10.08.243.3013.6.160.33503900.08.1.759.0958.0"/>
    <s v="FUMCAD"/>
    <s v="TFM/001/2024/SMDHC/FUMCAD"/>
    <s v="Mundo Jovem"/>
    <s v="Instituto Blandina Meirelles - Centro Comunitário e Creche Sinhazinha Meirelles"/>
    <d v="2026-02-28T00:00:00"/>
    <n v="37608.31"/>
    <n v="3134.03"/>
    <n v="19855.23"/>
    <n v="17753.080000000002"/>
    <s v=" R$ -   "/>
    <s v=" R$ -   "/>
    <s v=" R$ -   "/>
    <s v=" R$ -   "/>
    <s v=" R$ -   "/>
    <s v=" R$ -   "/>
    <s v=" R$ -   "/>
    <s v=" R$ -   "/>
    <s v=" R$ -   "/>
    <s v=" R$ -   "/>
  </r>
  <r>
    <x v="3"/>
    <s v="Parcerias"/>
    <s v="Atividades"/>
    <n v="6074202400077380"/>
    <x v="1"/>
    <s v="90.10.08.243.3013.6.160.33503900.08.1.759.0958.0"/>
    <s v="FUMCAD"/>
    <s v="TFM/001/2025/SMDHC/FUMCAD"/>
    <s v="Educacional Vila Cuore"/>
    <s v="Aliança de Misericórdia"/>
    <d v="2026-03-31T00:00:00"/>
    <n v="102048.66"/>
    <n v="8504.06"/>
    <n v="34016.22"/>
    <n v="34016.22"/>
    <n v="34016.22"/>
    <s v=" R$ -   "/>
    <s v=" R$ -   "/>
    <s v=" R$ -   "/>
    <s v=" R$ -   "/>
    <s v=" R$ -   "/>
    <s v=" R$ -   "/>
    <s v=" R$ -   "/>
    <s v=" R$ -   "/>
    <s v=" R$ -   "/>
  </r>
  <r>
    <x v="3"/>
    <s v="Parcerias"/>
    <s v="Atividades"/>
    <n v="6074202400074880"/>
    <x v="1"/>
    <s v="90.10.08.243.3013.6.160.33503900.08.1.759.0958.0"/>
    <s v="FUMCAD"/>
    <s v="TFM/002/2025/SMDHC/FUMCAD"/>
    <s v="Projeto Jovens Multiplicadores do Bem-Viver Escolar"/>
    <s v="Fundação Julita"/>
    <d v="2026-02-28T00:00:00"/>
    <n v="137731.79999999999"/>
    <n v="11477.65"/>
    <n v="68865.899999999994"/>
    <n v="68865.899999999994"/>
    <s v=" R$ -   "/>
    <s v=" R$ -   "/>
    <s v=" R$ -   "/>
    <s v=" R$ -   "/>
    <s v=" R$ -   "/>
    <s v=" R$ -   "/>
    <s v=" R$ -   "/>
    <s v=" R$ -   "/>
    <s v=" R$ -   "/>
    <s v=" R$ -   "/>
  </r>
  <r>
    <x v="3"/>
    <s v="Parcerias"/>
    <s v="Atividades"/>
    <n v="6074202400077510"/>
    <x v="1"/>
    <s v="90.10.08.243.3013.6.160.33503900.08.1.759.0958.0"/>
    <s v="FUMCAD"/>
    <s v="TFM/003/2025/SMDHC/FUMCAD"/>
    <s v="Ponte para o Futuro"/>
    <s v="Associação Beneficente Santa Fé"/>
    <d v="2026-03-31T00:00:00"/>
    <n v="210573.71"/>
    <n v="17547.810000000001"/>
    <n v="74640.639999999999"/>
    <n v="75270.63"/>
    <n v="60662.44"/>
    <s v=" R$ -   "/>
    <s v=" R$ -   "/>
    <s v=" R$ -   "/>
    <s v=" R$ -   "/>
    <s v=" R$ -   "/>
    <s v=" R$ -   "/>
    <s v=" R$ -   "/>
    <s v=" R$ -   "/>
    <s v=" R$ -   "/>
  </r>
  <r>
    <x v="3"/>
    <s v="Parcerias"/>
    <s v="Atividades"/>
    <n v="6074202400075120"/>
    <x v="1"/>
    <s v="90.10.08.243.3013.6.160.33503900.08.1.759.0958.0"/>
    <s v="FUMCAD"/>
    <s v="TFM/004/2025/SMDHC/FUMCAD"/>
    <s v="Fazendo Música"/>
    <s v="Associação Assistencial Comunitária Azarias"/>
    <d v="2026-02-28T00:00:00"/>
    <n v="110404.24"/>
    <n v="9200.35"/>
    <n v="55952.12"/>
    <n v="54452.12"/>
    <s v=" R$ -   "/>
    <s v=" R$ -   "/>
    <s v=" R$ -   "/>
    <s v=" R$ -   "/>
    <s v=" R$ -   "/>
    <s v=" R$ -   "/>
    <s v=" R$ -   "/>
    <s v=" R$ -   "/>
    <s v=" R$ -   "/>
    <s v=" R$ -   "/>
  </r>
  <r>
    <x v="3"/>
    <s v="Parcerias"/>
    <s v="Atividades"/>
    <n v="6074202300021070"/>
    <x v="1"/>
    <s v="90.10.08.243.3013.6.160.33503900.08.1.759.0958.0"/>
    <s v="FUMCAD"/>
    <s v="TFM/005/2024/SMDHC/FUMCAD"/>
    <s v="Geração TOP - Luz"/>
    <s v="Casa Jesus, Amor e Caridade / Larzinho"/>
    <d v="2026-03-31T00:00:00"/>
    <n v="61710.43"/>
    <n v="5142.54"/>
    <n v="19736.810000000001"/>
    <n v="19736.810000000001"/>
    <n v="22236.81"/>
    <s v=" R$ -   "/>
    <s v=" R$ -   "/>
    <s v=" R$ -   "/>
    <s v=" R$ -   "/>
    <s v=" R$ -   "/>
    <s v=" R$ -   "/>
    <s v=" R$ -   "/>
    <s v=" R$ -   "/>
    <s v=" R$ -   "/>
  </r>
  <r>
    <x v="3"/>
    <s v="Parcerias"/>
    <s v="Atividades"/>
    <n v="6074202400077190"/>
    <x v="1"/>
    <s v="90.10.08.243.3013.6.160.33503900.08.1.759.0958.0"/>
    <s v="FUMCAD"/>
    <s v="TFM/005/2025/SMDHC/FUMCAD"/>
    <s v="Programa de Educação Social e Trabalho (PROEST)"/>
    <s v="ANA: Associação Nacional de Administração"/>
    <d v="2026-02-28T00:00:00"/>
    <n v="74094.7"/>
    <n v="6174.56"/>
    <n v="37047.35"/>
    <n v="37047.35"/>
    <s v=" R$ -   "/>
    <s v=" R$ -   "/>
    <s v=" R$ -   "/>
    <s v=" R$ -   "/>
    <s v=" R$ -   "/>
    <s v=" R$ -   "/>
    <s v=" R$ -   "/>
    <s v=" R$ -   "/>
    <s v=" R$ -   "/>
    <s v=" R$ -   "/>
  </r>
  <r>
    <x v="3"/>
    <s v="Parcerias"/>
    <s v="Atividades"/>
    <n v="6074202300021410"/>
    <x v="1"/>
    <s v="90.10.08.243.3013.6.160.33503900.08.1.759.0958.0"/>
    <s v="FUMCAD"/>
    <s v="TFM/006/2024/SMDHC/FUMCAD"/>
    <s v="Acolher"/>
    <s v="Instituto Batista Pr. Simom Horbaczyk"/>
    <d v="2026-03-31T00:00:00"/>
    <n v="98700"/>
    <n v="8225"/>
    <n v="32900"/>
    <n v="32900"/>
    <n v="32900"/>
    <s v=" R$ -   "/>
    <s v=" R$ -   "/>
    <s v=" R$ -   "/>
    <s v=" R$ -   "/>
    <s v=" R$ -   "/>
    <s v=" R$ -   "/>
    <s v=" R$ -   "/>
    <s v=" R$ -   "/>
    <s v=" R$ -   "/>
  </r>
  <r>
    <x v="3"/>
    <s v="Parcerias"/>
    <s v="Atividades"/>
    <n v="6074202400075090"/>
    <x v="1"/>
    <s v="90.10.08.243.3013.6.160.33503900.08.1.759.0958.0"/>
    <s v="FUMCAD"/>
    <s v="TFM/006/2025/SMDHC/FUMCAD"/>
    <s v="Quixote na Escola: Prevenção da Violência e do Uso de Drogas"/>
    <s v="AAPQ: Associação de Apoio ao Projeto Quixote"/>
    <d v="2026-02-28T00:00:00"/>
    <n v="144649.04999999999"/>
    <n v="12054.09"/>
    <n v="55198.77"/>
    <n v="89450.28"/>
    <s v=" R$ -   "/>
    <s v=" R$ -   "/>
    <s v=" R$ -   "/>
    <s v=" R$ -   "/>
    <s v=" R$ -   "/>
    <s v=" R$ -   "/>
    <s v=" R$ -   "/>
    <s v=" R$ -   "/>
    <s v=" R$ -   "/>
    <s v=" R$ -   "/>
  </r>
  <r>
    <x v="3"/>
    <s v="Parcerias"/>
    <s v="Atividades"/>
    <n v="6074202200018400"/>
    <x v="1"/>
    <s v="90.10.08.243.3013.6.160.33503900.08.1.759.0958.0"/>
    <s v="FUMCAD"/>
    <s v="TFM/007/2024/SMDHC/FUMCAD"/>
    <s v="Centro de Memória Therezinha Helena dos Direitos da Criança e Adolescente"/>
    <s v="Instituto Pedro Macambira"/>
    <d v="2026-05-31T00:00:00"/>
    <n v="79787"/>
    <n v="6648.92"/>
    <n v="14811"/>
    <n v="15111"/>
    <n v="19811"/>
    <n v="15243"/>
    <n v="14811"/>
    <s v=" R$ -   "/>
    <s v=" R$ -   "/>
    <s v=" R$ -   "/>
    <s v=" R$ -   "/>
    <s v=" R$ -   "/>
    <s v=" R$ -   "/>
    <s v=" R$ -   "/>
  </r>
  <r>
    <x v="3"/>
    <s v="Parcerias"/>
    <s v="Atividades"/>
    <n v="6074202400074920"/>
    <x v="1"/>
    <s v="90.10.08.243.3013.6.160.33503900.08.1.759.0958.0"/>
    <s v="FUMCAD"/>
    <s v="TFM/007/2025/SMDHC/FUMCAD"/>
    <s v="Educar para Transformar"/>
    <s v="Instituto Alicerce"/>
    <d v="2026-02-28T00:00:00"/>
    <n v="143540"/>
    <n v="11961.67"/>
    <n v="71770"/>
    <n v="71770"/>
    <s v=" R$ -   "/>
    <s v=" R$ -   "/>
    <s v=" R$ -   "/>
    <s v=" R$ -   "/>
    <s v=" R$ -   "/>
    <s v=" R$ -   "/>
    <s v=" R$ -   "/>
    <s v=" R$ -   "/>
    <s v=" R$ -   "/>
    <s v=" R$ -   "/>
  </r>
  <r>
    <x v="3"/>
    <s v="Parcerias"/>
    <s v="Atividades"/>
    <n v="6074201900023920"/>
    <x v="1"/>
    <s v="90.10.08.243.3013.6.160.33503900.08.1.759.0958.0"/>
    <s v="FUMCAD"/>
    <s v="TFM/008/2024/SMDHC/FUMCAD"/>
    <s v="Livros Sensoriais: experiências literárias desde a primeira infância"/>
    <s v="Fundação Dorina Nowill para Cegos"/>
    <d v="2026-04-30T00:00:00"/>
    <n v="65346.83"/>
    <n v="5445.57"/>
    <n v="30499.59"/>
    <n v="12449.08"/>
    <n v="11199.08"/>
    <n v="11199.08"/>
    <s v=" R$ -   "/>
    <s v=" R$ -   "/>
    <s v=" R$ -   "/>
    <s v=" R$ -   "/>
    <s v=" R$ -   "/>
    <s v=" R$ -   "/>
    <s v=" R$ -   "/>
    <s v=" R$ -   "/>
  </r>
  <r>
    <x v="3"/>
    <s v="Parcerias"/>
    <s v="Atividades"/>
    <n v="6074202400077080"/>
    <x v="1"/>
    <s v="90.10.08.243.3013.6.160.33503900.08.1.759.0958.0"/>
    <s v="FUMCAD"/>
    <s v="TFM/008/2025/SMDHC/FUMCAD"/>
    <s v="Crê-Ser: Criança protegida"/>
    <s v="Ação Comunitária do Brasil – São Paulo / Vocação"/>
    <d v="2026-03-09T00:00:00"/>
    <n v="114773.34"/>
    <n v="9564.4500000000007"/>
    <n v="55041.34"/>
    <n v="59732"/>
    <s v=" R$ -   "/>
    <s v=" R$ -   "/>
    <s v=" R$ -   "/>
    <s v=" R$ -   "/>
    <s v=" R$ -   "/>
    <s v=" R$ -   "/>
    <s v=" R$ -   "/>
    <s v=" R$ -   "/>
    <s v=" R$ -   "/>
    <s v=" R$ -   "/>
  </r>
  <r>
    <x v="3"/>
    <s v="Parcerias"/>
    <s v="Atividades"/>
    <n v="6074201900023910"/>
    <x v="1"/>
    <s v="90.10.08.243.3013.6.160.33503900.08.1.759.0958.0"/>
    <s v="FUMCAD"/>
    <s v="TFM/009/2024/SMDHC/FUMCAD"/>
    <s v="Brincando e Incluindo – Recursos Acessíveis para Ensino Fundamental"/>
    <s v="Fundação Dorina Nowill para Cegos"/>
    <d v="2026-04-30T00:00:00"/>
    <n v="72570.73"/>
    <n v="6047.56"/>
    <n v="18783.330000000002"/>
    <n v="18275.8"/>
    <n v="17755.8"/>
    <n v="17755.8"/>
    <s v=" R$ -   "/>
    <s v=" R$ -   "/>
    <s v=" R$ -   "/>
    <s v=" R$ -   "/>
    <s v=" R$ -   "/>
    <s v=" R$ -   "/>
    <s v=" R$ -   "/>
    <s v=" R$ -   "/>
  </r>
  <r>
    <x v="3"/>
    <s v="Parcerias"/>
    <s v="Atividades"/>
    <n v="6074202300020860"/>
    <x v="1"/>
    <s v="90.10.08.243.3013.6.160.33503900.08.1.759.0958.0"/>
    <s v="FUMCAD"/>
    <s v="TFM/009/2025/SMDHC/FUMCAD"/>
    <s v="Educando para a Vida - Empregabilidade 23.1"/>
    <s v="Instituto Alicerce"/>
    <d v="2026-02-28T00:00:00"/>
    <n v="203185.62"/>
    <n v="16932.14"/>
    <n v="101592.81"/>
    <n v="101592.81"/>
    <s v=" R$ -   "/>
    <s v=" R$ -   "/>
    <s v=" R$ -   "/>
    <s v=" R$ -   "/>
    <s v=" R$ -   "/>
    <s v=" R$ -   "/>
    <s v=" R$ -   "/>
    <s v=" R$ -   "/>
    <s v=" R$ -   "/>
    <s v=" R$ -   "/>
  </r>
  <r>
    <x v="3"/>
    <s v="Parcerias"/>
    <s v="Atividades"/>
    <n v="6074202300019600"/>
    <x v="1"/>
    <s v="90.10.08.243.3013.6.160.33503900.08.1.759.0958.0"/>
    <s v="FUMCAD"/>
    <s v="TFM/010/2024/SMDHC/FUMCAD"/>
    <s v="PAJE - Projeto - Acolhimento - Jovens - Equilíbrio"/>
    <s v="Ágape Philos: Instituto de Apoio ao Crescimento e Desenvolvimento Infantojuvenil"/>
    <d v="2026-03-31T00:00:00"/>
    <n v="74970"/>
    <n v="6247.5"/>
    <n v="24990"/>
    <n v="24990"/>
    <n v="24990"/>
    <s v=" R$ -   "/>
    <s v=" R$ -   "/>
    <s v=" R$ -   "/>
    <s v=" R$ -   "/>
    <s v=" R$ -   "/>
    <s v=" R$ -   "/>
    <s v=" R$ -   "/>
    <s v=" R$ -   "/>
    <s v=" R$ -   "/>
  </r>
  <r>
    <x v="3"/>
    <s v="Parcerias"/>
    <s v="Atividades"/>
    <n v="6074202200009930"/>
    <x v="1"/>
    <s v="90.10.08.243.3013.6.160.33503900.08.1.759.0958.0"/>
    <s v="FUMCAD"/>
    <s v="TFM/010/2025/SMDHC/FUMCAD"/>
    <s v="Bonde Cultural a Pé"/>
    <s v="Organização para Produção e Democratização de Informação Canto Cidadão"/>
    <d v="2026-02-28T00:00:00"/>
    <n v="33050"/>
    <n v="2754.17"/>
    <n v="16200"/>
    <n v="16850"/>
    <s v=" R$ -   "/>
    <s v=" R$ -   "/>
    <s v=" R$ -   "/>
    <s v=" R$ -   "/>
    <s v=" R$ -   "/>
    <s v=" R$ -   "/>
    <s v=" R$ -   "/>
    <s v=" R$ -   "/>
    <s v=" R$ -   "/>
    <s v=" R$ -   "/>
  </r>
  <r>
    <x v="3"/>
    <s v="Parcerias"/>
    <s v="Atividades"/>
    <n v="6074202400074980"/>
    <x v="1"/>
    <s v="90.10.08.243.3013.6.160.33503900.08.1.759.0958.0"/>
    <s v="FUMCAD"/>
    <s v="TFM/011/2025/SMDHC/FUMCAD"/>
    <s v="Asas Pra Voar: Consciência, Prevenção Combate ao Uso de Substâncias e Ferramentas Tecnológicas Nocivas"/>
    <s v="Instituto Asas Para Voar"/>
    <d v="2026-03-31T00:00:00"/>
    <n v="175693.2"/>
    <n v="14641.1"/>
    <n v="58564.4"/>
    <n v="58564.4"/>
    <n v="58564.4"/>
    <s v=" R$ -   "/>
    <s v=" R$ -   "/>
    <s v=" R$ -   "/>
    <s v=" R$ -   "/>
    <s v=" R$ -   "/>
    <s v=" R$ -   "/>
    <s v=" R$ -   "/>
    <s v=" R$ -   "/>
    <s v=" R$ -   "/>
  </r>
  <r>
    <x v="3"/>
    <s v="Parcerias"/>
    <s v="Atividades"/>
    <n v="6074202400077540"/>
    <x v="1"/>
    <s v="90.10.08.243.3013.6.160.33503900.08.1.759.0958.0"/>
    <s v="FUMCAD"/>
    <s v="TFM/012/2025/SMDHC/FUMCAD"/>
    <s v="Caminhos de Sucesso: Infância na Escola"/>
    <s v="CCA: Associação Casa dos Curumins"/>
    <d v="2026-03-31T00:00:00"/>
    <n v="188212.81"/>
    <n v="15684.4"/>
    <n v="62404.27"/>
    <n v="63404.27"/>
    <n v="62404.27"/>
    <s v=" R$ -   "/>
    <s v=" R$ -   "/>
    <s v=" R$ -   "/>
    <s v=" R$ -   "/>
    <s v=" R$ -   "/>
    <s v=" R$ -   "/>
    <s v=" R$ -   "/>
    <s v=" R$ -   "/>
    <s v=" R$ -   "/>
  </r>
  <r>
    <x v="3"/>
    <s v="Parcerias"/>
    <s v="Atividades"/>
    <n v="6074202400076810"/>
    <x v="1"/>
    <s v="90.10.08.243.3013.6.160.33503900.08.1.759.0958.0"/>
    <s v="FUMCAD"/>
    <s v="TFM/013/2025/SMDHC/FUMCAD"/>
    <s v="Fortalecimento de Vínculos Prevenindo o Uso e Abuso de Álcool e Drogas e a Violência nas Escolas"/>
    <s v="Associação União Beneficente das Irmãs de São Vicente Paulo Gysegem / Centro Comunitário Nossa Senhora de Fátima"/>
    <d v="2026-03-31T00:00:00"/>
    <n v="76019.19"/>
    <n v="6334.93"/>
    <n v="24395.279999999999"/>
    <n v="27228.63"/>
    <n v="24395.279999999999"/>
    <s v=" R$ -   "/>
    <s v=" R$ -   "/>
    <s v=" R$ -   "/>
    <s v=" R$ -   "/>
    <s v=" R$ -   "/>
    <s v=" R$ -   "/>
    <s v=" R$ -   "/>
    <s v=" R$ -   "/>
    <s v=" R$ -   "/>
  </r>
  <r>
    <x v="3"/>
    <s v="Parcerias"/>
    <s v="Atividades"/>
    <n v="6074202300021820"/>
    <x v="1"/>
    <s v="90.10.08.243.3013.6.160.33503900.08.1.759.0958.0"/>
    <s v="FUMCAD"/>
    <s v="TFM/014/2024/SMDHC/FUMCAD"/>
    <s v="Recuperação da Aprendizagem"/>
    <s v="Associação Lar da Benção Divina"/>
    <d v="2026-03-31T00:00:00"/>
    <n v="104160"/>
    <n v="8680"/>
    <n v="32500"/>
    <n v="40090"/>
    <n v="31570"/>
    <s v=" R$ -   "/>
    <s v=" R$ -   "/>
    <s v=" R$ -   "/>
    <s v=" R$ -   "/>
    <s v=" R$ -   "/>
    <s v=" R$ -   "/>
    <s v=" R$ -   "/>
    <s v=" R$ -   "/>
    <s v=" R$ -   "/>
  </r>
  <r>
    <x v="3"/>
    <s v="Parcerias"/>
    <s v="Atividades"/>
    <n v="6074202200009880"/>
    <x v="1"/>
    <s v="90.10.08.243.3013.6.160.33503900.08.1.759.0958.0"/>
    <s v="FUMCAD"/>
    <s v="TFM/014/2025/SMDHC/FUMCAD"/>
    <s v="Assistência às Crianças e Adolescentes com Câncer Criticamente Doentes na Unidade de Terapia Intensiva Oncológica Pediátrica do Hospital do GRAACC"/>
    <s v="GRAACC: Grupo de Apoio ao Adolescente e a Criança com Câncer"/>
    <d v="2026-12-31T00:00:00"/>
    <n v="3837581.14"/>
    <n v="319798.43"/>
    <n v="313674.7"/>
    <n v="313674.7"/>
    <n v="313674.71000000002"/>
    <n v="316122.75"/>
    <n v="316122.75"/>
    <n v="316122.75"/>
    <n v="316122.75"/>
    <n v="316122.75"/>
    <n v="316122.78000000003"/>
    <n v="317475.76"/>
    <n v="341172.37"/>
    <n v="341172.37"/>
  </r>
  <r>
    <x v="3"/>
    <s v="Parcerias"/>
    <s v="Atividades"/>
    <n v="6074202300022730"/>
    <x v="1"/>
    <s v="90.10.08.243.3013.6.160.33503900.08.1.759.0958.0"/>
    <s v="FUMCAD"/>
    <s v="TFM/015/2024/SMDHC/FUMCAD"/>
    <s v="Letras que encantam"/>
    <s v="Instituto Encantos Sócio Cultural e Beneficente"/>
    <d v="2026-03-31T00:00:00"/>
    <n v="85882.3"/>
    <n v="7156.86"/>
    <n v="27734.27"/>
    <n v="27734.27"/>
    <n v="30413.759999999998"/>
    <s v=" R$ -   "/>
    <s v=" R$ -   "/>
    <s v=" R$ -   "/>
    <s v=" R$ -   "/>
    <s v=" R$ -   "/>
    <s v=" R$ -   "/>
    <s v=" R$ -   "/>
    <s v=" R$ -   "/>
    <s v=" R$ -   "/>
  </r>
  <r>
    <x v="3"/>
    <s v="Parcerias"/>
    <s v="Atividades"/>
    <n v="6074202400077390"/>
    <x v="1"/>
    <s v="90.10.08.243.3013.6.160.33503900.08.1.759.0958.0"/>
    <s v="FUMCAD"/>
    <s v="TFM/015/2025/SMDHC/FUMCAD"/>
    <s v="Projeto Acolher"/>
    <s v="SOMAR - Associação Solidariedade em Marcha"/>
    <d v="2026-06-30T00:00:00"/>
    <n v="405346.67"/>
    <n v="33778.89"/>
    <n v="42890.28"/>
    <n v="68962.28"/>
    <n v="68810.28"/>
    <n v="68810.28"/>
    <n v="80610.16"/>
    <n v="75263.39"/>
    <s v=" R$ -   "/>
    <s v=" R$ -   "/>
    <s v=" R$ -   "/>
    <s v=" R$ -   "/>
    <s v=" R$ -   "/>
    <s v=" R$ -   "/>
  </r>
  <r>
    <x v="3"/>
    <s v="Parcerias"/>
    <s v="Atividades"/>
    <n v="6074202400077270"/>
    <x v="1"/>
    <s v="90.10.08.243.3013.6.160.33503900.08.1.759.0958.0"/>
    <s v="FUMCAD"/>
    <s v="TFM/016/2025/SMDHC/FUMCAD"/>
    <s v="Conexão Acolhedora: Enfrentando a Violência e a Evasão Escolar"/>
    <s v="Associação Comunitária Despertar"/>
    <d v="2026-03-31T00:00:00"/>
    <n v="134828.67000000001"/>
    <n v="11235.72"/>
    <n v="44762.89"/>
    <n v="43962.89"/>
    <n v="46102.89"/>
    <s v=" R$ -   "/>
    <s v=" R$ -   "/>
    <s v=" R$ -   "/>
    <s v=" R$ -   "/>
    <s v=" R$ -   "/>
    <s v=" R$ -   "/>
    <s v=" R$ -   "/>
    <s v=" R$ -   "/>
    <s v=" R$ -   "/>
  </r>
  <r>
    <x v="3"/>
    <s v="Parcerias"/>
    <s v="Atividades"/>
    <n v="6074202100042200"/>
    <x v="1"/>
    <s v="90.10.08.243.3013.6.160.33503900.08.1.759.0958.0"/>
    <s v="FUMCAD"/>
    <s v="TFM/017/2024/SMDHC/FUMCAD"/>
    <s v="Escolas de Música e Cidadania – Música e Direitos Humanos em todos os Cantos"/>
    <s v="Agência do Bem"/>
    <d v="2026-06-30T00:00:00"/>
    <n v="245906.44"/>
    <n v="20492.2"/>
    <n v="41237.5"/>
    <n v="40517.5"/>
    <n v="40517.5"/>
    <n v="40517.5"/>
    <n v="42017.5"/>
    <n v="41098.94"/>
    <s v=" R$ -   "/>
    <s v=" R$ -   "/>
    <s v=" R$ -   "/>
    <s v=" R$ -   "/>
    <s v=" R$ -   "/>
    <s v=" R$ -   "/>
  </r>
  <r>
    <x v="3"/>
    <s v="Parcerias"/>
    <s v="Atividades"/>
    <n v="6074202300021800"/>
    <x v="1"/>
    <s v="90.10.08.243.3013.6.160.33503900.08.1.759.0958.0"/>
    <s v="FUMCAD"/>
    <s v="TFM/017/2025/SMDHC/FUMCAD"/>
    <s v="Doutores da Alegria – Do Direito à Arte ao Direito de Brincar"/>
    <s v="Doutores da Alegria - Arte na Promoção da Saúde, na Formação e no Desenvolvimento Social"/>
    <d v="2026-08-31T00:00:00"/>
    <n v="598494.6"/>
    <n v="49874.55"/>
    <n v="80537.88"/>
    <n v="80168.88"/>
    <n v="77582.880000000005"/>
    <n v="80537.88"/>
    <n v="80168.88"/>
    <n v="80168.88"/>
    <n v="80537.88"/>
    <n v="38791.440000000002"/>
    <s v=" R$ -   "/>
    <s v=" R$ -   "/>
    <s v=" R$ -   "/>
    <s v=" R$ -   "/>
  </r>
  <r>
    <x v="3"/>
    <s v="Parcerias"/>
    <s v="Atividades"/>
    <n v="6074202100042490"/>
    <x v="1"/>
    <s v="90.10.08.243.3013.6.160.33503900.08.1.759.0958.0"/>
    <s v="FUMCAD"/>
    <s v="TFM/018/2024/SMDHC/FUMCAD"/>
    <s v="Trilhas da Inclusão"/>
    <s v="Fundação Dorina Nowill para Cegos"/>
    <d v="2026-03-31T00:00:00"/>
    <n v="125068.2"/>
    <n v="10422.35"/>
    <n v="41193.24"/>
    <n v="42681.72"/>
    <n v="41193.24"/>
    <s v=" R$ -   "/>
    <s v=" R$ -   "/>
    <s v=" R$ -   "/>
    <s v=" R$ -   "/>
    <s v=" R$ -   "/>
    <s v=" R$ -   "/>
    <s v=" R$ -   "/>
    <s v=" R$ -   "/>
    <s v=" R$ -   "/>
  </r>
  <r>
    <x v="3"/>
    <s v="Parcerias"/>
    <s v="Atividades"/>
    <n v="6074202400077460"/>
    <x v="1"/>
    <s v="90.10.08.243.3013.6.160.33503900.08.1.759.0958.0"/>
    <s v="FUMCAD"/>
    <s v="TFM/018/2025/SMDHC/FUMCAD"/>
    <s v="Vozes da Infância – O protagonismo juvenil no combate ao trabalho infantil"/>
    <s v="Sociedade Santos Mártires"/>
    <d v="2026-04-30T00:00:00"/>
    <n v="264916.46000000002"/>
    <n v="22076.37"/>
    <n v="53462.239999999998"/>
    <n v="53462.239999999998"/>
    <n v="59879.74"/>
    <n v="98112.24"/>
    <s v=" R$ -   "/>
    <s v=" R$ -   "/>
    <s v=" R$ -   "/>
    <s v=" R$ -   "/>
    <s v=" R$ -   "/>
    <s v=" R$ -   "/>
    <s v=" R$ -   "/>
    <s v=" R$ -   "/>
  </r>
  <r>
    <x v="3"/>
    <s v="Parcerias"/>
    <s v="Atividades"/>
    <n v="6074202200016950"/>
    <x v="1"/>
    <s v="90.10.08.243.3013.6.160.33503900.08.1.759.0958.0"/>
    <s v="FUMCAD"/>
    <s v="TFM/019/2025/SMDHC/FUMCAD"/>
    <s v="Esperança à caminho para crianças e adolescentes em tratamento oncológico"/>
    <s v="AHPAS: Associação Helena Piccardi de Andrade Silva / Instituto Heleninha"/>
    <d v="2026-05-31T00:00:00"/>
    <n v="800724.45"/>
    <n v="66727.039999999994"/>
    <n v="160144.89000000001"/>
    <n v="160144.89000000001"/>
    <n v="160144.89000000001"/>
    <n v="160144.89000000001"/>
    <n v="160144.89000000001"/>
    <s v=" R$ -   "/>
    <s v=" R$ -   "/>
    <s v=" R$ -   "/>
    <s v=" R$ -   "/>
    <s v=" R$ -   "/>
    <s v=" R$ -   "/>
    <s v=" R$ -   "/>
  </r>
  <r>
    <x v="3"/>
    <s v="Parcerias"/>
    <s v="Atividades"/>
    <n v="6074202300019100"/>
    <x v="1"/>
    <s v="90.10.08.243.3013.6.160.33503900.08.1.759.0958.0"/>
    <s v="FUMCAD"/>
    <s v="TFM/020/2024/SMDHC/FUMCAD"/>
    <s v="Recuperando Talentos – Reforço Escolar e Cursinhos"/>
    <s v="Instituto Toca do Coelho"/>
    <d v="2026-07-31T00:00:00"/>
    <n v="200340"/>
    <n v="16695"/>
    <n v="28620"/>
    <n v="28620"/>
    <n v="28620"/>
    <n v="28620"/>
    <n v="28620"/>
    <n v="28620"/>
    <n v="28620"/>
    <s v=" R$ -   "/>
    <s v=" R$ -   "/>
    <s v=" R$ -   "/>
    <s v=" R$ -   "/>
    <s v=" R$ -   "/>
  </r>
  <r>
    <x v="3"/>
    <s v="Parcerias"/>
    <s v="Atividades"/>
    <n v="6074202200016960"/>
    <x v="1"/>
    <s v="90.10.08.243.3013.6.160.33503900.08.1.759.0958.0"/>
    <s v="FUMCAD"/>
    <s v="TFM/020/2025/SMDHC/FUMCAD"/>
    <s v="Atividades Socioeducativas e Culturais para Crianças e Adolescentes em Tratamento Oncológico"/>
    <s v="AHPAS: Associação Helena Piccardi de Andrade Silva / Instituto Heleninha"/>
    <d v="2025-05-31T00:00:00"/>
    <n v="273608.3"/>
    <n v="22800.69"/>
    <n v="55097.66"/>
    <n v="55097.66"/>
    <n v="55097.66"/>
    <n v="54157.66"/>
    <n v="54157.66"/>
    <s v=" R$ -   "/>
    <s v=" R$ -   "/>
    <s v=" R$ -   "/>
    <s v=" R$ -   "/>
    <s v=" R$ -   "/>
    <s v=" R$ -   "/>
    <s v=" R$ -   "/>
  </r>
  <r>
    <x v="3"/>
    <s v="Parcerias"/>
    <s v="Atividades"/>
    <n v="6074202400075020"/>
    <x v="1"/>
    <s v="90.10.08.243.3013.6.160.33503900.08.1.759.0958.0"/>
    <s v="FUMCAD"/>
    <s v="TFM/021/2025/SMDHC/FUMCAD"/>
    <s v="Escola Segura, Fututo Digital Consciente"/>
    <s v="CEJA BRASIL: Centro Educacional Jovem Aprendiz do Brasil"/>
    <d v="2026-06-01T00:00:00"/>
    <n v="322772"/>
    <n v="26897.67"/>
    <n v="66260"/>
    <n v="59996"/>
    <n v="66260"/>
    <n v="63996"/>
    <n v="66260"/>
    <s v=" R$ -   "/>
    <s v=" R$ -   "/>
    <s v=" R$ -   "/>
    <s v=" R$ -   "/>
    <s v=" R$ -   "/>
    <s v=" R$ -   "/>
    <s v=" R$ -   "/>
  </r>
  <r>
    <x v="3"/>
    <s v="Parcerias"/>
    <s v="Atividades"/>
    <n v="6074202400077520"/>
    <x v="1"/>
    <s v="90.10.08.243.3013.6.160.33503900.08.1.759.0958.0"/>
    <s v="FUMCAD"/>
    <s v="TFM/022/2025/SMDHC/FUMCAD"/>
    <s v="Infância Protegida, Futuro Digital Seguro"/>
    <s v="IGEVE: Instituto de Gestão Educacional e Valorização do Ensino "/>
    <d v="2026-04-30T00:00:00"/>
    <n v="190580"/>
    <n v="15881.67"/>
    <n v="47645"/>
    <n v="47645"/>
    <n v="47645"/>
    <n v="47645"/>
    <s v=" R$ -   "/>
    <s v=" R$ -   "/>
    <s v=" R$ -   "/>
    <s v=" R$ -   "/>
    <s v=" R$ -   "/>
    <s v=" R$ -   "/>
    <s v=" R$ -   "/>
    <s v=" R$ -   "/>
  </r>
  <r>
    <x v="3"/>
    <s v="Parcerias"/>
    <s v="Atividades"/>
    <n v="6074202300022470"/>
    <x v="1"/>
    <s v="90.10.08.243.3013.6.160.33503900.08.1.759.0958.0"/>
    <s v="FUMCAD"/>
    <s v="TFM/023/2025/SMDHC/FUMCAD"/>
    <s v="EPT - Ensino Profissionalizante Técnico"/>
    <s v="OSUC: Obras Sociais Universitárias e Culturais"/>
    <d v="2026-03-31T00:00:00"/>
    <n v="344676.12"/>
    <n v="28723.01"/>
    <n v="94304.04"/>
    <n v="126736.04"/>
    <n v="123636.04"/>
    <s v=" R$ -   "/>
    <s v=" R$ -   "/>
    <s v=" R$ -   "/>
    <s v=" R$ -   "/>
    <s v=" R$ -   "/>
    <s v=" R$ -   "/>
    <s v=" R$ -   "/>
    <s v=" R$ -   "/>
    <s v=" R$ -   "/>
  </r>
  <r>
    <x v="3"/>
    <s v="Parcerias"/>
    <s v="Atividades"/>
    <n v="6074202100042140"/>
    <x v="1"/>
    <s v="90.10.08.243.3013.6.160.33503900.08.1.759.0958.0"/>
    <s v="FUMCAD"/>
    <s v="TFM/026/2024/SMDHC/FUMCAD"/>
    <s v="Histórias em Movimento"/>
    <s v="Associação Fazendo História"/>
    <d v="2026-08-30T00:00:00"/>
    <n v="205743.51"/>
    <n v="17145.29"/>
    <n v="24554.68"/>
    <n v="25661.8"/>
    <n v="26079.01"/>
    <n v="29578.83"/>
    <n v="24554.68"/>
    <n v="25655.52"/>
    <n v="24554.68"/>
    <n v="25104.31"/>
    <s v=" R$ -   "/>
    <s v=" R$ -   "/>
    <s v=" R$ -   "/>
    <s v=" R$ -   "/>
  </r>
  <r>
    <x v="3"/>
    <s v="Parcerias"/>
    <s v="Atividades"/>
    <n v="6074202400075070"/>
    <x v="1"/>
    <s v="90.10.08.243.3013.6.160.33503900.08.1.759.0958.0"/>
    <s v="FUMCAD"/>
    <s v="TFM/027/2025/SMDHC/FUMCAD"/>
    <s v="Educar para Incluir Escola, Família e a Criança com Deficiência"/>
    <s v="ANDDDES: Agência Nacional de Defesa e Garantia dos Direitos Difusos à Educação e à Saúde"/>
    <d v="2026-04-30T00:00:00"/>
    <n v="266558.03999999998"/>
    <n v="22213.17"/>
    <n v="66639.509999999995"/>
    <n v="66639.509999999995"/>
    <n v="66639.509999999995"/>
    <n v="66639.509999999995"/>
    <s v=" R$ -   "/>
    <s v=" R$ -   "/>
    <s v=" R$ -   "/>
    <s v=" R$ -   "/>
    <s v=" R$ -   "/>
    <s v=" R$ -   "/>
    <s v=" R$ -   "/>
    <s v=" R$ -   "/>
  </r>
  <r>
    <x v="3"/>
    <s v="Parcerias"/>
    <s v="Atividades"/>
    <n v="6074202300022680"/>
    <x v="1"/>
    <s v="90.10.08.243.3013.6.160.33503900.08.1.759.0958.0"/>
    <s v="FUMCAD"/>
    <s v="TFM/028/2024/SMDHC/FUMCAD"/>
    <s v="Centro de Referência e Convivência para Crianças e Adolescentes Vítimas de Violência - Casa da Criança e do Adolescente"/>
    <s v="Instituto Hera Artemisul / Casa da Mulher Paulistana"/>
    <d v="2026-02-28T00:00:00"/>
    <n v="71472.100000000006"/>
    <n v="5956.01"/>
    <n v="35736.050000000003"/>
    <n v="35736.050000000003"/>
    <s v=" R$ -   "/>
    <s v=" R$ -   "/>
    <s v=" R$ -   "/>
    <s v=" R$ -   "/>
    <s v=" R$ -   "/>
    <s v=" R$ -   "/>
    <s v=" R$ -   "/>
    <s v=" R$ -   "/>
    <s v=" R$ -   "/>
    <s v=" R$ -   "/>
  </r>
  <r>
    <x v="3"/>
    <s v="Parcerias"/>
    <s v="Atividades"/>
    <n v="6074202400077280"/>
    <x v="1"/>
    <s v="90.10.08.243.3013.6.160.33503900.08.1.759.0958.0"/>
    <s v="FUMCAD"/>
    <s v="TFM/028/2025/SMDHC/FUMCAD"/>
    <s v="Casa na Luz - Crianças e Adolescentes"/>
    <s v="AMAS: Associação Metodista de Ação Social"/>
    <d v="2026-07-31T00:00:00"/>
    <n v="418028.36"/>
    <n v="34835.699999999997"/>
    <n v="53926.92"/>
    <n v="66796.92"/>
    <n v="58846.92"/>
    <n v="57346.92"/>
    <n v="64216.92"/>
    <n v="59846.92"/>
    <n v="57046.84"/>
    <s v=" R$ -   "/>
    <s v=" R$ -   "/>
    <s v=" R$ -   "/>
    <s v=" R$ -   "/>
    <s v=" R$ -   "/>
  </r>
  <r>
    <x v="3"/>
    <s v="Parcerias"/>
    <s v="Atividades"/>
    <n v="6074202300020350"/>
    <x v="1"/>
    <s v="90.10.08.243.3013.6.160.33503900.08.1.759.0958.0"/>
    <s v="FUMCAD"/>
    <s v="TFM/030/2025/SMDHC/FUMCAD"/>
    <s v="Identidade e Autonomia"/>
    <s v="AMHD: Associação Maria Helen Drexel"/>
    <d v="2027-06-30T00:00:00"/>
    <n v="121562.18"/>
    <n v="10130.18"/>
    <n v="9938.02"/>
    <n v="9938.02"/>
    <n v="9938.02"/>
    <n v="9938.02"/>
    <n v="9938.02"/>
    <n v="9938.02"/>
    <n v="10322.36"/>
    <n v="10322.34"/>
    <n v="10322.34"/>
    <n v="10322.34"/>
    <n v="10322.34"/>
    <n v="10322.34"/>
  </r>
  <r>
    <x v="3"/>
    <s v="Parcerias"/>
    <s v="Atividades"/>
    <n v="6074202300022810"/>
    <x v="1"/>
    <s v="90.10.08.243.3013.6.160.33503900.08.1.759.0958.0"/>
    <s v="FUMCAD"/>
    <s v="TFM/032/2024/SMDHC/FUMCAD"/>
    <s v="Educação em Direitos Humanos"/>
    <s v="Associação Escola Comum - MF"/>
    <d v="2026-04-30T00:00:00"/>
    <n v="95996.800000000003"/>
    <n v="7999.73"/>
    <n v="23999.200000000001"/>
    <n v="23999.200000000001"/>
    <n v="23999.200000000001"/>
    <n v="23999.200000000001"/>
    <s v=" R$ -   "/>
    <s v=" R$ -   "/>
    <s v=" R$ -   "/>
    <s v=" R$ -   "/>
    <s v=" R$ -   "/>
    <s v=" R$ -   "/>
    <s v=" R$ -   "/>
    <s v=" R$ -   "/>
  </r>
  <r>
    <x v="3"/>
    <s v="Parcerias"/>
    <s v="Atividades"/>
    <n v="6074202200009790"/>
    <x v="1"/>
    <s v="90.10.08.243.3013.6.160.33503900.08.1.759.0958.0"/>
    <s v="FUMCAD"/>
    <s v="TFM/032/2025/SMDHC/FUMCAD"/>
    <s v="AFESU Veleiros – Construindo Conhecimento"/>
    <s v="AFESU: Associação Feminina de Estudos Sociais e Universitário"/>
    <d v="2026-05-31T00:00:00"/>
    <n v="221494.6"/>
    <n v="18457.88"/>
    <n v="47546.9"/>
    <n v="47046.9"/>
    <n v="47546.9"/>
    <n v="47046.95"/>
    <n v="32306.95"/>
    <s v=" R$ -   "/>
    <s v=" R$ -   "/>
    <s v=" R$ -   "/>
    <s v=" R$ -   "/>
    <s v=" R$ -   "/>
    <s v=" R$ -   "/>
    <s v=" R$ -   "/>
  </r>
  <r>
    <x v="3"/>
    <s v="Parcerias"/>
    <s v="Atividades"/>
    <n v="6074202200017170"/>
    <x v="1"/>
    <s v="90.10.08.243.3013.6.160.33503900.08.1.759.0958.0"/>
    <s v="FUMCAD"/>
    <s v="TFM/033/2025/SMDHC/FUMCAD"/>
    <s v="Comunidade Ativa – Ritmo e Movimento"/>
    <s v="Movimento Comunitário Estrela Nova"/>
    <d v="2026-04-30T00:00:00"/>
    <n v="61988.84"/>
    <n v="5165.74"/>
    <n v="20052.21"/>
    <n v="12362.21"/>
    <n v="12502.21"/>
    <n v="17072.21"/>
    <s v=" R$ -   "/>
    <s v=" R$ -   "/>
    <s v=" R$ -   "/>
    <s v=" R$ -   "/>
    <s v=" R$ -   "/>
    <s v=" R$ -   "/>
    <s v=" R$ -   "/>
    <s v=" R$ -   "/>
  </r>
  <r>
    <x v="3"/>
    <s v="Parcerias"/>
    <s v="Atividades"/>
    <n v="6074202200016810"/>
    <x v="1"/>
    <s v="90.10.08.243.3013.6.160.33503900.08.1.759.0958.0"/>
    <s v="FUMCAD"/>
    <s v="TFM/034/2025/SMDHC/FUMCAD"/>
    <s v="Tecendo Futuros"/>
    <s v="CIP: Congregação Israelita Paulista"/>
    <d v="2026-04-30T00:00:00"/>
    <n v="259436.15"/>
    <n v="21619.68"/>
    <n v="66959.039999999994"/>
    <n v="62759.040000000001"/>
    <n v="66959.039999999994"/>
    <n v="62759.03"/>
    <s v=" R$ -   "/>
    <s v=" R$ -   "/>
    <s v=" R$ -   "/>
    <s v=" R$ -   "/>
    <s v=" R$ -   "/>
    <s v=" R$ -   "/>
    <s v=" R$ -   "/>
    <s v=" R$ -   "/>
  </r>
  <r>
    <x v="3"/>
    <s v="Parcerias"/>
    <s v="Atividades"/>
    <n v="6074202100042350"/>
    <x v="1"/>
    <s v="90.10.08.243.3013.6.160.33503900.08.1.759.0958.0"/>
    <s v="FUMCAD"/>
    <s v="TFM/035/2025/SMDHC/FUMCAD"/>
    <s v="Programa de Habilitação e Reabilitação para Crianças e Adolescentes com Deficiência Visual"/>
    <s v="Fundação Dorina Nowill para Cegos"/>
    <d v="2026-05-31T00:00:00"/>
    <n v="298876.67"/>
    <n v="24906.39"/>
    <n v="58416.37"/>
    <n v="61472.09"/>
    <n v="60209.760000000002"/>
    <n v="61472.09"/>
    <n v="57306.36"/>
    <s v=" R$ -   "/>
    <s v=" R$ -   "/>
    <s v=" R$ -   "/>
    <s v=" R$ -   "/>
    <s v=" R$ -   "/>
    <s v=" R$ -   "/>
    <s v=" R$ -   "/>
  </r>
  <r>
    <x v="3"/>
    <s v="Parcerias"/>
    <s v="Atividades"/>
    <n v="6074202300019300"/>
    <x v="1"/>
    <s v="90.10.08.243.3013.6.160.33503900.08.1.759.0958.0"/>
    <s v="FUMCAD"/>
    <s v="TFM/036/2025/SMDHC/FUMCAD"/>
    <s v="Arte de Expor - Carimbos e Gravuras"/>
    <s v="IOK: Instituto Olga Kos de Inclusão Social"/>
    <d v="2026-05-31T00:00:00"/>
    <n v="127680"/>
    <n v="10640"/>
    <n v="25920"/>
    <n v="25920"/>
    <n v="25920"/>
    <n v="30320"/>
    <n v="19600"/>
    <s v=" R$ -   "/>
    <s v=" R$ -   "/>
    <s v=" R$ -   "/>
    <s v=" R$ -   "/>
    <s v=" R$ -   "/>
    <s v=" R$ -   "/>
    <s v=" R$ -   "/>
  </r>
  <r>
    <x v="3"/>
    <s v="Parcerias"/>
    <s v="Atividades"/>
    <n v="6074202200010890"/>
    <x v="1"/>
    <s v="90.10.08.243.3013.6.160.33503900.08.1.759.0958.0"/>
    <s v="FUMCAD"/>
    <s v="TFM/037/2025/SMDHC/FUMCAD"/>
    <s v="Projeto Quixote Jovem Mundo do Trabalho"/>
    <s v="AAPQ: Associação de Apoio ao Projeto Quixote"/>
    <d v="2026-05-31T00:00:00"/>
    <n v="611093.46"/>
    <n v="50924.46"/>
    <n v="110038.62"/>
    <n v="110038.62"/>
    <n v="107538.62"/>
    <n v="107578.62"/>
    <n v="175898.98"/>
    <s v=" R$ -   "/>
    <s v=" R$ -   "/>
    <s v=" R$ -   "/>
    <s v=" R$ -   "/>
    <s v=" R$ -   "/>
    <s v=" R$ -   "/>
    <s v=" R$ -   "/>
  </r>
  <r>
    <x v="3"/>
    <s v="Parcerias"/>
    <s v="Atividades"/>
    <n v="6074201800017720"/>
    <x v="1"/>
    <s v="90.10.08.243.3013.6.160.33503900.08.1.759.0958.0"/>
    <s v="FUMCAD"/>
    <s v="TFM/038/2024/SMDHC/FUMCAD"/>
    <s v="Adolescentes em Ação: Educação para Liberdade"/>
    <s v="UNAS: União de Núcleos, Associações dos Moradores de Heliópolis e Região"/>
    <d v="2026-04-30T00:00:00"/>
    <n v="268137.01"/>
    <n v="22344.75"/>
    <n v="65897.279999999999"/>
    <n v="65897.279999999999"/>
    <n v="76565.210000000006"/>
    <n v="59777.24"/>
    <s v=" R$ -   "/>
    <s v=" R$ -   "/>
    <s v=" R$ -   "/>
    <s v=" R$ -   "/>
    <s v=" R$ -   "/>
    <s v=" R$ -   "/>
    <s v=" R$ -   "/>
    <s v=" R$ -   "/>
  </r>
  <r>
    <x v="3"/>
    <s v="Parcerias"/>
    <s v="Atividades"/>
    <n v="6074202200010610"/>
    <x v="1"/>
    <s v="90.10.08.243.3013.6.160.33503900.08.1.759.0958.0"/>
    <s v="FUMCAD"/>
    <s v="TFM/038/2025/SMDHC/FUMCAD"/>
    <s v="Esporte para Vida: Incluindo com Práticas Esportivas"/>
    <s v="Fundação Dorina Nowill para Cegos"/>
    <d v="2026-05-31T00:00:00"/>
    <n v="156750.98000000001"/>
    <n v="13062.58"/>
    <n v="31992.080000000002"/>
    <n v="34119.370000000003"/>
    <n v="29504.080000000002"/>
    <n v="31631.37"/>
    <n v="29504.080000000002"/>
    <s v=" R$ -   "/>
    <s v=" R$ -   "/>
    <s v=" R$ -   "/>
    <s v=" R$ -   "/>
    <s v=" R$ -   "/>
    <s v=" R$ -   "/>
    <s v=" R$ -   "/>
  </r>
  <r>
    <x v="3"/>
    <s v="Parcerias"/>
    <s v="Atividades"/>
    <n v="6074202200009600"/>
    <x v="1"/>
    <s v="90.10.08.243.3013.6.160.33503900.08.1.759.0958.0"/>
    <s v="FUMCAD"/>
    <s v="TFM/039/2024/SMDHC/FUMCAD"/>
    <s v="Corujinhas"/>
    <s v="Instituto Social Arca da Aliança"/>
    <d v="2026-07-31T00:00:00"/>
    <n v="257231.8"/>
    <n v="21435.98"/>
    <n v="36747.4"/>
    <n v="36747.4"/>
    <n v="36747.4"/>
    <n v="36747.4"/>
    <n v="36747.4"/>
    <n v="36747.4"/>
    <n v="36747.4"/>
    <s v=" R$ -   "/>
    <s v=" R$ -   "/>
    <s v=" R$ -   "/>
    <s v=" R$ -   "/>
    <s v=" R$ -   "/>
  </r>
  <r>
    <x v="3"/>
    <s v="Parcerias"/>
    <s v="Atividades"/>
    <n v="6074202100041470"/>
    <x v="1"/>
    <s v="90.10.08.243.3013.6.160.33503900.08.1.759.0958.0"/>
    <s v="FUMCAD"/>
    <s v="TFM/045/2024/SMDHC/FUMCAD"/>
    <s v="O autoconhecimento como facilitador na promoção de autonomia, protagonismo e cidadania do adolescente surdo"/>
    <s v="FUNDASP: Fundação São Paulo"/>
    <d v="2026-04-30T00:00:00"/>
    <n v="48602.28"/>
    <n v="4050.19"/>
    <n v="16200.76"/>
    <n v="16200.76"/>
    <n v="16200.76"/>
    <s v=" R$ -   "/>
    <s v=" R$ -   "/>
    <s v=" R$ -   "/>
    <s v=" R$ -   "/>
    <s v=" R$ -   "/>
    <s v=" R$ -   "/>
    <s v=" R$ -   "/>
    <s v=" R$ -   "/>
    <s v=" R$ -   "/>
  </r>
  <r>
    <x v="3"/>
    <s v="Parcerias"/>
    <s v="Atividades"/>
    <n v="6074202200010490"/>
    <x v="1"/>
    <s v="90.10.08.243.3013.6.160.33503900.08.1.759.0958.0"/>
    <s v="FUMCAD"/>
    <s v="TFM/064/2024/SMDHC/FUMCAD"/>
    <s v="Favela da Erundina uma Comunidade Leitora"/>
    <s v="Associação Cultural Recreativa Esportiva Bloco do Beco"/>
    <d v="2026-07-31T00:00:00"/>
    <n v="136678.82999999999"/>
    <n v="11389.9"/>
    <n v="20782.689999999999"/>
    <n v="18582.689999999999"/>
    <n v="19682.689999999999"/>
    <n v="18582.689999999999"/>
    <n v="19682.689999999999"/>
    <n v="18582.689999999999"/>
    <n v="20782.689999999999"/>
    <s v=" R$ -   "/>
    <s v=" R$ -   "/>
    <s v=" R$ -   "/>
    <s v=" R$ -   "/>
    <s v=" R$ -   "/>
  </r>
  <r>
    <x v="3"/>
    <s v="Parcerias"/>
    <s v="Atividades"/>
    <n v="6074202300020170"/>
    <x v="1"/>
    <s v="90.10.08.243.3013.6.160.33503900.08.1.759.0958.0"/>
    <s v="FUMCAD"/>
    <s v="TFM/066/2024/SMDHC/FUMCAD"/>
    <s v="Futuro em Foco"/>
    <s v="UNIBES: União Brasileiro-Israelita do Bem-Estar Social"/>
    <d v="2026-06-30T00:00:00"/>
    <n v="238246.34"/>
    <n v="19853.86"/>
    <n v="46024.39"/>
    <n v="41724.39"/>
    <n v="38524.39"/>
    <n v="41724.39"/>
    <n v="38524.39"/>
    <n v="31724.39"/>
    <s v=" R$ -   "/>
    <s v=" R$ -   "/>
    <s v=" R$ -   "/>
    <s v=" R$ -   "/>
    <s v=" R$ -   "/>
    <s v=" R$ -   "/>
  </r>
  <r>
    <x v="3"/>
    <s v="Parcerias"/>
    <s v="Atividades"/>
    <n v="6074202300022510"/>
    <x v="1"/>
    <s v="90.10.08.243.3013.6.160.33503900.08.1.759.0958.0"/>
    <s v="FUMCAD"/>
    <s v="TFM/083/2024/SMDHC/FUMCAD"/>
    <s v="Muvuca no Teatro: LedAzeda na Cidade Tiradentes !"/>
    <s v="Cooperativa da CT: Acolhimento, Formação e Garantia de Direitos / Cooperativa de Trabalho de Artistas"/>
    <d v="2026-06-30T00:00:00"/>
    <n v="164000"/>
    <n v="13666.67"/>
    <n v="5000"/>
    <n v="38500"/>
    <n v="39500"/>
    <n v="38500"/>
    <n v="38500"/>
    <n v="4000"/>
    <s v=" R$ -   "/>
    <s v=" R$ -   "/>
    <s v=" R$ -   "/>
    <s v=" R$ -   "/>
    <s v=" R$ -   "/>
    <s v=" R$ -   "/>
  </r>
  <r>
    <x v="3"/>
    <s v="Parcerias"/>
    <s v="Atividades"/>
    <n v="6074202300023080"/>
    <x v="1"/>
    <s v="90.10.08.243.3013.6.160.33503900.08.1.759.0958.0"/>
    <s v="FUMCAD"/>
    <s v="TFM/095/2024/SMDHC/FUMCAD"/>
    <s v="Miopia e Outras Doenças Oculares em Crianças"/>
    <s v="Fundação Oftalmológica Dr. Rubem Cunha"/>
    <d v="2026-07-31T00:00:00"/>
    <n v="256385.85"/>
    <n v="21365.49"/>
    <n v="71100.83"/>
    <n v="10770.83"/>
    <n v="71100.83"/>
    <n v="10770.84"/>
    <n v="71100.84"/>
    <n v="10770.84"/>
    <n v="10770.84"/>
    <s v=" R$ -   "/>
    <s v=" R$ -   "/>
    <s v=" R$ -   "/>
    <s v=" R$ -   "/>
    <s v=" R$ -   "/>
  </r>
  <r>
    <x v="1"/>
    <m/>
    <m/>
    <m/>
    <x v="1"/>
    <s v="Não está"/>
    <m/>
    <m/>
    <s v="e Adolescentes"/>
    <m/>
    <m/>
    <m/>
    <m/>
    <m/>
    <m/>
    <m/>
    <m/>
    <m/>
    <m/>
    <m/>
    <m/>
    <m/>
    <m/>
    <m/>
    <m/>
  </r>
  <r>
    <x v="3"/>
    <s v="Parcerias"/>
    <s v="Atividades"/>
    <s v="6074.2021/0004230-8"/>
    <x v="1"/>
    <s v="90.10.08.243.3013.6.160.33503900.08.1.759.0958.0"/>
    <s v="FUMCAD"/>
    <s v="TFM/110/2024/SMDHC/FUMCAD"/>
    <s v="Laços de Família"/>
    <s v="AMHD: Associação Maria Helen Drexel"/>
    <d v="2026-07-31T00:00:00"/>
    <n v="46122.79"/>
    <n v="3843.57"/>
    <n v="6588.97"/>
    <n v="6588.97"/>
    <n v="6588.97"/>
    <n v="6588.97"/>
    <n v="6588.97"/>
    <n v="6588.97"/>
    <n v="6588.97"/>
    <s v=" R$ -   "/>
    <s v=" R$ -   "/>
    <s v=" R$ -   "/>
    <s v=" R$ -   "/>
    <s v=" R$ -   "/>
  </r>
  <r>
    <x v="3"/>
    <s v="Parcerias"/>
    <s v="Atividades"/>
    <s v="6074.2022/0001098-0"/>
    <x v="1"/>
    <s v="90.10.08.243.3013.6.160.33503900.08.1.759.0958.0"/>
    <s v="FUMCAD"/>
    <s v="TFM/111/2024/SMDHC/FUMCAD"/>
    <s v="Educando para a Vida"/>
    <s v="Instituto Alicerce"/>
    <d v="2026-06-30T00:00:00"/>
    <n v="246685.54"/>
    <n v="20557.13"/>
    <n v="66872.59"/>
    <n v="56872.59"/>
    <n v="44447.59"/>
    <n v="34447.589999999997"/>
    <n v="22022.59"/>
    <n v="22022.59"/>
    <s v=" R$ -   "/>
    <s v=" R$ -   "/>
    <s v=" R$ -   "/>
    <s v=" R$ -   "/>
    <s v=" R$ -   "/>
    <s v=" R$ -   "/>
  </r>
  <r>
    <x v="3"/>
    <s v="Parcerias"/>
    <s v="Atividades"/>
    <s v="6074.2022/0001724-0"/>
    <x v="1"/>
    <s v="90.10.08.243.3013.6.160.33503900.08.1.759.0958.0"/>
    <s v="FUMCAD"/>
    <s v="TFM/141/2024/SMDHC/FUMCAD"/>
    <s v="Tecnologias para o Futuro "/>
    <s v="Instituto Reciclar / Instituto de Reciclagem do Adolescente"/>
    <d v="2026-08-31T00:00:00"/>
    <n v="574420.32999999996"/>
    <n v="47868.36"/>
    <n v="69927.55"/>
    <n v="84927.54"/>
    <n v="69927.539999999994"/>
    <n v="69927.539999999994"/>
    <n v="69927.539999999994"/>
    <n v="69927.539999999994"/>
    <n v="69927.539999999994"/>
    <n v="69927.539999999994"/>
    <s v=" R$ -   "/>
    <s v=" R$ -   "/>
    <s v=" R$ -   "/>
    <s v=" R$ -   "/>
  </r>
  <r>
    <x v="3"/>
    <s v="Parcerias"/>
    <s v="Atividades"/>
    <s v="6074.2022/0001003-3"/>
    <x v="1"/>
    <s v="90.10.08.243.3013.6.160.33503900.08.1.759.0958.0"/>
    <s v="FUMCAD"/>
    <s v="TFM/150/2024/SMDHC/FUMCAD"/>
    <s v="A Criança com Transtorno do Espectro Autista, sua Singularidade, Autonomia, Protagonismo,"/>
    <s v="Associação dos Cavaleiros da Soberana Ordem Militar de Malta de São Paulo e Brasil Meridional"/>
    <d v="2026-01-31T00:00:00"/>
    <n v="11900.46"/>
    <n v="991.71"/>
    <n v="11900.46"/>
    <s v=" R$ -   "/>
    <s v=" R$ -   "/>
    <s v=" R$ -   "/>
    <s v=" R$ -   "/>
    <s v=" R$ -   "/>
    <s v=" R$ -   "/>
    <s v=" R$ -   "/>
    <s v=" R$ -   "/>
    <s v=" R$ -   "/>
    <s v=" R$ -   "/>
    <s v=" R$ -   "/>
  </r>
  <r>
    <x v="1"/>
    <m/>
    <m/>
    <m/>
    <x v="1"/>
    <s v="Não está"/>
    <m/>
    <m/>
    <s v="Convívio Social e Rede de Apoio"/>
    <m/>
    <m/>
    <m/>
    <m/>
    <m/>
    <m/>
    <m/>
    <m/>
    <m/>
    <m/>
    <m/>
    <m/>
    <m/>
    <m/>
    <m/>
    <m/>
  </r>
  <r>
    <x v="3"/>
    <s v="Parcerias"/>
    <s v="Atividades"/>
    <s v="6074.2021/0004213-8"/>
    <x v="1"/>
    <s v="90.10.08.243.3013.6.160.33503900.08.1.759.0958.0"/>
    <s v="FUMCAD"/>
    <s v="TFM/190/2024/SMDHC/FUMCAD"/>
    <s v="Formação em Redes"/>
    <s v="Associação Fazendo História"/>
    <d v="2027-02-28T00:00:00"/>
    <n v="313778.64"/>
    <n v="26148.22"/>
    <n v="28089.22"/>
    <n v="42349.22"/>
    <n v="18818.78"/>
    <n v="29694.98"/>
    <n v="20368.78"/>
    <n v="26018.78"/>
    <n v="20368.78"/>
    <n v="31618.78"/>
    <n v="22544.98"/>
    <n v="26018.78"/>
    <n v="20368.78"/>
    <n v="27518.78"/>
  </r>
  <r>
    <x v="3"/>
    <s v="Parcerias"/>
    <s v="Atividades"/>
    <s v="6074.2022/0001707-0"/>
    <x v="1"/>
    <s v="90.10.08.243.3013.6.160.33503900.08.1.759.0958.0"/>
    <s v="FUMCAD"/>
    <s v="TFM/198/2024/SMDHC/FUMCAD"/>
    <s v="Programa Despertar Empregabilidade para Adolescente de Cidade Ademar e Região"/>
    <s v="Associação Comunitária Despertar"/>
    <d v="2026-11-30T00:00:00"/>
    <n v="215478.48"/>
    <n v="17956.54"/>
    <n v="26230.34"/>
    <n v="19230.34"/>
    <n v="19230.34"/>
    <n v="19230.34"/>
    <n v="19230.34"/>
    <n v="20230.34"/>
    <n v="19230.34"/>
    <n v="19225.080000000002"/>
    <n v="17880.34"/>
    <n v="17880.34"/>
    <n v="17880.34"/>
    <s v=" R$ -   "/>
  </r>
  <r>
    <x v="3"/>
    <s v="Parcerias"/>
    <s v="Atividades"/>
    <s v="6074.2022/0001839-5"/>
    <x v="1"/>
    <s v="90.10.08.243.3013.6.160.33503900.08.1.759.0958.0"/>
    <s v="FUMCAD"/>
    <s v="TFM/029/2025/SMDHC/FUMCAD"/>
    <s v="Transformação Social Através da Música"/>
    <s v="Instituto Baccarelli - Sociedade de Concertos São Paulo"/>
    <d v="2027-04-30T00:00:00"/>
    <n v="546930.31000000006"/>
    <n v="45577.53"/>
    <n v="51295.09"/>
    <n v="50883.79"/>
    <n v="50883.79"/>
    <n v="31149.62"/>
    <n v="6120.19"/>
    <n v="50883.79"/>
    <n v="50883.79"/>
    <n v="50883.79"/>
    <n v="51295.09"/>
    <n v="50883.79"/>
    <n v="50883.79"/>
    <n v="50883.79"/>
  </r>
  <r>
    <x v="4"/>
    <s v="Parcerias"/>
    <s v="Atividades"/>
    <s v="6074.2023/0000375-6"/>
    <x v="1"/>
    <s v="08.10.14.122.3012.2.803.33503900.08.1.759.1183.0"/>
    <s v="FMID"/>
    <s v="TFM/024/2025/SMDHC/FMID"/>
    <s v="Capacitação Turbinada"/>
    <s v="ABRATI: Associação Brasileira de Apoio à Terceira Idade"/>
    <d v="2026-09-30T00:00:00"/>
    <n v="133317.09"/>
    <n v="11109.76"/>
    <n v="14813.01"/>
    <n v="14813.01"/>
    <n v="14813.01"/>
    <n v="14813.01"/>
    <n v="14813.01"/>
    <n v="14813.01"/>
    <n v="14813.01"/>
    <n v="14813.01"/>
    <n v="14813.01"/>
    <s v=" R$ -   "/>
    <s v=" R$ -   "/>
    <s v=" R$ -   "/>
  </r>
  <r>
    <x v="4"/>
    <s v="Parcerias"/>
    <s v="Atividades"/>
    <s v="6074.2023/0000436-1"/>
    <x v="1"/>
    <s v="08.10.14.122.3012.2.803.33503900.08.1.759.1183.0"/>
    <s v="FMID"/>
    <s v="TFM/025/2025/SMDHC/FMID"/>
    <s v="Curso EAD: Participação Social e Cidadania ao Longo da Vida"/>
    <s v="FUNDASP: Fundação São Paulo"/>
    <d v="2026-04-30T00:00:00"/>
    <n v="59470.32"/>
    <n v="4955.8599999999997"/>
    <n v="14867.58"/>
    <n v="14867.58"/>
    <n v="14867.58"/>
    <n v="14867.58"/>
    <s v=" R$ -   "/>
    <s v=" R$ -   "/>
    <s v=" R$ -   "/>
    <s v=" R$ -   "/>
    <s v=" R$ -   "/>
    <s v=" R$ -   "/>
    <s v=" R$ -   "/>
    <s v=" R$ -   "/>
  </r>
  <r>
    <x v="4"/>
    <s v="Parcerias"/>
    <s v="Atividades"/>
    <s v="6074.2023/0000430-2"/>
    <x v="1"/>
    <s v="08.10.14.122.3012.2.803.33503900.08.1.759.1183.0"/>
    <s v="FMID"/>
    <s v="TFM/026/2025/SMDHC/FMID"/>
    <s v="Espaço Conviver"/>
    <s v="UNIBES: União Brasileiro-Israelita do Bem-Estar Social"/>
    <d v="2026-12-31T00:00:00"/>
    <n v="113260.08"/>
    <n v="9438.34"/>
    <n v="9438.34"/>
    <n v="9438.34"/>
    <n v="9438.34"/>
    <n v="9438.34"/>
    <n v="9438.34"/>
    <n v="9438.34"/>
    <n v="9438.34"/>
    <n v="9438.34"/>
    <n v="9438.34"/>
    <n v="9438.34"/>
    <n v="9438.34"/>
    <n v="9438.34"/>
  </r>
  <r>
    <x v="4"/>
    <s v="Parcerias"/>
    <s v="Atividades"/>
    <s v="6074.2023/0000504-0"/>
    <x v="1"/>
    <s v="08.10.14.122.3012.2.803.33503900.08.1.759.1183.0"/>
    <s v="FMID"/>
    <s v="TFM/084/2024/SMDHC/FMID"/>
    <s v="Cuidando e capacitando"/>
    <s v="INOVHA: Instituto Nacional de Valorização Humana, Ambiental e Assistencial"/>
    <d v="2026-06-30T00:00:00"/>
    <n v="86958"/>
    <n v="7246.5"/>
    <n v="15743"/>
    <n v="15743"/>
    <n v="15743"/>
    <n v="13243"/>
    <n v="13243"/>
    <n v="13243"/>
    <s v=" R$ -   "/>
    <s v=" R$ -   "/>
    <s v=" R$ -   "/>
    <s v=" R$ -   "/>
    <s v=" R$ -   "/>
    <s v=" R$ -   "/>
  </r>
  <r>
    <x v="4"/>
    <s v="Parcerias"/>
    <s v="Atividades"/>
    <s v="6074.2023/0000468-0"/>
    <x v="1"/>
    <s v="08.10.14.122.3012.2.803.33503900.08.1.759.1183.0"/>
    <s v="FMID"/>
    <s v="TFM/094/2024/SMDHC/FMID"/>
    <s v="Terceiro Sinal: Promovendo o protagonismo"/>
    <s v="Fundação Julita"/>
    <d v="2026-06-30T00:00:00"/>
    <n v="71167.320000000007"/>
    <n v="5930.61"/>
    <n v="10688.78"/>
    <n v="12188.78"/>
    <n v="12188.78"/>
    <n v="12152.62"/>
    <n v="12457.44"/>
    <n v="11490.92"/>
    <s v=" R$ -   "/>
    <s v=" R$ -   "/>
    <s v=" R$ -   "/>
    <s v=" R$ -   "/>
    <s v=" R$ -   "/>
    <s v=" R$ -   "/>
  </r>
  <r>
    <x v="1"/>
    <m/>
    <m/>
    <m/>
    <x v="1"/>
    <s v="Não está"/>
    <m/>
    <m/>
    <s v="da pessoa idosa em produções"/>
    <m/>
    <m/>
    <m/>
    <m/>
    <m/>
    <m/>
    <m/>
    <m/>
    <m/>
    <m/>
    <m/>
    <m/>
    <m/>
    <m/>
    <m/>
    <m/>
  </r>
  <r>
    <x v="1"/>
    <m/>
    <m/>
    <m/>
    <x v="1"/>
    <s v="Não está"/>
    <m/>
    <m/>
    <s v="artísticas e culturais."/>
    <m/>
    <m/>
    <m/>
    <m/>
    <m/>
    <m/>
    <m/>
    <m/>
    <m/>
    <m/>
    <m/>
    <m/>
    <m/>
    <m/>
    <m/>
    <m/>
  </r>
  <r>
    <x v="4"/>
    <s v="Parcerias"/>
    <s v="Atividades"/>
    <s v="6074.2023/0000314-4"/>
    <x v="1"/>
    <s v="08.10.14.122.3012.2.803.33503900.08.1.759.1183.0"/>
    <s v="FMID"/>
    <s v="TFM/105/2024/SMDHC/FMID"/>
    <s v="Agente de Cidadania 60+"/>
    <s v="Associação de Amparo ao Idoso"/>
    <d v="2026-03-31T00:00:00"/>
    <n v="105548.34"/>
    <n v="8795.7000000000007"/>
    <n v="32182.78"/>
    <n v="41382.78"/>
    <n v="31982.78"/>
    <s v=" R$ -   "/>
    <s v=" R$ -   "/>
    <s v=" R$ -   "/>
    <s v=" R$ -   "/>
    <s v=" R$ -   "/>
    <s v=" R$ -   "/>
    <s v=" R$ -   "/>
    <s v=" R$ -   "/>
    <s v=" R$ -   "/>
  </r>
  <r>
    <x v="4"/>
    <s v="Parcerias"/>
    <s v="Atividades"/>
    <s v="6074.2023/0000470-1"/>
    <x v="1"/>
    <s v="08.10.14.122.3012.2.803.33503900.08.1.759.1183.0"/>
    <s v="FMID"/>
    <s v="TFM/189/2024/SMDHC/FMID"/>
    <s v="Inclusão Digital de Pessoas idosas no Cine Favela Heliópolis"/>
    <s v="Associação Cultural e Artística Cine Favela"/>
    <d v="2026-10-31T00:00:00"/>
    <n v="717063.91"/>
    <n v="59755.33"/>
    <n v="69606.399999999994"/>
    <n v="70606.399999999994"/>
    <n v="70606.399999999994"/>
    <n v="84606.399999999994"/>
    <n v="70606.31"/>
    <n v="70606.399999999994"/>
    <n v="69606.399999999994"/>
    <n v="70606.399999999994"/>
    <n v="70606.399999999994"/>
    <n v="69606.399999999994"/>
    <s v=" R$ -   "/>
    <s v=" R$ -   "/>
  </r>
  <r>
    <x v="4"/>
    <s v="Parcerias"/>
    <s v="Atividades"/>
    <s v="6074.2023/0000525-2"/>
    <x v="1"/>
    <s v="08.10.14.122.3012.2.803.33503900.08.1.759.1183.0"/>
    <s v="FMID"/>
    <s v="TFM/197/2024/SMDHC/FMID"/>
    <s v="Cultura Afro-Brasileira e a Práxis da Capoeira na Prevenção de Doenças e Melhoria da Qualidade de Vida da Pessoa Idosa"/>
    <s v="Grupo Malungo (Irmãos de Viagem)"/>
    <d v="2026-10-31T00:00:00"/>
    <n v="113220"/>
    <n v="9435"/>
    <n v="11122"/>
    <n v="11122"/>
    <n v="11122"/>
    <n v="12122"/>
    <n v="11122"/>
    <n v="11122"/>
    <n v="11122"/>
    <n v="11122"/>
    <n v="11122"/>
    <n v="12122"/>
    <s v=" R$ -   "/>
    <s v=" R$ -   "/>
  </r>
  <r>
    <x v="4"/>
    <s v="Parcerias"/>
    <s v="Atividades"/>
    <s v="6074.2023/0000495-7"/>
    <x v="1"/>
    <s v="08.10.14.122.3012.2.803.33503900.08.1.759.1183.0"/>
    <s v="FMID"/>
    <s v="TFM/199/2024/SMDHC/FMID"/>
    <s v="Universidade da Vida"/>
    <s v="Associação Atados"/>
    <d v="2026-01-31T00:00:00"/>
    <n v="77750"/>
    <n v="6479.17"/>
    <n v="77750"/>
    <s v=" R$ -   "/>
    <s v=" R$ -   "/>
    <s v=" R$ -   "/>
    <s v=" R$ -   "/>
    <s v=" R$ -   "/>
    <s v=" R$ -   "/>
    <s v=" R$ -   "/>
    <s v=" R$ -   "/>
    <s v=" R$ -   "/>
    <s v=" R$ -   "/>
    <s v=" R$ -   "/>
  </r>
  <r>
    <x v="4"/>
    <s v="Parcerias"/>
    <s v="Atividades"/>
    <s v="6074.2023/0000320-9"/>
    <x v="1"/>
    <s v="08.10.14.122.3012.2.803.33503900.08.1.759.1183.0"/>
    <s v="FMID"/>
    <s v="TFM/224/2024/SMDHC/FMID"/>
    <s v="Horta Orgânica, Alimentação Saudável"/>
    <s v="INCT: Instituto Nacional Cidadania e Trabalho"/>
    <d v="2026-02-28T00:00:00"/>
    <n v="30400"/>
    <n v="2533.33"/>
    <n v="15200"/>
    <n v="15200"/>
    <s v=" R$ -   "/>
    <s v=" R$ -   "/>
    <s v=" R$ -   "/>
    <s v=" R$ -   "/>
    <s v=" R$ -   "/>
    <s v=" R$ -   "/>
    <s v=" R$ -   "/>
    <s v=" R$ -   "/>
    <s v=" R$ -   "/>
    <s v=" R$ -   "/>
  </r>
  <r>
    <x v="4"/>
    <s v="Parcerias"/>
    <s v="Atividades"/>
    <s v="6074.2023/0000376-4"/>
    <x v="1"/>
    <s v="08.10.14.122.3012.2.803.33503900.08.1.759.1183.0"/>
    <s v="FMID"/>
    <s v="PROJETO 1"/>
    <s v="ABRATI Cultura +60"/>
    <s v="ABRATI: Associação Brasileira de Apoio à Terceira Idade"/>
    <s v="2º Semestre 2025"/>
    <n v="199775.28"/>
    <n v="16647.939999999999"/>
    <n v="16647.939999999999"/>
    <n v="16647.939999999999"/>
    <n v="16647.939999999999"/>
    <n v="16647.939999999999"/>
    <n v="16647.939999999999"/>
    <n v="16647.939999999999"/>
    <n v="16647.939999999999"/>
    <n v="16647.939999999999"/>
    <n v="16647.939999999999"/>
    <n v="16647.939999999999"/>
    <n v="16647.939999999999"/>
    <n v="16647.939999999999"/>
  </r>
  <r>
    <x v="4"/>
    <s v="Parcerias"/>
    <s v="Atividades"/>
    <s v="6074.2023/0000425-6"/>
    <x v="1"/>
    <s v="08.10.14.122.3012.2.803.33503900.08.1.759.1183.0"/>
    <s v="FMID"/>
    <s v="PROJETO 2"/>
    <s v="Academia da Longevidade"/>
    <s v="Associação Vem Ser de Apoio à Inclusão e Assistência ao Indivíduo com Necessidades Especiais"/>
    <s v="2º Semestre 2025"/>
    <n v="563366.80000000005"/>
    <n v="46947.23"/>
    <n v="46947.23"/>
    <n v="46947.23"/>
    <n v="46947.23"/>
    <n v="46947.23"/>
    <n v="46947.23"/>
    <n v="46947.23"/>
    <n v="46947.23"/>
    <n v="46947.23"/>
    <n v="46947.23"/>
    <n v="46947.23"/>
    <n v="46947.23"/>
    <n v="46947.23"/>
  </r>
  <r>
    <x v="4"/>
    <s v="Parcerias"/>
    <s v="Atividades"/>
    <s v="6074.2023/0000479-5"/>
    <x v="1"/>
    <s v="08.10.14.122.3012.2.803.33503900.08.1.759.1183.0"/>
    <s v="FMID"/>
    <s v="PROJETO 3"/>
    <s v="CIDI - Centro de lnclusão Digital do ldoso"/>
    <s v="Instituto Irmã Dulce"/>
    <s v="2º Semestre 2025"/>
    <n v="237875.7"/>
    <n v="19822.98"/>
    <n v="19822.98"/>
    <n v="19822.98"/>
    <n v="19822.98"/>
    <n v="19822.98"/>
    <n v="19822.98"/>
    <n v="19822.98"/>
    <n v="19822.98"/>
    <n v="19822.98"/>
    <n v="19822.98"/>
    <n v="19822.98"/>
    <n v="19822.98"/>
    <n v="19822.98"/>
  </r>
  <r>
    <x v="4"/>
    <s v="Parcerias"/>
    <s v="Atividades"/>
    <s v="6074.2023/0000348-9"/>
    <x v="1"/>
    <s v="08.10.14.122.3012.2.803.33503900.08.1.759.1183.0"/>
    <s v="FMID"/>
    <s v="PROJETO 4"/>
    <s v="Conexão Dourada"/>
    <s v="Associação Idade Dourada de Pinheiros"/>
    <s v="2º Semestre 2025"/>
    <n v="200000"/>
    <n v="16666.669999999998"/>
    <n v="16666.669999999998"/>
    <n v="16666.669999999998"/>
    <n v="16666.669999999998"/>
    <n v="16666.669999999998"/>
    <n v="16666.669999999998"/>
    <n v="16666.669999999998"/>
    <n v="16666.669999999998"/>
    <n v="16666.669999999998"/>
    <n v="16666.669999999998"/>
    <n v="16666.669999999998"/>
    <n v="16666.669999999998"/>
    <n v="16666.669999999998"/>
  </r>
  <r>
    <x v="4"/>
    <s v="Parcerias"/>
    <s v="Atividades"/>
    <s v="6074.2023/0000311-0"/>
    <x v="1"/>
    <s v="08.10.14.122.3012.2.803.33503900.08.1.759.1183.0"/>
    <s v="FMID"/>
    <s v="PROJETO 5"/>
    <s v="Educação Financeira para a Longevidade"/>
    <s v="OLHE: Observatório da Longevidade Humana e Envelhecimento"/>
    <s v="2º Semestre 2025"/>
    <n v="299880"/>
    <n v="24990"/>
    <n v="24990"/>
    <n v="24990"/>
    <n v="24990"/>
    <n v="24990"/>
    <n v="24990"/>
    <n v="24990"/>
    <n v="24990"/>
    <n v="24990"/>
    <n v="24990"/>
    <n v="24990"/>
    <n v="24990"/>
    <n v="24990"/>
  </r>
  <r>
    <x v="4"/>
    <s v="Parcerias"/>
    <s v="Atividades"/>
    <s v="6074.2023/0000313-6"/>
    <x v="1"/>
    <s v="08.10.14.122.3012.2.803.33503900.08.1.759.1183.0"/>
    <s v="FMID"/>
    <s v="PROJETO 6"/>
    <s v="Empreende 60+"/>
    <s v="Associação de Amparo ao Idoso"/>
    <s v="2º Semestre 2025"/>
    <n v="275556.08"/>
    <n v="22963.01"/>
    <n v="22963.01"/>
    <n v="22963.01"/>
    <n v="22963.01"/>
    <n v="22963.01"/>
    <n v="22963.01"/>
    <n v="22963.01"/>
    <n v="22963.01"/>
    <n v="22963.01"/>
    <n v="22963.01"/>
    <n v="22963.01"/>
    <n v="22963.01"/>
    <n v="22963.01"/>
  </r>
  <r>
    <x v="4"/>
    <s v="Parcerias"/>
    <s v="Atividades"/>
    <s v="6074.2023/0000469-8"/>
    <x v="1"/>
    <s v="08.10.14.122.3012.2.803.33503900.08.1.759.1183.0"/>
    <s v="FMID"/>
    <s v="PROJETO 7"/>
    <s v="Espaço intergeracional e educacional para alimentação saudável de pessoas idosas"/>
    <s v="Casa dos Velhinhos de Ondina Lobo"/>
    <s v="2º Semestre 2025"/>
    <n v="1315670.5"/>
    <n v="109639.21"/>
    <n v="109639.21"/>
    <n v="109639.21"/>
    <n v="109639.21"/>
    <n v="109639.21"/>
    <n v="109639.21"/>
    <n v="109639.21"/>
    <n v="109639.21"/>
    <n v="109639.21"/>
    <n v="109639.21"/>
    <n v="109639.21"/>
    <n v="109639.21"/>
    <n v="109639.21"/>
  </r>
  <r>
    <x v="4"/>
    <s v="Parcerias"/>
    <s v="Atividades"/>
    <s v="6074.2023/0000506-6"/>
    <x v="1"/>
    <s v="08.10.14.122.3012.2.803.33503900.08.1.759.1183.0"/>
    <s v="FMID"/>
    <s v="PROJETO 8"/>
    <s v="Espaço intergeracional itinerante para inclusão digital da de pessoas idosas (Comunicação em Movimento)"/>
    <s v="Casa dos Velhinhos de Ondina Lobo"/>
    <s v="2º Semestre 2025"/>
    <n v="1415098.9"/>
    <n v="117924.91"/>
    <n v="117924.91"/>
    <n v="117924.91"/>
    <n v="117924.91"/>
    <n v="117924.91"/>
    <n v="117924.91"/>
    <n v="117924.91"/>
    <n v="117924.91"/>
    <n v="117924.91"/>
    <n v="117924.91"/>
    <n v="117924.91"/>
    <n v="117924.91"/>
    <n v="117924.91"/>
  </r>
  <r>
    <x v="4"/>
    <s v="Parcerias"/>
    <s v="Atividades"/>
    <s v="6074.2023/0000427-2"/>
    <x v="1"/>
    <s v="08.10.14.122.3012.2.803.33503900.08.1.759.1183.0"/>
    <s v="FMID"/>
    <s v="PROJETO 9"/>
    <s v="Idoso Digital"/>
    <s v="Liga das Senhoras Católicas de São Paulo / Liga Solidária"/>
    <s v="2º Semestre 2025"/>
    <n v="110444.4"/>
    <n v="9203.7000000000007"/>
    <n v="9203.7000000000007"/>
    <n v="9203.7000000000007"/>
    <n v="9203.7000000000007"/>
    <n v="9203.7000000000007"/>
    <n v="9203.7000000000007"/>
    <n v="9203.7000000000007"/>
    <n v="9203.7000000000007"/>
    <n v="9203.7000000000007"/>
    <n v="9203.7000000000007"/>
    <n v="9203.7000000000007"/>
    <n v="9203.7000000000007"/>
    <n v="9203.7000000000007"/>
  </r>
  <r>
    <x v="4"/>
    <s v="Parcerias"/>
    <s v="Atividades"/>
    <s v="6074.2023/0000462-0"/>
    <x v="1"/>
    <s v="08.10.14.122.3012.2.803.33503900.08.1.759.1183.0"/>
    <s v="FMID"/>
    <s v="PROJETO 10"/>
    <s v="Inclusão Digital para Pessoas Idosas"/>
    <s v="ASA: Associação Santo Agostinho"/>
    <s v="2º Semestre 2025"/>
    <n v="126841.93"/>
    <n v="10570.16"/>
    <n v="10570.16"/>
    <n v="10570.16"/>
    <n v="10570.16"/>
    <n v="10570.16"/>
    <n v="10570.16"/>
    <n v="10570.16"/>
    <n v="10570.16"/>
    <n v="10570.16"/>
    <n v="10570.16"/>
    <n v="10570.16"/>
    <n v="10570.16"/>
    <n v="10570.16"/>
  </r>
  <r>
    <x v="4"/>
    <s v="Parcerias"/>
    <s v="Atividades"/>
    <s v="6074.2023/0000490-6"/>
    <x v="1"/>
    <s v="08.10.14.122.3012.2.803.33503900.08.1.759.1183.0"/>
    <s v="FMID"/>
    <s v="PROJETO 11"/>
    <s v="Kujua Wazee nas escolas - memorar e existir , histórias afro atlanticas"/>
    <s v="ICC: Instituto Casa Comum"/>
    <s v="2º Semestre 2025"/>
    <n v="224614.29"/>
    <n v="18717.86"/>
    <n v="18717.86"/>
    <n v="18717.86"/>
    <n v="18717.86"/>
    <n v="18717.86"/>
    <n v="18717.86"/>
    <n v="18717.86"/>
    <n v="18717.86"/>
    <n v="18717.86"/>
    <n v="18717.86"/>
    <n v="18717.86"/>
    <n v="18717.86"/>
    <n v="18717.86"/>
  </r>
  <r>
    <x v="4"/>
    <s v="Parcerias"/>
    <s v="Atividades"/>
    <s v="6074.2023/0000523-6"/>
    <x v="1"/>
    <s v="08.10.14.122.3012.2.803.33503900.08.1.759.1183.0"/>
    <s v="FMID"/>
    <s v="PROJETO 12"/>
    <s v="Longevidade com Autonomia"/>
    <s v="ACIRMESP: Associação dos Cuidadores de Idosos da Região Metropolitana de São Paulo"/>
    <s v="2º Semestre 2025"/>
    <n v="126321.9"/>
    <n v="10526.83"/>
    <n v="10526.83"/>
    <n v="10526.83"/>
    <n v="10526.83"/>
    <n v="10526.83"/>
    <n v="10526.83"/>
    <n v="10526.83"/>
    <n v="10526.83"/>
    <n v="10526.83"/>
    <n v="10526.83"/>
    <n v="10526.83"/>
    <n v="10526.83"/>
    <n v="10526.83"/>
  </r>
  <r>
    <x v="4"/>
    <s v="Parcerias"/>
    <s v="Atividades"/>
    <s v="6074.2023/0000408-6"/>
    <x v="1"/>
    <s v="08.10.14.122.3012.2.803.33503900.08.1.759.1183.0"/>
    <s v="FMID"/>
    <s v="PROJETO 13"/>
    <s v="NUTRI-VÓS"/>
    <s v="Grupo Beneficente Divino Amigo"/>
    <s v="2º Semestre 2025"/>
    <n v="263526.28999999998"/>
    <n v="21960.52"/>
    <n v="21960.52"/>
    <n v="21960.52"/>
    <n v="21960.52"/>
    <n v="21960.52"/>
    <n v="21960.52"/>
    <n v="21960.52"/>
    <n v="21960.52"/>
    <n v="21960.52"/>
    <n v="21960.52"/>
    <n v="21960.52"/>
    <n v="21960.52"/>
    <n v="21960.52"/>
  </r>
  <r>
    <x v="4"/>
    <s v="Parcerias"/>
    <s v="Atividades"/>
    <s v="6074.2023/0000472-8"/>
    <x v="1"/>
    <s v="08.10.14.122.3012.2.803.33503900.08.1.759.1183.0"/>
    <s v="FMID"/>
    <s v="PROJETO 14"/>
    <s v="PROJETO INTEGRAR: Integrando saberes para o atendimento da pessoa idosa"/>
    <s v="Fundação Julita"/>
    <s v="2º Semestre 2025"/>
    <n v="381807.65"/>
    <n v="31817.3"/>
    <n v="31817.3"/>
    <n v="31817.3"/>
    <n v="31817.3"/>
    <n v="31817.3"/>
    <n v="31817.3"/>
    <n v="31817.3"/>
    <n v="31817.3"/>
    <n v="31817.3"/>
    <n v="31817.3"/>
    <n v="31817.3"/>
    <n v="31817.3"/>
    <n v="31817.3"/>
  </r>
  <r>
    <x v="4"/>
    <s v="Parcerias"/>
    <s v="Atividades"/>
    <s v="6074.2023/0000429-9"/>
    <x v="1"/>
    <s v="08.10.14.122.3012.2.803.33503900.08.1.759.1183.0"/>
    <s v="FMID"/>
    <s v="PROJETO 15"/>
    <s v="Transformar Para Cuidar"/>
    <s v="UNIBES: União Brasileiro-Israelita do Bem-Estar Social"/>
    <s v="2º Semestre 2025"/>
    <n v="106104.2"/>
    <n v="8842.02"/>
    <n v="8842.02"/>
    <n v="8842.02"/>
    <n v="8842.02"/>
    <n v="8842.02"/>
    <n v="8842.02"/>
    <n v="8842.02"/>
    <n v="8842.02"/>
    <n v="8842.02"/>
    <n v="8842.02"/>
    <n v="8842.02"/>
    <n v="8842.02"/>
    <n v="8842.02"/>
  </r>
  <r>
    <x v="4"/>
    <s v="Parcerias"/>
    <s v="Atividades"/>
    <s v="6074.2023/0000312-8"/>
    <x v="1"/>
    <s v="08.10.14.122.3012.2.803.33503900.08.1.759.1183.0"/>
    <s v="FMID"/>
    <s v="PROJETO 16"/>
    <s v="Velho é o seu Preconceito"/>
    <s v="Associação de Amparo ao Idoso"/>
    <s v="2º Semestre 2025"/>
    <n v="251184.12"/>
    <n v="20932.009999999998"/>
    <n v="20932.009999999998"/>
    <n v="20932.009999999998"/>
    <n v="20932.009999999998"/>
    <n v="20932.009999999998"/>
    <n v="20932.009999999998"/>
    <n v="20932.009999999998"/>
    <n v="20932.009999999998"/>
    <n v="20932.009999999998"/>
    <n v="20932.009999999998"/>
    <n v="20932.009999999998"/>
    <n v="20932.009999999998"/>
    <n v="20932.009999999998"/>
  </r>
  <r>
    <x v="3"/>
    <s v="Parcerias"/>
    <s v="Atividades"/>
    <s v="6074.2022/0001687-2"/>
    <x v="1"/>
    <s v="90.10.08.243.3013.6.160.33503900.08.1.759.0958.0"/>
    <s v="FUMCAD"/>
    <s v="PROJETO 17"/>
    <s v="Diagnóstico de Deficiência Intelectual, Direito de todos"/>
    <s v="APAE: Associação de Pais e Amigos dos Excepcionais de São Paulo / Instituto Jô Clemente"/>
    <s v="2º Semestre 2025"/>
    <n v="1195407.8999999999"/>
    <n v="99617.33"/>
    <n v="99617.33"/>
    <n v="99617.33"/>
    <n v="99617.33"/>
    <n v="99617.33"/>
    <n v="99617.33"/>
    <n v="99617.33"/>
    <n v="99617.33"/>
    <n v="99617.33"/>
    <n v="99617.33"/>
    <n v="99617.33"/>
    <n v="99617.33"/>
    <n v="99617.33"/>
  </r>
  <r>
    <x v="3"/>
    <s v="Parcerias"/>
    <s v="Atividades"/>
    <s v="6074.2023/0002252-1"/>
    <x v="1"/>
    <s v="90.10.08.243.3013.6.160.33503900.08.1.759.0958.0"/>
    <s v="FUMCAD"/>
    <s v="PROJETO 18"/>
    <s v="A música e o psicodrama no desenvolvimento de habilidades sociais e emocionais dos adolescentes da Cidade Ademar."/>
    <s v="Associação Comunitária Despertar"/>
    <s v="2º Semestre 2025"/>
    <n v="432044.09"/>
    <n v="36003.67"/>
    <n v="36003.67"/>
    <n v="36003.67"/>
    <n v="36003.67"/>
    <n v="36003.67"/>
    <n v="36003.67"/>
    <n v="36003.67"/>
    <n v="36003.67"/>
    <n v="36003.67"/>
    <n v="36003.67"/>
    <n v="36003.67"/>
    <n v="36003.67"/>
    <n v="36003.67"/>
  </r>
  <r>
    <x v="3"/>
    <s v="Parcerias"/>
    <s v="Atividades"/>
    <s v="6074.2022/0000981-7"/>
    <x v="1"/>
    <s v="90.10.08.243.3013.6.160.33503900.08.1.759.0958.0"/>
    <s v="FUMCAD"/>
    <s v="PROJETO 19"/>
    <s v="AFESU Veleiros – She Works"/>
    <s v="AFESU: Associação Feminina de Estudos Sociais e Universitário"/>
    <s v="2º Semestre 2025"/>
    <n v="180656.25"/>
    <n v="15054.69"/>
    <n v="15054.69"/>
    <n v="15054.69"/>
    <n v="15054.69"/>
    <n v="15054.69"/>
    <n v="15054.69"/>
    <n v="15054.69"/>
    <n v="15054.69"/>
    <n v="15054.69"/>
    <n v="15054.69"/>
    <n v="15054.69"/>
    <n v="15054.69"/>
    <n v="15054.69"/>
  </r>
  <r>
    <x v="3"/>
    <s v="Parcerias"/>
    <s v="Atividades"/>
    <s v="6074.2023/0002097-9"/>
    <x v="1"/>
    <s v="90.10.08.243.3013.6.160.33503900.08.1.759.0958.0"/>
    <s v="FUMCAD"/>
    <s v="PROJETO 20"/>
    <s v="APOIO ESCOLAR"/>
    <s v="Associação Amigos da Casa da Amizade"/>
    <s v="2º Semestre 2025"/>
    <n v="587255.81999999995"/>
    <n v="48937.99"/>
    <n v="48937.99"/>
    <n v="48937.99"/>
    <n v="48937.99"/>
    <n v="48937.99"/>
    <n v="48937.99"/>
    <n v="48937.99"/>
    <n v="48937.99"/>
    <n v="48937.99"/>
    <n v="48937.99"/>
    <n v="48937.99"/>
    <n v="48937.99"/>
    <n v="48937.99"/>
  </r>
  <r>
    <x v="3"/>
    <s v="Parcerias"/>
    <s v="Atividades"/>
    <s v="6074.2022/0000986-8"/>
    <x v="1"/>
    <s v="90.10.08.243.3013.6.160.33503900.08.1.759.0958.0"/>
    <s v="FUMCAD"/>
    <s v="PROJETO 21"/>
    <s v="Atendimento de enfermagem no tratamento de crianças e adolescentes com câncer nos setores de internação do hospital do GRAACC"/>
    <s v="GRAACC: Grupo de Apoio ao Adolescente e a Criança com Câncer"/>
    <s v="2º Semestre 2025"/>
    <n v="1939087.91"/>
    <n v="161590.66"/>
    <n v="161590.66"/>
    <n v="161590.66"/>
    <n v="161590.66"/>
    <n v="161590.66"/>
    <n v="161590.66"/>
    <n v="161590.66"/>
    <n v="161590.66"/>
    <n v="161590.66"/>
    <n v="161590.66"/>
    <n v="161590.66"/>
    <n v="161590.66"/>
    <n v="161590.66"/>
  </r>
  <r>
    <x v="3"/>
    <s v="Parcerias"/>
    <s v="Atividades"/>
    <s v="6074.2023/0001856-7"/>
    <x v="1"/>
    <s v="90.10.08.243.3013.6.160.33503900.08.1.759.0958.0"/>
    <s v="FUMCAD"/>
    <s v="PROJETO 22"/>
    <s v="Capoeira - Expressões do Gingado"/>
    <s v="IOK: Instituto Olga Kos de Inclusão Social"/>
    <s v="2º Semestre 2025"/>
    <n v="470498.2"/>
    <n v="39208.18"/>
    <n v="39208.18"/>
    <n v="39208.18"/>
    <n v="39208.18"/>
    <n v="39208.18"/>
    <n v="39208.18"/>
    <n v="39208.18"/>
    <n v="39208.18"/>
    <n v="39208.18"/>
    <n v="39208.18"/>
    <n v="39208.18"/>
    <n v="39208.18"/>
    <n v="39208.18"/>
  </r>
  <r>
    <x v="3"/>
    <s v="Parcerias"/>
    <s v="Atividades"/>
    <s v="6074.2023/0002189-4"/>
    <x v="1"/>
    <s v="90.10.08.243.3013.6.160.33503900.08.1.759.0958.0"/>
    <s v="FUMCAD"/>
    <s v="PROJETO 23"/>
    <s v="CEIs ASA, famílias e comunidades"/>
    <s v="ASA: Associação Santo Agostinho"/>
    <s v="2º Semestre 2025"/>
    <n v="272000"/>
    <n v="22666.67"/>
    <n v="22666.67"/>
    <n v="22666.67"/>
    <n v="22666.67"/>
    <n v="22666.67"/>
    <n v="22666.67"/>
    <n v="22666.67"/>
    <n v="22666.67"/>
    <n v="22666.67"/>
    <n v="22666.67"/>
    <n v="22666.67"/>
    <n v="22666.67"/>
    <n v="22666.67"/>
  </r>
  <r>
    <x v="3"/>
    <s v="Parcerias"/>
    <s v="Atividades"/>
    <s v="6074.2023/0001954-7"/>
    <x v="1"/>
    <s v="90.10.08.243.3013.6.160.33503900.08.1.759.0958.0"/>
    <s v="FUMCAD"/>
    <s v="PROJETO 24"/>
    <s v="Coletivo - Reflexões em Cena"/>
    <s v="IOK: Instituto Olga Kos de Inclusão Social"/>
    <s v="2º Semestre 2025"/>
    <n v="418205"/>
    <n v="34850.42"/>
    <n v="34850.42"/>
    <n v="34850.42"/>
    <n v="34850.42"/>
    <n v="34850.42"/>
    <n v="34850.42"/>
    <n v="34850.42"/>
    <n v="34850.42"/>
    <n v="34850.42"/>
    <n v="34850.42"/>
    <n v="34850.42"/>
    <n v="34850.42"/>
    <n v="34850.42"/>
  </r>
  <r>
    <x v="3"/>
    <s v="Parcerias"/>
    <s v="Atividades"/>
    <s v="6074.2018/0003249-8"/>
    <x v="1"/>
    <s v="90.10.08.243.3013.6.160.33503900.08.1.759.0958.0"/>
    <s v="FUMCAD"/>
    <s v="PROJETO 25"/>
    <s v="Comunidade de Responsa"/>
    <s v="UNAS: União de Núcleos, Associações dos Moradores de Heliópolis e Região"/>
    <s v="2º Semestre 2025"/>
    <n v="315324.05"/>
    <n v="26277"/>
    <n v="26277"/>
    <n v="26277"/>
    <n v="26277"/>
    <n v="26277"/>
    <n v="26277"/>
    <n v="26277"/>
    <n v="26277"/>
    <n v="26277"/>
    <n v="26277"/>
    <n v="26277"/>
    <n v="26277"/>
    <n v="26277"/>
  </r>
  <r>
    <x v="3"/>
    <s v="Parcerias"/>
    <s v="Atividades"/>
    <s v="6074.2019/0002148-0"/>
    <x v="1"/>
    <s v="90.10.08.243.3013.6.160.33503900.08.1.759.0958.0"/>
    <s v="FUMCAD"/>
    <s v="PROJETO 26"/>
    <s v="Comunidade na Responsa"/>
    <s v="UNAS: União de Núcleos, Associações dos Moradores de Heliópolis e Região"/>
    <s v="2º Semestre 2025"/>
    <n v="405013.5"/>
    <n v="33751.129999999997"/>
    <n v="33751.129999999997"/>
    <n v="33751.129999999997"/>
    <n v="33751.129999999997"/>
    <n v="33751.129999999997"/>
    <n v="33751.129999999997"/>
    <n v="33751.129999999997"/>
    <n v="33751.129999999997"/>
    <n v="33751.129999999997"/>
    <n v="33751.129999999997"/>
    <n v="33751.129999999997"/>
    <n v="33751.129999999997"/>
    <n v="33751.129999999997"/>
  </r>
  <r>
    <x v="3"/>
    <s v="Parcerias"/>
    <s v="Atividades"/>
    <s v="6074.2023/0002080-4"/>
    <x v="1"/>
    <s v="90.10.08.243.3013.6.160.33503900.08.1.759.0958.0"/>
    <s v="FUMCAD"/>
    <s v="PROJETO 27"/>
    <s v="Crescer e Aprender - CEI São Miguel"/>
    <s v="Associação Aliança de Misericórdia"/>
    <s v="2º Semestre 2025"/>
    <n v="1660319.9"/>
    <n v="138359.99"/>
    <n v="138359.99"/>
    <n v="138359.99"/>
    <n v="138359.99"/>
    <n v="138359.99"/>
    <n v="138359.99"/>
    <n v="138359.99"/>
    <n v="138359.99"/>
    <n v="138359.99"/>
    <n v="138359.99"/>
    <n v="138359.99"/>
    <n v="138359.99"/>
    <n v="138359.99"/>
  </r>
  <r>
    <x v="3"/>
    <s v="Parcerias"/>
    <s v="Atividades"/>
    <s v="6074.2021/0004246-4"/>
    <x v="1"/>
    <s v="90.10.08.243.3013.6.160.33503900.08.1.759.0958.0"/>
    <s v="FUMCAD"/>
    <s v="PROJETO 28"/>
    <s v="Criança Cidadã"/>
    <s v="CIP: Congregação Israelita Paulista"/>
    <s v="2º Semestre 2025"/>
    <n v="411401.16"/>
    <n v="34283.43"/>
    <n v="34283.43"/>
    <n v="34283.43"/>
    <n v="34283.43"/>
    <n v="34283.43"/>
    <n v="34283.43"/>
    <n v="34283.43"/>
    <n v="34283.43"/>
    <n v="34283.43"/>
    <n v="34283.43"/>
    <n v="34283.43"/>
    <n v="34283.43"/>
    <n v="34283.43"/>
  </r>
  <r>
    <x v="3"/>
    <s v="Parcerias"/>
    <s v="Atividades"/>
    <s v="6074.2023/0002198-3"/>
    <x v="1"/>
    <s v="90.10.08.243.3013.6.160.33503900.08.1.759.0958.0"/>
    <s v="FUMCAD"/>
    <s v="PROJETO 29"/>
    <s v="Despertando Vocações"/>
    <s v="Ação Comunitária do Brasil – São Paulo / Vocação"/>
    <s v="2º Semestre 2025"/>
    <n v="1926019.48"/>
    <n v="160501.62"/>
    <n v="160501.62"/>
    <n v="160501.62"/>
    <n v="160501.62"/>
    <n v="160501.62"/>
    <n v="160501.62"/>
    <n v="160501.62"/>
    <n v="160501.62"/>
    <n v="160501.62"/>
    <n v="160501.62"/>
    <n v="160501.62"/>
    <n v="160501.62"/>
    <n v="160501.62"/>
  </r>
  <r>
    <x v="3"/>
    <s v="Parcerias"/>
    <s v="Atividades"/>
    <s v="6074.2022/0000987-6"/>
    <x v="1"/>
    <s v="90.10.08.243.3013.6.160.33503900.08.1.759.0958.0"/>
    <s v="FUMCAD"/>
    <s v="PROJETO 30"/>
    <s v="Garantia do atendimento no Serviço de Radioterapia Pediátrica do Hospital do GRAACC"/>
    <s v="GRAACC: Grupo de Apoio ao Adolescente e a Criança com Câncer"/>
    <s v="2º Semestre 2025"/>
    <n v="1210535.04"/>
    <n v="100877.92"/>
    <n v="100877.92"/>
    <n v="100877.92"/>
    <n v="100877.92"/>
    <n v="100877.92"/>
    <n v="100877.92"/>
    <n v="100877.92"/>
    <n v="100877.92"/>
    <n v="100877.92"/>
    <n v="100877.92"/>
    <n v="100877.92"/>
    <n v="100877.92"/>
    <n v="100877.92"/>
  </r>
  <r>
    <x v="3"/>
    <s v="Parcerias"/>
    <s v="Atividades"/>
    <s v="6074.2022/0001082-3"/>
    <x v="1"/>
    <s v="90.10.08.243.3013.6.160.33503900.08.1.759.0958.0"/>
    <s v="FUMCAD"/>
    <s v="PROJETO 31"/>
    <s v="Jovem Hoje, Chef Amanhã"/>
    <s v="Associação Barão de Souza Queiroz de Proteção à Infância e à Juventude"/>
    <s v="2º Semestre 2025"/>
    <n v="504275.3"/>
    <n v="42022.94"/>
    <n v="42022.94"/>
    <n v="42022.94"/>
    <n v="42022.94"/>
    <n v="42022.94"/>
    <n v="42022.94"/>
    <n v="42022.94"/>
    <n v="42022.94"/>
    <n v="42022.94"/>
    <n v="42022.94"/>
    <n v="42022.94"/>
    <n v="42022.94"/>
    <n v="42022.94"/>
  </r>
  <r>
    <x v="3"/>
    <s v="Parcerias"/>
    <s v="Atividades"/>
    <s v="6074.2023/0002078-2"/>
    <x v="1"/>
    <s v="90.10.08.243.3013.6.160.33503900.08.1.759.0958.0"/>
    <s v="FUMCAD"/>
    <s v="PROJETO 32"/>
    <s v="Jovens programadores formados e preparados para o mundo do trabalho."/>
    <s v="IOS: Instituto da Oportunidade Social"/>
    <s v="2º Semestre 2025"/>
    <n v="554068"/>
    <n v="46172.33"/>
    <n v="46172.33"/>
    <n v="46172.33"/>
    <n v="46172.33"/>
    <n v="46172.33"/>
    <n v="46172.33"/>
    <n v="46172.33"/>
    <n v="46172.33"/>
    <n v="46172.33"/>
    <n v="46172.33"/>
    <n v="46172.33"/>
    <n v="46172.33"/>
    <n v="46172.33"/>
  </r>
  <r>
    <x v="3"/>
    <s v="Parcerias"/>
    <s v="Atividades"/>
    <s v="6074.2023/0002057-0"/>
    <x v="1"/>
    <s v="90.10.08.243.3013.6.160.33503900.08.1.759.0958.0"/>
    <s v="FUMCAD"/>
    <s v="PROJETO 33"/>
    <s v="Mentoria e Apoio à Empregabilidade"/>
    <s v="Instituto Reciclar / Instituto de Reciclagem do Adolescente"/>
    <s v="2º Semestre 2025"/>
    <n v="333337.32"/>
    <n v="27778.11"/>
    <n v="27778.11"/>
    <n v="27778.11"/>
    <n v="27778.11"/>
    <n v="27778.11"/>
    <n v="27778.11"/>
    <n v="27778.11"/>
    <n v="27778.11"/>
    <n v="27778.11"/>
    <n v="27778.11"/>
    <n v="27778.11"/>
    <n v="27778.11"/>
    <n v="27778.11"/>
  </r>
  <r>
    <x v="3"/>
    <s v="Parcerias"/>
    <s v="Atividades"/>
    <s v="6074.2023/0002155-0"/>
    <x v="1"/>
    <s v="90.10.08.243.3013.6.160.33503900.08.1.759.0958.0"/>
    <s v="FUMCAD"/>
    <s v="PROJETO 34"/>
    <s v="Nas Trilhas do Conhecimento"/>
    <s v="CIP: Congregação Israelita Paulista"/>
    <s v="2º Semestre 2025"/>
    <n v="1512482.76"/>
    <n v="126040.23"/>
    <n v="126040.23"/>
    <n v="126040.23"/>
    <n v="126040.23"/>
    <n v="126040.23"/>
    <n v="126040.23"/>
    <n v="126040.23"/>
    <n v="126040.23"/>
    <n v="126040.23"/>
    <n v="126040.23"/>
    <n v="126040.23"/>
    <n v="126040.23"/>
    <n v="126040.23"/>
  </r>
  <r>
    <x v="3"/>
    <s v="Parcerias"/>
    <s v="Atividades"/>
    <s v="6074.2019/0003531-6"/>
    <x v="1"/>
    <s v="90.10.08.243.3013.6.160.33503900.08.1.759.0958.0"/>
    <s v="FUMCAD"/>
    <s v="PROJETO 35"/>
    <s v="Nucleo Comunitario de Justiça Restaurativa"/>
    <s v="UNAS: União de Núcleos, Associações dos Moradores de Heliópolis e Região"/>
    <s v="2º Semestre 2025"/>
    <n v="270180"/>
    <n v="22515"/>
    <n v="22515"/>
    <n v="22515"/>
    <n v="22515"/>
    <n v="22515"/>
    <n v="22515"/>
    <n v="22515"/>
    <n v="22515"/>
    <n v="22515"/>
    <n v="22515"/>
    <n v="22515"/>
    <n v="22515"/>
    <n v="22515"/>
  </r>
  <r>
    <x v="3"/>
    <s v="Parcerias"/>
    <s v="Atividades"/>
    <s v="6074.2021/0004250-2"/>
    <x v="1"/>
    <s v="90.10.08.243.3013.6.160.33503900.08.1.759.0958.0"/>
    <s v="FUMCAD"/>
    <s v="PROJETO 36"/>
    <s v="O Meio Ambiente em: Natureza, Sociedade e Diversidade"/>
    <s v="Lar Sírio Pró-Infância"/>
    <s v="2º Semestre 2025"/>
    <n v="194772.04"/>
    <n v="16231"/>
    <n v="16231"/>
    <n v="16231"/>
    <n v="16231"/>
    <n v="16231"/>
    <n v="16231"/>
    <n v="16231"/>
    <n v="16231"/>
    <n v="16231"/>
    <n v="16231"/>
    <n v="16231"/>
    <n v="16231"/>
    <n v="16231"/>
  </r>
  <r>
    <x v="3"/>
    <s v="Parcerias"/>
    <s v="Atividades"/>
    <s v="6074.2023/0002196-7"/>
    <x v="1"/>
    <s v="90.10.08.243.3013.6.160.33503900.08.1.759.0958.0"/>
    <s v="FUMCAD"/>
    <s v="PROJETO 37"/>
    <s v="Periferia no Futuro II"/>
    <s v="Arrastão Movimento de Promoção Humana"/>
    <s v="2º Semestre 2025"/>
    <n v="261993.03"/>
    <n v="21832.75"/>
    <n v="21832.75"/>
    <n v="21832.75"/>
    <n v="21832.75"/>
    <n v="21832.75"/>
    <n v="21832.75"/>
    <n v="21832.75"/>
    <n v="21832.75"/>
    <n v="21832.75"/>
    <n v="21832.75"/>
    <n v="21832.75"/>
    <n v="21832.75"/>
    <n v="21832.75"/>
  </r>
  <r>
    <x v="3"/>
    <s v="Parcerias"/>
    <s v="Atividades"/>
    <s v="6074.2019/0002609-0"/>
    <x v="1"/>
    <s v="90.10.08.243.3013.6.160.33503900.08.1.759.0958.0"/>
    <s v="FUMCAD"/>
    <s v="PROJETO 38"/>
    <s v="PhotoPower"/>
    <s v="ImageMagica"/>
    <s v="2º Semestre 2025"/>
    <n v="221400"/>
    <n v="18450"/>
    <n v="18450"/>
    <n v="18450"/>
    <n v="18450"/>
    <n v="18450"/>
    <n v="18450"/>
    <n v="18450"/>
    <n v="18450"/>
    <n v="18450"/>
    <n v="18450"/>
    <n v="18450"/>
    <n v="18450"/>
    <n v="18450"/>
  </r>
  <r>
    <x v="3"/>
    <s v="Parcerias"/>
    <s v="Atividades"/>
    <s v="6074.2023/0002307-2"/>
    <x v="1"/>
    <s v="90.10.08.243.3013.6.160.33503900.08.1.759.0958.0"/>
    <s v="FUMCAD"/>
    <s v="PROJETO 39"/>
    <s v="Pós Escola Aconchego II"/>
    <s v="APAF: Associação Paulista de Apoio à Família"/>
    <s v="2º Semestre 2025"/>
    <n v="534012.92000000004"/>
    <n v="44501.08"/>
    <n v="44501.08"/>
    <n v="44501.08"/>
    <n v="44501.08"/>
    <n v="44501.08"/>
    <n v="44501.08"/>
    <n v="44501.08"/>
    <n v="44501.08"/>
    <n v="44501.08"/>
    <n v="44501.08"/>
    <n v="44501.08"/>
    <n v="44501.08"/>
    <n v="44501.08"/>
  </r>
  <r>
    <x v="3"/>
    <s v="Parcerias"/>
    <s v="Atividades"/>
    <s v="6074.2022/0001850-6"/>
    <x v="1"/>
    <s v="90.10.08.243.3013.6.160.33503900.08.1.759.0958.0"/>
    <s v="FUMCAD"/>
    <s v="PROJETO 40"/>
    <s v="Projeto Novo Olhar Prevenção e Tratamento III"/>
    <s v="Fundação Oftalmológica Dr. Rubem Cunha"/>
    <s v="2º Semestre 2025"/>
    <n v="442613.36"/>
    <n v="36884.449999999997"/>
    <n v="36884.449999999997"/>
    <n v="36884.449999999997"/>
    <n v="36884.449999999997"/>
    <n v="36884.449999999997"/>
    <n v="36884.449999999997"/>
    <n v="36884.449999999997"/>
    <n v="36884.449999999997"/>
    <n v="36884.449999999997"/>
    <n v="36884.449999999997"/>
    <n v="36884.449999999997"/>
    <n v="36884.449999999997"/>
    <n v="36884.449999999997"/>
  </r>
  <r>
    <x v="3"/>
    <s v="Parcerias"/>
    <s v="Atividades"/>
    <s v="6074.2022/0001006-8"/>
    <x v="1"/>
    <s v="90.10.08.243.3013.6.160.33503900.08.1.759.0958.0"/>
    <s v="FUMCAD"/>
    <s v="PROJETO 41"/>
    <s v="Redes de Conhecimento"/>
    <s v="Instituto Fazendo História"/>
    <s v="2º Semestre 2025"/>
    <n v="497526.88"/>
    <n v="41460.57"/>
    <n v="41460.57"/>
    <n v="41460.57"/>
    <n v="41460.57"/>
    <n v="41460.57"/>
    <n v="41460.57"/>
    <n v="41460.57"/>
    <n v="41460.57"/>
    <n v="41460.57"/>
    <n v="41460.57"/>
    <n v="41460.57"/>
    <n v="41460.57"/>
    <n v="41460.57"/>
  </r>
  <r>
    <x v="3"/>
    <s v="Parcerias"/>
    <s v="Atividades"/>
    <s v="6074.2024/0007706-9"/>
    <x v="1"/>
    <s v="90.10.08.243.3013.6.160.33503900.08.1.759.0958.0"/>
    <s v="FUMCAD"/>
    <s v="PROJETO 42"/>
    <s v="Se Liga Jovem"/>
    <s v="Aldeia do Futuro"/>
    <s v="2º Semestre 2025"/>
    <n v="798969.72"/>
    <n v="66580.81"/>
    <n v="66580.81"/>
    <n v="66580.81"/>
    <n v="66580.81"/>
    <n v="66580.81"/>
    <n v="66580.81"/>
    <n v="66580.81"/>
    <n v="66580.81"/>
    <n v="66580.81"/>
    <n v="66580.81"/>
    <n v="66580.81"/>
    <n v="66580.81"/>
    <n v="66580.81"/>
  </r>
  <r>
    <x v="3"/>
    <s v="Parcerias"/>
    <s v="Atividades"/>
    <s v="6074.2021/0004199-9"/>
    <x v="1"/>
    <s v="90.10.08.243.3013.6.160.33503900.08.1.759.0958.0"/>
    <s v="FUMCAD"/>
    <s v="PROJETO 43"/>
    <s v="Tecnologia Assitiva de Baixo Custo: Dispositivos em Papelão"/>
    <s v="CIAM: Centro Israelita de Apoio Multidisciplinar"/>
    <s v="2º Semestre 2025"/>
    <n v="197251.03"/>
    <n v="16437.59"/>
    <n v="16437.59"/>
    <n v="16437.59"/>
    <n v="16437.59"/>
    <n v="16437.59"/>
    <n v="16437.59"/>
    <n v="16437.59"/>
    <n v="16437.59"/>
    <n v="16437.59"/>
    <n v="16437.59"/>
    <n v="16437.59"/>
    <n v="16437.59"/>
    <n v="16437.59"/>
  </r>
  <r>
    <x v="3"/>
    <s v="Parcerias"/>
    <s v="Atividades"/>
    <s v="6074.2023/0002022-7"/>
    <x v="1"/>
    <s v="90.10.08.243.3013.6.160.33503900.08.1.759.0958.0"/>
    <s v="FUMCAD"/>
    <s v="PROJETO 44"/>
    <s v="Todos os Tons"/>
    <s v="UNIBES: União Brasileiro-Israelita do Bem-Estar Social"/>
    <s v="2º Semestre 2025"/>
    <n v="433421.21"/>
    <n v="36118.43"/>
    <n v="36118.43"/>
    <n v="36118.43"/>
    <n v="36118.43"/>
    <n v="36118.43"/>
    <n v="36118.43"/>
    <n v="36118.43"/>
    <n v="36118.43"/>
    <n v="36118.43"/>
    <n v="36118.43"/>
    <n v="36118.43"/>
    <n v="36118.43"/>
    <n v="36118.4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
  <r>
    <s v="SMDHC"/>
    <s v="Contratos"/>
    <s v="Atividades"/>
    <n v="6074202300035830"/>
    <s v="Está"/>
    <x v="0"/>
    <x v="0"/>
    <s v="333/SMDHC/2023"/>
    <x v="0"/>
    <s v="PRODAMSP SA"/>
    <d v="2026-10-31T00:00:00"/>
    <n v="4110188.07"/>
    <n v="331092.96999999997"/>
    <n v="291600"/>
    <n v="291600"/>
    <n v="291600"/>
    <n v="291600"/>
    <n v="291600"/>
    <n v="291600"/>
    <n v="291600"/>
    <n v="291600"/>
    <n v="291600"/>
    <n v="313200"/>
    <n v="334800"/>
    <n v="356400"/>
  </r>
  <r>
    <s v="SMDHC"/>
    <s v="Contratos"/>
    <s v="Atividades"/>
    <n v="6074202300067960"/>
    <s v="Está"/>
    <x v="0"/>
    <x v="0"/>
    <s v="293/SMDHC/2023"/>
    <x v="1"/>
    <s v="MR COMPUTER INFORMATICA LTDA"/>
    <d v="2025-08-28T00:00:00"/>
    <n v="180594.96"/>
    <n v="16128.78"/>
    <n v="15049.58"/>
    <n v="15049.58"/>
    <n v="15049.58"/>
    <n v="15049.58"/>
    <n v="15049.58"/>
    <n v="15049.58"/>
    <n v="15049.58"/>
    <n v="15049.58"/>
    <n v="15049.58"/>
    <n v="15049.58"/>
    <n v="15049.58"/>
    <n v="15049.58"/>
  </r>
  <r>
    <s v="SMDHC"/>
    <s v="Contratos"/>
    <s v="Atividades"/>
    <n v="6074202300090880"/>
    <s v="Está"/>
    <x v="0"/>
    <x v="0"/>
    <s v="334/SMDHC/2023"/>
    <x v="2"/>
    <s v="PRODAMSP SA"/>
    <d v="2026-07-31T00:00:00"/>
    <n v="529952.24"/>
    <n v="47476.79"/>
    <n v="41795.47"/>
    <n v="41795.47"/>
    <n v="41795.47"/>
    <n v="41795.47"/>
    <n v="41795.47"/>
    <n v="41795.47"/>
    <n v="41795.47"/>
    <n v="47476.79"/>
    <n v="47476.79"/>
    <n v="47476.79"/>
    <n v="47476.79"/>
    <n v="47476.79"/>
  </r>
  <r>
    <s v="SMDHC"/>
    <s v="Contratos"/>
    <s v="Atividades"/>
    <n v="6074202400026510"/>
    <s v="Está"/>
    <x v="0"/>
    <x v="0"/>
    <s v="238/SMDHC/2024"/>
    <x v="3"/>
    <s v="MR COMPUTER INFORMATICA LTDA"/>
    <d v="2026-08-01T00:00:00"/>
    <n v="506030.4"/>
    <n v="21084.6"/>
    <n v="21084.6"/>
    <n v="21084.6"/>
    <n v="21084.6"/>
    <n v="21084.6"/>
    <n v="21084.6"/>
    <n v="21084.6"/>
    <n v="21084.6"/>
    <n v="22771.37"/>
    <n v="22771.37"/>
    <n v="22771.37"/>
    <n v="22771.37"/>
    <n v="22771.37"/>
  </r>
  <r>
    <s v="SMDHC"/>
    <s v="Contratos"/>
    <s v="Atividades"/>
    <n v="6074202400044930"/>
    <s v="Está"/>
    <x v="0"/>
    <x v="0"/>
    <s v="241/SMDHC/2024"/>
    <x v="4"/>
    <s v="PRODAMSP SA"/>
    <d v="2025-07-31T00:00:00"/>
    <n v="188304.73"/>
    <n v="16349.81"/>
    <n v="15222.24"/>
    <n v="15222.24"/>
    <n v="15222.24"/>
    <n v="15222.24"/>
    <n v="15222.24"/>
    <n v="15222.24"/>
    <n v="15222.24"/>
    <n v="16349.81"/>
    <n v="16349.81"/>
    <n v="16349.81"/>
    <n v="16349.81"/>
    <n v="16349.81"/>
  </r>
  <r>
    <s v="SMDHC"/>
    <s v="Contratos"/>
    <s v="Atividades"/>
    <n v="6074202300008030"/>
    <s v="Está"/>
    <x v="1"/>
    <x v="1"/>
    <s v="172/SMDHC/2023"/>
    <x v="5"/>
    <s v="CLIMATECNICA AR CONDICIONADO COMERCIO E SERVICOS LTDA"/>
    <d v="2026-08-15T00:00:00"/>
    <n v="61635.6"/>
    <n v="5136.3"/>
    <n v="5136.3"/>
    <n v="5136.3"/>
    <n v="5136.3"/>
    <n v="5136.3"/>
    <n v="5136.3"/>
    <n v="5136.3"/>
    <n v="5136.3"/>
    <n v="5997.2"/>
    <n v="5997.2"/>
    <n v="5997.2"/>
    <n v="5997.2"/>
    <n v="5997.2"/>
  </r>
  <r>
    <s v="SMDHC"/>
    <s v="Contratos"/>
    <s v="Atividades"/>
    <n v="6074201700000330"/>
    <s v="Não está"/>
    <x v="1"/>
    <x v="1"/>
    <s v="010/SMDHC/2018"/>
    <x v="6"/>
    <s v="FWMA Administradora LTDA"/>
    <d v="2027-02-10T00:00:00"/>
    <n v="4500"/>
    <m/>
    <s v="R$                        -  "/>
    <n v="4500"/>
    <s v="R$                        -  "/>
    <s v=" R$                        -  "/>
    <s v=" R$                        -  "/>
    <s v=" R$                        -  "/>
    <s v=" R$                        -  "/>
    <s v=" R$                        -  "/>
    <s v=" R$                        -  "/>
    <s v=" R$                        -  "/>
    <s v=" R$                        -  "/>
    <s v=" R$                             -  "/>
  </r>
  <r>
    <s v="SMDHC"/>
    <s v="Contratos"/>
    <s v="Atividades"/>
    <n v="6074201700000330"/>
    <s v="Não está"/>
    <x v="2"/>
    <x v="1"/>
    <s v="010/SMDHC/2018"/>
    <x v="7"/>
    <s v="FWMA Administradora LTDA"/>
    <d v="2027-02-10T00:00:00"/>
    <n v="178220"/>
    <s v="R$                        -  "/>
    <m/>
    <n v="178220"/>
    <s v="R$                        -  "/>
    <s v=" R$                        -  "/>
    <s v=" R$                        -  "/>
    <s v=" R$                        -  "/>
    <s v=" R$                        -  "/>
    <s v=" R$                        -  "/>
    <s v=" R$                        -  "/>
    <s v=" R$                        -  "/>
    <s v=" R$                        -  "/>
    <s v=" R$                             -  "/>
  </r>
  <r>
    <s v="SMDHC"/>
    <s v="Contratos"/>
    <s v="Atividades"/>
    <n v="6074201700000330"/>
    <s v="Não está"/>
    <x v="1"/>
    <x v="1"/>
    <s v="010/SMDHC/2018"/>
    <x v="8"/>
    <s v="FWMA Administradora LTDA"/>
    <d v="2027-02-10T00:00:00"/>
    <n v="2286215.62"/>
    <n v="191701.31"/>
    <n v="177501.21"/>
    <n v="191701.31"/>
    <n v="191701.31"/>
    <n v="191701.31"/>
    <n v="191701.31"/>
    <n v="191701.31"/>
    <n v="191701.31"/>
    <n v="191701.31"/>
    <n v="191701.31"/>
    <n v="191701.31"/>
    <n v="191701.31"/>
    <n v="191701.31"/>
  </r>
  <r>
    <s v="SMDHC"/>
    <s v="Contratos"/>
    <s v="Atividades"/>
    <n v="6074201900011300"/>
    <s v="Está"/>
    <x v="1"/>
    <x v="1"/>
    <s v="012/SMDHC/2019"/>
    <x v="9"/>
    <s v="CLARO S.A"/>
    <d v="2026-06-06T00:00:00"/>
    <n v="19749"/>
    <n v="1645.75"/>
    <n v="1645.75"/>
    <n v="1645.75"/>
    <n v="1645.75"/>
    <n v="1645.75"/>
    <n v="1645.75"/>
    <n v="1645.75"/>
    <n v="1645.75"/>
    <n v="1645.75"/>
    <n v="1645.75"/>
    <n v="1645.75"/>
    <n v="1645.75"/>
    <n v="1645.75"/>
  </r>
  <r>
    <s v="SMDHC"/>
    <s v="Contratos"/>
    <s v="Atividades"/>
    <n v="6074202000034310"/>
    <s v="Está"/>
    <x v="1"/>
    <x v="1"/>
    <s v="074/SMDHC/2020"/>
    <x v="10"/>
    <s v="TRANSQUERQUI LTDA. - EPP"/>
    <d v="2026-11-23T00:00:00"/>
    <n v="248655.5"/>
    <n v="23413"/>
    <n v="20182.95"/>
    <n v="20182.95"/>
    <n v="20182.95"/>
    <n v="20182.95"/>
    <n v="20182.95"/>
    <n v="20182.95"/>
    <n v="20182.95"/>
    <n v="20182.95"/>
    <n v="20182.95"/>
    <n v="20182.95"/>
    <n v="23413"/>
    <n v="23413"/>
  </r>
  <r>
    <s v="SMDHC"/>
    <s v="Contratos"/>
    <s v="Atividades"/>
    <n v="6074202100003880"/>
    <s v="Está"/>
    <x v="3"/>
    <x v="1"/>
    <s v="322/SMDHC2021"/>
    <x v="11"/>
    <s v="PIERCOFFEE BR SERVICES FACILITIES LTDA"/>
    <d v="2026-11-23T00:00:00"/>
    <n v="19961.400000000001"/>
    <n v="1785"/>
    <n v="1652.4"/>
    <n v="1652.4"/>
    <n v="1652.4"/>
    <n v="1652.4"/>
    <n v="1652.4"/>
    <n v="1652.4"/>
    <n v="1652.4"/>
    <n v="1652.4"/>
    <n v="1652.4"/>
    <n v="1652.4"/>
    <n v="1652.4"/>
    <n v="1785"/>
  </r>
  <r>
    <s v="SMDHC"/>
    <s v="Contratos"/>
    <s v="Atividades"/>
    <n v="6074202100023310"/>
    <s v="Está"/>
    <x v="1"/>
    <x v="1"/>
    <s v="350/SMDHC/2021"/>
    <x v="12"/>
    <s v="SAGAZ SERVIÇOS E COMÉRCIO DE EQUIPAMENTOS"/>
    <d v="2026-12-14T00:00:00"/>
    <n v="461505.77"/>
    <n v="41260.449999999997"/>
    <n v="38204.120000000003"/>
    <n v="38204.120000000003"/>
    <n v="38204.120000000003"/>
    <n v="38204.120000000003"/>
    <n v="38204.120000000003"/>
    <n v="38204.120000000003"/>
    <n v="38204.120000000003"/>
    <n v="38204.120000000003"/>
    <n v="38204.120000000003"/>
    <n v="38204.120000000003"/>
    <n v="38204.120000000003"/>
    <n v="41260.449999999997"/>
  </r>
  <r>
    <s v="SMDHC"/>
    <s v="Contratos"/>
    <s v="Atividades"/>
    <n v="6074202100086750"/>
    <s v="Está"/>
    <x v="1"/>
    <x v="1"/>
    <n v="9912565743"/>
    <x v="13"/>
    <s v="EMPRESA BRASILEIRA DE CORREIOS E TELEGRAFOS"/>
    <d v="2026-02-01T00:00:00"/>
    <n v="6000"/>
    <n v="500"/>
    <n v="500"/>
    <n v="500"/>
    <n v="500"/>
    <n v="500"/>
    <n v="500"/>
    <n v="500"/>
    <n v="500"/>
    <n v="500"/>
    <n v="500"/>
    <n v="500"/>
    <n v="500"/>
    <n v="500"/>
  </r>
  <r>
    <s v="SMDHC"/>
    <s v="Contratos"/>
    <s v="Atividades"/>
    <n v="6074202200013230"/>
    <s v="Está"/>
    <x v="1"/>
    <x v="1"/>
    <s v="141/SMDHC/2022"/>
    <x v="14"/>
    <s v="PIERCOFFEE BR SERVICES FACILITIES LTDA"/>
    <d v="2026-07-28T00:00:00"/>
    <n v="175998.65"/>
    <n v="15281.3"/>
    <n v="14227.45"/>
    <n v="14227.45"/>
    <n v="14227.45"/>
    <n v="14227.45"/>
    <n v="14227.45"/>
    <n v="14227.45"/>
    <n v="14227.45"/>
    <n v="15281.3"/>
    <n v="15281.3"/>
    <n v="15281.3"/>
    <n v="15281.3"/>
    <n v="15281.3"/>
  </r>
  <r>
    <s v="SMDHC"/>
    <s v="Contratos"/>
    <s v="Atividades"/>
    <n v="6074202200038580"/>
    <s v="Está"/>
    <x v="1"/>
    <x v="1"/>
    <s v="144/SMDHC/2022"/>
    <x v="15"/>
    <s v="ACJS - Saneamento e Controle Ambiental"/>
    <d v="2026-07-06T00:00:00"/>
    <n v="1705.28"/>
    <s v="R$                        -  "/>
    <n v="852.64"/>
    <s v="R$                        -  "/>
    <s v=" R$                        -  "/>
    <s v=" R$                        -  "/>
    <s v=" R$                        -  "/>
    <n v="852.64"/>
    <s v="R$                        -  "/>
    <s v=" R$                        -  "/>
    <s v=" R$                        -  "/>
    <s v=" R$                        -  "/>
    <s v=" R$                        -  "/>
    <s v=" R$                             -  "/>
  </r>
  <r>
    <s v="SMDHC"/>
    <s v="Contratos"/>
    <s v="Atividades"/>
    <n v="6074202200071840"/>
    <s v="Está"/>
    <x v="1"/>
    <x v="1"/>
    <s v="212/SMDHC/2022"/>
    <x v="16"/>
    <s v="SANTOS &amp; SILVA - COMÉRCIO E SERVIÇOS DE MANUTENÇÃO EM ELEVADORES LTDA"/>
    <d v="2025-10-23T00:00:00"/>
    <n v="26999.18"/>
    <n v="2446.34"/>
    <n v="2193.77"/>
    <n v="2193.77"/>
    <n v="2193.77"/>
    <n v="2193.77"/>
    <n v="2193.77"/>
    <n v="2193.77"/>
    <n v="2193.77"/>
    <n v="2193.77"/>
    <n v="2193.77"/>
    <n v="2362.5700000000002"/>
    <n v="2446.34"/>
    <n v="2446.34"/>
  </r>
  <r>
    <s v="SMDHC"/>
    <s v="Contratos"/>
    <s v="Atividades"/>
    <n v="6074202200079130"/>
    <s v="Está"/>
    <x v="1"/>
    <x v="1"/>
    <s v="062/SMDHC/2023"/>
    <x v="17"/>
    <s v="Ação Transporte e Turismo"/>
    <d v="2026-03-12T00:00:00"/>
    <n v="418574.16"/>
    <n v="35299.47"/>
    <n v="32789.730000000003"/>
    <n v="32789.730000000003"/>
    <n v="35299.47"/>
    <n v="35299.47"/>
    <n v="35299.47"/>
    <n v="35299.47"/>
    <n v="35299.47"/>
    <n v="35299.47"/>
    <n v="35299.47"/>
    <n v="35299.47"/>
    <n v="35299.47"/>
    <n v="35299.47"/>
  </r>
  <r>
    <s v="SMDHC"/>
    <s v="Contratos"/>
    <s v="Atividades"/>
    <n v="6074202200079920"/>
    <s v="Está"/>
    <x v="1"/>
    <x v="1"/>
    <s v="325/SMDHC/2022"/>
    <x v="18"/>
    <s v="LOCALIZA VEICULOS ESPECIAIS AS"/>
    <d v="2026-12-23T00:00:00"/>
    <n v="182275.44"/>
    <n v="16145.74"/>
    <n v="15102.7"/>
    <n v="15102.7"/>
    <n v="15102.7"/>
    <n v="15102.7"/>
    <n v="15102.7"/>
    <n v="15102.7"/>
    <n v="15102.7"/>
    <n v="15102.7"/>
    <n v="15102.7"/>
    <n v="15102.7"/>
    <n v="15102.7"/>
    <n v="16145.74"/>
  </r>
  <r>
    <s v="SMDHC"/>
    <s v="Contratos"/>
    <s v="Atividades"/>
    <n v="6074202300019210"/>
    <s v="Está"/>
    <x v="4"/>
    <x v="1"/>
    <s v="065/SMDHC2023"/>
    <x v="19"/>
    <s v="LNX TRAVEL VIAGENS E TURISMO EIRELI"/>
    <d v="2026-03-27T00:00:00"/>
    <n v="100000"/>
    <n v="8333.33"/>
    <n v="8333.33"/>
    <n v="8333.33"/>
    <n v="8333.33"/>
    <n v="8333.33"/>
    <n v="8333.33"/>
    <n v="8333.33"/>
    <n v="8333.33"/>
    <n v="8333.33"/>
    <n v="8333.33"/>
    <n v="8333.33"/>
    <n v="8333.33"/>
    <n v="8333.3700000000008"/>
  </r>
  <r>
    <s v="SMDHC"/>
    <s v="Contratos"/>
    <s v="Atividades"/>
    <n v="6074202300020630"/>
    <s v="Está"/>
    <x v="1"/>
    <x v="1"/>
    <s v="079/SMDHC/2023"/>
    <x v="20"/>
    <s v="ORLEANS VIAGENS E TURISMO LTDA"/>
    <d v="2026-07-01T00:00:00"/>
    <n v="90000"/>
    <n v="7500"/>
    <n v="7500"/>
    <n v="7500"/>
    <n v="7500"/>
    <n v="7500"/>
    <n v="7500"/>
    <n v="7500"/>
    <n v="7500"/>
    <n v="7500"/>
    <n v="7500"/>
    <n v="7500"/>
    <n v="7500"/>
    <n v="7500"/>
  </r>
  <r>
    <s v="SMDHC"/>
    <s v="Contratos"/>
    <s v="Atividades"/>
    <n v="6074202300026080"/>
    <s v="Está"/>
    <x v="1"/>
    <x v="1"/>
    <s v="152/SMDHC/2024"/>
    <x v="21"/>
    <s v="CS BRASIL TRANSPORTES DE PASSAGEIROS"/>
    <d v="2026-05-12T00:00:00"/>
    <n v="2928800"/>
    <n v="250000"/>
    <n v="232200"/>
    <n v="232200"/>
    <n v="232200"/>
    <n v="232200"/>
    <n v="250000"/>
    <n v="250000"/>
    <n v="250000"/>
    <n v="250000"/>
    <n v="250000"/>
    <n v="250000"/>
    <n v="250000"/>
    <n v="250000"/>
  </r>
  <r>
    <s v="SMDHC"/>
    <s v="Contratos"/>
    <s v="Atividades"/>
    <n v="6074202300027630"/>
    <s v="Está"/>
    <x v="1"/>
    <x v="1"/>
    <s v="314/SMDHC/2023"/>
    <x v="22"/>
    <s v="PAINEIRAS LIMPEZA E SERVICOS GERAIS LTDA"/>
    <d v="2026-10-22T00:00:00"/>
    <n v="455716.5"/>
    <n v="49189.05"/>
    <n v="37533.839999999997"/>
    <n v="37533.839999999997"/>
    <n v="37533.839999999997"/>
    <n v="37533.839999999997"/>
    <n v="37533.839999999997"/>
    <n v="37533.839999999997"/>
    <n v="37533.839999999997"/>
    <n v="37533.839999999997"/>
    <n v="37533.839999999997"/>
    <n v="37533.839999999997"/>
    <n v="40189.050000000003"/>
    <n v="40189.050000000003"/>
  </r>
  <r>
    <s v="SMDHC"/>
    <s v="Contratos"/>
    <s v="Atividades"/>
    <n v="6074202300065530"/>
    <s v="Está"/>
    <x v="1"/>
    <x v="1"/>
    <s v="261/SMDHC/2024"/>
    <x v="23"/>
    <s v="UNISERV TERCEIRIZACAO E SERVICOS LTDA"/>
    <d v="2026-09-16T00:00:00"/>
    <n v="1304861.3999999999"/>
    <n v="108738.45"/>
    <n v="108738.45"/>
    <n v="108738.45"/>
    <n v="108738.45"/>
    <n v="108738.45"/>
    <n v="108738.45"/>
    <n v="108738.45"/>
    <n v="108738.45"/>
    <n v="108738.45"/>
    <n v="108738.45"/>
    <n v="108738.45"/>
    <n v="108738.45"/>
    <n v="108738.45"/>
  </r>
  <r>
    <s v="SMDHC"/>
    <s v="Contratos"/>
    <s v="Atividades"/>
    <n v="6074202300072300"/>
    <s v="Está"/>
    <x v="1"/>
    <x v="1"/>
    <s v="325/SMDHC/2023"/>
    <x v="24"/>
    <s v="Brazon Maxfilter Industria e Locação"/>
    <d v="2026-09-30T00:00:00"/>
    <n v="8255.8799999999992"/>
    <n v="724.47"/>
    <n v="675.83"/>
    <n v="675.83"/>
    <n v="675.83"/>
    <n v="675.83"/>
    <n v="675.83"/>
    <n v="675.83"/>
    <n v="675.83"/>
    <n v="675.83"/>
    <n v="675.83"/>
    <n v="724.47"/>
    <n v="724.47"/>
    <n v="724.47"/>
  </r>
  <r>
    <s v="SMDHC"/>
    <s v="Contratos"/>
    <s v="Atividades"/>
    <n v="6074202400004070"/>
    <s v="Está"/>
    <x v="1"/>
    <x v="1"/>
    <s v="079/SMDHC/2024"/>
    <x v="25"/>
    <s v="ANA PAULA FLORENCIO DA SILVA"/>
    <d v="2026-03-13T00:00:00"/>
    <n v="36000"/>
    <n v="3000"/>
    <n v="3000"/>
    <n v="3000"/>
    <n v="3000"/>
    <n v="3000"/>
    <n v="3000"/>
    <n v="3000"/>
    <n v="3000"/>
    <n v="3000"/>
    <n v="3000"/>
    <n v="3000"/>
    <n v="3000"/>
    <n v="3000"/>
  </r>
  <r>
    <s v="SMDHC"/>
    <s v="Contratos"/>
    <s v="Atividades"/>
    <n v="6074202400020500"/>
    <s v="Está"/>
    <x v="1"/>
    <x v="1"/>
    <s v="438/SMDHC/2024"/>
    <x v="26"/>
    <s v="OPERADORA JRC TELECOMUNICACOES LTDA"/>
    <d v="2026-02-02T00:00:00"/>
    <n v="42750"/>
    <n v="3562.5"/>
    <n v="3562.5"/>
    <n v="3562.5"/>
    <n v="3562.5"/>
    <n v="3562.5"/>
    <n v="3562.5"/>
    <n v="3562.5"/>
    <n v="3562.5"/>
    <n v="3562.5"/>
    <n v="3562.5"/>
    <n v="3562.5"/>
    <n v="3562.5"/>
    <n v="3562.5"/>
  </r>
  <r>
    <s v="SMDHC"/>
    <s v="Contratos"/>
    <s v="Atividades"/>
    <n v="6074202400026080"/>
    <s v="Está"/>
    <x v="1"/>
    <x v="1"/>
    <s v="437/SMDHC/2024"/>
    <x v="27"/>
    <s v="TECHNOLOGY S/AINFRAESTRUTURA TELECOM"/>
    <m/>
    <n v="36580.879999999997"/>
    <n v="3058.6"/>
    <n v="3303.29"/>
    <n v="3303.29"/>
    <n v="3303.29"/>
    <n v="3303.29"/>
    <n v="3303.29"/>
    <n v="3303.29"/>
    <n v="3303.29"/>
    <n v="3303.29"/>
    <n v="3303.29"/>
    <n v="3303.29"/>
    <n v="3303.29"/>
    <n v="3547.98"/>
  </r>
  <r>
    <s v="SMDHC"/>
    <s v="Contratos"/>
    <s v="Atividades"/>
    <n v="6074202400039430"/>
    <s v="Está"/>
    <x v="5"/>
    <x v="1"/>
    <s v="259/SMDHC2024"/>
    <x v="28"/>
    <s v="MINERVA ENGENHARIA LTDA"/>
    <d v="2026-08-25T00:00:00"/>
    <n v="60000"/>
    <n v="5000"/>
    <n v="5000"/>
    <n v="5000"/>
    <n v="5000"/>
    <n v="5000"/>
    <n v="5000"/>
    <n v="5000"/>
    <n v="5000"/>
    <n v="5000"/>
    <n v="5000"/>
    <n v="5000"/>
    <n v="5000"/>
    <n v="5000"/>
  </r>
  <r>
    <s v="SMDHC"/>
    <s v="Contratos"/>
    <s v="Atividades"/>
    <n v="6074202400061680"/>
    <s v="Está"/>
    <x v="1"/>
    <x v="1"/>
    <s v="345/SMDHC/2024"/>
    <x v="29"/>
    <s v="IMPACTO SOLUCOES OPERACIONAIS LTDA"/>
    <d v="2026-11-24T00:00:00"/>
    <n v="95380.12"/>
    <n v="8471.26"/>
    <n v="7843.76"/>
    <n v="7843.76"/>
    <n v="7843.76"/>
    <n v="7843.76"/>
    <n v="7843.76"/>
    <n v="7843.76"/>
    <n v="7843.76"/>
    <n v="7843.76"/>
    <n v="7843.76"/>
    <n v="7843.76"/>
    <n v="8471.26"/>
    <n v="8471.26"/>
  </r>
  <r>
    <s v="SMDHC"/>
    <s v="Contratos"/>
    <s v="Atividades"/>
    <n v="6074202400065410"/>
    <s v="Está"/>
    <x v="1"/>
    <x v="1"/>
    <s v="336/SMDHC/2024"/>
    <x v="30"/>
    <s v="SAKURA DEDETIZADORA LTDA"/>
    <d v="2026-12-03T00:00:00"/>
    <n v="1240"/>
    <s v="R$                        -  "/>
    <n v="580"/>
    <s v="R$                        -  "/>
    <s v=" R$                        -  "/>
    <s v=" R$                        -  "/>
    <s v=" R$                        -  "/>
    <s v=" R$                        -  "/>
    <s v=" R$                        -  "/>
    <s v=" R$                        -  "/>
    <s v=" R$                        -  "/>
    <n v="660"/>
    <s v="R$                        -  "/>
    <s v=" R$                             -  "/>
  </r>
  <r>
    <s v="SMDHC"/>
    <s v="Contratos"/>
    <s v="Atividades"/>
    <n v="6074202400089380"/>
    <s v="Está"/>
    <x v="1"/>
    <x v="1"/>
    <s v="028/SMDHC/2025"/>
    <x v="31"/>
    <s v="KATEL COMÉRCIO E ASSESSORIA EM TELEFONIA LTDA"/>
    <d v="2026-03-13T00:00:00"/>
    <n v="111996"/>
    <n v="9333"/>
    <n v="9333"/>
    <n v="9333"/>
    <n v="9333"/>
    <n v="9333"/>
    <n v="9333"/>
    <n v="9333"/>
    <n v="9333"/>
    <n v="9333"/>
    <n v="9333"/>
    <n v="9333"/>
    <n v="9333"/>
    <n v="9333"/>
  </r>
  <r>
    <s v="SMDHC"/>
    <s v="Contratos"/>
    <s v="Atividades"/>
    <n v="6074202400099120"/>
    <s v="Está"/>
    <x v="1"/>
    <x v="1"/>
    <s v="NE"/>
    <x v="32"/>
    <s v="SABESP"/>
    <d v="2026-12-31T00:00:00"/>
    <n v="204000"/>
    <n v="17000"/>
    <n v="17000"/>
    <n v="17000"/>
    <n v="17000"/>
    <n v="17000"/>
    <n v="17000"/>
    <n v="17000"/>
    <n v="17000"/>
    <n v="17000"/>
    <n v="17000"/>
    <n v="17000"/>
    <n v="17000"/>
    <n v="17000"/>
  </r>
  <r>
    <s v="SMDHC"/>
    <s v="Contratos"/>
    <s v="Atividades"/>
    <n v="6074202400099130"/>
    <s v="Está"/>
    <x v="1"/>
    <x v="1"/>
    <s v="NE"/>
    <x v="33"/>
    <s v="COMGÁS"/>
    <d v="2026-12-31T00:00:00"/>
    <n v="7200"/>
    <n v="600"/>
    <n v="600"/>
    <n v="600"/>
    <n v="600"/>
    <n v="600"/>
    <n v="600"/>
    <n v="600"/>
    <n v="600"/>
    <n v="600"/>
    <n v="600"/>
    <n v="600"/>
    <n v="600"/>
    <n v="600"/>
  </r>
  <r>
    <s v="SMDHC"/>
    <s v="Contratos"/>
    <s v="Atividades"/>
    <n v="6074202400099150"/>
    <s v="Está"/>
    <x v="1"/>
    <x v="1"/>
    <s v="NE"/>
    <x v="34"/>
    <s v="ENEL"/>
    <d v="2026-12-31T00:00:00"/>
    <n v="240000"/>
    <n v="20000"/>
    <n v="20000"/>
    <n v="20000"/>
    <n v="20000"/>
    <n v="20000"/>
    <n v="20000"/>
    <n v="20000"/>
    <n v="20000"/>
    <n v="20000"/>
    <n v="20000"/>
    <n v="20000"/>
    <n v="20000"/>
    <n v="20000"/>
  </r>
  <r>
    <s v="SMDHC"/>
    <s v="Contratos"/>
    <s v="Atividades"/>
    <n v="6074202500001940"/>
    <s v="Está"/>
    <x v="6"/>
    <x v="1"/>
    <s v="006/SMDHC/2025"/>
    <x v="35"/>
    <s v="D S A CHAVES LTDA"/>
    <d v="2026-12-31T00:00:00"/>
    <n v="7500"/>
    <m/>
    <m/>
    <n v="7500"/>
    <m/>
    <m/>
    <m/>
    <m/>
    <m/>
    <m/>
    <m/>
    <m/>
    <m/>
    <m/>
  </r>
  <r>
    <s v="SMDHC"/>
    <s v="Contratos"/>
    <s v="Atividades"/>
    <n v="6074202500012870"/>
    <s v="Está"/>
    <x v="1"/>
    <x v="1"/>
    <m/>
    <x v="36"/>
    <s v="NP TECNOLOGIA E GESTÃO DE DADOS LTDA"/>
    <m/>
    <n v="15000"/>
    <m/>
    <m/>
    <m/>
    <n v="15000"/>
    <m/>
    <m/>
    <m/>
    <m/>
    <m/>
    <m/>
    <m/>
    <m/>
    <m/>
  </r>
  <r>
    <s v="SMDHC"/>
    <s v="Contratos"/>
    <s v="Atividades"/>
    <n v="6074202500013480"/>
    <s v="Não está"/>
    <x v="7"/>
    <x v="1"/>
    <s v="XX/SMDHC/2026"/>
    <x v="37"/>
    <s v="Novo Edital"/>
    <d v="2026-08-02T00:00:00"/>
    <n v="540504.6"/>
    <n v="45042.05"/>
    <n v="45042.05"/>
    <n v="45042.05"/>
    <n v="45042.05"/>
    <n v="45042.05"/>
    <n v="45042.05"/>
    <n v="45042.05"/>
    <n v="45042.05"/>
    <n v="45042.05"/>
    <n v="45042.05"/>
    <n v="45042.05"/>
    <n v="45042.05"/>
    <n v="45042.05"/>
  </r>
  <r>
    <s v="SMDHC"/>
    <s v="Contratos"/>
    <s v="Atividades"/>
    <n v="6074202500013490"/>
    <s v="Não está"/>
    <x v="1"/>
    <x v="1"/>
    <s v="xxx/SMDHC/2026"/>
    <x v="38"/>
    <s v="xxxx"/>
    <s v="XX/XX/2026"/>
    <n v="1239383.04"/>
    <n v="103281.92"/>
    <n v="103281.92"/>
    <n v="103281.92"/>
    <n v="103281.92"/>
    <n v="103281.92"/>
    <n v="103281.92"/>
    <n v="103281.92"/>
    <n v="103281.92"/>
    <n v="103281.92"/>
    <n v="103281.92"/>
    <n v="103281.92"/>
    <n v="103281.92"/>
    <n v="103281.92"/>
  </r>
  <r>
    <s v="SMDHC"/>
    <s v="Contratos"/>
    <s v="Atividades"/>
    <n v="6074202500013490"/>
    <s v="Não está"/>
    <x v="6"/>
    <x v="1"/>
    <s v="xxx/SMDHC/2026"/>
    <x v="39"/>
    <s v="xxxx"/>
    <s v="XX/XX/2026"/>
    <n v="309845.76000000001"/>
    <n v="25820.48"/>
    <n v="25820.48"/>
    <n v="25820.48"/>
    <n v="25820.48"/>
    <n v="25820.48"/>
    <n v="25820.48"/>
    <n v="25820.48"/>
    <n v="25820.48"/>
    <n v="25820.48"/>
    <n v="25820.48"/>
    <n v="25820.48"/>
    <n v="25820.48"/>
    <n v="25820.48"/>
  </r>
  <r>
    <s v="SMDHC"/>
    <s v="Contratos"/>
    <s v="Atividades"/>
    <n v="6074202500013490"/>
    <s v="Não está"/>
    <x v="6"/>
    <x v="1"/>
    <s v="xxx/SMDHC/2026"/>
    <x v="40"/>
    <s v="LANG SERVIÇOS LTDA"/>
    <s v="XX/XX/2026"/>
    <n v="113336"/>
    <n v="9444.67"/>
    <n v="9140"/>
    <n v="9140"/>
    <n v="9140"/>
    <n v="9140"/>
    <n v="9140"/>
    <n v="9140"/>
    <n v="9140"/>
    <n v="9871.2000000000007"/>
    <n v="9871.2000000000007"/>
    <n v="9871.2000000000007"/>
    <n v="9871.2000000000007"/>
    <n v="9871.2000000000007"/>
  </r>
  <r>
    <s v="SMDHC"/>
    <s v="Contratos"/>
    <s v="Atividades"/>
    <n v="6074202500046380"/>
    <s v="Não está"/>
    <x v="1"/>
    <x v="1"/>
    <s v="xxxx/SMDHC/2020"/>
    <x v="41"/>
    <s v="Lang Serviços Ltda"/>
    <d v="2026-08-04T00:00:00"/>
    <n v="94649.52"/>
    <n v="9140"/>
    <n v="9140"/>
    <n v="9140"/>
    <n v="9140"/>
    <n v="9140"/>
    <n v="9140"/>
    <n v="9140"/>
    <n v="9140"/>
    <n v="9871.2000000000007"/>
    <n v="9871.2000000000007"/>
    <n v="9871.2000000000007"/>
    <n v="9871.2000000000007"/>
    <n v="9871.2000000000007"/>
  </r>
  <r>
    <s v="SMDHC"/>
    <s v="Contratos"/>
    <s v="Atividades"/>
    <n v="6074202500047180"/>
    <s v="Não está"/>
    <x v="1"/>
    <x v="1"/>
    <s v="xxx/SMDHC/2026"/>
    <x v="42"/>
    <s v="xxxxxxxx"/>
    <s v="XX/XX/2026"/>
    <n v="113336"/>
    <n v="9444.67"/>
    <n v="9140"/>
    <n v="9140"/>
    <n v="9140"/>
    <n v="9140"/>
    <n v="9140"/>
    <n v="9140"/>
    <n v="9140"/>
    <n v="9871.2000000000007"/>
    <n v="9871.2000000000007"/>
    <n v="9871.2000000000007"/>
    <n v="9871.2000000000007"/>
    <n v="9871.2000000000007"/>
  </r>
  <r>
    <s v="SMDHC"/>
    <s v="Contratos"/>
    <s v="Atividades"/>
    <s v="60742026000xxxxx"/>
    <s v="Não está"/>
    <x v="6"/>
    <x v="1"/>
    <s v="xxx/SMDHC/2026"/>
    <x v="43"/>
    <s v="xxxxxxxxx"/>
    <s v="XX/XX/2026"/>
    <n v="200000"/>
    <n v="200000"/>
    <m/>
    <n v="200000"/>
    <m/>
    <m/>
    <m/>
    <m/>
    <m/>
    <m/>
    <m/>
    <m/>
    <m/>
    <m/>
  </r>
  <r>
    <s v="SMDHC"/>
    <s v="Contratos"/>
    <s v="Atividades"/>
    <s v="60742026000xxxxx"/>
    <s v="Não está"/>
    <x v="6"/>
    <x v="1"/>
    <s v="xxx/SMDHC/2026"/>
    <x v="44"/>
    <s v="xxxxxxxxx"/>
    <s v="XX/XX/2026"/>
    <n v="30000"/>
    <n v="65000"/>
    <m/>
    <n v="65000"/>
    <m/>
    <m/>
    <m/>
    <m/>
    <m/>
    <m/>
    <m/>
    <m/>
    <m/>
    <m/>
  </r>
  <r>
    <s v="SMDHC"/>
    <s v="Contratos"/>
    <s v="Atividades"/>
    <s v="60742026000xxxxx"/>
    <s v="Não está"/>
    <x v="6"/>
    <x v="1"/>
    <s v="xxx/SMDHC/2026"/>
    <x v="45"/>
    <s v="xxxxxxxxx"/>
    <s v="XX/XX/2026"/>
    <n v="30000"/>
    <n v="30000"/>
    <m/>
    <n v="30000"/>
    <m/>
    <m/>
    <m/>
    <m/>
    <m/>
    <m/>
    <m/>
    <m/>
    <m/>
    <m/>
  </r>
  <r>
    <s v="SMDHC"/>
    <s v="Contratos"/>
    <s v="Atividades"/>
    <s v="60742026000xxxxx"/>
    <s v="Não está"/>
    <x v="6"/>
    <x v="1"/>
    <s v="xxx/SMDHC/2026"/>
    <x v="46"/>
    <s v="xxxxxxxxx"/>
    <s v="XX/XX/2026"/>
    <n v="20000"/>
    <n v="20000"/>
    <m/>
    <n v="30000"/>
    <m/>
    <m/>
    <m/>
    <m/>
    <m/>
    <m/>
    <m/>
    <m/>
    <m/>
    <m/>
  </r>
  <r>
    <s v="SMDHC"/>
    <s v="Contratos"/>
    <s v="Atividades"/>
    <s v="60742026000xxxxx"/>
    <s v="Não está"/>
    <x v="6"/>
    <x v="1"/>
    <s v="xxx/SMDHC/2026"/>
    <x v="47"/>
    <s v="xxxxxxxxx"/>
    <s v="XX/XX/2026"/>
    <n v="10000"/>
    <n v="10000"/>
    <m/>
    <m/>
    <m/>
    <m/>
    <m/>
    <m/>
    <m/>
    <m/>
    <m/>
    <m/>
    <m/>
    <m/>
  </r>
  <r>
    <s v="SMDHC"/>
    <s v="Contratos"/>
    <s v="Atividades"/>
    <s v="60742026000xxxxx"/>
    <s v="Não está"/>
    <x v="6"/>
    <x v="1"/>
    <s v="xxx/SMDHC/2026"/>
    <x v="48"/>
    <s v="xxxxxxxxx"/>
    <s v="XX/XX/2026"/>
    <n v="100000"/>
    <n v="100000"/>
    <m/>
    <n v="30000"/>
    <m/>
    <m/>
    <n v="30000"/>
    <m/>
    <m/>
    <m/>
    <n v="40000"/>
    <m/>
    <m/>
    <m/>
  </r>
  <r>
    <s v="SMDHC"/>
    <s v="Contratos"/>
    <s v="Atividades"/>
    <s v="60742026000xxxxx"/>
    <s v="Não está"/>
    <x v="6"/>
    <x v="1"/>
    <s v="xxx/SMDHC/2026"/>
    <x v="49"/>
    <s v="xxxxxxxxx"/>
    <s v="XX/XX/2026"/>
    <n v="10000"/>
    <n v="10000"/>
    <m/>
    <m/>
    <m/>
    <n v="10000"/>
    <m/>
    <m/>
    <m/>
    <m/>
    <m/>
    <m/>
    <m/>
    <m/>
  </r>
  <r>
    <s v="SMDHC"/>
    <s v="Contratos"/>
    <s v="Atividades"/>
    <s v="diárias"/>
    <s v="Não está"/>
    <x v="8"/>
    <x v="1"/>
    <s v="diárias"/>
    <x v="50"/>
    <s v="diárias"/>
    <d v="2026-12-31T00:00:00"/>
    <n v="252000"/>
    <n v="21000"/>
    <n v="21000"/>
    <n v="21000"/>
    <n v="21000"/>
    <n v="21000"/>
    <n v="21000"/>
    <n v="21000"/>
    <n v="21000"/>
    <n v="21000"/>
    <n v="21000"/>
    <n v="21000"/>
    <n v="21000"/>
    <n v="21000"/>
  </r>
  <r>
    <s v="SMDHC"/>
    <s v="Contratos"/>
    <s v="Atividades"/>
    <n v="6074202300008030"/>
    <s v="Está"/>
    <x v="9"/>
    <x v="2"/>
    <s v="172/SMDHC/2023"/>
    <x v="51"/>
    <s v="CLIMATECNICA AR CONDICIONADO COMERCIO E SERVICOS LTDA"/>
    <d v="2026-08-15T00:00:00"/>
    <n v="319964.28000000003"/>
    <n v="26663.69"/>
    <n v="26663.69"/>
    <n v="26663.69"/>
    <n v="26663.69"/>
    <n v="26663.69"/>
    <n v="26663.69"/>
    <n v="28691.94"/>
    <n v="28691.94"/>
    <n v="32310.92"/>
    <n v="32310.92"/>
    <n v="32310.92"/>
    <n v="32310.92"/>
    <n v="32310.92"/>
  </r>
  <r>
    <s v="SMDHC"/>
    <s v="Contratos"/>
    <s v="Atividades"/>
    <n v="6074201800009400"/>
    <s v="Está"/>
    <x v="9"/>
    <x v="2"/>
    <s v="027/SMDHC/2019"/>
    <x v="52"/>
    <s v="Telefel Telecomunicxações"/>
    <d v="2026-02-13T00:00:00"/>
    <n v="15254.96"/>
    <n v="1278.25"/>
    <n v="1194.21"/>
    <n v="1278.25"/>
    <n v="1278.25"/>
    <n v="1278.25"/>
    <n v="1278.25"/>
    <n v="1278.25"/>
    <n v="1278.25"/>
    <n v="1278.25"/>
    <n v="1278.25"/>
    <n v="1278.25"/>
    <n v="1278.25"/>
    <n v="1278.25"/>
  </r>
  <r>
    <s v="SMDHC"/>
    <s v="Contratos"/>
    <s v="Atividades"/>
    <n v="6074202000023030"/>
    <s v="Está"/>
    <x v="9"/>
    <x v="2"/>
    <s v="044/SMDHC/2020"/>
    <x v="53"/>
    <s v="Ruby Services Terceirização"/>
    <d v="2026-09-09T00:00:00"/>
    <n v="256216.44"/>
    <n v="22180.41"/>
    <n v="20936.849999999999"/>
    <n v="20936.849999999999"/>
    <n v="20936.849999999999"/>
    <n v="20936.849999999999"/>
    <n v="20936.849999999999"/>
    <n v="20936.849999999999"/>
    <n v="20936.849999999999"/>
    <n v="20936.849999999999"/>
    <n v="22180.41"/>
    <n v="22180.41"/>
    <n v="22180.41"/>
    <n v="22180.41"/>
  </r>
  <r>
    <s v="SMDHC"/>
    <s v="Contratos"/>
    <s v="Atividades"/>
    <n v="6074202000029570"/>
    <s v="Está"/>
    <x v="9"/>
    <x v="2"/>
    <s v="051/SMDHC/2020"/>
    <x v="54"/>
    <s v="MFC Consultoria e Assessoria"/>
    <d v="2026-10-01T00:00:00"/>
    <n v="211664.52"/>
    <n v="18418.71"/>
    <n v="17378.71"/>
    <n v="17378.71"/>
    <n v="17378.71"/>
    <n v="17378.71"/>
    <n v="17378.71"/>
    <n v="17378.71"/>
    <n v="17378.71"/>
    <n v="17378.71"/>
    <n v="17378.71"/>
    <n v="18418.71"/>
    <n v="18418.71"/>
    <n v="18418.71"/>
  </r>
  <r>
    <s v="SMDHC"/>
    <s v="Contratos"/>
    <s v="Atividades"/>
    <n v="6074202000030460"/>
    <s v="Está"/>
    <x v="9"/>
    <x v="2"/>
    <s v="037/SMDHC/2020"/>
    <x v="55"/>
    <s v="TELEFONICA BRASIL SA"/>
    <d v="2026-08-13T00:00:00"/>
    <n v="11414.4"/>
    <n v="1582.88"/>
    <n v="500"/>
    <n v="500"/>
    <n v="500"/>
    <n v="500"/>
    <n v="500"/>
    <n v="500"/>
    <n v="500"/>
    <n v="1582.88"/>
    <n v="1582.88"/>
    <n v="1582.88"/>
    <n v="1582.88"/>
    <n v="1582.88"/>
  </r>
  <r>
    <s v="SMDHC"/>
    <s v="Contratos"/>
    <s v="Atividades"/>
    <n v="6074202300013730"/>
    <s v="Está"/>
    <x v="9"/>
    <x v="2"/>
    <s v="067/SMDHC/2023"/>
    <x v="56"/>
    <s v="ACJS - Saneamento e Controle Ambiental"/>
    <d v="2026-05-07T00:00:00"/>
    <n v="691.2"/>
    <s v="R$                        -  "/>
    <m/>
    <n v="345.6"/>
    <s v="R$                        -  "/>
    <s v=" R$                        -  "/>
    <s v=" R$                        -  "/>
    <s v=" R$                        -  "/>
    <n v="691.2"/>
    <s v="R$                        -  "/>
    <s v=" R$                        -  "/>
    <s v=" R$                        -  "/>
    <s v=" R$                        -  "/>
    <s v=" R$                             -  "/>
  </r>
  <r>
    <s v="SMDHC"/>
    <s v="Contratos"/>
    <s v="Atividades"/>
    <n v="6074202300066920"/>
    <s v="Está"/>
    <x v="10"/>
    <x v="2"/>
    <s v="067/SMDHC/2025"/>
    <x v="57"/>
    <s v="ILRAM SEGURANÇA E VIGILANCIA LTDA"/>
    <m/>
    <n v="1083009.8400000001"/>
    <n v="95753.919999999998"/>
    <n v="89150.2"/>
    <n v="89150.2"/>
    <n v="89150.2"/>
    <n v="89150.2"/>
    <n v="89150.2"/>
    <n v="89150.2"/>
    <n v="89150.2"/>
    <n v="89150.2"/>
    <n v="89150.2"/>
    <n v="89150.2"/>
    <n v="95753.919999999998"/>
    <n v="95753.919999999998"/>
  </r>
  <r>
    <s v="SMDHC"/>
    <s v="Contratos"/>
    <s v="Atividades"/>
    <n v="6074202400020500"/>
    <s v="Está"/>
    <x v="9"/>
    <x v="2"/>
    <s v="438/SMDHC/2024"/>
    <x v="26"/>
    <s v="OPERADORA JRC TELECOMUNICACOES LTDA"/>
    <d v="2026-02-02T00:00:00"/>
    <n v="21375"/>
    <n v="1781.25"/>
    <n v="1781.25"/>
    <n v="1781.25"/>
    <n v="1781.25"/>
    <n v="1781.25"/>
    <n v="1781.25"/>
    <n v="1781.25"/>
    <n v="1781.25"/>
    <n v="1781.25"/>
    <n v="1781.25"/>
    <n v="1781.25"/>
    <n v="1781.25"/>
    <n v="1781.25"/>
  </r>
  <r>
    <s v="SMDHC"/>
    <s v="Contratos"/>
    <s v="Atividades"/>
    <n v="6074202400026080"/>
    <s v="Está"/>
    <x v="9"/>
    <x v="2"/>
    <s v="437/SMDHC/2024"/>
    <x v="27"/>
    <s v="TECHNOLOGY S/AINFRAESTRUTURA TELECOM"/>
    <d v="2026-12-11T00:00:00"/>
    <n v="12471.43"/>
    <n v="1109.42"/>
    <n v="1032.9100000000001"/>
    <n v="1032.9100000000001"/>
    <n v="1032.9100000000001"/>
    <n v="1032.9100000000001"/>
    <n v="1032.9100000000001"/>
    <n v="1032.9100000000001"/>
    <n v="1032.9100000000001"/>
    <n v="1032.9100000000001"/>
    <n v="1032.9100000000001"/>
    <n v="1032.9100000000001"/>
    <n v="1032.9100000000001"/>
    <n v="1109.42"/>
  </r>
  <r>
    <s v="SMDHC"/>
    <s v="Contratos"/>
    <s v="Atividades"/>
    <n v="6074202400056480"/>
    <s v="Está"/>
    <x v="9"/>
    <x v="2"/>
    <s v="439/SMDHC/2024"/>
    <x v="58"/>
    <s v="JK TRANSPORTES LOCACOES E SERVICOS"/>
    <d v="2026-12-11T00:00:00"/>
    <n v="1486890"/>
    <n v="132570"/>
    <n v="123120"/>
    <n v="123120"/>
    <n v="123120"/>
    <n v="123120"/>
    <n v="123120"/>
    <n v="123120"/>
    <n v="123120"/>
    <n v="123120"/>
    <n v="123120"/>
    <n v="123120"/>
    <n v="123120"/>
    <n v="132570"/>
  </r>
  <r>
    <s v="SMDHC"/>
    <s v="Contratos"/>
    <s v="Atividades"/>
    <n v="6074202400073430"/>
    <s v="Está"/>
    <x v="9"/>
    <x v="2"/>
    <s v="337/SMDHC/2024"/>
    <x v="59"/>
    <s v="CLEAN4 SERVICOS GERAIS E ADMINISTRATIVOS EIRELI"/>
    <d v="2026-12-01T00:00:00"/>
    <n v="564797.17000000004"/>
    <n v="50242.69"/>
    <n v="46777.68"/>
    <n v="46777.68"/>
    <n v="46777.68"/>
    <n v="46777.68"/>
    <n v="46777.68"/>
    <n v="46777.68"/>
    <n v="46777.68"/>
    <n v="46777.68"/>
    <n v="46777.68"/>
    <n v="46777.68"/>
    <n v="46777.68"/>
    <n v="50242.69"/>
  </r>
  <r>
    <s v="SMDHC"/>
    <s v="Contratos"/>
    <s v="Atividades"/>
    <n v="6074202500009730"/>
    <s v="Está"/>
    <x v="9"/>
    <x v="2"/>
    <s v="NE"/>
    <x v="60"/>
    <s v="SABESP"/>
    <d v="2026-12-31T00:00:00"/>
    <n v="360000"/>
    <n v="30000"/>
    <n v="30000"/>
    <n v="30000"/>
    <n v="30000"/>
    <n v="30000"/>
    <n v="30000"/>
    <n v="30000"/>
    <n v="30000"/>
    <n v="30000"/>
    <n v="30000"/>
    <n v="30000"/>
    <n v="30000"/>
    <n v="30000"/>
  </r>
  <r>
    <s v="SMDHC"/>
    <s v="Contratos"/>
    <s v="Atividades"/>
    <n v="6074202500013490"/>
    <s v="Não está"/>
    <x v="9"/>
    <x v="2"/>
    <s v="xxx/SMDHC/2026"/>
    <x v="61"/>
    <s v="xxxx"/>
    <s v="XX/XX/2026"/>
    <n v="425464.8"/>
    <n v="35455.4"/>
    <n v="35455.4"/>
    <n v="35455.4"/>
    <n v="35455.4"/>
    <n v="35455.4"/>
    <n v="35455.4"/>
    <n v="35455.4"/>
    <n v="35455.4"/>
    <n v="35455.4"/>
    <n v="35455.4"/>
    <n v="35455.4"/>
    <n v="35455.4"/>
    <n v="35455.4"/>
  </r>
  <r>
    <s v="SMDHC"/>
    <s v="Contratos"/>
    <s v="Atividades"/>
    <n v="6074202500013490"/>
    <s v="Não está"/>
    <x v="11"/>
    <x v="2"/>
    <s v="xxx/SMDHC/2026"/>
    <x v="62"/>
    <s v="xxxx"/>
    <s v="XX/XX/2026"/>
    <n v="106366.2"/>
    <n v="8863.85"/>
    <n v="8863.85"/>
    <n v="8863.85"/>
    <n v="8863.85"/>
    <n v="8863.85"/>
    <n v="8863.85"/>
    <n v="8863.85"/>
    <n v="8863.85"/>
    <n v="8863.85"/>
    <n v="8863.85"/>
    <n v="8863.85"/>
    <n v="8863.85"/>
    <n v="8863.85"/>
  </r>
  <r>
    <s v="SMDHC"/>
    <s v="Contratos"/>
    <s v="Atividades"/>
    <n v="6074202500014380"/>
    <s v="Está"/>
    <x v="9"/>
    <x v="2"/>
    <s v="NE"/>
    <x v="63"/>
    <s v="ENEL"/>
    <d v="2026-12-31T00:00:00"/>
    <n v="240000"/>
    <n v="20000"/>
    <n v="20000"/>
    <n v="20000"/>
    <n v="20000"/>
    <n v="20000"/>
    <n v="20000"/>
    <n v="20000"/>
    <n v="20000"/>
    <n v="20000"/>
    <n v="20000"/>
    <n v="20000"/>
    <n v="20000"/>
    <n v="20000"/>
  </r>
  <r>
    <s v="SMDHC"/>
    <s v="Contratos"/>
    <s v="Atividades"/>
    <n v="6074202500021280"/>
    <s v="Está"/>
    <x v="9"/>
    <x v="2"/>
    <s v="066/SMDHC/2025"/>
    <x v="64"/>
    <s v="VERA CRUZ DEDETIZADORA "/>
    <d v="2026-05-26T00:00:00"/>
    <n v="1498.5"/>
    <n v="1498.5"/>
    <m/>
    <m/>
    <m/>
    <m/>
    <n v="749.25"/>
    <m/>
    <m/>
    <m/>
    <m/>
    <m/>
    <m/>
    <n v="749.25"/>
  </r>
  <r>
    <s v="SMDHC"/>
    <s v="Contratos"/>
    <s v="Atividades"/>
    <n v="6074202500025000"/>
    <s v="Está"/>
    <x v="11"/>
    <x v="2"/>
    <s v="072/SMDHC/2025"/>
    <x v="65"/>
    <s v="AMA COMERCIO E SERVICOS"/>
    <d v="2026-12-31T00:00:00"/>
    <n v="11336"/>
    <m/>
    <m/>
    <m/>
    <m/>
    <m/>
    <m/>
    <m/>
    <m/>
    <m/>
    <m/>
    <m/>
    <m/>
    <n v="11336"/>
  </r>
  <r>
    <s v="SMDHC"/>
    <s v="Contratos"/>
    <s v="Atividades"/>
    <s v="60742026000XXXXX"/>
    <s v="Não está"/>
    <x v="11"/>
    <x v="2"/>
    <s v="xxx/SMDHC/2026"/>
    <x v="66"/>
    <s v="xxxx"/>
    <s v="XX/XX/2026"/>
    <n v="200000"/>
    <n v="0"/>
    <m/>
    <n v="100000"/>
    <m/>
    <m/>
    <m/>
    <n v="100000"/>
    <m/>
    <m/>
    <m/>
    <m/>
    <m/>
    <m/>
  </r>
  <r>
    <s v="SMDHC"/>
    <s v="Contratos"/>
    <s v="Atividades"/>
    <n v="6074202500006200"/>
    <s v="Está"/>
    <x v="12"/>
    <x v="3"/>
    <s v="NE"/>
    <x v="67"/>
    <s v="Diversos Beneficiárias"/>
    <d v="2026-12-31T00:00:00"/>
    <n v="9600000"/>
    <n v="800000"/>
    <n v="800000"/>
    <n v="800000"/>
    <n v="800000"/>
    <n v="800000"/>
    <n v="800000"/>
    <n v="800000"/>
    <n v="800000"/>
    <n v="800000"/>
    <n v="800000"/>
    <n v="800000"/>
    <n v="800000"/>
    <n v="800000"/>
  </r>
  <r>
    <s v="SMDHC"/>
    <s v="Contratos"/>
    <s v="Atividades"/>
    <s v="607420260000XXXX"/>
    <s v="Não está"/>
    <x v="13"/>
    <x v="3"/>
    <s v="XXXXX"/>
    <x v="68"/>
    <s v="XXXXXX"/>
    <d v="2026-12-31T00:00:00"/>
    <n v="200000"/>
    <n v="200000"/>
    <m/>
    <m/>
    <m/>
    <n v="200000"/>
    <m/>
    <m/>
    <m/>
    <m/>
    <m/>
    <m/>
    <m/>
    <m/>
  </r>
  <r>
    <s v="SMDHC"/>
    <s v="Contratos"/>
    <s v="Atividades"/>
    <n v="6074202200022450"/>
    <s v="Está"/>
    <x v="14"/>
    <x v="4"/>
    <s v="066/SMDHC/2023"/>
    <x v="69"/>
    <s v="TELEFONICA BRASIL SA"/>
    <d v="2026-04-26T00:00:00"/>
    <n v="1200"/>
    <n v="100"/>
    <n v="100"/>
    <n v="100"/>
    <n v="100"/>
    <n v="100"/>
    <n v="100"/>
    <n v="100"/>
    <n v="100"/>
    <n v="100"/>
    <n v="100"/>
    <n v="100"/>
    <n v="100"/>
    <n v="100"/>
  </r>
  <r>
    <s v="SMDHC"/>
    <s v="Contratos"/>
    <s v="Atividades"/>
    <n v="6074202200022450"/>
    <s v="Está"/>
    <x v="14"/>
    <x v="4"/>
    <s v="NE"/>
    <x v="33"/>
    <s v="COMGÁS"/>
    <d v="2026-12-31T00:00:00"/>
    <n v="24000"/>
    <n v="2000"/>
    <n v="2000"/>
    <n v="2000"/>
    <n v="2000"/>
    <n v="2000"/>
    <n v="2000"/>
    <n v="2000"/>
    <n v="2000"/>
    <n v="2000"/>
    <n v="2000"/>
    <n v="2000"/>
    <n v="2000"/>
    <n v="2000"/>
  </r>
  <r>
    <s v="SMDHC"/>
    <s v="Contratos"/>
    <s v="Atividades"/>
    <n v="6074202200022450"/>
    <s v="Está"/>
    <x v="14"/>
    <x v="4"/>
    <s v="NE"/>
    <x v="70"/>
    <s v="ENEL"/>
    <d v="2026-12-31T00:00:00"/>
    <n v="84000"/>
    <n v="7000"/>
    <n v="7000"/>
    <n v="7000"/>
    <n v="7000"/>
    <n v="7000"/>
    <n v="7000"/>
    <n v="7000"/>
    <n v="7000"/>
    <n v="7000"/>
    <n v="7000"/>
    <n v="7000"/>
    <n v="7000"/>
    <n v="7000"/>
  </r>
  <r>
    <s v="SMDHC"/>
    <s v="Contratos"/>
    <s v="Atividades"/>
    <n v="6074202300013730"/>
    <s v="Está"/>
    <x v="14"/>
    <x v="4"/>
    <s v="067/SMDHC/2023"/>
    <x v="71"/>
    <s v="ACJS - Saneamento e Controle Ambiental"/>
    <d v="2026-05-07T00:00:00"/>
    <n v="1000"/>
    <n v="0"/>
    <n v="0"/>
    <n v="500"/>
    <n v="0"/>
    <n v="0"/>
    <n v="0"/>
    <n v="0"/>
    <n v="500"/>
    <n v="0"/>
    <n v="0"/>
    <n v="0"/>
    <n v="0"/>
    <n v="0"/>
  </r>
  <r>
    <s v="SMDHC"/>
    <s v="Contratos"/>
    <s v="Atividades"/>
    <n v="6074202300065530"/>
    <s v="Está"/>
    <x v="14"/>
    <x v="4"/>
    <s v="261/SMDHC/2024"/>
    <x v="72"/>
    <s v="UNISERV TERCEIRIZACAO E SERVICOS LTDA "/>
    <d v="2026-09-16T00:00:00"/>
    <n v="371213.04"/>
    <n v="30934.42"/>
    <n v="30934.42"/>
    <n v="30934.42"/>
    <n v="30934.42"/>
    <n v="30934.42"/>
    <n v="30934.42"/>
    <n v="30934.42"/>
    <n v="30934.42"/>
    <n v="30934.42"/>
    <n v="30934.42"/>
    <n v="30934.42"/>
    <n v="30934.42"/>
    <n v="30934.42"/>
  </r>
  <r>
    <s v="SMDHC"/>
    <s v="Contratos"/>
    <s v="Atividades"/>
    <n v="6074202300072300"/>
    <s v="Está"/>
    <x v="14"/>
    <x v="4"/>
    <s v="325/SMDHC/2023"/>
    <x v="73"/>
    <s v="Brazon Maxfilter Industria e Locação"/>
    <d v="2026-09-30T00:00:00"/>
    <n v="871.6"/>
    <n v="64"/>
    <n v="66.02"/>
    <n v="66.02"/>
    <n v="66.02"/>
    <n v="66.02"/>
    <n v="66.02"/>
    <n v="66.02"/>
    <n v="66.02"/>
    <n v="66.02"/>
    <n v="66.02"/>
    <n v="71.14"/>
    <n v="71.14"/>
    <n v="71.14"/>
  </r>
  <r>
    <s v="SMDHC"/>
    <s v="Contratos"/>
    <s v="Atividades"/>
    <n v="6074202400065410"/>
    <s v="Está"/>
    <x v="14"/>
    <x v="4"/>
    <s v="336/SMDHC/2024"/>
    <x v="74"/>
    <s v="SAKURA DEDETIZADORA LTDA"/>
    <d v="2026-12-03T00:00:00"/>
    <n v="620"/>
    <s v="R$                        -  "/>
    <n v="290"/>
    <s v="R$                        -  "/>
    <s v=" R$                        -  "/>
    <s v=" R$                        -  "/>
    <s v=" R$                        -  "/>
    <s v=" R$                        -  "/>
    <s v=" R$                        -  "/>
    <s v=" R$                        -  "/>
    <s v=" R$                        -  "/>
    <n v="330"/>
    <s v="R$                        -  "/>
    <s v=" R$                             -  "/>
  </r>
  <r>
    <s v="SMDHC"/>
    <s v="Contratos"/>
    <s v="Atividades"/>
    <n v="6074202400091860"/>
    <s v="Está"/>
    <x v="14"/>
    <x v="4"/>
    <s v="012/SMDHC/2025"/>
    <x v="27"/>
    <s v="RA TELECOM LTDA"/>
    <d v="2026-03-02T00:00:00"/>
    <n v="13559.46"/>
    <n v="1144.08"/>
    <n v="1059.33"/>
    <n v="1059.33"/>
    <n v="1144.08"/>
    <n v="1144.08"/>
    <n v="1144.08"/>
    <n v="1144.08"/>
    <n v="1144.08"/>
    <n v="1144.08"/>
    <n v="1144.08"/>
    <n v="1144.08"/>
    <n v="1144.08"/>
    <n v="1144.08"/>
  </r>
  <r>
    <s v="SMDHC"/>
    <s v="Contratos"/>
    <s v="Atividades"/>
    <n v="6074202500013480"/>
    <s v="Não está"/>
    <x v="15"/>
    <x v="4"/>
    <s v="XX/SMDHC/2026"/>
    <x v="75"/>
    <s v="Novo Edital"/>
    <d v="2026-08-02T00:00:00"/>
    <n v="714268.56"/>
    <n v="59522.38"/>
    <n v="59522.38"/>
    <n v="59522.38"/>
    <n v="59522.38"/>
    <n v="59522.38"/>
    <n v="59522.38"/>
    <n v="59522.38"/>
    <n v="59522.38"/>
    <n v="59522.38"/>
    <n v="59522.38"/>
    <n v="59522.38"/>
    <n v="59522.38"/>
    <n v="59522.38"/>
  </r>
  <r>
    <s v="SMDHC"/>
    <s v="Contratos"/>
    <s v="Atividades"/>
    <s v="60742026000xxxxx"/>
    <s v="Não está"/>
    <x v="14"/>
    <x v="4"/>
    <s v="xxx/SMDHC/2026"/>
    <x v="76"/>
    <s v="xxxxxxxxx"/>
    <s v="XX/XX/2026"/>
    <n v="4000"/>
    <n v="4000"/>
    <m/>
    <n v="4000"/>
    <m/>
    <m/>
    <m/>
    <m/>
    <m/>
    <m/>
    <m/>
    <m/>
    <m/>
    <m/>
  </r>
  <r>
    <s v="SMDHC"/>
    <s v="Contratos"/>
    <s v="Atividades"/>
    <s v="60742026000xxxxx"/>
    <s v="Não está"/>
    <x v="14"/>
    <x v="4"/>
    <s v="xxx/SMDHC/2026"/>
    <x v="77"/>
    <s v="xxxxxxxxx"/>
    <s v="XX/XX/2026"/>
    <n v="5000"/>
    <n v="5000"/>
    <m/>
    <n v="5000"/>
    <m/>
    <m/>
    <m/>
    <m/>
    <m/>
    <m/>
    <m/>
    <m/>
    <m/>
    <m/>
  </r>
  <r>
    <s v="SMDHC"/>
    <s v="Contratos"/>
    <s v="Atividades"/>
    <s v="60742026000xxxxx"/>
    <s v="Não está"/>
    <x v="14"/>
    <x v="4"/>
    <s v="xxx/SMDHC/2026"/>
    <x v="76"/>
    <s v="xxxxxxxxx"/>
    <s v="XX/XX/2026"/>
    <n v="4000"/>
    <n v="4000"/>
    <m/>
    <n v="4000"/>
    <m/>
    <m/>
    <m/>
    <m/>
    <m/>
    <m/>
    <m/>
    <m/>
    <m/>
    <m/>
  </r>
  <r>
    <s v="SMDHC"/>
    <s v="Contratos"/>
    <s v="Atividades"/>
    <s v="60742026000xxxxx"/>
    <s v="Não está"/>
    <x v="14"/>
    <x v="4"/>
    <s v="xxx/SMDHC/2026"/>
    <x v="77"/>
    <s v="xxxxxxxxx"/>
    <s v="XX/XX/2026"/>
    <n v="5000"/>
    <n v="5000"/>
    <m/>
    <n v="5000"/>
    <m/>
    <m/>
    <m/>
    <m/>
    <m/>
    <m/>
    <m/>
    <m/>
    <m/>
    <m/>
  </r>
  <r>
    <s v="SMDHC"/>
    <s v="Contratos"/>
    <s v="Atividades"/>
    <n v="6074202200022450"/>
    <s v="Está"/>
    <x v="16"/>
    <x v="5"/>
    <s v="066/SMDHC/2023"/>
    <x v="78"/>
    <s v="TELEFONICA BRASIL SA"/>
    <d v="2026-04-26T00:00:00"/>
    <n v="1200"/>
    <n v="100"/>
    <n v="100"/>
    <n v="100"/>
    <n v="100"/>
    <n v="100"/>
    <n v="100"/>
    <n v="100"/>
    <n v="100"/>
    <n v="100"/>
    <n v="100"/>
    <n v="100"/>
    <n v="100"/>
    <n v="100"/>
  </r>
  <r>
    <s v="SMDHC"/>
    <s v="Contratos"/>
    <s v="Atividades"/>
    <n v="6074202200032010"/>
    <s v="Está"/>
    <x v="16"/>
    <x v="5"/>
    <s v="059/SMDHC/2023"/>
    <x v="79"/>
    <s v="Aserp Locações e Serviços Gerais Ltda"/>
    <d v="2026-02-09T00:00:00"/>
    <n v="472242.17"/>
    <n v="39598"/>
    <n v="36664.17"/>
    <n v="39598"/>
    <n v="39598"/>
    <n v="39598"/>
    <n v="39598"/>
    <n v="39598"/>
    <n v="39598"/>
    <n v="39598"/>
    <n v="39598"/>
    <n v="39598"/>
    <n v="39598"/>
    <n v="39598"/>
  </r>
  <r>
    <s v="SMDHC"/>
    <s v="Contratos"/>
    <s v="Atividades"/>
    <n v="6074202200032030"/>
    <s v="Está"/>
    <x v="16"/>
    <x v="5"/>
    <s v="266/SMDHC/2022"/>
    <x v="80"/>
    <s v="GENTE SEGURADORA AS"/>
    <d v="2026-11-24T00:00:00"/>
    <n v="2500"/>
    <n v="2500"/>
    <m/>
    <s v="R$                        -  "/>
    <s v=" R$                        -  "/>
    <s v=" R$                        -  "/>
    <s v=" R$                        -  "/>
    <s v=" R$                        -  "/>
    <s v=" R$                        -  "/>
    <s v=" R$                        -  "/>
    <s v=" R$                        -  "/>
    <n v="2500"/>
    <s v="R$                        -  "/>
    <s v=" R$                             -  "/>
  </r>
  <r>
    <s v="SMDHC"/>
    <s v="Contratos"/>
    <s v="Atividades"/>
    <n v="6074202200034160"/>
    <s v="Está"/>
    <x v="16"/>
    <x v="5"/>
    <s v="218/SMDHC/2022"/>
    <x v="81"/>
    <s v="LA MACCHINA CENTRO AUTOMOTIVO EIRELI"/>
    <d v="2026-11-17T00:00:00"/>
    <n v="85657.32"/>
    <n v="7558.11"/>
    <n v="7054.11"/>
    <n v="7054.11"/>
    <n v="7054.11"/>
    <n v="7054.11"/>
    <n v="7054.11"/>
    <n v="7054.11"/>
    <n v="7054.11"/>
    <n v="7054.11"/>
    <n v="7054.11"/>
    <n v="7054.11"/>
    <n v="7558.11"/>
    <n v="7558.11"/>
  </r>
  <r>
    <s v="SMDHC"/>
    <s v="Contratos"/>
    <s v="Atividades"/>
    <n v="6074202200034170"/>
    <s v="Está"/>
    <x v="16"/>
    <x v="5"/>
    <s v="206/SMDHC/2022"/>
    <x v="82"/>
    <s v="MIRUS RASTREAMENTO E INFORMÁTICA"/>
    <d v="2026-08-25T00:00:00"/>
    <n v="2400.7399999999998"/>
    <n v="204.45"/>
    <n v="194.07"/>
    <n v="194.07"/>
    <n v="194.07"/>
    <n v="194.07"/>
    <n v="194.07"/>
    <n v="194.07"/>
    <n v="194.07"/>
    <n v="208.45"/>
    <n v="208.45"/>
    <n v="208.45"/>
    <n v="208.45"/>
    <n v="208.45"/>
  </r>
  <r>
    <s v="SMDHC"/>
    <s v="Contratos"/>
    <s v="Atividades"/>
    <n v="6074202300072300"/>
    <s v="Está"/>
    <x v="16"/>
    <x v="5"/>
    <s v="325/SMDHC/2023"/>
    <x v="83"/>
    <s v="Brazon Maxfilter Industria e Locação"/>
    <d v="2026-09-30T00:00:00"/>
    <n v="396.12"/>
    <n v="32"/>
    <n v="33.01"/>
    <n v="33.01"/>
    <n v="33.01"/>
    <n v="33.01"/>
    <n v="33.01"/>
    <n v="33.01"/>
    <n v="33.01"/>
    <n v="33.01"/>
    <n v="33.01"/>
    <n v="38.130000000000003"/>
    <n v="38.130000000000003"/>
    <n v="38.130000000000003"/>
  </r>
  <r>
    <s v="SMDHC"/>
    <s v="Contratos"/>
    <s v="Atividades"/>
    <n v="6074202400008350"/>
    <s v="Está"/>
    <x v="16"/>
    <x v="5"/>
    <s v="143/SMDHC/2022"/>
    <x v="84"/>
    <s v="DAVIS SOARES DA SILVA DETETIZADORA"/>
    <d v="2026-08-17T00:00:00"/>
    <n v="560"/>
    <s v="R$                        -  "/>
    <s v=" R$                        -  "/>
    <n v="280"/>
    <s v="R$                        -  "/>
    <m/>
    <s v=" R$                        -  "/>
    <s v=" R$                        -  "/>
    <s v=" R$                        -  "/>
    <n v="280"/>
    <s v="R$                        -  "/>
    <s v=" R$                        -  "/>
    <s v=" R$                        -  "/>
    <s v=" R$                             -  "/>
  </r>
  <r>
    <s v="SMDHC"/>
    <s v="Contratos"/>
    <s v="Atividades"/>
    <s v="60742026000xxxxx"/>
    <s v="Não está"/>
    <x v="17"/>
    <x v="5"/>
    <s v="xxx/SMDHC/2026"/>
    <x v="85"/>
    <s v="xxxxxxxxx"/>
    <s v="XX/XX/2026"/>
    <n v="10000"/>
    <n v="10000"/>
    <m/>
    <m/>
    <m/>
    <n v="10000"/>
    <m/>
    <m/>
    <m/>
    <m/>
    <m/>
    <m/>
    <m/>
    <m/>
  </r>
  <r>
    <s v="SMDHC"/>
    <s v="Contratos"/>
    <s v="Atividades"/>
    <n v="6064202300002770"/>
    <s v="Está"/>
    <x v="18"/>
    <x v="6"/>
    <s v="002/SMDET/2023"/>
    <x v="86"/>
    <s v="QRX SEGURANCA PATRIMONIAL EIRELI"/>
    <d v="2026-02-28T00:00:00"/>
    <n v="364438.34"/>
    <n v="30722.39"/>
    <n v="28607.22"/>
    <n v="28607.22"/>
    <n v="30722.39"/>
    <n v="30722.39"/>
    <n v="30722.39"/>
    <n v="30722.39"/>
    <n v="30722.39"/>
    <n v="30722.39"/>
    <n v="30722.39"/>
    <n v="30722.39"/>
    <n v="30722.39"/>
    <n v="30722.39"/>
  </r>
  <r>
    <s v="SMDHC"/>
    <s v="Contratos"/>
    <s v="Atividades"/>
    <n v="6074201700002600"/>
    <s v="Não está"/>
    <x v="19"/>
    <x v="6"/>
    <s v="SMPM/2016"/>
    <x v="87"/>
    <s v="Robinson Corrêa "/>
    <d v="2026-08-29T00:00:00"/>
    <n v="128707.2"/>
    <n v="11365.6"/>
    <n v="11365.6"/>
    <n v="11365.6"/>
    <n v="11365.6"/>
    <n v="11365.6"/>
    <n v="11365.6"/>
    <n v="11365.6"/>
    <n v="11365.6"/>
    <n v="12005.6"/>
    <n v="12005.6"/>
    <n v="12005.6"/>
    <n v="12005.6"/>
    <n v="12005.6"/>
  </r>
  <r>
    <s v="SMDHC"/>
    <s v="Contratos"/>
    <s v="Atividades"/>
    <n v="6074201700002600"/>
    <s v="Não está"/>
    <x v="19"/>
    <x v="6"/>
    <s v="SMPM/2016"/>
    <x v="88"/>
    <s v="Robinson Corrêa "/>
    <d v="2026-08-29T00:00:00"/>
    <n v="2000"/>
    <n v="2000"/>
    <s v="R$                        -  "/>
    <n v="0"/>
    <n v="0"/>
    <n v="0"/>
    <n v="0"/>
    <n v="0"/>
    <n v="0"/>
    <n v="2000"/>
    <n v="0"/>
    <n v="0"/>
    <n v="0"/>
    <s v="R$                             -  "/>
  </r>
  <r>
    <s v="SMDHC"/>
    <s v="Contratos"/>
    <s v="Atividades"/>
    <n v="6074201700002600"/>
    <s v="Não está"/>
    <x v="20"/>
    <x v="6"/>
    <s v="SMPM/2016"/>
    <x v="89"/>
    <s v="Robinson Corrêa "/>
    <d v="2026-08-29T00:00:00"/>
    <n v="20000"/>
    <n v="2000"/>
    <s v="R$                        -  "/>
    <n v="2000"/>
    <n v="2000"/>
    <n v="2000"/>
    <n v="2000"/>
    <n v="2000"/>
    <n v="2000"/>
    <n v="2000"/>
    <n v="2000"/>
    <n v="2000"/>
    <n v="2000"/>
    <s v="R$                             -  "/>
  </r>
  <r>
    <s v="SMDHC"/>
    <s v="Contratos"/>
    <s v="Atividades"/>
    <n v="6074202000023340"/>
    <s v="Está"/>
    <x v="21"/>
    <x v="6"/>
    <s v="024/SMDHC/2020"/>
    <x v="90"/>
    <s v="TICKET SOLUCOES HDFGT SA"/>
    <d v="2026-07-08T00:00:00"/>
    <n v="48189.599999999999"/>
    <n v="4300"/>
    <n v="4300"/>
    <n v="4300"/>
    <n v="4300"/>
    <n v="4300"/>
    <n v="4300"/>
    <n v="4300"/>
    <n v="4300"/>
    <n v="4300"/>
    <n v="4300"/>
    <n v="4300"/>
    <n v="4300"/>
    <n v="4300"/>
  </r>
  <r>
    <s v="SMDHC"/>
    <s v="Contratos"/>
    <s v="Atividades"/>
    <n v="6074202100055800"/>
    <s v="Está"/>
    <x v="21"/>
    <x v="6"/>
    <s v="208/SMDHC/2022"/>
    <x v="91"/>
    <s v="AZUL TRANSPORTES E TURISMO LTDA"/>
    <d v="2026-09-12T00:00:00"/>
    <n v="253994.28"/>
    <n v="19185.59"/>
    <n v="20671.04"/>
    <n v="20671.04"/>
    <n v="20671.04"/>
    <n v="20671.04"/>
    <n v="20671.04"/>
    <n v="20671.04"/>
    <n v="20671.04"/>
    <n v="20671.04"/>
    <n v="22156.49"/>
    <n v="22156.49"/>
    <n v="22156.49"/>
    <n v="22156.49"/>
  </r>
  <r>
    <s v="SMDHC"/>
    <s v="Contratos"/>
    <s v="Atividades"/>
    <n v="6074202100065360"/>
    <s v="Está"/>
    <x v="21"/>
    <x v="6"/>
    <s v="032/SMDHC/2022"/>
    <x v="92"/>
    <s v="TELEFONICA BRASIL SA"/>
    <d v="2025-07-25T00:00:00"/>
    <n v="0"/>
    <n v="0"/>
    <n v="100"/>
    <n v="100"/>
    <n v="100"/>
    <n v="100"/>
    <n v="100"/>
    <n v="100"/>
    <n v="100"/>
    <n v="100"/>
    <n v="100"/>
    <n v="100"/>
    <n v="100"/>
    <n v="100"/>
  </r>
  <r>
    <s v="SMDHC"/>
    <s v="Contratos"/>
    <s v="Atividades"/>
    <n v="6074202200031730"/>
    <s v="Está"/>
    <x v="18"/>
    <x v="6"/>
    <s v="215/SMDHC/2022"/>
    <x v="93"/>
    <s v="RENASEB EMPRESA DE SEGURANCA E VIGILANCIA EIRELI"/>
    <d v="2026-12-06T00:00:00"/>
    <n v="122941.18"/>
    <n v="10892.87"/>
    <n v="10186.209999999999"/>
    <n v="10186.209999999999"/>
    <n v="10186.209999999999"/>
    <n v="10186.209999999999"/>
    <n v="10186.209999999999"/>
    <n v="10186.209999999999"/>
    <n v="10186.209999999999"/>
    <n v="10186.209999999999"/>
    <n v="10186.209999999999"/>
    <n v="10186.209999999999"/>
    <n v="10186.209999999999"/>
    <n v="10892.87"/>
  </r>
  <r>
    <s v="SMDHC"/>
    <s v="Contratos"/>
    <s v="Atividades"/>
    <n v="6074202200032010"/>
    <s v="Está"/>
    <x v="21"/>
    <x v="6"/>
    <s v="059/SMDHC/2023"/>
    <x v="94"/>
    <s v="Aserp Locações e Serviços Gerais Ltda"/>
    <d v="2026-02-09T00:00:00"/>
    <n v="344814.06"/>
    <n v="28913"/>
    <n v="26771.06"/>
    <n v="28913"/>
    <n v="28913"/>
    <n v="28913"/>
    <n v="28913"/>
    <n v="28913"/>
    <n v="28913"/>
    <n v="28913"/>
    <n v="28913"/>
    <n v="28913"/>
    <n v="28913"/>
    <n v="28913"/>
  </r>
  <r>
    <s v="SMDHC"/>
    <s v="Contratos"/>
    <s v="Atividades"/>
    <n v="6074202200032030"/>
    <s v="Está"/>
    <x v="21"/>
    <x v="6"/>
    <s v="266/SMDHC/2022"/>
    <x v="95"/>
    <s v="GENTE SEGURADORA AS"/>
    <d v="2026-11-24T00:00:00"/>
    <n v="1600"/>
    <n v="1600"/>
    <m/>
    <s v="R$                        -  "/>
    <s v=" R$                        -  "/>
    <s v=" R$                        -  "/>
    <s v=" R$                        -  "/>
    <s v=" R$                        -  "/>
    <s v=" R$                        -  "/>
    <s v=" R$                        -  "/>
    <s v=" R$                        -  "/>
    <n v="1600"/>
    <s v="R$                        -  "/>
    <s v=" R$                             -  "/>
  </r>
  <r>
    <s v="SMDHC"/>
    <s v="Contratos"/>
    <s v="Atividades"/>
    <n v="6074202200034160"/>
    <s v="Está"/>
    <x v="21"/>
    <x v="6"/>
    <s v="218/SMDHC/2022"/>
    <x v="81"/>
    <s v="LA MACCHINA CENTRO AUTOMOTIVO EIRELI"/>
    <d v="2026-11-17T00:00:00"/>
    <n v="42831.9"/>
    <n v="3780"/>
    <n v="3527.19"/>
    <n v="3527.19"/>
    <n v="3527.19"/>
    <n v="3527.19"/>
    <n v="3527.19"/>
    <n v="3527.19"/>
    <n v="3527.19"/>
    <n v="3527.19"/>
    <n v="3527.19"/>
    <n v="3527.19"/>
    <n v="3780"/>
    <n v="3780"/>
  </r>
  <r>
    <s v="SMDHC"/>
    <s v="Contratos"/>
    <s v="Atividades"/>
    <n v="6074202200034170"/>
    <s v="Está"/>
    <x v="21"/>
    <x v="6"/>
    <s v="206/SMDHC/2022"/>
    <x v="82"/>
    <s v="MIRUS RASTREAMENTO E INFORMÁTICA"/>
    <d v="2026-08-25T00:00:00"/>
    <n v="1600.46"/>
    <n v="138.96"/>
    <n v="129.38"/>
    <n v="129.38"/>
    <n v="129.38"/>
    <n v="129.38"/>
    <n v="129.38"/>
    <n v="129.38"/>
    <n v="129.38"/>
    <n v="138.96"/>
    <n v="138.96"/>
    <n v="138.96"/>
    <n v="138.96"/>
    <n v="138.96"/>
  </r>
  <r>
    <s v="SMDHC"/>
    <s v="Contratos"/>
    <s v="Atividades"/>
    <n v="6074202200064630"/>
    <s v="Está"/>
    <x v="21"/>
    <x v="6"/>
    <s v="217/SMDHC/2022"/>
    <x v="96"/>
    <s v="Banco do Brasil S.A. "/>
    <d v="2026-11-15T00:00:00"/>
    <n v="333200"/>
    <n v="29400"/>
    <n v="27440"/>
    <n v="27440"/>
    <n v="27440"/>
    <n v="27440"/>
    <n v="27440"/>
    <n v="27440"/>
    <n v="27440"/>
    <n v="27440"/>
    <n v="27440"/>
    <n v="27440"/>
    <n v="29400"/>
    <n v="29400"/>
  </r>
  <r>
    <s v="SMDHC"/>
    <s v="Contratos"/>
    <s v="Atividades"/>
    <n v="6074202300072300"/>
    <s v="Está"/>
    <x v="21"/>
    <x v="6"/>
    <s v="325/SMDHC/2023"/>
    <x v="97"/>
    <s v="Brazon Maxfilter Industria e Locação"/>
    <d v="2026-09-30T00:00:00"/>
    <n v="869.04"/>
    <n v="76.260000000000005"/>
    <n v="71.14"/>
    <n v="71.14"/>
    <n v="71.14"/>
    <n v="71.14"/>
    <n v="71.14"/>
    <n v="71.14"/>
    <n v="71.14"/>
    <n v="71.14"/>
    <n v="71.14"/>
    <n v="76.260000000000005"/>
    <n v="76.260000000000005"/>
    <n v="76.260000000000005"/>
  </r>
  <r>
    <s v="SMDHC"/>
    <s v="Contratos"/>
    <s v="Atividades"/>
    <n v="6074202300102770"/>
    <s v="Está"/>
    <x v="21"/>
    <x v="6"/>
    <s v="002/SMDHC/2024"/>
    <x v="98"/>
    <s v="ELEVADORES SÃO PAULO LTDA - EPP"/>
    <d v="2026-02-19T00:00:00"/>
    <n v="20271"/>
    <n v="1700"/>
    <n v="1571"/>
    <n v="1700"/>
    <n v="1700"/>
    <n v="1700"/>
    <n v="1700"/>
    <n v="1700"/>
    <n v="1700"/>
    <n v="1700"/>
    <n v="1700"/>
    <n v="1700"/>
    <n v="1700"/>
    <n v="1700"/>
  </r>
  <r>
    <s v="SMDHC"/>
    <s v="Contratos"/>
    <s v="Atividades"/>
    <n v="6074202400065410"/>
    <s v="Está"/>
    <x v="21"/>
    <x v="6"/>
    <s v="336/SMDHC/2024"/>
    <x v="74"/>
    <s v="SAKURA DEDETIZADORA LTDA"/>
    <d v="2026-12-03T00:00:00"/>
    <n v="620"/>
    <s v="R$                        -  "/>
    <n v="290"/>
    <s v="R$                        -  "/>
    <s v=" R$                        -  "/>
    <s v=" R$                        -  "/>
    <s v=" R$                        -  "/>
    <s v=" R$                        -  "/>
    <s v=" R$                        -  "/>
    <s v=" R$                        -  "/>
    <s v=" R$                        -  "/>
    <n v="330"/>
    <s v="R$                        -  "/>
    <s v=" R$                             -  "/>
  </r>
  <r>
    <s v="SMDHC"/>
    <s v="Contratos"/>
    <s v="Atividades"/>
    <n v="6074202400087020"/>
    <s v="Está"/>
    <x v="21"/>
    <x v="6"/>
    <s v="001/SMDHC/2025"/>
    <x v="99"/>
    <s v="AZUL TRANSPORTES E TURISMO LTDA"/>
    <d v="2026-01-14T00:00:00"/>
    <n v="370440"/>
    <n v="30870"/>
    <n v="30870"/>
    <n v="30870"/>
    <n v="30870"/>
    <n v="30870"/>
    <n v="30870"/>
    <n v="30870"/>
    <n v="30870"/>
    <n v="30870"/>
    <n v="30870"/>
    <n v="30870"/>
    <n v="30870"/>
    <n v="30870"/>
  </r>
  <r>
    <s v="SMDHC"/>
    <s v="Contratos"/>
    <s v="Atividades"/>
    <n v="6074202400099120"/>
    <s v="Está"/>
    <x v="21"/>
    <x v="6"/>
    <s v="NE"/>
    <x v="100"/>
    <s v="SABESP"/>
    <d v="2026-12-31T00:00:00"/>
    <n v="72000"/>
    <n v="6000"/>
    <n v="6000"/>
    <n v="6000"/>
    <n v="6000"/>
    <n v="6000"/>
    <n v="6000"/>
    <n v="6000"/>
    <n v="6000"/>
    <n v="6000"/>
    <n v="6000"/>
    <n v="6000"/>
    <n v="6000"/>
    <n v="6000"/>
  </r>
  <r>
    <s v="SMDHC"/>
    <s v="Contratos"/>
    <s v="Atividades"/>
    <n v="6074202500006200"/>
    <s v="Está"/>
    <x v="22"/>
    <x v="6"/>
    <s v="NE"/>
    <x v="101"/>
    <s v="Diversos Beneficiárias"/>
    <d v="2026-12-31T00:00:00"/>
    <n v="9000000"/>
    <n v="750000"/>
    <n v="750000"/>
    <n v="750000"/>
    <n v="750000"/>
    <n v="750000"/>
    <n v="750000"/>
    <n v="750000"/>
    <n v="750000"/>
    <n v="750000"/>
    <n v="750000"/>
    <n v="750000"/>
    <n v="750000"/>
    <n v="750000"/>
  </r>
  <r>
    <s v="SMDHC"/>
    <s v="Contratos"/>
    <s v="Atividades"/>
    <n v="6074202500010240"/>
    <s v="Está"/>
    <x v="21"/>
    <x v="6"/>
    <s v="NE"/>
    <x v="102"/>
    <s v="SABESP"/>
    <d v="2026-12-31T00:00:00"/>
    <n v="216000"/>
    <n v="18000"/>
    <n v="18000"/>
    <n v="18000"/>
    <n v="18000"/>
    <n v="18000"/>
    <n v="18000"/>
    <n v="18000"/>
    <n v="18000"/>
    <n v="18000"/>
    <n v="18000"/>
    <n v="18000"/>
    <n v="18000"/>
    <n v="18000"/>
  </r>
  <r>
    <s v="SMDHC"/>
    <s v="Contratos"/>
    <s v="Atividades"/>
    <n v="6074202500013480"/>
    <s v="Não está"/>
    <x v="18"/>
    <x v="6"/>
    <s v="XX/SMDHC/2026"/>
    <x v="37"/>
    <s v="Novo Edital"/>
    <d v="2026-08-02T00:00:00"/>
    <n v="9642625.5600000005"/>
    <n v="803552.13"/>
    <n v="803552.13"/>
    <n v="803552.13"/>
    <n v="803552.13"/>
    <n v="803552.13"/>
    <n v="803552.13"/>
    <n v="803552.13"/>
    <n v="803552.13"/>
    <n v="803552.13"/>
    <n v="803552.13"/>
    <n v="803552.13"/>
    <n v="803552.13"/>
    <n v="803552.13"/>
  </r>
  <r>
    <s v="SMDHC"/>
    <s v="Contratos"/>
    <s v="Atividades"/>
    <n v="6074202500014470"/>
    <s v="Está"/>
    <x v="21"/>
    <x v="6"/>
    <s v="NE"/>
    <x v="103"/>
    <s v="ENEL"/>
    <d v="2026-12-31T00:00:00"/>
    <n v="60000"/>
    <n v="5000"/>
    <n v="5000"/>
    <n v="5000"/>
    <n v="5000"/>
    <n v="5000"/>
    <n v="5000"/>
    <n v="5000"/>
    <n v="5000"/>
    <n v="5000"/>
    <n v="5000"/>
    <n v="5000"/>
    <n v="5000"/>
    <n v="5000"/>
  </r>
  <r>
    <s v="SMDHC"/>
    <s v="Contratos"/>
    <s v="Atividades"/>
    <s v="60742026000xxxxx"/>
    <s v="Não está"/>
    <x v="23"/>
    <x v="6"/>
    <s v="xxx/SMDHC/2026"/>
    <x v="104"/>
    <s v="xxxxxxxxx"/>
    <s v="XX/XX/2026"/>
    <n v="15000"/>
    <n v="15000"/>
    <m/>
    <n v="15000"/>
    <m/>
    <m/>
    <m/>
    <m/>
    <m/>
    <m/>
    <m/>
    <m/>
    <m/>
    <m/>
  </r>
  <r>
    <s v="SMDHC"/>
    <s v="Contratos"/>
    <s v="Atividades"/>
    <s v="60742026000xxxxx"/>
    <s v="Não está"/>
    <x v="23"/>
    <x v="6"/>
    <s v="xxx/SMDHC/2026"/>
    <x v="105"/>
    <s v="xxxxxxxxx"/>
    <s v="XX/XX/2026"/>
    <n v="100000"/>
    <n v="100000"/>
    <m/>
    <n v="100000"/>
    <m/>
    <m/>
    <m/>
    <m/>
    <m/>
    <m/>
    <m/>
    <m/>
    <m/>
    <m/>
  </r>
  <r>
    <s v="SMDHC"/>
    <s v="Contratos"/>
    <s v="Atividades"/>
    <n v="6045201900013360"/>
    <s v="Não está"/>
    <x v="24"/>
    <x v="7"/>
    <s v="01/SUB- MB/2019"/>
    <x v="106"/>
    <s v="Paula / Gabriela / Thatiane"/>
    <d v="2026-09-10T00:00:00"/>
    <n v="43004.32"/>
    <n v="3750.36"/>
    <n v="3500.36"/>
    <n v="3500.36"/>
    <n v="3500.36"/>
    <n v="3500.36"/>
    <n v="3500.36"/>
    <n v="3500.36"/>
    <n v="3500.36"/>
    <n v="3500.36"/>
    <n v="3750.36"/>
    <n v="3750.36"/>
    <n v="3750.36"/>
    <n v="3750.36"/>
  </r>
  <r>
    <s v="SMDHC"/>
    <s v="Contratos"/>
    <s v="Atividades"/>
    <n v="6045201900013360"/>
    <s v="Não está"/>
    <x v="25"/>
    <x v="7"/>
    <s v="01/SUB- MB/2019"/>
    <x v="107"/>
    <s v="PAULA DE SOUZA LINO ARAUJO"/>
    <d v="2026-09-10T00:00:00"/>
    <n v="1700"/>
    <n v="170"/>
    <n v="0"/>
    <n v="170"/>
    <n v="170"/>
    <n v="170"/>
    <n v="170"/>
    <n v="170"/>
    <n v="170"/>
    <n v="170"/>
    <n v="170"/>
    <n v="170"/>
    <n v="170"/>
    <n v="0"/>
  </r>
  <r>
    <s v="SMDHC"/>
    <s v="Contratos"/>
    <s v="Atividades"/>
    <n v="6045201900013360"/>
    <s v="Não está"/>
    <x v="24"/>
    <x v="7"/>
    <s v="01/SUB- MB/2019"/>
    <x v="108"/>
    <s v="PAULA DE SOUZA LINO ARAUJO"/>
    <d v="2026-09-10T00:00:00"/>
    <n v="350"/>
    <n v="350"/>
    <m/>
    <n v="0"/>
    <n v="350"/>
    <n v="0"/>
    <n v="0"/>
    <n v="0"/>
    <n v="0"/>
    <n v="0"/>
    <n v="0"/>
    <n v="0"/>
    <n v="0"/>
    <n v="0"/>
  </r>
  <r>
    <s v="SMDHC"/>
    <s v="Contratos"/>
    <s v="Atividades"/>
    <n v="6031201700000350"/>
    <s v="Não está"/>
    <x v="25"/>
    <x v="7"/>
    <s v="001/SP-BT/SF/2011"/>
    <x v="109"/>
    <s v="NOVA DIRETRIZ IMOVEIS LTDA"/>
    <d v="2026-12-18T00:00:00"/>
    <n v="3500"/>
    <n v="350"/>
    <m/>
    <n v="350"/>
    <n v="350"/>
    <n v="350"/>
    <n v="350"/>
    <n v="350"/>
    <n v="350"/>
    <n v="350"/>
    <n v="350"/>
    <n v="350"/>
    <n v="350"/>
    <m/>
  </r>
  <r>
    <s v="SMDHC"/>
    <s v="Contratos"/>
    <s v="Atividades"/>
    <n v="6031201700000350"/>
    <s v="Não está"/>
    <x v="26"/>
    <x v="7"/>
    <s v="001/SP-BT/SF/2011"/>
    <x v="110"/>
    <s v="NOVA DIRETRIZ IMOVEIS LTDA"/>
    <d v="2026-12-18T00:00:00"/>
    <n v="28574.48"/>
    <n v="2478.7399999999998"/>
    <n v="2372.34"/>
    <n v="2372.34"/>
    <n v="2372.34"/>
    <n v="2372.34"/>
    <n v="2372.34"/>
    <n v="2372.34"/>
    <n v="2372.34"/>
    <n v="2372.34"/>
    <n v="2372.34"/>
    <n v="2372.34"/>
    <n v="2372.34"/>
    <n v="2478.7399999999998"/>
  </r>
  <r>
    <s v="SMDHC"/>
    <s v="Contratos"/>
    <s v="Atividades"/>
    <n v="6031201700000350"/>
    <s v="Não está"/>
    <x v="26"/>
    <x v="7"/>
    <s v="001/SP-BT/SF/2011"/>
    <x v="111"/>
    <s v="NOVA DIRETRIZ IMOVEIS LTDA"/>
    <d v="2026-12-18T00:00:00"/>
    <n v="1200"/>
    <n v="100"/>
    <n v="0"/>
    <n v="250"/>
    <n v="0"/>
    <n v="0"/>
    <n v="0"/>
    <n v="0"/>
    <n v="0"/>
    <n v="0"/>
    <n v="0"/>
    <n v="0"/>
    <n v="2372.34"/>
    <n v="0"/>
  </r>
  <r>
    <s v="SMDHC"/>
    <s v="Contratos"/>
    <s v="Atividades"/>
    <n v="6034201700000360"/>
    <s v="Não está"/>
    <x v="24"/>
    <x v="7"/>
    <s v="001/SP-AD/2013"/>
    <x v="112"/>
    <s v="Carlos Gancalves "/>
    <d v="2026-11-23T00:00:00"/>
    <n v="45928"/>
    <n v="4078.45"/>
    <n v="3777.11"/>
    <n v="3777.11"/>
    <n v="3777.11"/>
    <n v="3777.11"/>
    <n v="3777.11"/>
    <n v="3777.11"/>
    <n v="3777.11"/>
    <n v="3777.11"/>
    <n v="3777.11"/>
    <n v="3777.11"/>
    <n v="4078.45"/>
    <n v="4078.45"/>
  </r>
  <r>
    <s v="SMDHC"/>
    <s v="Contratos"/>
    <s v="Atividades"/>
    <n v="6034201700000360"/>
    <s v="Não está"/>
    <x v="24"/>
    <x v="7"/>
    <s v="001/SP-AD/2013"/>
    <x v="113"/>
    <s v="Carlos Gancalves "/>
    <d v="2026-11-23T00:00:00"/>
    <n v="121"/>
    <n v="121"/>
    <m/>
    <n v="60.5"/>
    <n v="60.5"/>
    <s v="R$                        -  "/>
    <s v=" R$                        -  "/>
    <s v=" R$                        -  "/>
    <s v=" R$                        -  "/>
    <s v=" R$                        -  "/>
    <s v=" R$                        -  "/>
    <s v=" R$                        -  "/>
    <s v=" R$                        -  "/>
    <s v=" R$                        -  "/>
  </r>
  <r>
    <s v="SMDHC"/>
    <s v="Contratos"/>
    <s v="Atividades"/>
    <n v="6037201800001300"/>
    <s v="Não está"/>
    <x v="24"/>
    <x v="7"/>
    <s v="08/SPFB/2012"/>
    <x v="114"/>
    <s v="LUIZ ANTÔNIO SIQUEIRA"/>
    <d v="2026-06-01T00:00:00"/>
    <n v="2510"/>
    <n v="251"/>
    <n v="0"/>
    <n v="251"/>
    <n v="251"/>
    <n v="251"/>
    <n v="251"/>
    <n v="251"/>
    <n v="251"/>
    <n v="251"/>
    <n v="251"/>
    <n v="251"/>
    <n v="251"/>
    <m/>
  </r>
  <r>
    <s v="SMDHC"/>
    <s v="Contratos"/>
    <s v="Atividades"/>
    <n v="6037201800001300"/>
    <s v="Não está"/>
    <x v="24"/>
    <x v="7"/>
    <s v="08/SPFB/2012"/>
    <x v="115"/>
    <s v="LUIZ ANTÔNIO SIQUEIRA"/>
    <d v="2026-06-01T00:00:00"/>
    <n v="35932.61"/>
    <n v="2904.3"/>
    <n v="2904.3"/>
    <n v="2904.3"/>
    <n v="2904.3"/>
    <n v="2904.3"/>
    <n v="2904.3"/>
    <n v="3058.73"/>
    <n v="3058.73"/>
    <n v="3058.73"/>
    <n v="3058.73"/>
    <n v="3058.73"/>
    <n v="3058.73"/>
    <n v="3058.73"/>
  </r>
  <r>
    <s v="SMDHC"/>
    <s v="Contratos"/>
    <s v="Atividades"/>
    <n v="6039201600000700"/>
    <s v="Não está"/>
    <x v="24"/>
    <x v="7"/>
    <s v="020/SP-IP/2016"/>
    <x v="116"/>
    <s v="Oswaldo / Cristiane / Darlene"/>
    <d v="2026-02-09T00:00:00"/>
    <n v="49455.28"/>
    <n v="4275.9399999999996"/>
    <n v="4043.94"/>
    <n v="4043.94"/>
    <n v="4043.94"/>
    <n v="4043.94"/>
    <n v="4043.94"/>
    <n v="4043.94"/>
    <n v="4043.94"/>
    <n v="4043.94"/>
    <n v="4275.9399999999996"/>
    <n v="4275.9399999999996"/>
    <n v="4275.9399999999996"/>
    <n v="4275.9399999999996"/>
  </r>
  <r>
    <s v="SMDHC"/>
    <s v="Contratos"/>
    <s v="Atividades"/>
    <n v="6039201600000700"/>
    <s v="Não está"/>
    <x v="25"/>
    <x v="7"/>
    <s v="020/SP-IP/2016"/>
    <x v="117"/>
    <s v="OSWALDO GAMBA JUNIOR"/>
    <d v="2026-02-09T00:00:00"/>
    <n v="21000"/>
    <m/>
    <m/>
    <n v="2100"/>
    <n v="2100"/>
    <n v="2100"/>
    <n v="2100"/>
    <n v="2100"/>
    <n v="2100"/>
    <n v="2100"/>
    <n v="2100"/>
    <n v="2100"/>
    <n v="2100"/>
    <m/>
  </r>
  <r>
    <s v="SMDHC"/>
    <s v="Contratos"/>
    <s v="Atividades"/>
    <n v="6040201700000390"/>
    <s v="Não está"/>
    <x v="24"/>
    <x v="7"/>
    <s v="017/SP-IT/2016"/>
    <x v="118"/>
    <s v="Marilan / Gerson "/>
    <d v="2026-07-31T00:00:00"/>
    <n v="41497.4"/>
    <n v="2401"/>
    <n v="3377.7"/>
    <n v="3377.7"/>
    <n v="3377.7"/>
    <n v="3377.7"/>
    <n v="3377.7"/>
    <n v="3377.7"/>
    <n v="3377.7"/>
    <n v="3570.7"/>
    <n v="3570.7"/>
    <n v="3570.7"/>
    <n v="3570.7"/>
    <n v="3570.7"/>
  </r>
  <r>
    <s v="SMDHC"/>
    <s v="Contratos"/>
    <s v="Atividades"/>
    <n v="6040201700000390"/>
    <s v="Não está"/>
    <x v="24"/>
    <x v="7"/>
    <s v="017/SP-IT/2016"/>
    <x v="119"/>
    <s v="Marilan / Gerson "/>
    <d v="2026-07-31T00:00:00"/>
    <n v="5200"/>
    <n v="0"/>
    <n v="0"/>
    <n v="520"/>
    <n v="520"/>
    <n v="520"/>
    <n v="520"/>
    <n v="520"/>
    <n v="520"/>
    <n v="520"/>
    <n v="520"/>
    <n v="520"/>
    <n v="520"/>
    <n v="0"/>
  </r>
  <r>
    <s v="SMDHC"/>
    <s v="Contratos"/>
    <s v="Atividades"/>
    <n v="6040201700000390"/>
    <s v="Não está"/>
    <x v="24"/>
    <x v="7"/>
    <s v="017/SP-IT/2016"/>
    <x v="120"/>
    <s v="Marilan / Gerson "/>
    <d v="2026-07-31T00:00:00"/>
    <n v="1200"/>
    <n v="100"/>
    <n v="0"/>
    <n v="0"/>
    <n v="0"/>
    <n v="650"/>
    <n v="0"/>
    <n v="0"/>
    <n v="0"/>
    <n v="0"/>
    <n v="0"/>
    <n v="0"/>
    <n v="0"/>
    <n v="0"/>
  </r>
  <r>
    <s v="SMDHC"/>
    <s v="Contratos"/>
    <s v="Atividades"/>
    <n v="6045201700000370"/>
    <s v="Não está"/>
    <x v="24"/>
    <x v="7"/>
    <s v="S/N"/>
    <x v="121"/>
    <s v="Francisco Alves Arruda"/>
    <d v="2026-10-15T00:00:00"/>
    <n v="45593.760000000002"/>
    <n v="2300"/>
    <n v="3753.48"/>
    <n v="3753.48"/>
    <n v="3753.48"/>
    <n v="3753.48"/>
    <n v="3753.48"/>
    <n v="3753.48"/>
    <n v="3753.48"/>
    <n v="3753.48"/>
    <n v="3753.48"/>
    <n v="3937.48"/>
    <n v="3937.48"/>
    <n v="3937.48"/>
  </r>
  <r>
    <s v="SMDHC"/>
    <s v="Contratos"/>
    <s v="Atividades"/>
    <n v="6045201700000370"/>
    <s v="Não está"/>
    <x v="24"/>
    <x v="7"/>
    <s v="S/N"/>
    <x v="122"/>
    <s v="Francisco Alves Arruda"/>
    <d v="2026-10-15T00:00:00"/>
    <n v="2700"/>
    <n v="270"/>
    <m/>
    <n v="270"/>
    <n v="270"/>
    <n v="270"/>
    <n v="270"/>
    <n v="270"/>
    <n v="270"/>
    <n v="270"/>
    <n v="270"/>
    <n v="270"/>
    <n v="270"/>
    <m/>
  </r>
  <r>
    <s v="SMDHC"/>
    <s v="Contratos"/>
    <s v="Atividades"/>
    <n v="6048201700000220"/>
    <s v="Não está"/>
    <x v="26"/>
    <x v="7"/>
    <s v=" 001/SP-PE/2011"/>
    <x v="123"/>
    <s v="Ventura Empreendimentos"/>
    <d v="2026-06-12T00:00:00"/>
    <n v="48972.41"/>
    <n v="2843.08"/>
    <n v="4062.08"/>
    <n v="4062.08"/>
    <n v="4062.08"/>
    <n v="4062.08"/>
    <n v="4062.08"/>
    <n v="4062.08"/>
    <n v="4062.08"/>
    <n v="4062.08"/>
    <n v="4062.08"/>
    <n v="4062.08"/>
    <n v="4062.08"/>
    <n v="4289.53"/>
  </r>
  <r>
    <s v="SMDHC"/>
    <s v="Contratos"/>
    <s v="Atividades"/>
    <n v="6048201700000220"/>
    <s v="Não está"/>
    <x v="26"/>
    <x v="7"/>
    <s v=" 001/SP-PE/2011"/>
    <x v="124"/>
    <s v="Ventura Empreendimentos"/>
    <d v="2026-06-12T00:00:00"/>
    <n v="3320"/>
    <s v="R$                        -  "/>
    <s v=" R$                        -  "/>
    <n v="332"/>
    <n v="332"/>
    <n v="332"/>
    <n v="332"/>
    <n v="332"/>
    <n v="332"/>
    <n v="332"/>
    <n v="332"/>
    <n v="332"/>
    <n v="332"/>
    <s v="R$                             -  "/>
  </r>
  <r>
    <s v="SMDHC"/>
    <s v="Contratos"/>
    <s v="Atividades"/>
    <n v="6048201700000220"/>
    <s v="Não está"/>
    <x v="26"/>
    <x v="7"/>
    <s v=" 001/SP-PE/2011"/>
    <x v="125"/>
    <s v="Ventura Empreendimentos"/>
    <d v="2026-06-12T00:00:00"/>
    <n v="350"/>
    <n v="350"/>
    <s v="R$                        -  "/>
    <n v="350"/>
    <n v="0"/>
    <n v="0"/>
    <n v="0"/>
    <n v="0"/>
    <n v="0"/>
    <n v="0"/>
    <n v="0"/>
    <n v="0"/>
    <n v="0"/>
    <s v="R$                             -  "/>
  </r>
  <r>
    <s v="SMDHC"/>
    <s v="Contratos"/>
    <s v="Atividades"/>
    <n v="6049201600000240"/>
    <s v="Não está"/>
    <x v="24"/>
    <x v="7"/>
    <s v="01/SP/PR/2016"/>
    <x v="126"/>
    <s v="Edson Moraes "/>
    <d v="2026-09-03T00:00:00"/>
    <n v="57500.28"/>
    <n v="4959.6899999999996"/>
    <n v="4707.6899999999996"/>
    <n v="4707.6899999999996"/>
    <n v="4707.6899999999996"/>
    <n v="4707.6899999999996"/>
    <n v="4707.6899999999996"/>
    <n v="4707.6899999999996"/>
    <n v="4707.6899999999996"/>
    <n v="4707.6899999999996"/>
    <n v="4959.6899999999996"/>
    <n v="4959.6899999999996"/>
    <n v="4959.6899999999996"/>
    <n v="4959.6899999999996"/>
  </r>
  <r>
    <s v="SMDHC"/>
    <s v="Contratos"/>
    <s v="Atividades"/>
    <n v="6049201600000240"/>
    <s v="Não está"/>
    <x v="24"/>
    <x v="7"/>
    <s v="01/SP/PR/2016"/>
    <x v="127"/>
    <s v="Edson Moraes "/>
    <d v="2026-09-03T00:00:00"/>
    <n v="1500"/>
    <n v="150"/>
    <m/>
    <n v="150"/>
    <n v="150"/>
    <n v="150"/>
    <n v="150"/>
    <n v="150"/>
    <n v="150"/>
    <n v="150"/>
    <n v="150"/>
    <n v="150"/>
    <n v="150"/>
    <m/>
  </r>
  <r>
    <s v="SMDHC"/>
    <s v="Contratos"/>
    <s v="Atividades"/>
    <n v="6049201600000240"/>
    <s v="Não está"/>
    <x v="24"/>
    <x v="7"/>
    <s v="01/SP/PR/2016"/>
    <x v="128"/>
    <s v="Edson Moraes "/>
    <d v="2026-09-03T00:00:00"/>
    <n v="1200"/>
    <n v="100"/>
    <m/>
    <n v="0"/>
    <n v="700"/>
    <n v="0"/>
    <n v="0"/>
    <n v="0"/>
    <n v="0"/>
    <n v="0"/>
    <n v="0"/>
    <n v="123.74"/>
    <n v="0"/>
    <n v="0"/>
  </r>
  <r>
    <s v="SMDHC"/>
    <s v="Contratos"/>
    <s v="Atividades"/>
    <n v="6055201700004390"/>
    <s v="Não está"/>
    <x v="24"/>
    <x v="7"/>
    <s v="010/SP-MP/GAB/2013"/>
    <x v="129"/>
    <s v="JOSE ANTERO FILHO"/>
    <d v="2026-10-31T00:00:00"/>
    <n v="100"/>
    <n v="100"/>
    <n v="0"/>
    <n v="100"/>
    <n v="0"/>
    <n v="0"/>
    <n v="0"/>
    <n v="0"/>
    <n v="0"/>
    <n v="0"/>
    <n v="0"/>
    <n v="0"/>
    <n v="0"/>
    <n v="0"/>
  </r>
  <r>
    <s v="SMDHC"/>
    <s v="Contratos"/>
    <s v="Atividades"/>
    <n v="6055201700004390"/>
    <s v="Não está"/>
    <x v="24"/>
    <x v="7"/>
    <s v="010/SP-MP/GAB/2013"/>
    <x v="130"/>
    <s v="JOSE ANTERO FILHO"/>
    <d v="2026-10-31T00:00:00"/>
    <n v="42454.86"/>
    <n v="3705.11"/>
    <n v="3482.17"/>
    <n v="3482.17"/>
    <n v="3482.17"/>
    <n v="3482.17"/>
    <n v="3482.17"/>
    <n v="3482.17"/>
    <n v="3482.17"/>
    <n v="3482.17"/>
    <n v="3482.17"/>
    <n v="3705.11"/>
    <n v="3705.11"/>
    <n v="3705.11"/>
  </r>
  <r>
    <s v="SMDHC"/>
    <s v="Contratos"/>
    <s v="Atividades"/>
    <n v="6055201700004390"/>
    <s v="Não está"/>
    <x v="24"/>
    <x v="7"/>
    <s v="010/SP-MP/GAB/2013"/>
    <x v="131"/>
    <s v="JOSE ANTERO FILHO"/>
    <d v="2026-10-31T00:00:00"/>
    <n v="1200"/>
    <n v="100"/>
    <n v="0"/>
    <n v="0"/>
    <n v="0"/>
    <n v="0"/>
    <n v="0"/>
    <n v="0"/>
    <n v="0"/>
    <n v="0"/>
    <n v="0"/>
    <n v="0"/>
    <n v="500"/>
    <n v="0"/>
  </r>
  <r>
    <s v="SMDHC"/>
    <s v="Contratos"/>
    <s v="Atividades"/>
    <n v="6060201900024200"/>
    <s v="Não está"/>
    <x v="25"/>
    <x v="7"/>
    <s v="024/SUB-VP/2019"/>
    <x v="132"/>
    <s v="EVIDÊNCIA CORRETORA DE IMÓVEIS E SEGUROS"/>
    <d v="2026-10-14T00:00:00"/>
    <n v="9500"/>
    <m/>
    <m/>
    <n v="950"/>
    <n v="950"/>
    <n v="950"/>
    <n v="950"/>
    <n v="950"/>
    <n v="950"/>
    <n v="950"/>
    <n v="950"/>
    <n v="950"/>
    <n v="950"/>
    <m/>
  </r>
  <r>
    <s v="SMDHC"/>
    <s v="Contratos"/>
    <s v="Atividades"/>
    <n v="6060201900024200"/>
    <s v="Não está"/>
    <x v="26"/>
    <x v="7"/>
    <s v="024/SUB-VP/2019"/>
    <x v="133"/>
    <s v="EVIDÊNCIA CORRETORA DE IMÓVEIS E SEGUROS"/>
    <d v="2026-10-14T00:00:00"/>
    <n v="400"/>
    <m/>
    <m/>
    <m/>
    <m/>
    <m/>
    <m/>
    <n v="500"/>
    <m/>
    <m/>
    <m/>
    <m/>
    <n v="400"/>
    <m/>
  </r>
  <r>
    <s v="SMDHC"/>
    <s v="Contratos"/>
    <s v="Atividades"/>
    <n v="6060201900024200"/>
    <s v="Não está"/>
    <x v="26"/>
    <x v="7"/>
    <s v="024/SUB-VP/2019"/>
    <x v="134"/>
    <s v="EVIDÊNCIA CORRETORA DE IMÓVEIS E SEGUROS"/>
    <d v="2026-10-14T00:00:00"/>
    <n v="92828.160000000003"/>
    <n v="8065.68"/>
    <n v="7625.68"/>
    <n v="7625.68"/>
    <n v="7625.68"/>
    <n v="7625.68"/>
    <n v="7625.68"/>
    <n v="7625.68"/>
    <n v="7625.68"/>
    <n v="7625.68"/>
    <n v="7625.68"/>
    <n v="8065.68"/>
    <n v="8065.68"/>
    <n v="8065.68"/>
  </r>
  <r>
    <s v="SMDHC"/>
    <s v="Contratos"/>
    <s v="Atividades"/>
    <s v="606020xx000xxxxx"/>
    <s v="Não está"/>
    <x v="25"/>
    <x v="7"/>
    <s v="NE"/>
    <x v="135"/>
    <s v="xxxxx"/>
    <d v="2026-12-31T00:00:00"/>
    <n v="4500000"/>
    <n v="375000"/>
    <n v="375000"/>
    <n v="375000"/>
    <n v="375000"/>
    <n v="375000"/>
    <n v="375000"/>
    <n v="375000"/>
    <n v="375000"/>
    <n v="375000"/>
    <n v="375000"/>
    <n v="375000"/>
    <n v="375000"/>
    <n v="375000"/>
  </r>
  <r>
    <s v="SMDHC"/>
    <s v="Contratos"/>
    <s v="Atividades"/>
    <n v="6074202000015330"/>
    <s v="Está"/>
    <x v="26"/>
    <x v="7"/>
    <s v="143/SMDHC/2022"/>
    <x v="136"/>
    <s v="MJ TECNOLOGIA DO BRASIL LTDA"/>
    <d v="2026-07-08T00:00:00"/>
    <n v="145540.14000000001"/>
    <n v="12561.5"/>
    <n v="11695.19"/>
    <n v="11695.19"/>
    <n v="11695.19"/>
    <n v="11695.19"/>
    <n v="11695.19"/>
    <n v="11695.19"/>
    <n v="12561.5"/>
    <n v="12561.5"/>
    <n v="12561.5"/>
    <n v="12561.5"/>
    <n v="12561.5"/>
    <n v="12561.5"/>
  </r>
  <r>
    <s v="SMDHC"/>
    <s v="Contratos"/>
    <s v="Atividades"/>
    <n v="6074202000026790"/>
    <s v="Não está"/>
    <x v="24"/>
    <x v="7"/>
    <s v="086/SMDHC/2020"/>
    <x v="137"/>
    <s v="Renata Ursula "/>
    <d v="2026-12-14T00:00:00"/>
    <n v="128665.60000000001"/>
    <n v="8000"/>
    <n v="10668.8"/>
    <n v="10668.8"/>
    <n v="10668.8"/>
    <n v="10668.8"/>
    <n v="10668.8"/>
    <n v="10668.8"/>
    <n v="10668.8"/>
    <n v="10668.8"/>
    <n v="10668.8"/>
    <n v="10668.8"/>
    <n v="10668.8"/>
    <n v="11308.8"/>
  </r>
  <r>
    <s v="SMDHC"/>
    <s v="Contratos"/>
    <s v="Atividades"/>
    <n v="6074202000026790"/>
    <s v="Não está"/>
    <x v="25"/>
    <x v="7"/>
    <s v="086/SMDHC/2020"/>
    <x v="138"/>
    <s v="Renata Ursula "/>
    <d v="2026-12-14T00:00:00"/>
    <n v="10032"/>
    <n v="1003.2"/>
    <n v="0"/>
    <n v="1003.2"/>
    <n v="1003.2"/>
    <n v="1003.2"/>
    <n v="1003.2"/>
    <n v="1003.2"/>
    <n v="1003.2"/>
    <n v="1003.2"/>
    <n v="1003.2"/>
    <n v="1003.2"/>
    <n v="1003.2"/>
    <m/>
  </r>
  <r>
    <s v="SMDHC"/>
    <s v="Contratos"/>
    <s v="Atividades"/>
    <n v="6074202000026790"/>
    <s v="Não está"/>
    <x v="24"/>
    <x v="7"/>
    <s v="086/SMDHC/2020"/>
    <x v="139"/>
    <s v="Renata Ursula "/>
    <d v="2026-12-14T00:00:00"/>
    <n v="1200"/>
    <n v="100"/>
    <n v="0"/>
    <n v="0"/>
    <n v="0"/>
    <n v="0"/>
    <n v="0"/>
    <n v="0"/>
    <n v="0"/>
    <n v="0"/>
    <n v="0"/>
    <n v="0"/>
    <n v="0"/>
    <n v="600"/>
  </r>
  <r>
    <s v="SMDHC"/>
    <s v="Contratos"/>
    <s v="Atividades"/>
    <n v="6074202000030040"/>
    <s v="Não está"/>
    <x v="25"/>
    <x v="7"/>
    <s v="056/SMDHC/2020"/>
    <x v="140"/>
    <s v="TERRA URBANIZADA ADMINISTRACAO LTDA"/>
    <d v="2026-12-18T00:00:00"/>
    <n v="3200"/>
    <m/>
    <n v="0"/>
    <n v="320"/>
    <n v="320"/>
    <n v="320"/>
    <n v="320"/>
    <n v="320"/>
    <n v="320"/>
    <n v="320"/>
    <n v="320"/>
    <n v="320"/>
    <n v="320"/>
    <n v="0"/>
  </r>
  <r>
    <s v="SMDHC"/>
    <s v="Contratos"/>
    <s v="Atividades"/>
    <n v="6074202000030040"/>
    <s v="Não está"/>
    <x v="26"/>
    <x v="7"/>
    <s v="056/SMDHC/2020"/>
    <x v="141"/>
    <s v="TERRA URBANIZADA ADMINISTRACAO LTDA"/>
    <d v="2026-12-18T00:00:00"/>
    <n v="98416.8"/>
    <n v="8561.4"/>
    <n v="8081.4"/>
    <n v="8081.4"/>
    <n v="8081.4"/>
    <n v="8081.4"/>
    <n v="8081.4"/>
    <n v="8081.4"/>
    <n v="8081.4"/>
    <n v="8081.4"/>
    <n v="8081.4"/>
    <n v="8561.4"/>
    <n v="8561.4"/>
    <n v="8561.4"/>
  </r>
  <r>
    <s v="SMDHC"/>
    <s v="Contratos"/>
    <s v="Atividades"/>
    <n v="6074202000030040"/>
    <s v="Não está"/>
    <x v="26"/>
    <x v="7"/>
    <s v="056/SMDHC/2020"/>
    <x v="142"/>
    <s v="TERRA URBANIZADA ADMINISTRACAO LTDA"/>
    <d v="2026-12-18T00:00:00"/>
    <n v="1200"/>
    <n v="100"/>
    <n v="0"/>
    <n v="0"/>
    <n v="0"/>
    <n v="0"/>
    <n v="600"/>
    <n v="0"/>
    <n v="0"/>
    <n v="0"/>
    <n v="0"/>
    <n v="0"/>
    <n v="320"/>
    <n v="0"/>
  </r>
  <r>
    <s v="SMDHC"/>
    <s v="Contratos"/>
    <s v="Atividades"/>
    <n v="6074202000031710"/>
    <s v="Não está"/>
    <x v="24"/>
    <x v="7"/>
    <s v="040/SMDHC/2020"/>
    <x v="143"/>
    <s v="Alipio da Silva Cordeiro Neto"/>
    <d v="2026-04-27T00:00:00"/>
    <n v="77336"/>
    <n v="5000"/>
    <n v="6278"/>
    <n v="6278"/>
    <n v="6278"/>
    <n v="6278"/>
    <n v="6278"/>
    <n v="6278"/>
    <n v="6278"/>
    <n v="6678"/>
    <n v="6678"/>
    <n v="6678"/>
    <n v="6678"/>
    <n v="6678"/>
  </r>
  <r>
    <s v="SMDHC"/>
    <s v="Contratos"/>
    <s v="Atividades"/>
    <n v="6074202000031710"/>
    <s v="Não está"/>
    <x v="25"/>
    <x v="7"/>
    <s v="040/SMDHC/2020"/>
    <x v="144"/>
    <s v="Alipio da Silva Cordeiro Neto"/>
    <d v="2026-04-27T00:00:00"/>
    <n v="250"/>
    <m/>
    <m/>
    <n v="83.33"/>
    <n v="83.33"/>
    <n v="83.34"/>
    <m/>
    <m/>
    <m/>
    <m/>
    <m/>
    <m/>
    <m/>
    <m/>
  </r>
  <r>
    <s v="SMDHC"/>
    <s v="Contratos"/>
    <s v="Atividades"/>
    <n v="6074202000031710"/>
    <s v="Não está"/>
    <x v="24"/>
    <x v="7"/>
    <s v="040/SMDHC/2020"/>
    <x v="145"/>
    <s v="Alipio da Silva Cordeiro Neto"/>
    <d v="2026-04-27T00:00:00"/>
    <n v="1200"/>
    <n v="100"/>
    <m/>
    <m/>
    <m/>
    <m/>
    <m/>
    <n v="350"/>
    <m/>
    <m/>
    <m/>
    <m/>
    <m/>
    <m/>
  </r>
  <r>
    <s v="SMDHC"/>
    <s v="Contratos"/>
    <s v="Atividades"/>
    <n v="6074202000035720"/>
    <s v="Está"/>
    <x v="26"/>
    <x v="7"/>
    <s v="143/SMDHC/2022"/>
    <x v="146"/>
    <s v="TELEFONICA BRASIL SA"/>
    <d v="2026-10-26T00:00:00"/>
    <n v="108901.5"/>
    <n v="9075.1299999999992"/>
    <n v="9075.1299999999992"/>
    <n v="9075.1299999999992"/>
    <n v="9075.1299999999992"/>
    <n v="9075.1299999999992"/>
    <n v="9075.1299999999992"/>
    <n v="9075.1299999999992"/>
    <n v="9075.1299999999992"/>
    <n v="9075.1299999999992"/>
    <n v="9075.1299999999992"/>
    <n v="9075.1299999999992"/>
    <n v="9075.1299999999992"/>
    <n v="9075.1299999999992"/>
  </r>
  <r>
    <s v="SMDHC"/>
    <s v="Contratos"/>
    <s v="Atividades"/>
    <n v="6074202000035890"/>
    <s v="Está"/>
    <x v="27"/>
    <x v="7"/>
    <s v="143/SMDHC/2022"/>
    <x v="147"/>
    <s v="RUBY PROTEÇÃO E MONITORAMENTO LTDA"/>
    <d v="2026-10-28T00:00:00"/>
    <n v="277973.28000000003"/>
    <n v="26123.86"/>
    <n v="24644.15"/>
    <n v="24644.15"/>
    <n v="24644.15"/>
    <n v="24644.15"/>
    <n v="24644.15"/>
    <n v="24644.15"/>
    <n v="24644.15"/>
    <n v="24644.15"/>
    <n v="24644.15"/>
    <n v="24644.15"/>
    <n v="26123.86"/>
    <n v="26123.86"/>
  </r>
  <r>
    <s v="SMDHC"/>
    <s v="Contratos"/>
    <s v="Atividades"/>
    <n v="6074202000037450"/>
    <s v="Não está"/>
    <x v="26"/>
    <x v="7"/>
    <s v="049/SMDHC/2020"/>
    <x v="148"/>
    <s v="ESCRITORIO IMOBILIARIO ALMEIDA FLORES LTDA"/>
    <d v="2026-09-27T00:00:00"/>
    <n v="53275.6"/>
    <n v="4626.3"/>
    <n v="4346.3"/>
    <n v="4346.3"/>
    <n v="4346.3"/>
    <n v="4346.3"/>
    <n v="4346.3"/>
    <n v="4346.3"/>
    <n v="4346.3"/>
    <n v="4346.3"/>
    <n v="4626.3"/>
    <n v="4626.3"/>
    <n v="4626.3"/>
    <n v="4626.3"/>
  </r>
  <r>
    <s v="SMDHC"/>
    <s v="Contratos"/>
    <s v="Atividades"/>
    <n v="6074202000037450"/>
    <s v="Não está"/>
    <x v="26"/>
    <x v="7"/>
    <s v="049/SMDHC/2020"/>
    <x v="149"/>
    <s v="ESCRITORIO IMOBILIARIO ALMEIDA FLORES LTDA"/>
    <d v="2026-09-27T00:00:00"/>
    <n v="23200"/>
    <m/>
    <m/>
    <n v="2320"/>
    <n v="2320"/>
    <n v="2320"/>
    <n v="2320"/>
    <n v="2320"/>
    <n v="2320"/>
    <n v="2320"/>
    <n v="2320"/>
    <n v="2320"/>
    <n v="2320"/>
    <m/>
  </r>
  <r>
    <s v="SMDHC"/>
    <s v="Contratos"/>
    <s v="Atividades"/>
    <n v="6074202000039610"/>
    <s v="Está"/>
    <x v="26"/>
    <x v="7"/>
    <s v="143/SMDHC/2022"/>
    <x v="150"/>
    <s v="RA TELECOM LTDA"/>
    <d v="2026-11-02T00:00:00"/>
    <n v="96932.160000000003"/>
    <n v="6448.52"/>
    <n v="8609.56"/>
    <n v="8609.56"/>
    <n v="8609.56"/>
    <n v="8609.56"/>
    <n v="8609.56"/>
    <n v="8609.56"/>
    <n v="8609.56"/>
    <n v="8609.56"/>
    <n v="8609.56"/>
    <n v="8609.56"/>
    <n v="9125.44"/>
    <n v="9125.44"/>
  </r>
  <r>
    <s v="SMDHC"/>
    <s v="Contratos"/>
    <s v="Atividades"/>
    <n v="6074202100003880"/>
    <s v="Está"/>
    <x v="26"/>
    <x v="7"/>
    <s v="322/SMDHC2021"/>
    <x v="151"/>
    <s v="PIERCOFFEE BR SERVICES FACILITIES LTDA"/>
    <d v="2026-11-23T00:00:00"/>
    <n v="65200"/>
    <n v="5800"/>
    <n v="5400"/>
    <n v="5400"/>
    <n v="5400"/>
    <n v="5400"/>
    <n v="5400"/>
    <n v="5400"/>
    <n v="5400"/>
    <n v="5400"/>
    <n v="5400"/>
    <n v="5400"/>
    <n v="5400"/>
    <n v="5800"/>
  </r>
  <r>
    <s v="SMDHC"/>
    <s v="Contratos"/>
    <s v="Atividades"/>
    <n v="6074202100003880"/>
    <s v="Está"/>
    <x v="26"/>
    <x v="7"/>
    <s v="323/SMDHC/2021"/>
    <x v="151"/>
    <s v="GRAN COFFEE COMERCIO LOCACAO E SERVICOS S.A."/>
    <d v="2026-11-23T00:00:00"/>
    <n v="483200"/>
    <n v="43200"/>
    <n v="40000"/>
    <n v="40000"/>
    <n v="40000"/>
    <n v="40000"/>
    <n v="40000"/>
    <n v="40000"/>
    <n v="40000"/>
    <n v="40000"/>
    <n v="40000"/>
    <n v="40000"/>
    <n v="40000"/>
    <n v="43200"/>
  </r>
  <r>
    <s v="SMDHC"/>
    <s v="Contratos"/>
    <s v="Atividades"/>
    <n v="6074202100014100"/>
    <s v="Não está"/>
    <x v="24"/>
    <x v="7"/>
    <s v="082/SMDHC/2021"/>
    <x v="152"/>
    <s v="RITA DE CASSIA HIPOLIDI"/>
    <d v="2026-05-11T00:00:00"/>
    <n v="63863.24"/>
    <n v="4100"/>
    <n v="5103.2700000000004"/>
    <n v="5103.2700000000004"/>
    <n v="5103.2700000000004"/>
    <n v="5103.2700000000004"/>
    <n v="5431.27"/>
    <n v="5431.27"/>
    <n v="5431.27"/>
    <n v="5431.27"/>
    <n v="5431.27"/>
    <n v="5431.27"/>
    <n v="5431.27"/>
    <n v="5431.27"/>
  </r>
  <r>
    <s v="SMDHC"/>
    <s v="Contratos"/>
    <s v="Atividades"/>
    <n v="6074202100014100"/>
    <s v="Não está"/>
    <x v="24"/>
    <x v="7"/>
    <s v="082/SMDHC/2021"/>
    <x v="153"/>
    <s v="RITA DE CASSIA HIPOLIDI"/>
    <d v="2026-05-11T00:00:00"/>
    <n v="1700"/>
    <n v="1700"/>
    <n v="0"/>
    <n v="170"/>
    <n v="170"/>
    <n v="170"/>
    <n v="170"/>
    <n v="170"/>
    <n v="170"/>
    <n v="170"/>
    <n v="170"/>
    <n v="170"/>
    <n v="170"/>
    <n v="0"/>
  </r>
  <r>
    <s v="SMDHC"/>
    <s v="Contratos"/>
    <s v="Atividades"/>
    <n v="6074202100014100"/>
    <s v="Não está"/>
    <x v="24"/>
    <x v="7"/>
    <s v="082/SMDHC/2021"/>
    <x v="154"/>
    <s v="RITA DE CASSIA HIPOLIDI"/>
    <d v="2026-05-11T00:00:00"/>
    <n v="1200"/>
    <n v="100"/>
    <n v="0"/>
    <n v="0"/>
    <n v="350"/>
    <n v="0"/>
    <n v="0"/>
    <n v="0"/>
    <n v="0"/>
    <n v="0"/>
    <n v="0"/>
    <n v="0"/>
    <n v="0"/>
    <n v="0"/>
  </r>
  <r>
    <s v="SMDHC"/>
    <s v="Contratos"/>
    <s v="Atividades"/>
    <n v="6074202100023310"/>
    <s v="Está"/>
    <x v="26"/>
    <x v="7"/>
    <s v="143/SMDHC/2022"/>
    <x v="155"/>
    <s v="SAGAZ SERVIÇOS E COMÉRCIO DE EQUIPAMENTOS"/>
    <d v="2026-12-14T00:00:00"/>
    <n v="997082.96"/>
    <n v="89143.18"/>
    <n v="82539.98"/>
    <n v="82539.98"/>
    <n v="82539.98"/>
    <n v="82539.98"/>
    <n v="82539.98"/>
    <n v="82539.98"/>
    <n v="82539.98"/>
    <n v="82539.98"/>
    <n v="82539.98"/>
    <n v="82539.98"/>
    <n v="82539.98"/>
    <n v="89143.18"/>
  </r>
  <r>
    <s v="SMDHC"/>
    <s v="Contratos"/>
    <s v="Atividades"/>
    <n v="6074202100030840"/>
    <s v="Está"/>
    <x v="26"/>
    <x v="7"/>
    <s v="143/SMDHC/2022"/>
    <x v="156"/>
    <s v="TIM S A"/>
    <d v="2026-08-01T00:00:00"/>
    <n v="396000"/>
    <n v="33000"/>
    <n v="33000"/>
    <n v="33000"/>
    <n v="33000"/>
    <n v="33000"/>
    <n v="33000"/>
    <n v="33000"/>
    <n v="33000"/>
    <n v="33000"/>
    <n v="33000"/>
    <n v="33000"/>
    <n v="33000"/>
    <n v="33000"/>
  </r>
  <r>
    <s v="SMDHC"/>
    <s v="Contratos"/>
    <s v="Atividades"/>
    <n v="6074202100037760"/>
    <s v="Está"/>
    <x v="26"/>
    <x v="7"/>
    <s v="192/SMDHC/2021"/>
    <x v="157"/>
    <s v="Guarda de Veículos JDN Ltda."/>
    <d v="2026-08-19T00:00:00"/>
    <n v="38463.599999999999"/>
    <n v="5517.8"/>
    <n v="6410.6"/>
    <n v="6852.02"/>
    <n v="6852.02"/>
    <n v="6852.02"/>
    <n v="6852.02"/>
    <n v="6852.02"/>
    <n v="6852.02"/>
    <n v="7839.92"/>
    <n v="7839.92"/>
    <n v="7839.92"/>
    <n v="7839.92"/>
    <n v="7839.92"/>
  </r>
  <r>
    <s v="SMDHC"/>
    <s v="Contratos"/>
    <s v="Atividades"/>
    <n v="6074202100041150"/>
    <s v="Está"/>
    <x v="26"/>
    <x v="7"/>
    <s v="286/SMDHC/2021"/>
    <x v="158"/>
    <s v="RPC INFORMATICA LTDA"/>
    <d v="2026-11-17T00:00:00"/>
    <n v="1198631.2"/>
    <n v="105224.6"/>
    <n v="98818.2"/>
    <n v="98818.2"/>
    <n v="98818.2"/>
    <n v="98818.2"/>
    <n v="98818.2"/>
    <n v="98818.2"/>
    <n v="98818.2"/>
    <n v="98818.2"/>
    <n v="98818.2"/>
    <n v="98818.2"/>
    <n v="105224.6"/>
    <n v="105224.6"/>
  </r>
  <r>
    <s v="SMDHC"/>
    <s v="Contratos"/>
    <s v="Atividades"/>
    <n v="6074202100043010"/>
    <s v="Não está"/>
    <x v="24"/>
    <x v="7"/>
    <s v="224/SMDHC/2021"/>
    <x v="159"/>
    <s v="Ivo Giunti Yoshioka"/>
    <d v="2026-09-23T00:00:00"/>
    <n v="8500"/>
    <n v="850"/>
    <m/>
    <n v="850"/>
    <n v="850"/>
    <n v="850"/>
    <n v="850"/>
    <n v="850"/>
    <n v="850"/>
    <n v="850"/>
    <n v="850"/>
    <n v="850"/>
    <n v="850"/>
    <m/>
  </r>
  <r>
    <s v="SMDHC"/>
    <s v="Contratos"/>
    <s v="Atividades"/>
    <n v="6074202100043010"/>
    <s v="Não está"/>
    <x v="24"/>
    <x v="7"/>
    <s v="224/SMDHC/2021"/>
    <x v="160"/>
    <s v="Ivo Giunti Yoshioka"/>
    <d v="2026-09-23T00:00:00"/>
    <n v="75495.759999999995"/>
    <n v="6557.98"/>
    <n v="6157.98"/>
    <n v="6157.98"/>
    <n v="6157.98"/>
    <n v="6157.98"/>
    <n v="6157.98"/>
    <n v="6157.98"/>
    <n v="6157.98"/>
    <n v="6157.98"/>
    <n v="6557.98"/>
    <n v="6557.98"/>
    <n v="6557.98"/>
    <n v="6557.98"/>
  </r>
  <r>
    <s v="SMDHC"/>
    <s v="Contratos"/>
    <s v="Atividades"/>
    <n v="6074202100043010"/>
    <s v="Não está"/>
    <x v="26"/>
    <x v="7"/>
    <s v="224/SMDHC/2021"/>
    <x v="161"/>
    <s v="Ivo Giunti Yoshioka"/>
    <d v="2026-09-23T00:00:00"/>
    <n v="1200"/>
    <n v="100"/>
    <m/>
    <n v="700"/>
    <n v="0"/>
    <n v="0"/>
    <n v="0"/>
    <n v="0"/>
    <n v="0"/>
    <n v="0"/>
    <n v="850"/>
    <n v="850"/>
    <n v="0"/>
    <m/>
  </r>
  <r>
    <s v="SMDHC"/>
    <s v="Contratos"/>
    <s v="Atividades"/>
    <n v="6074202100043970"/>
    <s v="Não está"/>
    <x v="26"/>
    <x v="7"/>
    <s v="139/SMDHC/2022"/>
    <x v="162"/>
    <s v="AVALIZAR ADMINISTRADORA"/>
    <d v="2026-08-03T00:00:00"/>
    <n v="70408"/>
    <n v="5364.5"/>
    <n v="5364.5"/>
    <n v="5364.5"/>
    <n v="5364.5"/>
    <n v="5364.5"/>
    <n v="5364.5"/>
    <n v="6226.5"/>
    <n v="6226.5"/>
    <n v="6226.5"/>
    <n v="6226.5"/>
    <n v="6226.5"/>
    <n v="6226.5"/>
    <n v="6226.5"/>
  </r>
  <r>
    <s v="SMDHC"/>
    <s v="Contratos"/>
    <s v="Atividades"/>
    <n v="6074202100043970"/>
    <s v="Não está"/>
    <x v="26"/>
    <x v="7"/>
    <s v="139/SMDHC/2022"/>
    <x v="163"/>
    <s v="AVALIZAR ADMINISTRADORA"/>
    <d v="2026-08-03T00:00:00"/>
    <n v="3850"/>
    <n v="385"/>
    <m/>
    <n v="385"/>
    <n v="385"/>
    <n v="385"/>
    <n v="385"/>
    <n v="385"/>
    <n v="385"/>
    <n v="385"/>
    <n v="385"/>
    <n v="385"/>
    <n v="385"/>
    <m/>
  </r>
  <r>
    <s v="SMDHC"/>
    <s v="Contratos"/>
    <s v="Atividades"/>
    <n v="6074202100053370"/>
    <s v="Não está"/>
    <x v="24"/>
    <x v="7"/>
    <s v="075/SMDHC/2023"/>
    <x v="164"/>
    <s v="MASATOSHI/ TIEKO YOSHIMOTO SAGA"/>
    <d v="2026-04-18T00:00:00"/>
    <n v="72194.34"/>
    <n v="5293.33"/>
    <n v="5698.57"/>
    <n v="5698.57"/>
    <n v="5698.57"/>
    <n v="6122.07"/>
    <n v="6122.07"/>
    <n v="6122.07"/>
    <n v="6122.07"/>
    <n v="6122.07"/>
    <n v="6122.07"/>
    <n v="6122.07"/>
    <n v="6122.07"/>
    <n v="6122.07"/>
  </r>
  <r>
    <s v="SMDHC"/>
    <s v="Contratos"/>
    <s v="Atividades"/>
    <n v="6074202100053370"/>
    <s v="Não está"/>
    <x v="24"/>
    <x v="7"/>
    <s v="075/SMDHC/2023"/>
    <x v="165"/>
    <s v="MASATOSHI/ TIEKO YOSHIMOTO SAGA"/>
    <d v="2026-04-18T00:00:00"/>
    <n v="3000"/>
    <n v="300"/>
    <m/>
    <n v="300"/>
    <n v="300"/>
    <n v="300"/>
    <n v="300"/>
    <n v="300"/>
    <n v="300"/>
    <n v="300"/>
    <n v="300"/>
    <n v="300"/>
    <n v="300"/>
    <m/>
  </r>
  <r>
    <s v="SMDHC"/>
    <s v="Contratos"/>
    <s v="Atividades"/>
    <n v="6074202100053370"/>
    <s v="Não está"/>
    <x v="24"/>
    <x v="7"/>
    <s v="075/SMDHC/2023"/>
    <x v="166"/>
    <s v="MASATOSHI/ TIEKO YOSHIMOTO SAGA"/>
    <d v="2026-04-18T00:00:00"/>
    <n v="1200"/>
    <n v="100"/>
    <m/>
    <m/>
    <m/>
    <m/>
    <m/>
    <n v="350"/>
    <m/>
    <m/>
    <m/>
    <m/>
    <m/>
    <m/>
  </r>
  <r>
    <s v="SMDHC"/>
    <s v="Contratos"/>
    <s v="Atividades"/>
    <n v="6074202100058360"/>
    <s v="Não está"/>
    <x v="24"/>
    <x v="7"/>
    <s v="257/SMDHC/2021"/>
    <x v="167"/>
    <s v="PEDRO TEDI BARBOSA BRAGA"/>
    <d v="2026-10-14T00:00:00"/>
    <n v="1100"/>
    <m/>
    <m/>
    <n v="110"/>
    <n v="110"/>
    <n v="110"/>
    <n v="110"/>
    <n v="110"/>
    <n v="110"/>
    <n v="110"/>
    <n v="110"/>
    <n v="110"/>
    <n v="110"/>
    <n v="0"/>
  </r>
  <r>
    <s v="SMDHC"/>
    <s v="Contratos"/>
    <s v="Atividades"/>
    <n v="6074202100058360"/>
    <s v="Não está"/>
    <x v="24"/>
    <x v="7"/>
    <s v="257/SMDHC/2021"/>
    <x v="168"/>
    <s v="PEDRO TEDI BARBOSA BRAGA"/>
    <d v="2026-10-14T00:00:00"/>
    <n v="54012.480000000003"/>
    <n v="4723.04"/>
    <n v="4427.04"/>
    <n v="4427.04"/>
    <n v="4427.04"/>
    <n v="4427.04"/>
    <n v="4427.04"/>
    <n v="4427.04"/>
    <n v="4427.04"/>
    <n v="4427.04"/>
    <n v="4427.04"/>
    <n v="4723.04"/>
    <n v="4723.04"/>
    <n v="4723.04"/>
  </r>
  <r>
    <s v="SMDHC"/>
    <s v="Contratos"/>
    <s v="Atividades"/>
    <n v="6074202100058360"/>
    <s v="Não está"/>
    <x v="24"/>
    <x v="7"/>
    <s v="257/SMDHC/2021"/>
    <x v="169"/>
    <s v="PEDRO TEDI BARBOSA BRAGA"/>
    <d v="2026-10-14T00:00:00"/>
    <n v="1200"/>
    <n v="100"/>
    <n v="0"/>
    <n v="350"/>
    <n v="0"/>
    <n v="0"/>
    <n v="0"/>
    <n v="0"/>
    <n v="0"/>
    <n v="0"/>
    <n v="0"/>
    <n v="0"/>
    <n v="0"/>
    <n v="0"/>
  </r>
  <r>
    <s v="SMDHC"/>
    <s v="Contratos"/>
    <s v="Atividades"/>
    <n v="6074202100065480"/>
    <s v="Não está"/>
    <x v="24"/>
    <x v="7"/>
    <s v="003/SMDHC/2022"/>
    <x v="170"/>
    <s v="JOSE ANTONIO FLORIO"/>
    <d v="2026-02-01T00:00:00"/>
    <n v="66141"/>
    <n v="4500"/>
    <n v="5181.75"/>
    <n v="5541.75"/>
    <n v="5541.75"/>
    <n v="5541.75"/>
    <n v="5541.75"/>
    <n v="5541.75"/>
    <n v="5541.75"/>
    <n v="5541.75"/>
    <n v="5541.75"/>
    <n v="5541.75"/>
    <n v="5541.75"/>
    <n v="5541.75"/>
  </r>
  <r>
    <s v="SMDHC"/>
    <s v="Contratos"/>
    <s v="Atividades"/>
    <n v="6074202100065480"/>
    <s v="Não está"/>
    <x v="24"/>
    <x v="7"/>
    <s v="003/SMDHC/2022"/>
    <x v="171"/>
    <s v="JOSE ANTONIO FLORIO"/>
    <d v="2026-02-01T00:00:00"/>
    <n v="5005"/>
    <m/>
    <m/>
    <n v="500.5"/>
    <n v="500.5"/>
    <n v="500.5"/>
    <n v="500.5"/>
    <n v="500.5"/>
    <n v="500.5"/>
    <n v="500.5"/>
    <n v="500.5"/>
    <n v="500.5"/>
    <n v="500.5"/>
    <m/>
  </r>
  <r>
    <s v="SMDHC"/>
    <s v="Contratos"/>
    <s v="Atividades"/>
    <n v="6074202100065810"/>
    <s v="Não está"/>
    <x v="24"/>
    <x v="7"/>
    <s v="338/SMDHC/2022"/>
    <x v="172"/>
    <s v="Manoel de Araujo Neto"/>
    <d v="2026-12-25T00:00:00"/>
    <n v="150"/>
    <n v="150"/>
    <m/>
    <n v="150"/>
    <m/>
    <s v="R$                        -  "/>
    <m/>
    <m/>
    <m/>
    <m/>
    <m/>
    <m/>
    <m/>
    <m/>
  </r>
  <r>
    <s v="SMDHC"/>
    <s v="Contratos"/>
    <s v="Atividades"/>
    <n v="6074202100065810"/>
    <s v="Não está"/>
    <x v="24"/>
    <x v="7"/>
    <s v="338/SMDHC/2022"/>
    <x v="173"/>
    <s v="Manoel de Araujo Neto"/>
    <d v="2026-12-25T00:00:00"/>
    <n v="77832.639999999999"/>
    <n v="6832.72"/>
    <n v="6416.72"/>
    <n v="6416.72"/>
    <n v="6416.72"/>
    <n v="6416.72"/>
    <n v="6416.72"/>
    <n v="6416.72"/>
    <n v="6416.72"/>
    <n v="6416.72"/>
    <n v="6416.72"/>
    <n v="6416.72"/>
    <n v="6832.72"/>
    <n v="6832.72"/>
  </r>
  <r>
    <s v="SMDHC"/>
    <s v="Contratos"/>
    <s v="Atividades"/>
    <n v="6074202100065810"/>
    <s v="Não está"/>
    <x v="24"/>
    <x v="7"/>
    <s v="338/SMDHC/2022"/>
    <x v="174"/>
    <s v="Manoel de Araujo Neto"/>
    <d v="2026-12-25T00:00:00"/>
    <n v="1200"/>
    <n v="100"/>
    <n v="0"/>
    <s v="R$                        -  "/>
    <m/>
    <s v="R$                        -  "/>
    <m/>
    <m/>
    <m/>
    <m/>
    <m/>
    <m/>
    <m/>
    <n v="200"/>
  </r>
  <r>
    <s v="SMDHC"/>
    <s v="Contratos"/>
    <s v="Atividades"/>
    <n v="6074202100066240"/>
    <s v="Não está"/>
    <x v="24"/>
    <x v="7"/>
    <s v="143/SMDHC/2022"/>
    <x v="175"/>
    <s v="Ademir do Sacramento"/>
    <d v="2026-07-06T00:00:00"/>
    <n v="66988.800000000003"/>
    <n v="4800"/>
    <n v="5390.4"/>
    <n v="5390.4"/>
    <n v="5390.4"/>
    <n v="5390.4"/>
    <n v="5390.4"/>
    <n v="5390.4"/>
    <n v="5774.4"/>
    <n v="5774.4"/>
    <n v="5774.4"/>
    <n v="5774.4"/>
    <n v="5774.4"/>
    <n v="5774.4"/>
  </r>
  <r>
    <s v="SMDHC"/>
    <s v="Contratos"/>
    <s v="Atividades"/>
    <n v="6074202100066240"/>
    <s v="Não está"/>
    <x v="24"/>
    <x v="7"/>
    <s v="143/SMDHC/2022"/>
    <x v="176"/>
    <s v="Ademir do Sacramento"/>
    <d v="2026-07-06T00:00:00"/>
    <n v="600"/>
    <n v="0"/>
    <n v="0"/>
    <n v="60"/>
    <n v="60"/>
    <n v="60"/>
    <n v="60"/>
    <n v="60"/>
    <n v="60"/>
    <n v="60"/>
    <n v="60"/>
    <n v="60"/>
    <n v="60"/>
    <n v="0"/>
  </r>
  <r>
    <s v="SMDHC"/>
    <s v="Contratos"/>
    <s v="Atividades"/>
    <n v="6074202100066240"/>
    <s v="Não está"/>
    <x v="24"/>
    <x v="7"/>
    <s v="143/SMDHC/2022"/>
    <x v="177"/>
    <s v="Ademir do Sacramento"/>
    <d v="2026-07-06T00:00:00"/>
    <n v="1200"/>
    <n v="100"/>
    <n v="0"/>
    <n v="0"/>
    <n v="0"/>
    <n v="0"/>
    <n v="0"/>
    <n v="0"/>
    <n v="0"/>
    <n v="350"/>
    <n v="0"/>
    <n v="0"/>
    <n v="0"/>
    <n v="0"/>
  </r>
  <r>
    <s v="SMDHC"/>
    <s v="Contratos"/>
    <s v="Atividades"/>
    <n v="6074202100078260"/>
    <s v="Não está"/>
    <x v="24"/>
    <x v="7"/>
    <s v="351/SMDHC/2021"/>
    <x v="178"/>
    <s v="CIBELE PEREIRA COSTA"/>
    <d v="2026-12-15T00:00:00"/>
    <n v="96728.52"/>
    <n v="8620.7099999999991"/>
    <n v="8620.7099999999991"/>
    <n v="8620.7099999999991"/>
    <n v="8620.7099999999991"/>
    <n v="8620.7099999999991"/>
    <n v="8620.7099999999991"/>
    <n v="8620.7099999999991"/>
    <n v="8620.7099999999991"/>
    <n v="8620.7099999999991"/>
    <n v="8620.7099999999991"/>
    <n v="8620.7099999999991"/>
    <n v="8620.7099999999991"/>
    <n v="9180.7099999999991"/>
  </r>
  <r>
    <s v="SMDHC"/>
    <s v="Contratos"/>
    <s v="Atividades"/>
    <n v="6074202100078260"/>
    <s v="Não está"/>
    <x v="24"/>
    <x v="7"/>
    <s v="351/SMDHC/2021"/>
    <x v="179"/>
    <s v="CIBELE PEREIRA COSTA"/>
    <d v="2026-12-15T00:00:00"/>
    <n v="8000"/>
    <n v="0"/>
    <n v="0"/>
    <n v="8000"/>
    <n v="0"/>
    <n v="0"/>
    <n v="0"/>
    <n v="0"/>
    <n v="0"/>
    <n v="0"/>
    <n v="0"/>
    <n v="0"/>
    <n v="0"/>
    <n v="0"/>
  </r>
  <r>
    <s v="SMDHC"/>
    <s v="Contratos"/>
    <s v="Atividades"/>
    <n v="6074202100078260"/>
    <s v="Não está"/>
    <x v="24"/>
    <x v="7"/>
    <s v="351/SMDHC/2021"/>
    <x v="180"/>
    <s v="CIBELE PEREIRA COSTA"/>
    <d v="2026-12-15T00:00:00"/>
    <n v="1200"/>
    <n v="100"/>
    <n v="0"/>
    <n v="350"/>
    <n v="0"/>
    <n v="0"/>
    <n v="0"/>
    <n v="0"/>
    <n v="0"/>
    <n v="0"/>
    <n v="0"/>
    <n v="0"/>
    <n v="0"/>
    <n v="0"/>
  </r>
  <r>
    <s v="SMDHC"/>
    <s v="Contratos"/>
    <s v="Atividades"/>
    <n v="6074202100079440"/>
    <s v="Está"/>
    <x v="26"/>
    <x v="7"/>
    <s v="145/SMDHC/2022"/>
    <x v="181"/>
    <s v="Clean4 Serviços gerais e administrativos Eirelli ME"/>
    <d v="2026-09-11T00:00:00"/>
    <n v="3261393.76"/>
    <n v="284106.71999999997"/>
    <n v="265620.86"/>
    <n v="265620.86"/>
    <n v="265620.86"/>
    <n v="265620.86"/>
    <n v="265620.86"/>
    <n v="265620.86"/>
    <n v="265620.86"/>
    <n v="265620.86"/>
    <n v="284106.71999999997"/>
    <n v="284106.71999999997"/>
    <n v="284106.71999999997"/>
    <n v="284106.71999999997"/>
  </r>
  <r>
    <s v="SMDHC"/>
    <s v="Contratos"/>
    <s v="Atividades"/>
    <n v="6074202100086750"/>
    <s v="Está"/>
    <x v="26"/>
    <x v="7"/>
    <n v="9912565743"/>
    <x v="182"/>
    <s v="EMPRESA BRASILEIRA DE CORREIOS E TELEGRAFOS"/>
    <d v="2026-02-01T00:00:00"/>
    <n v="624000"/>
    <n v="52000"/>
    <n v="30000"/>
    <n v="30000"/>
    <n v="30000"/>
    <n v="30000"/>
    <n v="30000"/>
    <n v="30000"/>
    <n v="30000"/>
    <n v="30000"/>
    <n v="30000"/>
    <n v="30000"/>
    <n v="30000"/>
    <n v="30000"/>
  </r>
  <r>
    <s v="SMDHC"/>
    <s v="Contratos"/>
    <s v="Atividades"/>
    <n v="6074202200013810"/>
    <s v="Não está"/>
    <x v="24"/>
    <x v="7"/>
    <s v="070/SMDHC/2022"/>
    <x v="183"/>
    <s v="Renata / Ricardo / Ronaldo"/>
    <d v="2026-04-03T00:00:00"/>
    <n v="86047.2"/>
    <n v="7290.6"/>
    <n v="6810.6"/>
    <n v="6810.6"/>
    <n v="6810.6"/>
    <n v="7290.6"/>
    <n v="7290.6"/>
    <n v="7290.6"/>
    <n v="7290.6"/>
    <n v="7290.6"/>
    <n v="7290.6"/>
    <n v="7290.6"/>
    <n v="7290.6"/>
    <n v="7290.6"/>
  </r>
  <r>
    <s v="SMDHC"/>
    <s v="Contratos"/>
    <s v="Atividades"/>
    <n v="6074202200013810"/>
    <s v="Não está"/>
    <x v="24"/>
    <x v="7"/>
    <s v="070/SMDHC/2022"/>
    <x v="184"/>
    <s v="Renata / Ricardo / Ronaldo"/>
    <d v="2026-04-03T00:00:00"/>
    <n v="9500"/>
    <n v="950"/>
    <n v="0"/>
    <n v="950"/>
    <n v="950"/>
    <n v="950"/>
    <n v="950"/>
    <n v="950"/>
    <n v="950"/>
    <n v="950"/>
    <n v="950"/>
    <n v="950"/>
    <n v="950"/>
    <m/>
  </r>
  <r>
    <s v="SMDHC"/>
    <s v="Contratos"/>
    <s v="Atividades"/>
    <n v="6074202200024380"/>
    <s v="Não está"/>
    <x v="26"/>
    <x v="7"/>
    <s v="294/SMDHC/2023"/>
    <x v="185"/>
    <s v="PROVINCIA CARMELITANA FLUMINENSE"/>
    <d v="2026-09-10T00:00:00"/>
    <n v="38000"/>
    <n v="3500"/>
    <n v="3000"/>
    <n v="3000"/>
    <n v="3000"/>
    <n v="3000"/>
    <n v="3000"/>
    <n v="3000"/>
    <n v="3000"/>
    <n v="3000"/>
    <n v="3500"/>
    <n v="3500"/>
    <n v="3500"/>
    <n v="3500"/>
  </r>
  <r>
    <s v="SMDHC"/>
    <s v="Contratos"/>
    <s v="Atividades"/>
    <n v="6074202200024380"/>
    <s v="Não está"/>
    <x v="26"/>
    <x v="7"/>
    <s v="294/SMDHC/2023"/>
    <x v="186"/>
    <s v="PROVINCIA CARMELITANA FLUMINENSE"/>
    <d v="2026-09-10T00:00:00"/>
    <n v="11000"/>
    <n v="1100"/>
    <n v="1100"/>
    <n v="1100"/>
    <n v="1100"/>
    <n v="1100"/>
    <n v="1100"/>
    <n v="1100"/>
    <n v="1100"/>
    <n v="1100"/>
    <n v="1100"/>
    <n v="1100"/>
    <s v="R$                        -  "/>
    <s v=" R$                             -  "/>
  </r>
  <r>
    <s v="SMDHC"/>
    <s v="Contratos"/>
    <s v="Atividades"/>
    <n v="6074202200024380"/>
    <s v="Não está"/>
    <x v="26"/>
    <x v="7"/>
    <s v="294/SMDHC/2023"/>
    <x v="187"/>
    <s v="PROVINCIA CARMELITANA FLUMINENSE"/>
    <d v="2025-09-10T00:00:00"/>
    <n v="82458.399999999994"/>
    <n v="7298.2"/>
    <n v="6658.2"/>
    <n v="6658.2"/>
    <n v="6658.2"/>
    <n v="6658.2"/>
    <n v="6658.2"/>
    <n v="6658.2"/>
    <n v="6658.2"/>
    <n v="6658.2"/>
    <n v="7298.2"/>
    <n v="7298.2"/>
    <n v="7298.2"/>
    <n v="7298.2"/>
  </r>
  <r>
    <s v="SMDHC"/>
    <s v="Contratos"/>
    <s v="Atividades"/>
    <n v="6074202200059300"/>
    <s v="Não está"/>
    <x v="24"/>
    <x v="7"/>
    <s v="072/SMDHC/2023"/>
    <x v="188"/>
    <s v="SILVIA MARIA PALMAGNANI"/>
    <d v="2026-04-11T00:00:00"/>
    <n v="1600"/>
    <n v="160"/>
    <m/>
    <n v="160"/>
    <n v="160"/>
    <n v="160"/>
    <n v="160"/>
    <n v="160"/>
    <n v="160"/>
    <n v="160"/>
    <n v="160"/>
    <n v="160"/>
    <n v="160"/>
    <n v="0"/>
  </r>
  <r>
    <s v="SMDHC"/>
    <s v="Contratos"/>
    <s v="Atividades"/>
    <n v="6074202200059300"/>
    <s v="Não está"/>
    <x v="24"/>
    <x v="7"/>
    <s v="072/SMDHC/2023"/>
    <x v="189"/>
    <s v="SILVIA MARIA PALMAGNANI"/>
    <d v="2026-04-11T00:00:00"/>
    <n v="54554.64"/>
    <n v="4626.22"/>
    <n v="4306.22"/>
    <n v="4306.22"/>
    <n v="4306.22"/>
    <n v="4626.22"/>
    <n v="4626.22"/>
    <n v="4626.22"/>
    <n v="4626.22"/>
    <n v="4626.22"/>
    <n v="4626.22"/>
    <n v="4626.22"/>
    <n v="4626.22"/>
    <n v="4626.22"/>
  </r>
  <r>
    <s v="SMDHC"/>
    <s v="Contratos"/>
    <s v="Atividades"/>
    <n v="6074202200059300"/>
    <s v="Não está"/>
    <x v="24"/>
    <x v="7"/>
    <s v="072/SMDHC/2023"/>
    <x v="190"/>
    <s v="SILVIA MARIA PALMAGNANI"/>
    <d v="2026-04-11T00:00:00"/>
    <n v="1200"/>
    <n v="100"/>
    <n v="0"/>
    <n v="0"/>
    <n v="0"/>
    <n v="0"/>
    <n v="200"/>
    <n v="0"/>
    <n v="0"/>
    <n v="0"/>
    <n v="0"/>
    <n v="0"/>
    <n v="0"/>
    <n v="0"/>
  </r>
  <r>
    <s v="SMDHC"/>
    <s v="Contratos"/>
    <s v="Atividades"/>
    <n v="6074202200059570"/>
    <s v="Não está"/>
    <x v="24"/>
    <x v="7"/>
    <s v="313/SMDHC/2023"/>
    <x v="191"/>
    <s v="Ermoaci / Elizabeth"/>
    <d v="2026-09-11T00:00:00"/>
    <n v="59760"/>
    <n v="5220"/>
    <n v="4860"/>
    <n v="4860"/>
    <n v="4860"/>
    <n v="4860"/>
    <n v="4860"/>
    <n v="4860"/>
    <n v="4860"/>
    <n v="4860"/>
    <n v="5220"/>
    <n v="5220"/>
    <n v="5220"/>
    <n v="5220"/>
  </r>
  <r>
    <s v="SMDHC"/>
    <s v="Contratos"/>
    <s v="Atividades"/>
    <n v="6074202200059570"/>
    <s v="Não está"/>
    <x v="26"/>
    <x v="7"/>
    <s v="313/SMDHC/2023"/>
    <x v="192"/>
    <s v="Ermoaci / Elizabeth"/>
    <d v="2026-09-11T00:00:00"/>
    <n v="1200"/>
    <n v="100"/>
    <n v="0"/>
    <n v="0"/>
    <n v="0"/>
    <n v="0"/>
    <n v="0"/>
    <n v="0"/>
    <n v="0"/>
    <n v="0"/>
    <n v="0"/>
    <n v="0"/>
    <n v="200"/>
    <n v="0"/>
  </r>
  <r>
    <s v="SMDHC"/>
    <s v="Contratos"/>
    <s v="Atividades"/>
    <n v="6074202300019210"/>
    <s v="Está"/>
    <x v="26"/>
    <x v="7"/>
    <s v="143/SMDHC/2022"/>
    <x v="19"/>
    <s v="LNX TRAVEL VIAGENS E TURISMO EIRELI"/>
    <d v="2026-03-27T00:00:00"/>
    <n v="20000"/>
    <n v="1666.67"/>
    <n v="1666.67"/>
    <n v="1666.67"/>
    <n v="1666.67"/>
    <n v="1666.67"/>
    <n v="1666.67"/>
    <n v="1666.67"/>
    <n v="1666.67"/>
    <n v="1666.67"/>
    <n v="1666.67"/>
    <n v="1666.67"/>
    <n v="1666.67"/>
    <n v="1666.67"/>
  </r>
  <r>
    <s v="SMDHC"/>
    <s v="Contratos"/>
    <s v="Atividades"/>
    <n v="6074202300020630"/>
    <s v="Está"/>
    <x v="28"/>
    <x v="7"/>
    <s v="143/SMDHC/2022"/>
    <x v="20"/>
    <s v="ORLEANS VIAGENS E TURISMO LTDA"/>
    <d v="2026-07-02T00:00:00"/>
    <n v="30000"/>
    <n v="2500"/>
    <n v="2500"/>
    <n v="2500"/>
    <n v="2500"/>
    <n v="2500"/>
    <n v="2500"/>
    <n v="2500"/>
    <n v="2500"/>
    <n v="2500"/>
    <n v="2500"/>
    <n v="2500"/>
    <n v="2500"/>
    <n v="2500"/>
  </r>
  <r>
    <s v="SMDHC"/>
    <s v="Contratos"/>
    <s v="Atividades"/>
    <n v="6074202300026080"/>
    <s v="Está"/>
    <x v="26"/>
    <x v="7"/>
    <s v="152/SMDHC/2024"/>
    <x v="193"/>
    <s v="CS BRASIL TRANSPORTES DE PASSAGEIROS"/>
    <d v="2029-05-12T00:00:00"/>
    <n v="10880000"/>
    <n v="928000"/>
    <n v="864000"/>
    <n v="864000"/>
    <n v="864000"/>
    <n v="864000"/>
    <n v="928000"/>
    <n v="928000"/>
    <n v="928000"/>
    <n v="928000"/>
    <n v="928000"/>
    <n v="928000"/>
    <n v="928000"/>
    <n v="928000"/>
  </r>
  <r>
    <s v="SMDHC"/>
    <s v="Contratos"/>
    <s v="Atividades"/>
    <n v="6074202300028040"/>
    <s v="Não está"/>
    <x v="26"/>
    <x v="7"/>
    <s v="140/SMDHC/2023"/>
    <x v="194"/>
    <s v="Aribisa Empreendimentos"/>
    <d v="2026-07-06T00:00:00"/>
    <n v="162976.07999999999"/>
    <n v="10950.48"/>
    <n v="13212.2"/>
    <n v="13212.2"/>
    <n v="13212.2"/>
    <n v="13212.2"/>
    <n v="13212.2"/>
    <n v="13212.2"/>
    <n v="13950.48"/>
    <n v="13950.48"/>
    <n v="13950.48"/>
    <n v="13950.48"/>
    <n v="13950.48"/>
    <n v="13950.48"/>
  </r>
  <r>
    <s v="SMDHC"/>
    <s v="Contratos"/>
    <s v="Atividades"/>
    <n v="6074202300028040"/>
    <s v="Não está"/>
    <x v="26"/>
    <x v="7"/>
    <s v="140/SMDHC/2023"/>
    <x v="195"/>
    <s v="Aribisa Empreendimentos"/>
    <d v="2026-07-06T00:00:00"/>
    <n v="19000"/>
    <m/>
    <m/>
    <n v="1900"/>
    <n v="1900"/>
    <n v="1900"/>
    <n v="1900"/>
    <n v="1900"/>
    <n v="1900"/>
    <n v="1900"/>
    <n v="1900"/>
    <n v="1900"/>
    <n v="1900"/>
    <m/>
  </r>
  <r>
    <s v="SMDHC"/>
    <s v="Contratos"/>
    <s v="Atividades"/>
    <n v="6074202300028040"/>
    <s v="Não está"/>
    <x v="26"/>
    <x v="7"/>
    <s v="140/SMDHC/2023"/>
    <x v="196"/>
    <s v="Aribisa Empreendimentos"/>
    <d v="2026-07-06T00:00:00"/>
    <n v="1200"/>
    <n v="100"/>
    <n v="1300"/>
    <n v="1300"/>
    <n v="1300"/>
    <n v="1300"/>
    <n v="1300"/>
    <n v="1300"/>
    <n v="1300"/>
    <n v="1300"/>
    <n v="1300"/>
    <n v="1300"/>
    <n v="1300"/>
    <n v="1300"/>
  </r>
  <r>
    <s v="SMDHC"/>
    <s v="Contratos"/>
    <s v="Atividades"/>
    <n v="6074202300031760"/>
    <s v="Não está"/>
    <x v="24"/>
    <x v="7"/>
    <s v="313/SMDHC/2023"/>
    <x v="197"/>
    <s v="Maria / Armando"/>
    <d v="2026-09-17T00:00:00"/>
    <n v="3750"/>
    <n v="375"/>
    <n v="0"/>
    <n v="375"/>
    <n v="375"/>
    <n v="375"/>
    <n v="375"/>
    <n v="375"/>
    <n v="375"/>
    <n v="375"/>
    <n v="375"/>
    <n v="375"/>
    <n v="375"/>
    <m/>
  </r>
  <r>
    <s v="SMDHC"/>
    <s v="Contratos"/>
    <s v="Atividades"/>
    <n v="6074202300031760"/>
    <s v="Não está"/>
    <x v="24"/>
    <x v="7"/>
    <s v="313/SMDHC/2023"/>
    <x v="198"/>
    <s v="Maria / Armando"/>
    <d v="2026-09-17T00:00:00"/>
    <n v="63502"/>
    <n v="5558.5"/>
    <n v="5158.5"/>
    <n v="5158.5"/>
    <n v="5158.5"/>
    <n v="5158.5"/>
    <n v="5158.5"/>
    <n v="5158.5"/>
    <n v="5158.5"/>
    <n v="5158.5"/>
    <n v="5558.5"/>
    <n v="5558.5"/>
    <n v="5558.5"/>
    <n v="5558.5"/>
  </r>
  <r>
    <s v="SMDHC"/>
    <s v="Contratos"/>
    <s v="Atividades"/>
    <n v="6074202300031760"/>
    <s v="Não está"/>
    <x v="24"/>
    <x v="7"/>
    <s v="313/SMDHC/2023"/>
    <x v="199"/>
    <s v="Maria / Armando"/>
    <d v="2026-09-17T00:00:00"/>
    <n v="1200"/>
    <n v="100"/>
    <n v="0"/>
    <n v="0"/>
    <n v="0"/>
    <n v="0"/>
    <n v="0"/>
    <n v="0"/>
    <n v="0"/>
    <n v="0"/>
    <n v="0"/>
    <n v="0"/>
    <n v="200"/>
    <n v="0"/>
  </r>
  <r>
    <s v="SMDHC"/>
    <s v="Contratos"/>
    <s v="Atividades"/>
    <n v="6074202300044040"/>
    <s v="Não está"/>
    <x v="24"/>
    <x v="7"/>
    <s v="327SMDHC/2023"/>
    <x v="200"/>
    <s v="Givaldo dos Santos "/>
    <d v="2026-10-05T00:00:00"/>
    <n v="68070"/>
    <n v="5000"/>
    <n v="5572.5"/>
    <n v="5572.5"/>
    <n v="5572.5"/>
    <n v="5572.5"/>
    <n v="5572.5"/>
    <n v="5572.5"/>
    <n v="5572.5"/>
    <n v="5572.5"/>
    <n v="5572.5"/>
    <n v="5972.5"/>
    <n v="5972.5"/>
    <n v="5972.5"/>
  </r>
  <r>
    <s v="SMDHC"/>
    <s v="Contratos"/>
    <s v="Atividades"/>
    <n v="6074202300044050"/>
    <s v="Não está"/>
    <x v="24"/>
    <x v="7"/>
    <s v="383/SMDHC/2023"/>
    <x v="201"/>
    <s v="Ari Mota"/>
    <d v="2026-11-09T00:00:00"/>
    <n v="81204"/>
    <n v="6000"/>
    <n v="6687"/>
    <n v="6687"/>
    <n v="6687"/>
    <n v="6687"/>
    <n v="6687"/>
    <n v="6687"/>
    <n v="6687"/>
    <n v="6687"/>
    <n v="6687"/>
    <n v="6687"/>
    <n v="7167"/>
    <n v="7167"/>
  </r>
  <r>
    <s v="SMDHC"/>
    <s v="Contratos"/>
    <s v="Atividades"/>
    <n v="6074202300044050"/>
    <s v="Não está"/>
    <x v="24"/>
    <x v="7"/>
    <s v="383/SMDHC/2023"/>
    <x v="202"/>
    <s v="Ari Mota"/>
    <d v="2026-11-09T00:00:00"/>
    <n v="8500"/>
    <n v="850"/>
    <m/>
    <n v="850"/>
    <n v="850"/>
    <n v="850"/>
    <n v="850"/>
    <n v="850"/>
    <n v="850"/>
    <n v="850"/>
    <n v="850"/>
    <n v="850"/>
    <n v="850"/>
    <m/>
  </r>
  <r>
    <s v="SMDHC"/>
    <s v="Contratos"/>
    <s v="Atividades"/>
    <n v="6074202300044050"/>
    <s v="Não está"/>
    <x v="24"/>
    <x v="7"/>
    <s v="383/SMDHC/2023"/>
    <x v="203"/>
    <s v="Ari Mota"/>
    <d v="2026-11-09T00:00:00"/>
    <n v="1200"/>
    <n v="1200"/>
    <m/>
    <n v="0"/>
    <n v="0"/>
    <n v="0"/>
    <n v="1200"/>
    <n v="0"/>
    <n v="0"/>
    <n v="0"/>
    <n v="0"/>
    <n v="0"/>
    <n v="0"/>
    <m/>
  </r>
  <r>
    <s v="SMDHC"/>
    <s v="Contratos"/>
    <s v="Atividades"/>
    <n v="6074202300049830"/>
    <s v="Não está"/>
    <x v="24"/>
    <x v="7"/>
    <s v="166/SMDHC/2024"/>
    <x v="204"/>
    <s v="Minas"/>
    <d v="2026-07-17T00:00:00"/>
    <n v="2500"/>
    <n v="250"/>
    <m/>
    <n v="250"/>
    <n v="250"/>
    <n v="250"/>
    <n v="250"/>
    <n v="250"/>
    <n v="250"/>
    <n v="250"/>
    <n v="250"/>
    <n v="250"/>
    <n v="250"/>
    <m/>
  </r>
  <r>
    <s v="SMDHC"/>
    <s v="Contratos"/>
    <s v="Atividades"/>
    <n v="6074202300049830"/>
    <s v="Não está"/>
    <x v="24"/>
    <x v="7"/>
    <s v="166/SMDHC/2024"/>
    <x v="205"/>
    <s v="Minas/Elisangela/Rosangela"/>
    <d v="2026-07-17T00:00:00"/>
    <n v="121680"/>
    <n v="10440"/>
    <n v="9720"/>
    <n v="9720"/>
    <n v="9720"/>
    <n v="9720"/>
    <n v="9720"/>
    <n v="10440"/>
    <n v="10440"/>
    <n v="10440"/>
    <n v="10440"/>
    <n v="10440"/>
    <n v="10440"/>
    <n v="10440"/>
  </r>
  <r>
    <s v="SMDHC"/>
    <s v="Contratos"/>
    <s v="Atividades"/>
    <n v="6074202300049830"/>
    <s v="Não está"/>
    <x v="26"/>
    <x v="7"/>
    <s v="166/SMDHC/2024"/>
    <x v="206"/>
    <s v="Minas/Elisangela/Rosangela"/>
    <d v="2026-07-17T00:00:00"/>
    <n v="1200"/>
    <n v="100"/>
    <n v="0"/>
    <n v="0"/>
    <n v="0"/>
    <n v="0"/>
    <n v="0"/>
    <n v="0"/>
    <n v="400"/>
    <n v="0"/>
    <n v="0"/>
    <n v="0"/>
    <n v="0"/>
    <n v="0"/>
  </r>
  <r>
    <s v="SMDHC"/>
    <s v="Contratos"/>
    <s v="Atividades"/>
    <n v="6074202300071940"/>
    <s v="Está"/>
    <x v="26"/>
    <x v="7"/>
    <s v="245/SMDHC/2023"/>
    <x v="207"/>
    <s v="Brazon Maxfilter Industria e Locação"/>
    <d v="2026-08-25T00:00:00"/>
    <n v="45722.559999999998"/>
    <n v="3965.52"/>
    <n v="3699.28"/>
    <n v="3699.28"/>
    <n v="3699.28"/>
    <n v="3699.28"/>
    <n v="3699.28"/>
    <n v="3699.28"/>
    <n v="3699.28"/>
    <n v="3965.52"/>
    <n v="3965.52"/>
    <n v="3965.52"/>
    <n v="3965.52"/>
    <n v="3965.52"/>
  </r>
  <r>
    <s v="SMDHC"/>
    <s v="Contratos"/>
    <s v="Atividades"/>
    <n v="6074202300075610"/>
    <s v="Não está"/>
    <x v="24"/>
    <x v="7"/>
    <s v="0001/SMDHC/2024"/>
    <x v="208"/>
    <s v="DENISE APARECIDA FRANCO ROCCA"/>
    <d v="2026-01-15T00:00:00"/>
    <n v="1100"/>
    <n v="110"/>
    <n v="0"/>
    <n v="110"/>
    <n v="110"/>
    <n v="110"/>
    <n v="110"/>
    <n v="110"/>
    <n v="110"/>
    <n v="110"/>
    <n v="110"/>
    <n v="110"/>
    <n v="110"/>
    <n v="0"/>
  </r>
  <r>
    <s v="SMDHC"/>
    <s v="Contratos"/>
    <s v="Atividades"/>
    <n v="6074202300075610"/>
    <s v="Não está"/>
    <x v="24"/>
    <x v="7"/>
    <s v="0001/SMDHC/2024"/>
    <x v="209"/>
    <s v="DENISE APARECIDA FRANCO ROCCA"/>
    <d v="2026-01-15T00:00:00"/>
    <n v="85200"/>
    <n v="7100"/>
    <n v="7100"/>
    <n v="7100"/>
    <n v="7100"/>
    <n v="7100"/>
    <n v="7100"/>
    <n v="7100"/>
    <n v="7100"/>
    <n v="7100"/>
    <n v="7100"/>
    <n v="7100"/>
    <n v="7100"/>
    <n v="7100"/>
  </r>
  <r>
    <s v="SMDHC"/>
    <s v="Contratos"/>
    <s v="Atividades"/>
    <n v="6074202300075610"/>
    <s v="Não está"/>
    <x v="24"/>
    <x v="7"/>
    <s v="0001/SMDHC/2024"/>
    <x v="210"/>
    <s v="DENISE APARECIDA FRANCO ROCCA"/>
    <d v="2026-01-15T00:00:00"/>
    <n v="1200"/>
    <n v="100"/>
    <n v="0"/>
    <n v="0"/>
    <n v="110"/>
    <n v="0"/>
    <n v="350"/>
    <n v="0"/>
    <n v="0"/>
    <n v="0"/>
    <n v="0"/>
    <n v="0"/>
    <n v="0"/>
    <n v="0"/>
  </r>
  <r>
    <s v="SMDHC"/>
    <s v="Contratos"/>
    <s v="Atividades"/>
    <n v="6074202400008350"/>
    <s v="Está"/>
    <x v="26"/>
    <x v="7"/>
    <s v="143/SMDHC/2022"/>
    <x v="84"/>
    <s v="DAVIS SOARES DA SILVA DETETIZADORA"/>
    <d v="2026-08-17T00:00:00"/>
    <n v="13440"/>
    <s v="R$                        -  "/>
    <s v=" R$                        -  "/>
    <n v="6720"/>
    <s v="R$                        -  "/>
    <m/>
    <s v=" R$                        -  "/>
    <s v=" R$                        -  "/>
    <s v=" R$                        -  "/>
    <n v="6720"/>
    <s v="R$                        -  "/>
    <s v=" R$                        -  "/>
    <s v=" R$                        -  "/>
    <s v=" R$                             -  "/>
  </r>
  <r>
    <s v="SMDHC"/>
    <s v="Contratos"/>
    <s v="Atividades"/>
    <n v="6074202400025170"/>
    <s v="Está"/>
    <x v="26"/>
    <x v="7"/>
    <s v="330/SMDHC/2024"/>
    <x v="211"/>
    <s v="SOLITA TECNOLOGIA E SERVICOS EMPRESARIAIS LTDA"/>
    <d v="2026-10-16T00:00:00"/>
    <n v="2909714.16"/>
    <n v="242476.18"/>
    <n v="242476.18"/>
    <n v="242476.18"/>
    <n v="242476.18"/>
    <n v="242476.18"/>
    <n v="242476.18"/>
    <n v="242476.18"/>
    <n v="242476.18"/>
    <n v="242476.18"/>
    <n v="242476.18"/>
    <n v="242476.18"/>
    <n v="242476.18"/>
    <n v="242476.18"/>
  </r>
  <r>
    <s v="SMDHC"/>
    <s v="Contratos"/>
    <s v="Atividades"/>
    <n v="6074202400054350"/>
    <s v="Está"/>
    <x v="26"/>
    <x v="7"/>
    <s v="341/SMDHC/2024"/>
    <x v="212"/>
    <s v="BANCO DO BRASIL SA"/>
    <d v="2026-11-11T00:00:00"/>
    <n v="685000"/>
    <n v="24000"/>
    <n v="2000"/>
    <n v="2000"/>
    <n v="2000"/>
    <n v="2000"/>
    <n v="2000"/>
    <n v="2000"/>
    <n v="2000"/>
    <n v="2000"/>
    <n v="2000"/>
    <n v="2000"/>
    <n v="2000"/>
    <n v="2000"/>
  </r>
  <r>
    <s v="SMDHC"/>
    <s v="Contratos"/>
    <s v="Atividades"/>
    <n v="6074202400061970"/>
    <s v="Não está"/>
    <x v="24"/>
    <x v="7"/>
    <s v="005/SMDHC/2025"/>
    <x v="213"/>
    <s v="Miyoko // Kiyoshi"/>
    <d v="2026-02-24T00:00:00"/>
    <n v="109480"/>
    <n v="8500"/>
    <n v="8500"/>
    <n v="9180"/>
    <n v="9180"/>
    <n v="9180"/>
    <n v="9180"/>
    <n v="9180"/>
    <n v="9180"/>
    <n v="9180"/>
    <n v="9180"/>
    <n v="9180"/>
    <n v="9180"/>
    <n v="9180"/>
  </r>
  <r>
    <s v="SMDHC"/>
    <s v="Contratos"/>
    <s v="Atividades"/>
    <n v="6074202400061970"/>
    <s v="Não está"/>
    <x v="24"/>
    <x v="7"/>
    <s v="005/SMDHC/2025"/>
    <x v="214"/>
    <s v="Miyoko // Kiyoshi"/>
    <d v="2026-02-24T00:00:00"/>
    <n v="9000"/>
    <n v="900"/>
    <s v="R$                        -  "/>
    <n v="900"/>
    <n v="900"/>
    <n v="900"/>
    <n v="900"/>
    <n v="900"/>
    <n v="900"/>
    <n v="900"/>
    <n v="900"/>
    <n v="900"/>
    <n v="900"/>
    <s v="R$                             -  "/>
  </r>
  <r>
    <s v="SMDHC"/>
    <s v="Contratos"/>
    <s v="Atividades"/>
    <n v="6074202400061970"/>
    <s v="Não está"/>
    <x v="24"/>
    <x v="7"/>
    <s v="005/SMDHC/2025"/>
    <x v="215"/>
    <s v="Miyoko // Kiyoshi"/>
    <d v="2026-02-24T00:00:00"/>
    <n v="1200"/>
    <n v="100"/>
    <s v="R$                        -  "/>
    <n v="0"/>
    <n v="500"/>
    <n v="0"/>
    <n v="0"/>
    <n v="0"/>
    <n v="0"/>
    <n v="900"/>
    <n v="0"/>
    <n v="0"/>
    <n v="0"/>
    <s v="R$                             -  "/>
  </r>
  <r>
    <s v="SMDHC"/>
    <s v="Contratos"/>
    <s v="Atividades"/>
    <n v="6074202400066370"/>
    <s v="Não está"/>
    <x v="26"/>
    <x v="7"/>
    <s v="071/SMDHC/2025"/>
    <x v="200"/>
    <s v="MMM SOLUCOES CONSULTORIA E GESTAO EMPRESARIAL LTDA"/>
    <d v="2026-03-09T00:00:00"/>
    <n v="89040"/>
    <n v="7560"/>
    <n v="7000"/>
    <n v="7000"/>
    <n v="7000"/>
    <n v="7560"/>
    <n v="7560"/>
    <n v="7560"/>
    <n v="7560"/>
    <n v="7560"/>
    <n v="7560"/>
    <n v="7560"/>
    <n v="7560"/>
    <n v="7560"/>
  </r>
  <r>
    <s v="SMDHC"/>
    <s v="Contratos"/>
    <s v="Atividades"/>
    <n v="6074202400066370"/>
    <s v="Não está"/>
    <x v="26"/>
    <x v="7"/>
    <s v="071/SMDHC/2025"/>
    <x v="216"/>
    <s v="MMM SOLUCOES CONSULTORIA E GESTAO EMPRESARIAL LTDA"/>
    <d v="2026-03-09T00:00:00"/>
    <n v="750"/>
    <n v="750"/>
    <s v="R$                        -  "/>
    <n v="75"/>
    <n v="75"/>
    <n v="75"/>
    <n v="75"/>
    <n v="75"/>
    <n v="75"/>
    <n v="75"/>
    <n v="75"/>
    <n v="75"/>
    <n v="75"/>
    <m/>
  </r>
  <r>
    <s v="SMDHC"/>
    <s v="Contratos"/>
    <s v="Atividades"/>
    <n v="6074202400066370"/>
    <s v="Não está"/>
    <x v="26"/>
    <x v="7"/>
    <s v="071/SMDHC/2025"/>
    <x v="217"/>
    <s v="MMM SOLUCOES CONSULTORIA E GESTAO EMPRESARIAL LTDA"/>
    <d v="2026-03-09T00:00:00"/>
    <n v="1200"/>
    <n v="100"/>
    <s v="R$                        -  "/>
    <n v="0"/>
    <n v="0"/>
    <n v="0"/>
    <n v="0"/>
    <n v="0"/>
    <n v="500"/>
    <n v="0"/>
    <n v="0"/>
    <n v="0"/>
    <n v="0"/>
    <m/>
  </r>
  <r>
    <s v="SMDHC"/>
    <s v="Contratos"/>
    <s v="Atividades"/>
    <n v="6074202400099110"/>
    <s v="Está"/>
    <x v="26"/>
    <x v="7"/>
    <s v="NE"/>
    <x v="218"/>
    <s v="SABESP"/>
    <d v="2026-12-31T00:00:00"/>
    <n v="240000"/>
    <n v="20000"/>
    <n v="20000"/>
    <n v="20000"/>
    <n v="20000"/>
    <n v="20000"/>
    <n v="20000"/>
    <n v="20000"/>
    <n v="20000"/>
    <n v="20000"/>
    <n v="20000"/>
    <n v="20000"/>
    <n v="20000"/>
    <n v="20000"/>
  </r>
  <r>
    <s v="SMDHC"/>
    <s v="Contratos"/>
    <s v="Atividades"/>
    <n v="6074202400099140"/>
    <s v="Está"/>
    <x v="26"/>
    <x v="7"/>
    <s v="NE"/>
    <x v="219"/>
    <s v="ENEL"/>
    <d v="2026-12-31T00:00:00"/>
    <n v="240000"/>
    <n v="20000"/>
    <n v="20000"/>
    <n v="20000"/>
    <n v="20000"/>
    <n v="20000"/>
    <n v="20000"/>
    <n v="20000"/>
    <n v="20000"/>
    <n v="20000"/>
    <n v="20000"/>
    <n v="20000"/>
    <n v="20000"/>
    <n v="20000"/>
  </r>
  <r>
    <s v="SMDHC"/>
    <s v="Contratos"/>
    <s v="Atividades"/>
    <n v="6074202500013480"/>
    <s v="Não está"/>
    <x v="27"/>
    <x v="7"/>
    <s v="XX/SMDHC/2026"/>
    <x v="37"/>
    <s v="Novo Edital"/>
    <d v="2026-08-02T00:00:00"/>
    <n v="8686591.6799999997"/>
    <n v="723882.64"/>
    <n v="723882.64"/>
    <n v="723882.64"/>
    <n v="723882.64"/>
    <n v="723882.64"/>
    <n v="723882.64"/>
    <n v="723882.64"/>
    <n v="723882.64"/>
    <n v="723882.64"/>
    <n v="723882.64"/>
    <n v="723882.64"/>
    <n v="723882.64"/>
    <n v="723882.64"/>
  </r>
  <r>
    <s v="SMDHC"/>
    <s v="Contratos"/>
    <s v="Atividades"/>
    <n v="6074202500013490"/>
    <s v="Não está"/>
    <x v="26"/>
    <x v="7"/>
    <s v="xxx/SMDHC/2026"/>
    <x v="220"/>
    <s v="xxxx"/>
    <s v="XX/XX/2026"/>
    <n v="2008231.32"/>
    <n v="167352.60999999999"/>
    <n v="167352.60999999999"/>
    <n v="167352.60999999999"/>
    <n v="167352.60999999999"/>
    <n v="167352.60999999999"/>
    <n v="167352.60999999999"/>
    <n v="167352.60999999999"/>
    <n v="167352.60999999999"/>
    <n v="167352.60999999999"/>
    <n v="167352.60999999999"/>
    <n v="167352.60999999999"/>
    <n v="167352.60999999999"/>
    <n v="167352.65"/>
  </r>
  <r>
    <s v="SMDHC"/>
    <s v="Contratos"/>
    <s v="Atividades"/>
    <n v="6074202500013490"/>
    <s v="Não está"/>
    <x v="29"/>
    <x v="7"/>
    <s v="xxx/SMDHC/2026"/>
    <x v="221"/>
    <s v="xxxx"/>
    <s v="XX/XX/2026"/>
    <n v="502057.83"/>
    <n v="41838.15"/>
    <n v="41838.15"/>
    <n v="41838.15"/>
    <n v="41838.15"/>
    <n v="41838.15"/>
    <n v="41838.15"/>
    <n v="41838.15"/>
    <n v="41838.15"/>
    <n v="41838.15"/>
    <n v="41838.15"/>
    <n v="41838.15"/>
    <n v="41838.15"/>
    <n v="41838.15"/>
  </r>
  <r>
    <s v="SMDHC"/>
    <s v="Contratos"/>
    <s v="Atividades"/>
    <n v="6074202500026580"/>
    <s v="Não está"/>
    <x v="24"/>
    <x v="7"/>
    <s v="XXX/SMDHC/2025"/>
    <x v="222"/>
    <s v="Jacqueline / Josiane / Vivian"/>
    <s v="xx/xx/2026"/>
    <n v="87360"/>
    <n v="7560"/>
    <n v="7000"/>
    <n v="7000"/>
    <n v="7000"/>
    <n v="7000"/>
    <n v="7000"/>
    <n v="7000"/>
    <n v="7560"/>
    <n v="7560"/>
    <n v="7560"/>
    <n v="7560"/>
    <n v="7560"/>
    <n v="7560"/>
  </r>
  <r>
    <s v="SMDHC"/>
    <s v="Contratos"/>
    <s v="Atividades"/>
    <n v="6074202500026580"/>
    <s v="Não está"/>
    <x v="24"/>
    <x v="7"/>
    <s v="XXX/SMDHC/2025"/>
    <x v="223"/>
    <s v="Jacqueline / Josiane / Vivian"/>
    <s v="xx/xx/2026"/>
    <n v="2500"/>
    <n v="250"/>
    <n v="0"/>
    <n v="250"/>
    <n v="250"/>
    <n v="250"/>
    <n v="250"/>
    <n v="250"/>
    <n v="250"/>
    <n v="250"/>
    <n v="250"/>
    <n v="250"/>
    <n v="250"/>
    <n v="0"/>
  </r>
  <r>
    <s v="SMDHC"/>
    <s v="Contratos"/>
    <s v="Atividades"/>
    <n v="6074202500026580"/>
    <s v="Não está"/>
    <x v="24"/>
    <x v="7"/>
    <s v="XXX/SMDHC/2025"/>
    <x v="224"/>
    <s v="Jacqueline / Josiane / Vivian"/>
    <s v="xx/xx/2026"/>
    <n v="500"/>
    <n v="100"/>
    <n v="0"/>
    <n v="500"/>
    <n v="0"/>
    <n v="0"/>
    <n v="0"/>
    <n v="0"/>
    <n v="0"/>
    <n v="0"/>
    <n v="0"/>
    <n v="0"/>
    <n v="0"/>
    <n v="0"/>
  </r>
  <r>
    <s v="SMDHC"/>
    <s v="Contratos"/>
    <s v="Atividades"/>
    <s v="60742026000xxxxx"/>
    <s v="Não está"/>
    <x v="29"/>
    <x v="7"/>
    <s v="xxx/SMDHC/2026"/>
    <x v="225"/>
    <s v="xxxxxxxxx"/>
    <s v="XX/XX/2026"/>
    <n v="35000"/>
    <n v="35000"/>
    <m/>
    <n v="35000"/>
    <m/>
    <m/>
    <m/>
    <m/>
    <m/>
    <m/>
    <m/>
    <m/>
    <m/>
    <m/>
  </r>
  <r>
    <s v="SMDHC"/>
    <s v="Contratos"/>
    <s v="Atividades"/>
    <s v="60742026000xxxxxx"/>
    <s v="Não está"/>
    <x v="30"/>
    <x v="7"/>
    <s v="xxx/SMDHC/2026"/>
    <x v="226"/>
    <s v="xxxxxxxx"/>
    <s v="xx/xx/2026"/>
    <n v="200000"/>
    <n v="0"/>
    <n v="0"/>
    <n v="0"/>
    <n v="300000"/>
    <n v="0"/>
    <n v="0"/>
    <n v="0"/>
    <n v="0"/>
    <n v="0"/>
    <n v="0"/>
    <n v="0"/>
    <n v="0"/>
    <n v="0"/>
  </r>
  <r>
    <s v="SMDHC"/>
    <s v="Contratos"/>
    <s v="Atividades"/>
    <n v="6074202200005770"/>
    <s v="Não está"/>
    <x v="31"/>
    <x v="8"/>
    <s v="001/SMDHC/2022"/>
    <x v="227"/>
    <s v="CENTRO DE INTEGRACAO EMPRESA ESCOLA CIEE"/>
    <d v="2026-02-01T00:00:00"/>
    <n v="1800000"/>
    <n v="150000"/>
    <n v="150000"/>
    <n v="150000"/>
    <n v="150000"/>
    <n v="150000"/>
    <n v="150000"/>
    <n v="150000"/>
    <n v="150000"/>
    <n v="150000"/>
    <n v="150000"/>
    <n v="150000"/>
    <n v="150000"/>
    <n v="150000"/>
  </r>
  <r>
    <s v="SMDHC"/>
    <s v="Contratos"/>
    <s v="Atividades"/>
    <n v="6074201900011180"/>
    <s v="Está"/>
    <x v="1"/>
    <x v="9"/>
    <s v="011/SMDHC/2019"/>
    <x v="228"/>
    <s v="RA TELECOM LTDA"/>
    <d v="2026-06-05T00:00:00"/>
    <n v="49672.6"/>
    <n v="4236.05"/>
    <n v="4004.05"/>
    <n v="4004.05"/>
    <n v="4004.05"/>
    <n v="4004.05"/>
    <n v="4004.05"/>
    <n v="4236.05"/>
    <n v="4236.05"/>
    <n v="4236.05"/>
    <n v="4236.05"/>
    <n v="4236.05"/>
    <n v="4236.05"/>
    <n v="4236.05"/>
  </r>
  <r>
    <s v="SMDHC"/>
    <s v="Contratos"/>
    <s v="Atividades"/>
    <n v="6074202000011890"/>
    <s v="Está"/>
    <x v="32"/>
    <x v="9"/>
    <s v="048/SMDHC/2020"/>
    <x v="229"/>
    <s v="EDSON RODRIGO MELLADO DE LIMA"/>
    <d v="2026-09-25T00:00:00"/>
    <n v="69771.72"/>
    <n v="5711.81"/>
    <n v="5711.81"/>
    <n v="5711.81"/>
    <n v="5711.81"/>
    <n v="5711.81"/>
    <n v="5711.81"/>
    <n v="5711.81"/>
    <n v="5711.81"/>
    <n v="5711.81"/>
    <n v="5711.81"/>
    <n v="6121.81"/>
    <n v="6121.81"/>
    <n v="6121.81"/>
  </r>
  <r>
    <s v="SMDHC"/>
    <s v="Contratos"/>
    <s v="Atividades"/>
    <n v="6074202100075180"/>
    <s v="Está"/>
    <x v="0"/>
    <x v="9"/>
    <s v="030/SMDHC/2022"/>
    <x v="230"/>
    <s v="MJ TECNOLOGIA DO BRASIL LTDA"/>
    <d v="2026-03-09T00:00:00"/>
    <n v="151911.04000000001"/>
    <n v="12798.88"/>
    <n v="11961.12"/>
    <n v="11961.12"/>
    <n v="12798.88"/>
    <n v="12798.88"/>
    <n v="12798.88"/>
    <n v="12798.88"/>
    <n v="12798.88"/>
    <n v="12798.88"/>
    <n v="12798.88"/>
    <n v="12798.88"/>
    <n v="12798.88"/>
    <n v="12798.88"/>
  </r>
  <r>
    <s v="SMDHC"/>
    <s v="Contratos"/>
    <s v="Atividades"/>
    <n v="6074202400042910"/>
    <s v="Está"/>
    <x v="0"/>
    <x v="9"/>
    <s v="262/SMDHC/2024"/>
    <x v="231"/>
    <s v="PRODAM"/>
    <d v="2026-09-17T00:00:00"/>
    <n v="1652562.8"/>
    <n v="200000"/>
    <n v="200000"/>
    <n v="200000"/>
    <n v="200000"/>
    <n v="200000"/>
    <n v="200000"/>
    <n v="200000"/>
    <n v="200000"/>
    <n v="200000"/>
    <n v="200000"/>
    <n v="200000"/>
    <n v="200000"/>
    <n v="200000"/>
  </r>
  <r>
    <s v="SMDHC"/>
    <s v="Contratos"/>
    <s v="Atividades"/>
    <n v="6074202500006770"/>
    <s v="Está"/>
    <x v="32"/>
    <x v="9"/>
    <s v="048/SMDHC/2025"/>
    <x v="232"/>
    <s v="LILIAN ARRUDA DA SILVA"/>
    <d v="2026-05-07T00:00:00"/>
    <n v="2558"/>
    <m/>
    <m/>
    <m/>
    <m/>
    <m/>
    <n v="2558"/>
    <m/>
    <m/>
    <m/>
    <m/>
    <m/>
    <m/>
    <m/>
  </r>
  <r>
    <s v="SMDHC"/>
    <s v="Contratos"/>
    <s v="Atividades"/>
    <s v="60742026000xxxxx"/>
    <s v="Não está"/>
    <x v="33"/>
    <x v="10"/>
    <s v="xxx/SMDHC/2026"/>
    <x v="233"/>
    <s v="xxxxxxxxx"/>
    <s v="XX/XX/2026"/>
    <n v="100000"/>
    <n v="100000"/>
    <m/>
    <n v="100000"/>
    <m/>
    <m/>
    <m/>
    <m/>
    <m/>
    <m/>
    <m/>
    <m/>
    <m/>
    <m/>
  </r>
  <r>
    <s v="SMDHC"/>
    <s v="Contratos"/>
    <s v="Atividades"/>
    <s v="60742026000xxxxx"/>
    <s v="Não está"/>
    <x v="34"/>
    <x v="10"/>
    <s v="xxx/SMDHC/2026"/>
    <x v="234"/>
    <s v="xxxxxxxxx"/>
    <s v="XX/XX/2026"/>
    <n v="50000"/>
    <n v="50000"/>
    <m/>
    <n v="50000"/>
    <m/>
    <m/>
    <m/>
    <m/>
    <m/>
    <m/>
    <m/>
    <m/>
    <m/>
    <m/>
  </r>
  <r>
    <s v="SMDHC"/>
    <s v="Contratos"/>
    <s v="Atividades"/>
    <s v="60742026000xxxxx"/>
    <s v="Não está"/>
    <x v="35"/>
    <x v="11"/>
    <s v="xxx/SMDHC/2026"/>
    <x v="235"/>
    <s v="xxxxxxxxx"/>
    <s v="XX/XX/2026"/>
    <n v="50000"/>
    <n v="50000"/>
    <m/>
    <n v="0"/>
    <m/>
    <n v="50000"/>
    <m/>
    <m/>
    <m/>
    <m/>
    <m/>
    <m/>
    <m/>
    <m/>
  </r>
  <r>
    <s v="SMDHC"/>
    <s v="Contratos"/>
    <s v="Atividades"/>
    <n v="6074202100026480"/>
    <s v="Está"/>
    <x v="36"/>
    <x v="12"/>
    <s v="232/SMDHC/2021"/>
    <x v="236"/>
    <s v="QRX SEGURANCA PATRIMONIAL EIRELI"/>
    <d v="2025-10-05T00:00:00"/>
    <n v="237161.88"/>
    <n v="22509.37"/>
    <n v="21136.43"/>
    <n v="21136.43"/>
    <n v="21136.43"/>
    <n v="21136.43"/>
    <n v="21136.43"/>
    <n v="21136.43"/>
    <n v="21136.43"/>
    <n v="21136.43"/>
    <n v="21136.43"/>
    <n v="22509.37"/>
    <n v="22509.37"/>
    <n v="22509.37"/>
  </r>
  <r>
    <s v="SMDHC"/>
    <s v="Contratos"/>
    <s v="Atividades"/>
    <n v="6074202200022450"/>
    <s v="Está"/>
    <x v="37"/>
    <x v="12"/>
    <s v="066/SMDHC/2023"/>
    <x v="237"/>
    <s v="TELEFONICA BRASIL SA"/>
    <d v="2026-04-26T00:00:00"/>
    <n v="1200"/>
    <n v="100"/>
    <n v="100"/>
    <n v="100"/>
    <n v="100"/>
    <n v="100"/>
    <n v="100"/>
    <n v="100"/>
    <n v="100"/>
    <n v="100"/>
    <n v="100"/>
    <n v="100"/>
    <n v="100"/>
    <n v="100"/>
  </r>
  <r>
    <s v="SMDHC"/>
    <s v="Contratos"/>
    <s v="Atividades"/>
    <n v="6074202200031730"/>
    <s v="Está"/>
    <x v="36"/>
    <x v="12"/>
    <s v="215/SMDHC/2022"/>
    <x v="93"/>
    <s v="RENASEB EMPRESA DE SEGURANCA E VIGILANCIA EIRELI"/>
    <d v="2026-12-06T00:00:00"/>
    <n v="122941.18"/>
    <n v="10892.87"/>
    <n v="10186.209999999999"/>
    <n v="10186.209999999999"/>
    <n v="10186.209999999999"/>
    <n v="10186.209999999999"/>
    <n v="10186.209999999999"/>
    <n v="10186.209999999999"/>
    <n v="10186.209999999999"/>
    <n v="10186.209999999999"/>
    <n v="10186.209999999999"/>
    <n v="10186.209999999999"/>
    <n v="10186.209999999999"/>
    <n v="10892.87"/>
  </r>
  <r>
    <s v="SMDHC"/>
    <s v="Contratos"/>
    <s v="Atividades"/>
    <n v="6074202300013730"/>
    <s v="Está"/>
    <x v="37"/>
    <x v="12"/>
    <s v="067/SMDHC/2023"/>
    <x v="238"/>
    <s v="ACJS - Saneamento e Controle Ambiental"/>
    <d v="2026-05-07T00:00:00"/>
    <n v="785"/>
    <s v="R$                        -  "/>
    <s v=" R$                        -  "/>
    <n v="392.5"/>
    <m/>
    <s v="R$                        -  "/>
    <s v=" R$                        -  "/>
    <s v=" R$                        -  "/>
    <n v="785"/>
    <s v="R$                        -  "/>
    <s v=" R$                        -  "/>
    <s v=" R$                        -  "/>
    <s v=" R$                        -  "/>
    <s v=" R$                             -  "/>
  </r>
  <r>
    <s v="SMDHC"/>
    <s v="Contratos"/>
    <s v="Atividades"/>
    <n v="6074202300065530"/>
    <s v="Está"/>
    <x v="37"/>
    <x v="12"/>
    <s v="261/SMDHC2024"/>
    <x v="239"/>
    <s v="UNISERV TERCEIRIZACAO E SERVICOS LTDA "/>
    <d v="2026-09-16T00:00:00"/>
    <n v="183859.44"/>
    <n v="15321.62"/>
    <n v="15321.62"/>
    <n v="15321.62"/>
    <n v="15321.62"/>
    <n v="15321.62"/>
    <n v="15321.62"/>
    <n v="15321.62"/>
    <n v="15321.62"/>
    <n v="15321.62"/>
    <n v="15321.62"/>
    <n v="15321.62"/>
    <n v="15321.62"/>
    <n v="15321.62"/>
  </r>
  <r>
    <s v="SMDHC"/>
    <s v="Contratos"/>
    <s v="Atividades"/>
    <n v="6074202300066920"/>
    <s v="Está"/>
    <x v="36"/>
    <x v="12"/>
    <s v="067/SMDHC/2025"/>
    <x v="240"/>
    <s v="RENASEB - EMPRESA DE SEGURANCA E VIGILANCIA LTDA"/>
    <m/>
    <n v="266559.82"/>
    <n v="23712.38"/>
    <n v="20441.7"/>
    <n v="22077.040000000001"/>
    <n v="22077.040000000001"/>
    <n v="22077.040000000001"/>
    <n v="22077.040000000001"/>
    <n v="22077.040000000001"/>
    <n v="22077.040000000001"/>
    <n v="22077.040000000001"/>
    <n v="22077.040000000001"/>
    <n v="22077.040000000001"/>
    <n v="23712.38"/>
    <n v="23712.38"/>
  </r>
  <r>
    <s v="SMDHC"/>
    <s v="Contratos"/>
    <s v="Atividades"/>
    <n v="6074202300072300"/>
    <s v="Está"/>
    <x v="37"/>
    <x v="12"/>
    <s v="325/SMDHC/2023"/>
    <x v="241"/>
    <s v="Brazon Maxfilter Industria e Locação"/>
    <d v="2026-09-30T00:00:00"/>
    <n v="869.04"/>
    <n v="76.260000000000005"/>
    <n v="71.14"/>
    <n v="71.14"/>
    <n v="71.14"/>
    <n v="71.14"/>
    <n v="71.14"/>
    <n v="71.14"/>
    <n v="71.14"/>
    <n v="71.14"/>
    <n v="71.14"/>
    <n v="76.260000000000005"/>
    <n v="76.260000000000005"/>
    <n v="76.260000000000005"/>
  </r>
  <r>
    <s v="SMDHC"/>
    <s v="Contratos"/>
    <s v="Atividades"/>
    <n v="6074202400065410"/>
    <s v="Está"/>
    <x v="37"/>
    <x v="12"/>
    <s v="336/SMDHC/2024"/>
    <x v="74"/>
    <s v="SAKURA DEDETIZADORA LTDA"/>
    <d v="2026-12-03T00:00:00"/>
    <n v="1240"/>
    <s v="R$                        -  "/>
    <n v="580"/>
    <s v="R$                        -  "/>
    <s v=" R$                        -  "/>
    <s v=" R$                        -  "/>
    <s v=" R$                        -  "/>
    <s v=" R$                        -  "/>
    <s v=" R$                        -  "/>
    <s v=" R$                        -  "/>
    <s v=" R$                        -  "/>
    <n v="660"/>
    <s v="R$                        -  "/>
    <s v=" R$                             -  "/>
  </r>
  <r>
    <s v="SMDHC"/>
    <s v="Contratos"/>
    <s v="Atividades"/>
    <n v="6074202400099120"/>
    <s v="Está"/>
    <x v="37"/>
    <x v="12"/>
    <s v="NE"/>
    <x v="242"/>
    <s v="SABESP"/>
    <d v="2026-12-31T00:00:00"/>
    <n v="7200"/>
    <n v="600"/>
    <n v="600"/>
    <n v="600"/>
    <n v="600"/>
    <n v="600"/>
    <n v="600"/>
    <n v="600"/>
    <n v="600"/>
    <n v="600"/>
    <n v="600"/>
    <n v="600"/>
    <n v="600"/>
    <n v="600"/>
  </r>
  <r>
    <s v="SMDHC"/>
    <s v="Contratos"/>
    <s v="Atividades"/>
    <n v="6074202400099150"/>
    <s v="Está"/>
    <x v="37"/>
    <x v="12"/>
    <s v="NE"/>
    <x v="243"/>
    <s v="ENEL"/>
    <d v="2026-12-31T00:00:00"/>
    <n v="12000"/>
    <n v="1000"/>
    <n v="1000"/>
    <n v="1000"/>
    <n v="1000"/>
    <n v="1000"/>
    <n v="1000"/>
    <n v="1000"/>
    <n v="1000"/>
    <n v="1000"/>
    <n v="1000"/>
    <n v="1000"/>
    <n v="1000"/>
    <n v="1000"/>
  </r>
  <r>
    <s v="SMDHC"/>
    <s v="Contratos"/>
    <s v="Atividades"/>
    <n v="6074202500013480"/>
    <s v="Não está"/>
    <x v="36"/>
    <x v="12"/>
    <s v="XX/SMDHC/2026"/>
    <x v="244"/>
    <s v="Novo Edital"/>
    <d v="2026-08-02T00:00:00"/>
    <n v="357134.28"/>
    <n v="29761.19"/>
    <n v="29761.19"/>
    <n v="29761.19"/>
    <n v="29761.19"/>
    <n v="29761.19"/>
    <n v="29761.19"/>
    <n v="29761.19"/>
    <n v="29761.19"/>
    <n v="29761.19"/>
    <n v="29761.19"/>
    <n v="29761.19"/>
    <n v="29761.19"/>
    <n v="29761.19"/>
  </r>
  <r>
    <s v="SMDHC"/>
    <s v="Contratos"/>
    <s v="Atividades"/>
    <s v="60742026000xxxxx"/>
    <s v="Não está"/>
    <x v="38"/>
    <x v="12"/>
    <s v="xxx/SMDHC/2026"/>
    <x v="245"/>
    <s v="xxxxxxxxx"/>
    <s v="XX/XX/2026"/>
    <n v="5000"/>
    <n v="5000"/>
    <m/>
    <n v="5000"/>
    <m/>
    <m/>
    <m/>
    <m/>
    <m/>
    <m/>
    <m/>
    <m/>
    <m/>
    <m/>
  </r>
  <r>
    <s v="SMDHC"/>
    <s v="Contratos"/>
    <s v="Atividades"/>
    <s v="60742026000xxxxx"/>
    <s v="Não está"/>
    <x v="38"/>
    <x v="12"/>
    <s v="xxx/SMDHC/2026"/>
    <x v="246"/>
    <s v="xxxxxxxxx"/>
    <s v="XX/XX/2026"/>
    <n v="100000"/>
    <n v="100000"/>
    <m/>
    <n v="0"/>
    <m/>
    <n v="100000"/>
    <m/>
    <m/>
    <m/>
    <m/>
    <m/>
    <m/>
    <m/>
    <m/>
  </r>
  <r>
    <s v="SMDHC"/>
    <s v="Contratos"/>
    <s v="Atividades"/>
    <n v="6074202300030120"/>
    <s v="Está"/>
    <x v="39"/>
    <x v="13"/>
    <s v="145/SMDHC/2023"/>
    <x v="247"/>
    <s v="AZUL TRANSPORTES E TURISMO LTDA"/>
    <d v="2026-06-15T00:00:00"/>
    <n v="366890.16"/>
    <n v="32394.18"/>
    <n v="28026.18"/>
    <n v="28026.18"/>
    <n v="28026.18"/>
    <n v="28026.18"/>
    <n v="28026.18"/>
    <n v="32394.18"/>
    <n v="32394.18"/>
    <n v="32394.18"/>
    <n v="32394.18"/>
    <n v="32394.18"/>
    <n v="32394.18"/>
    <n v="32394.18"/>
  </r>
  <r>
    <s v="SMDHC"/>
    <s v="Contratos"/>
    <s v="Atividades"/>
    <n v="6074202500013480"/>
    <s v="Não está"/>
    <x v="40"/>
    <x v="13"/>
    <s v="XX/SMDHC/2026"/>
    <x v="248"/>
    <s v="Novo Edital"/>
    <d v="2026-08-02T00:00:00"/>
    <n v="357134.28"/>
    <n v="29761.19"/>
    <n v="29761.19"/>
    <n v="29761.19"/>
    <n v="29761.19"/>
    <n v="29761.19"/>
    <n v="29761.19"/>
    <n v="29761.19"/>
    <n v="29761.19"/>
    <n v="29761.19"/>
    <n v="29761.19"/>
    <n v="29761.19"/>
    <n v="29761.19"/>
    <n v="29761.19"/>
  </r>
  <r>
    <s v="SMDHC"/>
    <s v="Contratos"/>
    <s v="Atividades"/>
    <s v="60742026000XXXXX"/>
    <s v="Não está"/>
    <x v="41"/>
    <x v="13"/>
    <s v="XX/SMDHC/2026"/>
    <x v="249"/>
    <s v="xxxxxxx"/>
    <d v="2026-12-31T00:00:00"/>
    <n v="100000"/>
    <n v="100000"/>
    <m/>
    <m/>
    <m/>
    <n v="100000"/>
    <m/>
    <m/>
    <m/>
    <m/>
    <m/>
    <m/>
    <m/>
    <m/>
  </r>
  <r>
    <s v="SMDHC"/>
    <s v="Contratos"/>
    <s v="Atividades"/>
    <s v="60742026000xxxxx"/>
    <s v="Não está"/>
    <x v="42"/>
    <x v="14"/>
    <s v="xxx/SMDHC/2026"/>
    <x v="250"/>
    <s v="xxxxxxxxx"/>
    <s v="XX/XX/2026"/>
    <n v="12000"/>
    <n v="12000"/>
    <m/>
    <m/>
    <n v="6000"/>
    <n v="6000"/>
    <m/>
    <m/>
    <m/>
    <m/>
    <m/>
    <m/>
    <m/>
    <m/>
  </r>
  <r>
    <s v="SMDHC"/>
    <s v="Contratos"/>
    <s v="Atividades"/>
    <s v="60742026000xxxxx"/>
    <s v="Não está"/>
    <x v="43"/>
    <x v="14"/>
    <s v="xxx/SMDHC/2026"/>
    <x v="251"/>
    <s v="xxxxxxxxx"/>
    <s v="XX/XX/2026"/>
    <n v="50000"/>
    <n v="50000"/>
    <m/>
    <n v="5000"/>
    <n v="10000"/>
    <n v="10000"/>
    <n v="10000"/>
    <n v="10000"/>
    <n v="10000"/>
    <n v="5000"/>
    <m/>
    <m/>
    <m/>
    <m/>
  </r>
  <r>
    <s v="SMDHC"/>
    <s v="Contratos"/>
    <s v="Atividades"/>
    <n v="6064201800000520"/>
    <s v="Não está"/>
    <x v="44"/>
    <x v="15"/>
    <s v="NE"/>
    <x v="252"/>
    <s v="Diversos Beneficiáriios"/>
    <d v="2026-12-31T00:00:00"/>
    <n v="14345100"/>
    <n v="1195425"/>
    <n v="1195425"/>
    <n v="1195425"/>
    <n v="1195425"/>
    <n v="1195425"/>
    <n v="1195425"/>
    <n v="1195425"/>
    <n v="1195425"/>
    <n v="1195425"/>
    <n v="1195425"/>
    <n v="1195425"/>
    <n v="1195425"/>
    <n v="1195425"/>
  </r>
  <r>
    <s v="SMDHC"/>
    <s v="Contratos"/>
    <s v="Atividades"/>
    <n v="6074202000000750"/>
    <s v="Está"/>
    <x v="45"/>
    <x v="15"/>
    <s v="033/SMDHC/2020"/>
    <x v="253"/>
    <s v="AZUL TRANSPORTES E TURISMO LTDA"/>
    <d v="2026-08-05T00:00:00"/>
    <n v="1210526.8"/>
    <n v="104633.9"/>
    <n v="98193.9"/>
    <n v="98193.9"/>
    <n v="98193.9"/>
    <n v="98193.9"/>
    <n v="98193.9"/>
    <n v="98193.9"/>
    <n v="98193.9"/>
    <n v="104633.9"/>
    <n v="104633.9"/>
    <n v="104633.9"/>
    <n v="104633.9"/>
    <n v="104633.9"/>
  </r>
  <r>
    <s v="SMDHC"/>
    <s v="Contratos"/>
    <s v="Atividades"/>
    <n v="6074202100045240"/>
    <s v="Está"/>
    <x v="46"/>
    <x v="15"/>
    <s v="NE"/>
    <x v="254"/>
    <s v="TAXA RAINBOW"/>
    <d v="2026-04-01T00:00:00"/>
    <n v="15000"/>
    <n v="15000"/>
    <n v="0"/>
    <n v="0"/>
    <n v="0"/>
    <n v="0"/>
    <n v="0"/>
    <n v="0"/>
    <n v="0"/>
    <n v="0"/>
    <n v="0"/>
    <n v="0"/>
    <n v="0"/>
    <n v="0"/>
  </r>
  <r>
    <s v="SMDHC"/>
    <s v="Contratos"/>
    <s v="Atividades"/>
    <n v="6074202500013590"/>
    <s v="Está"/>
    <x v="45"/>
    <x v="15"/>
    <s v="030/SMDHC/2025"/>
    <x v="255"/>
    <s v="INSTITUTO DE ESTUDOS DE PROTESTO DE TÍTULOS DO BRASIL - SEÇÃO SÃO PAULO - IEPTB - SP"/>
    <d v="2026-12-31T00:00:00"/>
    <n v="48463.199999999997"/>
    <n v="4038.6"/>
    <n v="4038.6"/>
    <n v="4038.6"/>
    <n v="4038.6"/>
    <n v="4038.6"/>
    <n v="4038.6"/>
    <n v="4038.6"/>
    <n v="4038.6"/>
    <n v="4038.6"/>
    <n v="4038.6"/>
    <n v="4038.6"/>
    <n v="4038.6"/>
    <n v="4038.6"/>
  </r>
  <r>
    <s v="SMDHC"/>
    <s v="Contratos"/>
    <s v="Atividades"/>
    <s v="6074202600000xxx"/>
    <s v="Não está"/>
    <x v="47"/>
    <x v="15"/>
    <s v="xx/SMDHC/2026"/>
    <x v="249"/>
    <s v="xxxxxxx"/>
    <d v="2026-12-31T00:00:00"/>
    <n v="100000"/>
    <n v="100000"/>
    <m/>
    <m/>
    <n v="50000"/>
    <m/>
    <n v="50000"/>
    <m/>
    <m/>
    <m/>
    <m/>
    <m/>
    <m/>
    <m/>
  </r>
  <r>
    <s v="SMDHC"/>
    <s v="Contratos"/>
    <s v="Atividades"/>
    <n v="6074201700000540"/>
    <s v="Não está"/>
    <x v="3"/>
    <x v="16"/>
    <s v="068/SMDHC/2015"/>
    <x v="256"/>
    <s v="Atenas Administração de Négocios"/>
    <d v="2026-11-30T00:00:00"/>
    <n v="67325.78"/>
    <n v="5584.73"/>
    <n v="5584.73"/>
    <n v="5584.73"/>
    <n v="5584.73"/>
    <n v="5584.73"/>
    <n v="5584.73"/>
    <n v="5584.73"/>
    <n v="5584.73"/>
    <n v="5584.73"/>
    <n v="5584.73"/>
    <n v="5584.73"/>
    <n v="5584.73"/>
    <n v="5893.75"/>
  </r>
  <r>
    <s v="SMDHC"/>
    <s v="Contratos"/>
    <s v="Atividades"/>
    <n v="6074201700000540"/>
    <s v="Não está"/>
    <x v="3"/>
    <x v="16"/>
    <s v="068/SMDHC/2015"/>
    <x v="257"/>
    <s v="Atenas Administração de Négocios"/>
    <d v="2026-11-30T00:00:00"/>
    <n v="79200"/>
    <n v="6600"/>
    <n v="6600"/>
    <n v="6600"/>
    <n v="6600"/>
    <n v="6600"/>
    <n v="6600"/>
    <n v="6600"/>
    <n v="6600"/>
    <n v="6600"/>
    <n v="6600"/>
    <n v="6600"/>
    <n v="6600"/>
    <n v="6600"/>
  </r>
  <r>
    <s v="SMDHC"/>
    <s v="Contratos"/>
    <s v="Atividades"/>
    <n v="6074201700000540"/>
    <s v="Não está"/>
    <x v="3"/>
    <x v="16"/>
    <s v="068/SMDHC/2015"/>
    <x v="258"/>
    <s v="Atenas Administração de Négocios"/>
    <d v="2026-11-30T00:00:00"/>
    <n v="7200"/>
    <n v="600"/>
    <n v="600"/>
    <n v="600"/>
    <n v="600"/>
    <n v="600"/>
    <n v="600"/>
    <n v="600"/>
    <n v="600"/>
    <n v="600"/>
    <n v="600"/>
    <n v="600"/>
    <n v="600"/>
    <n v="600"/>
  </r>
  <r>
    <s v="SMDHC"/>
    <s v="Contratos"/>
    <s v="Atividades"/>
    <n v="6074201700000540"/>
    <s v="Não está"/>
    <x v="3"/>
    <x v="16"/>
    <s v="068/SMDHC/2015"/>
    <x v="259"/>
    <s v="Atenas Administração de Négocios"/>
    <d v="2026-11-30T00:00:00"/>
    <n v="8000"/>
    <n v="800"/>
    <s v="R$                        -  "/>
    <n v="800"/>
    <n v="800"/>
    <n v="800"/>
    <n v="800"/>
    <n v="800"/>
    <n v="800"/>
    <n v="800"/>
    <n v="800"/>
    <n v="800"/>
    <n v="800"/>
    <s v="R$                             -  "/>
  </r>
  <r>
    <s v="SMDHC"/>
    <s v="Contratos"/>
    <s v="Atividades"/>
    <n v="6074202200022450"/>
    <s v="Está"/>
    <x v="3"/>
    <x v="16"/>
    <s v="066/SMDHC/2023"/>
    <x v="260"/>
    <s v="TELEFONICA BRASIL SA"/>
    <d v="2026-04-26T00:00:00"/>
    <n v="1200"/>
    <n v="100"/>
    <n v="100"/>
    <n v="100"/>
    <n v="100"/>
    <n v="100"/>
    <n v="100"/>
    <n v="100"/>
    <n v="100"/>
    <n v="100"/>
    <n v="100"/>
    <n v="100"/>
    <n v="100"/>
    <n v="100"/>
  </r>
  <r>
    <s v="SMDHC"/>
    <s v="Contratos"/>
    <s v="Atividades"/>
    <n v="6074202400025320"/>
    <s v="Não está"/>
    <x v="48"/>
    <x v="17"/>
    <s v="138/SMDHC/2023"/>
    <x v="261"/>
    <s v="FGRSILVA BUFFET E EVENTOS LTDA"/>
    <d v="2026-06-29T00:00:00"/>
    <n v="16817724"/>
    <n v="2000000"/>
    <m/>
    <m/>
    <m/>
    <n v="2000000"/>
    <n v="2000000"/>
    <n v="2000000"/>
    <n v="2000000"/>
    <n v="2000000"/>
    <n v="2000000"/>
    <m/>
    <m/>
    <m/>
  </r>
  <r>
    <s v="SMDHC"/>
    <s v="Contratos"/>
    <s v="Atividades"/>
    <n v="6074202400082860"/>
    <s v="Não está"/>
    <x v="49"/>
    <x v="17"/>
    <s v="NE"/>
    <x v="262"/>
    <s v="DIVERSOS"/>
    <d v="2026-06-10T00:00:00"/>
    <n v="20000"/>
    <n v="20000"/>
    <m/>
    <m/>
    <m/>
    <m/>
    <m/>
    <n v="20000"/>
    <m/>
    <m/>
    <m/>
    <m/>
    <m/>
    <m/>
  </r>
  <r>
    <s v="SMDHC"/>
    <s v="Contratos"/>
    <s v="Atividades"/>
    <n v="6074202400099120"/>
    <s v="Está"/>
    <x v="50"/>
    <x v="17"/>
    <s v="257/SMDHC/20221"/>
    <x v="263"/>
    <s v="SABESP"/>
    <d v="2026-12-31T00:00:00"/>
    <n v="72000"/>
    <n v="6000"/>
    <n v="6000"/>
    <n v="6000"/>
    <n v="6000"/>
    <n v="6000"/>
    <n v="6000"/>
    <n v="6000"/>
    <n v="6000"/>
    <n v="6000"/>
    <n v="6000"/>
    <n v="6000"/>
    <n v="6000"/>
    <n v="6000"/>
  </r>
  <r>
    <s v="SMDHC"/>
    <s v="Contratos"/>
    <s v="Atividades"/>
    <n v="6074202400099150"/>
    <s v="Está"/>
    <x v="50"/>
    <x v="17"/>
    <s v="257/SMDHC/20221"/>
    <x v="264"/>
    <s v="ENEL"/>
    <d v="2026-12-31T00:00:00"/>
    <n v="30000"/>
    <n v="2500"/>
    <n v="2500"/>
    <n v="2500"/>
    <n v="2500"/>
    <n v="2500"/>
    <n v="2500"/>
    <n v="2500"/>
    <n v="2500"/>
    <n v="2500"/>
    <n v="2500"/>
    <n v="2500"/>
    <n v="2500"/>
    <n v="2500"/>
  </r>
  <r>
    <s v="SMDHC"/>
    <s v="Contratos"/>
    <s v="Atividades"/>
    <n v="6074202500004810"/>
    <s v="Está"/>
    <x v="48"/>
    <x v="17"/>
    <s v="002/SMDHC/2025"/>
    <x v="265"/>
    <s v="GRUPO JKM ALIMENTACAO LTDA"/>
    <d v="2026-01-27T00:00:00"/>
    <n v="10374000"/>
    <n v="850000"/>
    <n v="850000"/>
    <n v="850000"/>
    <n v="800000"/>
    <s v="R$                        -  "/>
    <s v=" R$                        -  "/>
    <s v=" R$                        -  "/>
    <s v=" R$                        -  "/>
    <s v=" R$                        -  "/>
    <s v=" R$                        -  "/>
    <n v="850000"/>
    <n v="850000"/>
    <n v="800000"/>
  </r>
  <r>
    <s v="SMDHC"/>
    <s v="Contratos"/>
    <s v="Atividades"/>
    <n v="6074202500013480"/>
    <s v="Não está"/>
    <x v="51"/>
    <x v="17"/>
    <s v="XX/SMDHC/2026"/>
    <x v="37"/>
    <s v="Novo Edital"/>
    <d v="2026-08-02T00:00:00"/>
    <n v="714268.56"/>
    <n v="59522.38"/>
    <n v="59522.38"/>
    <n v="59522.38"/>
    <n v="59522.38"/>
    <n v="59522.38"/>
    <n v="59522.38"/>
    <n v="59522.38"/>
    <n v="59522.38"/>
    <n v="59522.38"/>
    <n v="59522.38"/>
    <n v="59522.38"/>
    <n v="59522.38"/>
    <n v="59522.38"/>
  </r>
  <r>
    <s v="SMDHC"/>
    <s v="Contratos"/>
    <s v="Atividades"/>
    <n v="6012202300112290"/>
    <s v="Não está"/>
    <x v="52"/>
    <x v="18"/>
    <s v="383/SMDHC/2023"/>
    <x v="266"/>
    <s v="SNA PARTICIPACOES LTDA"/>
    <d v="2026-07-31T00:00:00"/>
    <n v="247327.2"/>
    <n v="18000"/>
    <n v="20010.599999999999"/>
    <n v="20010.599999999999"/>
    <n v="20010.599999999999"/>
    <n v="20010.599999999999"/>
    <n v="20010.599999999999"/>
    <n v="20010.599999999999"/>
    <n v="20010.599999999999"/>
    <n v="21450.6"/>
    <n v="21450.6"/>
    <n v="21450.6"/>
    <n v="21450.6"/>
    <n v="21450.6"/>
  </r>
  <r>
    <s v="SMDHC"/>
    <s v="Contratos"/>
    <s v="Atividades"/>
    <n v="6012202300112290"/>
    <s v="Não está"/>
    <x v="52"/>
    <x v="18"/>
    <s v="383/SMDHC/2023"/>
    <x v="267"/>
    <s v="SNA PARTICIPACOES LTDA"/>
    <d v="2026-07-31T00:00:00"/>
    <n v="6100"/>
    <n v="610"/>
    <n v="610"/>
    <n v="610"/>
    <n v="610"/>
    <n v="610"/>
    <n v="610"/>
    <n v="610"/>
    <n v="610"/>
    <n v="610"/>
    <n v="610"/>
    <n v="610"/>
    <s v="R$                        -  "/>
    <s v=" R$                             -  "/>
  </r>
  <r>
    <s v="SMDHC"/>
    <s v="Contratos"/>
    <s v="Atividades"/>
    <n v="6012202300112290"/>
    <s v="Não está"/>
    <x v="52"/>
    <x v="18"/>
    <s v="383/SMDHC/2023"/>
    <x v="268"/>
    <s v="SNA PARTICIPACOES LTDA"/>
    <d v="2026-07-31T00:00:00"/>
    <n v="72000"/>
    <n v="6000"/>
    <n v="6000"/>
    <n v="6000"/>
    <n v="6000"/>
    <n v="6000"/>
    <n v="6000"/>
    <n v="6000"/>
    <n v="6000"/>
    <n v="6000"/>
    <n v="6000"/>
    <n v="6000"/>
    <n v="6000"/>
    <n v="6000"/>
  </r>
  <r>
    <s v="SMDHC"/>
    <s v="Contratos"/>
    <s v="Atividades"/>
    <n v="6064202300002770"/>
    <s v="Está"/>
    <x v="53"/>
    <x v="18"/>
    <s v="002/SMDET/2023"/>
    <x v="269"/>
    <s v="QRX SEGURANCA PATRIMONIAL EIRELI"/>
    <d v="2026-02-28T00:00:00"/>
    <n v="1462352.78"/>
    <n v="121789.89"/>
    <n v="114789.89"/>
    <n v="114789.89"/>
    <n v="123277.3"/>
    <n v="123277.3"/>
    <n v="123277.3"/>
    <n v="123277.3"/>
    <n v="123277.3"/>
    <n v="123277.3"/>
    <n v="123277.3"/>
    <n v="123277.3"/>
    <n v="123277.3"/>
    <n v="123277.3"/>
  </r>
  <r>
    <s v="SMDHC"/>
    <s v="Contratos"/>
    <s v="Atividades"/>
    <n v="6074202100007580"/>
    <s v="Está"/>
    <x v="52"/>
    <x v="18"/>
    <s v="049/SMDHC/2021"/>
    <x v="270"/>
    <s v="AZUL TRANSPORTES E TURISMO LTDA"/>
    <d v="2026-08-24T00:00:00"/>
    <n v="2954565.09"/>
    <n v="198232.47"/>
    <n v="267437.65999999997"/>
    <n v="267437.65999999997"/>
    <n v="267437.65999999997"/>
    <n v="285058.32"/>
    <n v="285058.32"/>
    <n v="285058.32"/>
    <n v="285058.32"/>
    <n v="285058.32"/>
    <n v="285058.32"/>
    <n v="285058.32"/>
    <n v="285058.32"/>
    <n v="285058.32"/>
  </r>
  <r>
    <s v="SMDHC"/>
    <s v="Contratos"/>
    <s v="Atividades"/>
    <n v="6074202300027630"/>
    <s v="Está"/>
    <x v="54"/>
    <x v="18"/>
    <s v="314/SMDHC/2023"/>
    <x v="271"/>
    <s v="PAINEIRAS LIMPEZA E SERVICOS GERAIS LTDA"/>
    <d v="2026-10-22T00:00:00"/>
    <n v="151167.26"/>
    <n v="13341.18"/>
    <n v="12448.49"/>
    <n v="12448.49"/>
    <n v="12448.49"/>
    <n v="12448.49"/>
    <n v="12448.49"/>
    <n v="12448.49"/>
    <n v="12448.49"/>
    <n v="12448.49"/>
    <n v="12448.49"/>
    <n v="12448.49"/>
    <n v="13341.18"/>
    <n v="13341.18"/>
  </r>
  <r>
    <s v="SMDHC"/>
    <s v="Contratos"/>
    <s v="Atividades"/>
    <n v="6074202300065530"/>
    <s v="Está"/>
    <x v="52"/>
    <x v="18"/>
    <s v="261/SMDHC/2024"/>
    <x v="272"/>
    <s v="UNISERV TERCEIRIZACAO E SERVICOS LTDA"/>
    <d v="2026-09-16T00:00:00"/>
    <n v="123304.68"/>
    <n v="10275.39"/>
    <n v="10275.39"/>
    <n v="10275.39"/>
    <n v="10275.39"/>
    <n v="10275.39"/>
    <n v="10275.39"/>
    <n v="10275.39"/>
    <n v="10275.39"/>
    <n v="10275.39"/>
    <n v="10275.39"/>
    <n v="10275.39"/>
    <n v="10275.39"/>
    <n v="10275.39"/>
  </r>
  <r>
    <s v="SMDHC"/>
    <s v="Contratos"/>
    <s v="Atividades"/>
    <n v="6074202300068360"/>
    <s v="Está"/>
    <x v="52"/>
    <x v="18"/>
    <s v="295/SMDHC/2023"/>
    <x v="273"/>
    <s v="RA TELECOM LTDA - EPP"/>
    <d v="2026-09-07T00:00:00"/>
    <n v="5945.52"/>
    <n v="478.42"/>
    <n v="495.46"/>
    <n v="495.46"/>
    <n v="495.46"/>
    <n v="495.46"/>
    <n v="495.46"/>
    <n v="495.46"/>
    <n v="495.46"/>
    <n v="495.46"/>
    <n v="533.73"/>
    <n v="533.73"/>
    <n v="533.73"/>
    <n v="533.73"/>
  </r>
  <r>
    <s v="SMDHC"/>
    <s v="Contratos"/>
    <s v="Atividades"/>
    <n v="6074202300072300"/>
    <s v="Está"/>
    <x v="52"/>
    <x v="18"/>
    <s v="325/SMDHC/2023"/>
    <x v="274"/>
    <s v="Brazon Maxfilter Industria e Locação"/>
    <d v="2026-09-30T00:00:00"/>
    <n v="869.04"/>
    <n v="76.260000000000005"/>
    <n v="71.14"/>
    <n v="71.14"/>
    <n v="71.14"/>
    <n v="71.14"/>
    <n v="71.14"/>
    <n v="71.14"/>
    <n v="71.14"/>
    <n v="71.14"/>
    <n v="71.14"/>
    <n v="76.260000000000005"/>
    <n v="76.260000000000005"/>
    <n v="76.260000000000005"/>
  </r>
  <r>
    <s v="SMDHC"/>
    <s v="Contratos"/>
    <s v="Atividades"/>
    <n v="6074202300085730"/>
    <s v="Está"/>
    <x v="52"/>
    <x v="18"/>
    <s v="404/SMDHC/2023"/>
    <x v="275"/>
    <s v="ROBOTX ELETRÔNICOS LTDA"/>
    <d v="2026-01-07T00:00:00"/>
    <n v="118548"/>
    <n v="10776.9"/>
    <n v="10776.9"/>
    <n v="10776.9"/>
    <n v="10776.9"/>
    <n v="10776.9"/>
    <n v="10776.9"/>
    <n v="10776.9"/>
    <n v="10776.9"/>
    <n v="10776.9"/>
    <n v="10776.9"/>
    <n v="10776.9"/>
    <n v="10776.9"/>
    <n v="10776.9"/>
  </r>
  <r>
    <s v="SMDHC"/>
    <s v="Contratos"/>
    <s v="Atividades"/>
    <n v="6074202300091880"/>
    <s v="Está"/>
    <x v="55"/>
    <x v="18"/>
    <s v="405/SMDHC/2023"/>
    <x v="276"/>
    <s v="THHD COMERCIAL LTDA"/>
    <d v="2026-12-04T00:00:00"/>
    <n v="15504.6"/>
    <n v="1375.65"/>
    <n v="1284.45"/>
    <n v="1284.45"/>
    <n v="1284.45"/>
    <n v="1284.45"/>
    <n v="1284.45"/>
    <n v="1284.45"/>
    <n v="1284.45"/>
    <n v="1284.45"/>
    <n v="1284.45"/>
    <n v="1284.45"/>
    <n v="1284.45"/>
    <n v="1375.65"/>
  </r>
  <r>
    <s v="SMDHC"/>
    <s v="Contratos"/>
    <s v="Atividades"/>
    <n v="6074202400020500"/>
    <s v="Está"/>
    <x v="52"/>
    <x v="18"/>
    <s v="438/SMDHC/2024"/>
    <x v="26"/>
    <s v="OPERADORA JRC TELECOMUNICACOES LTDA"/>
    <d v="2026-02-02T00:00:00"/>
    <n v="21375"/>
    <n v="1781.25"/>
    <n v="1781.25"/>
    <n v="1781.25"/>
    <n v="1781.25"/>
    <n v="1781.25"/>
    <n v="1781.25"/>
    <n v="1781.25"/>
    <n v="1781.25"/>
    <n v="1781.25"/>
    <n v="1781.25"/>
    <n v="1781.25"/>
    <n v="1781.25"/>
    <n v="1781.25"/>
  </r>
  <r>
    <s v="SMDHC"/>
    <s v="Contratos"/>
    <s v="Atividades"/>
    <n v="6074202400061680"/>
    <s v="Está"/>
    <x v="52"/>
    <x v="18"/>
    <s v="345/SMDHC/2024"/>
    <x v="29"/>
    <s v="IMPACTO SOLUCOES OPERACIONAIS LTDA"/>
    <d v="2026-11-24T00:00:00"/>
    <n v="47643.58"/>
    <n v="4212.3900000000003"/>
    <n v="3921.88"/>
    <n v="3921.88"/>
    <n v="3921.88"/>
    <n v="3921.88"/>
    <n v="3921.88"/>
    <n v="3921.88"/>
    <n v="3921.88"/>
    <n v="3921.88"/>
    <n v="3921.88"/>
    <n v="3921.88"/>
    <n v="4212.3900000000003"/>
    <n v="4212.3900000000003"/>
  </r>
  <r>
    <s v="SMDHC"/>
    <s v="Contratos"/>
    <s v="Atividades"/>
    <n v="6074202400067390"/>
    <s v="Está"/>
    <x v="52"/>
    <x v="18"/>
    <s v="429/SMDHC/2024"/>
    <x v="277"/>
    <s v="AWK AMBIENTAL LTDA"/>
    <d v="2026-01-27T00:00:00"/>
    <n v="15012"/>
    <n v="1251"/>
    <n v="1251"/>
    <n v="1251"/>
    <n v="1251"/>
    <n v="1251"/>
    <n v="1251"/>
    <n v="1251"/>
    <n v="1251"/>
    <n v="1251"/>
    <n v="1251"/>
    <n v="1251"/>
    <n v="1251"/>
    <n v="1251"/>
  </r>
  <r>
    <s v="SMDHC"/>
    <s v="Contratos"/>
    <s v="Atividades"/>
    <n v="6074202400073430"/>
    <s v="Está"/>
    <x v="52"/>
    <x v="18"/>
    <s v="337/SMDHC/2024"/>
    <x v="278"/>
    <s v="CLEAN4 SERVICOS GERAIS E ADMINISTRATIVOS EIRELI"/>
    <d v="2026-12-01T00:00:00"/>
    <n v="697755.07"/>
    <n v="62070.239999999998"/>
    <n v="57789.53"/>
    <n v="57789.53"/>
    <n v="57789.53"/>
    <n v="57789.53"/>
    <n v="57789.53"/>
    <n v="57789.53"/>
    <n v="57789.53"/>
    <n v="57789.53"/>
    <n v="57789.53"/>
    <n v="57789.53"/>
    <n v="57789.53"/>
    <n v="62070.239999999998"/>
  </r>
  <r>
    <s v="SMDHC"/>
    <s v="Contratos"/>
    <s v="Atividades"/>
    <n v="6074202400099120"/>
    <s v="Está"/>
    <x v="52"/>
    <x v="18"/>
    <s v="NE"/>
    <x v="279"/>
    <s v="SABESP"/>
    <d v="2026-12-31T00:00:00"/>
    <n v="240000"/>
    <n v="20000"/>
    <n v="20000"/>
    <n v="20000"/>
    <n v="20000"/>
    <n v="20000"/>
    <n v="20000"/>
    <n v="20000"/>
    <n v="20000"/>
    <n v="20000"/>
    <n v="20000"/>
    <n v="20000"/>
    <n v="20000"/>
    <n v="20000"/>
  </r>
  <r>
    <s v="SMDHC"/>
    <s v="Contratos"/>
    <s v="Atividades"/>
    <n v="6074202400099150"/>
    <s v="Está"/>
    <x v="52"/>
    <x v="18"/>
    <s v="NE"/>
    <x v="280"/>
    <s v="ENEL"/>
    <d v="2026-12-31T00:00:00"/>
    <n v="240000"/>
    <n v="20000"/>
    <n v="20000"/>
    <n v="20000"/>
    <n v="20000"/>
    <n v="20000"/>
    <n v="20000"/>
    <n v="20000"/>
    <n v="20000"/>
    <n v="20000"/>
    <n v="20000"/>
    <n v="20000"/>
    <n v="20000"/>
    <n v="20000"/>
  </r>
  <r>
    <s v="SMDHC"/>
    <s v="Contratos"/>
    <s v="Atividades"/>
    <n v="6074202500013480"/>
    <s v="Não está"/>
    <x v="53"/>
    <x v="18"/>
    <s v="XX/SMDHC/2026"/>
    <x v="281"/>
    <s v="Novo Edital"/>
    <d v="2026-08-02T00:00:00"/>
    <n v="91685.16"/>
    <n v="7640.43"/>
    <n v="7640.43"/>
    <n v="7640.43"/>
    <n v="7640.43"/>
    <n v="7640.43"/>
    <n v="7640.43"/>
    <n v="7640.43"/>
    <n v="7640.43"/>
    <n v="7640.43"/>
    <n v="7640.43"/>
    <n v="7640.43"/>
    <n v="7640.43"/>
    <n v="7640.43"/>
  </r>
  <r>
    <s v="SMDHC"/>
    <s v="Contratos"/>
    <s v="Atividades"/>
    <n v="6074202500016960"/>
    <s v="Está"/>
    <x v="52"/>
    <x v="18"/>
    <s v="047/SMDHC/2025"/>
    <x v="282"/>
    <s v="DESINTEC CONTROLE AMBIENTAL LTDA"/>
    <s v="xx/05/2026"/>
    <n v="4553.3"/>
    <m/>
    <m/>
    <m/>
    <m/>
    <n v="2276.65"/>
    <n v="2276.65"/>
    <m/>
    <m/>
    <m/>
    <m/>
    <m/>
    <m/>
    <m/>
  </r>
  <r>
    <s v="SMDHC"/>
    <s v="Contratos"/>
    <s v="Atividades"/>
    <n v="6074202500025000"/>
    <s v="Está"/>
    <x v="55"/>
    <x v="18"/>
    <s v="072/SMDHC/2025"/>
    <x v="65"/>
    <s v="AMA COMERCIO E SERVICOS"/>
    <d v="2026-12-31T00:00:00"/>
    <n v="4250"/>
    <m/>
    <m/>
    <m/>
    <m/>
    <m/>
    <m/>
    <m/>
    <m/>
    <m/>
    <m/>
    <m/>
    <m/>
    <n v="4250"/>
  </r>
  <r>
    <s v="SMDHC"/>
    <s v="Contratos"/>
    <s v="Atividades"/>
    <s v="60742026000xxxxx"/>
    <s v="Não está"/>
    <x v="55"/>
    <x v="18"/>
    <s v="xxx/SMDHC/2026"/>
    <x v="283"/>
    <s v="xxxxxxxxx"/>
    <s v="XX/XX/2026"/>
    <n v="10000"/>
    <n v="10000"/>
    <m/>
    <n v="10000"/>
    <m/>
    <m/>
    <m/>
    <m/>
    <m/>
    <m/>
    <m/>
    <m/>
    <m/>
    <m/>
  </r>
  <r>
    <s v="SMDHC"/>
    <s v="Contratos"/>
    <s v="Atividades"/>
    <n v="6074202300069590"/>
    <s v="Está"/>
    <x v="52"/>
    <x v="18"/>
    <s v="381/SMDHC/2023"/>
    <x v="284"/>
    <s v="PILAR ECOTEC AMBIENTAL LTDA"/>
    <d v="2026-11-10T00:00:00"/>
    <n v="18606900"/>
    <n v="0"/>
    <n v="1674621"/>
    <n v="1674621"/>
    <n v="1674621"/>
    <n v="1674621"/>
    <n v="1674621"/>
    <n v="1674621"/>
    <n v="1674621"/>
    <n v="1674621"/>
    <n v="1674621"/>
    <n v="1674621"/>
    <n v="2914667"/>
    <n v="2914667"/>
  </r>
  <r>
    <s v="SMDHC"/>
    <s v="Parcerias"/>
    <s v="Atividades"/>
    <s v="607420170000708-4"/>
    <s v="Não está"/>
    <x v="56"/>
    <x v="3"/>
    <s v="TCL/001/2018/SMDHC/CPCA"/>
    <x v="285"/>
    <s v="Associação Pró-Hope Apoio à Criança com Câncer / Casa Hope"/>
    <d v="2025-07-23T00:00:00"/>
    <n v="1225834.8500000001"/>
    <n v="102152.9"/>
    <n v="102152.9"/>
    <n v="102152.9"/>
    <n v="102152.9"/>
    <n v="102152.9"/>
    <n v="102152.9"/>
    <n v="102152.9"/>
    <n v="102152.9"/>
    <n v="102152.9"/>
    <n v="102152.9"/>
    <n v="102152.9"/>
    <n v="102152.9"/>
    <n v="102152.9"/>
  </r>
  <r>
    <s v="SMDHC"/>
    <s v="Parcerias"/>
    <s v="Atividades"/>
    <n v="6074202000012180"/>
    <s v="Está"/>
    <x v="57"/>
    <x v="19"/>
    <s v="TCL/002/2020/SMDHC/CPIPTD"/>
    <x v="286"/>
    <s v="SEFRAS - Ação Social Franciscana"/>
    <d v="2026-05-25T00:00:00"/>
    <n v="2119032.64"/>
    <n v="176586.05"/>
    <n v="169794.28"/>
    <n v="169794.28"/>
    <n v="169794.28"/>
    <n v="169794.28"/>
    <n v="179981.94"/>
    <n v="179981.94"/>
    <n v="179981.94"/>
    <n v="179981.94"/>
    <n v="179981.94"/>
    <n v="179981.94"/>
    <n v="179981.94"/>
    <n v="179981.94"/>
  </r>
  <r>
    <s v="SMDHC"/>
    <s v="Parcerias"/>
    <s v="Atividades"/>
    <n v="6074202300110720"/>
    <s v="Está"/>
    <x v="58"/>
    <x v="5"/>
    <s v="TCL/066/2023/SMDHC/CPIR"/>
    <x v="287"/>
    <s v="APOIO - Associação de Auxílio Mútuo da Região Leste"/>
    <d v="2026-12-04T00:00:00"/>
    <n v="2151706.4900000002"/>
    <n v="179308.87"/>
    <n v="178416.79"/>
    <n v="178416.79"/>
    <n v="178416.79"/>
    <n v="178416.79"/>
    <n v="178416.79"/>
    <n v="178416.79"/>
    <n v="178416.79"/>
    <n v="178416.79"/>
    <n v="178416.79"/>
    <n v="178416.79"/>
    <n v="178416.79"/>
    <n v="189121.8"/>
  </r>
  <r>
    <s v="SMDHC"/>
    <s v="Parcerias"/>
    <s v="Atividades"/>
    <n v="6074202300110730"/>
    <s v="Está"/>
    <x v="58"/>
    <x v="5"/>
    <s v="TCL/067/2023/SMDHC/CPIR"/>
    <x v="288"/>
    <s v="APOIO - Associação de Auxílio Mútuo da Região Leste"/>
    <d v="2026-12-04T00:00:00"/>
    <n v="2210204.17"/>
    <n v="184183.67999999999"/>
    <n v="183267.35"/>
    <n v="183267.34"/>
    <n v="183267.34"/>
    <n v="183267.34"/>
    <n v="183267.36"/>
    <n v="183267.34"/>
    <n v="183267.34"/>
    <n v="183267.34"/>
    <n v="183267.34"/>
    <n v="183267.34"/>
    <n v="183267.35"/>
    <n v="194263.39"/>
  </r>
  <r>
    <s v="SMDHC"/>
    <s v="Parcerias"/>
    <s v="Atividades"/>
    <n v="6074202300110740"/>
    <s v="Está"/>
    <x v="58"/>
    <x v="5"/>
    <s v="TCL/068/2023/SMDHC/CPIR"/>
    <x v="289"/>
    <s v="Instituto Social Espaço Negro"/>
    <d v="2026-12-04T00:00:00"/>
    <n v="2045553.52"/>
    <n v="170462.79"/>
    <n v="169614.72"/>
    <n v="169614.72"/>
    <n v="169614.72"/>
    <n v="169614.72"/>
    <n v="169614.72"/>
    <n v="169614.72"/>
    <n v="169614.72"/>
    <n v="169614.72"/>
    <n v="169614.72"/>
    <n v="169614.72"/>
    <n v="169614.72"/>
    <n v="179791.6"/>
  </r>
  <r>
    <s v="SMDHC"/>
    <s v="Parcerias"/>
    <s v="Atividades"/>
    <n v="6074202300110750"/>
    <s v="Está"/>
    <x v="58"/>
    <x v="5"/>
    <s v="TCL/069/2023/SMDHC/CPIR"/>
    <x v="290"/>
    <s v="Instituto Social Espaço Negro"/>
    <d v="2026-12-04T00:00:00"/>
    <n v="2264664.4300000002"/>
    <n v="188722.04"/>
    <n v="187783.12"/>
    <n v="187783.12"/>
    <n v="187783.12"/>
    <n v="187783.12"/>
    <n v="187783.12"/>
    <n v="187783.12"/>
    <n v="187783.12"/>
    <n v="187783.12"/>
    <n v="187783.12"/>
    <n v="187783.12"/>
    <n v="187783.12"/>
    <n v="199050.11"/>
  </r>
  <r>
    <s v="SMDHC"/>
    <s v="Parcerias"/>
    <s v="Atividades"/>
    <n v="6074202200048430"/>
    <s v="Está"/>
    <x v="59"/>
    <x v="20"/>
    <s v="TCL/007/2022/SMDHC/CPJ"/>
    <x v="291"/>
    <s v="Instituto Besouro de Fomento Social e Pesquisa"/>
    <d v="2026-02-24T00:00:00"/>
    <n v="13532839.9"/>
    <n v="1127736.6599999999"/>
    <n v="1044617.08"/>
    <n v="1415281.82"/>
    <n v="1107294.1000000001"/>
    <n v="1107294.1000000001"/>
    <n v="1107294.1000000001"/>
    <n v="1107294.1000000001"/>
    <n v="1107294.1000000001"/>
    <n v="1107294.1000000001"/>
    <n v="1107294.1000000001"/>
    <n v="1107294.1000000001"/>
    <n v="1107294.1000000001"/>
    <n v="1107294.1000000001"/>
  </r>
  <r>
    <s v="SMDHC"/>
    <s v="Parcerias"/>
    <s v="Atividades"/>
    <n v="6074202400105280"/>
    <s v="Está"/>
    <x v="60"/>
    <x v="21"/>
    <s v="TCL/020/2024/SMDHC/CPLGBTI"/>
    <x v="292"/>
    <s v="Associação Lyra"/>
    <d v="2029-11-18T00:00:00"/>
    <n v="2038134.3"/>
    <n v="169844.53"/>
    <n v="169561.92"/>
    <n v="169561.92"/>
    <n v="169561.92"/>
    <n v="169561.93"/>
    <n v="169561.92"/>
    <n v="169561.92"/>
    <n v="169561.92"/>
    <n v="169561.92"/>
    <n v="169561.92"/>
    <n v="169561.92"/>
    <n v="169561.93"/>
    <n v="172953.16"/>
  </r>
  <r>
    <s v="SMDHC"/>
    <s v="Parcerias"/>
    <s v="Atividades"/>
    <n v="6074202400105300"/>
    <s v="Está"/>
    <x v="60"/>
    <x v="21"/>
    <s v="TCL/021/2024/SMDHC/CPLGBTI"/>
    <x v="293"/>
    <s v="UNAS: União de Núcleos, Associações dos Moradores de Heliópolis e Região"/>
    <d v="2029-11-25T00:00:00"/>
    <n v="2034694.31"/>
    <n v="169557.86"/>
    <n v="168854.3"/>
    <n v="168854.3"/>
    <n v="168854.3"/>
    <n v="168854.3"/>
    <n v="168854.32"/>
    <n v="168854.3"/>
    <n v="168854.3"/>
    <n v="168854.3"/>
    <n v="168854.3"/>
    <n v="168854.3"/>
    <n v="168854.3"/>
    <n v="177296.99"/>
  </r>
  <r>
    <s v="SMDHC"/>
    <s v="Parcerias"/>
    <s v="Atividades"/>
    <n v="6074202400105310"/>
    <s v="Está"/>
    <x v="60"/>
    <x v="21"/>
    <s v="TCL/022/2024/SMDHC/CPLGBTI"/>
    <x v="294"/>
    <s v="ACESD: Associação Cultural Educacional e Social Dynamite"/>
    <d v="2029-11-18T00:00:00"/>
    <n v="2067358.4"/>
    <n v="172279.87"/>
    <n v="171993.21"/>
    <n v="171993.21"/>
    <n v="171993.21"/>
    <n v="171993.21"/>
    <n v="171993.22"/>
    <n v="171993.21"/>
    <n v="171993.21"/>
    <n v="171993.21"/>
    <n v="171993.21"/>
    <n v="171993.21"/>
    <n v="171993.22"/>
    <n v="175433.07"/>
  </r>
  <r>
    <s v="SMDHC"/>
    <s v="Parcerias"/>
    <s v="Atividades"/>
    <n v="6074202400105320"/>
    <s v="Está"/>
    <x v="60"/>
    <x v="21"/>
    <s v="TCL/023/2024/SMDHC/CPLGBTI"/>
    <x v="295"/>
    <s v="Instituto Claret - Solidariedade e Desenvolvimento Humano"/>
    <d v="2029-11-22T00:00:00"/>
    <n v="2121411.9300000002"/>
    <n v="176784.33"/>
    <n v="176490.17"/>
    <n v="176490.18"/>
    <n v="176490.18"/>
    <n v="176490.18"/>
    <n v="176490.18"/>
    <n v="176490.17"/>
    <n v="176490.17"/>
    <n v="176490.18"/>
    <n v="176490.18"/>
    <n v="176490.18"/>
    <n v="176490.18"/>
    <n v="180019.98"/>
  </r>
  <r>
    <s v="SMDHC"/>
    <s v="Parcerias"/>
    <s v="Atividades"/>
    <n v="6074202400105330"/>
    <s v="Está"/>
    <x v="60"/>
    <x v="21"/>
    <s v="TCL/024/2024/SMDHC/CPLGBTI"/>
    <x v="296"/>
    <s v="Grupo Pela VIDDA: Valorização Integração e Dignidade do Doente de Aids de São Paulo"/>
    <d v="2029-11-25T00:00:00"/>
    <n v="2190348.54"/>
    <n v="182529.05"/>
    <n v="182529.04"/>
    <n v="182529.04"/>
    <n v="182529.04"/>
    <n v="182529.05"/>
    <n v="182529.05"/>
    <n v="182529.04"/>
    <n v="182529.04"/>
    <n v="182529.04"/>
    <n v="182529.05"/>
    <n v="182529.05"/>
    <n v="182529.05"/>
    <n v="182529.05"/>
  </r>
  <r>
    <s v="SMDHC"/>
    <s v="Parcerias"/>
    <s v="Atividades"/>
    <n v="6074201900002390"/>
    <s v="Não está"/>
    <x v="61"/>
    <x v="6"/>
    <s v="TCL/003/2016/SMPM/CPM"/>
    <x v="297"/>
    <s v="UPM: União Popular de Mulheres de Campo Limpo e Adjacências"/>
    <d v="2025-11-05T00:00:00"/>
    <n v="2266324.2000000002"/>
    <n v="188860.35"/>
    <n v="188860.35"/>
    <n v="188860.35"/>
    <n v="188860.35"/>
    <n v="188860.35"/>
    <n v="188860.35"/>
    <n v="188860.35"/>
    <n v="188860.35"/>
    <n v="188860.35"/>
    <n v="188860.35"/>
    <n v="188860.35"/>
    <n v="188860.35"/>
    <n v="188860.35"/>
  </r>
  <r>
    <s v="SMDHC"/>
    <s v="Parcerias"/>
    <s v="Atividades"/>
    <n v="6074202400022310"/>
    <s v="Está"/>
    <x v="61"/>
    <x v="6"/>
    <s v="TCL/014/2024/SMDHC/CPM"/>
    <x v="298"/>
    <s v="Associação Afro-Brasileira Nossa Senhora Aparecida"/>
    <d v="2027-04-10T00:00:00"/>
    <n v="1739907.46"/>
    <n v="144992.29"/>
    <n v="144992.29"/>
    <n v="144992.29"/>
    <n v="144992.28"/>
    <n v="144992.29"/>
    <n v="144992.29"/>
    <n v="144992.29"/>
    <n v="144992.29"/>
    <n v="144992.29"/>
    <n v="144992.28"/>
    <n v="144992.29"/>
    <n v="144992.29"/>
    <n v="144992.29"/>
  </r>
  <r>
    <s v="SMDHC"/>
    <s v="Parcerias"/>
    <s v="Atividades"/>
    <n v="6074202400022320"/>
    <s v="Está"/>
    <x v="61"/>
    <x v="6"/>
    <s v="TCL/015/2024/SMDHC/CPM"/>
    <x v="299"/>
    <s v="Centro de Integração Assistencial e Profissional São Patrício"/>
    <d v="2027-04-10T00:00:00"/>
    <n v="3282359.52"/>
    <n v="273529.96000000002"/>
    <n v="269487.64"/>
    <n v="269487.64"/>
    <n v="269487.64"/>
    <n v="274877.40000000002"/>
    <n v="274877.40000000002"/>
    <n v="274877.40000000002"/>
    <n v="274877.40000000002"/>
    <n v="274877.40000000002"/>
    <n v="274877.40000000002"/>
    <n v="274877.40000000002"/>
    <n v="274877.40000000002"/>
    <n v="274877.40000000002"/>
  </r>
  <r>
    <s v="SMDHC"/>
    <s v="Parcerias"/>
    <s v="Atividades"/>
    <n v="6074202400022330"/>
    <s v="Está"/>
    <x v="61"/>
    <x v="6"/>
    <s v="TCL/016/2024/SMDHC/CPM"/>
    <x v="300"/>
    <s v="Casa de Isabel - Centro de Apoio a Mulher a Criança e o Adolescente Vítimas de Violência Doméstica e Situação de Risco"/>
    <d v="2027-04-10T00:00:00"/>
    <n v="3661246.56"/>
    <n v="305103.88"/>
    <n v="294118.99"/>
    <n v="294118.99"/>
    <n v="294118.99"/>
    <n v="308765.51"/>
    <n v="308765.51"/>
    <n v="308765.51"/>
    <n v="308765.51"/>
    <n v="308765.51"/>
    <n v="308765.51"/>
    <n v="308765.51"/>
    <n v="308765.51"/>
    <n v="308765.51"/>
  </r>
  <r>
    <s v="SMDHC"/>
    <s v="Parcerias"/>
    <s v="Atividades"/>
    <n v="6074202400022350"/>
    <s v="Está"/>
    <x v="61"/>
    <x v="6"/>
    <s v="TCL/017/2024/SMDHC/CPM"/>
    <x v="301"/>
    <s v="APOIO - Associação de Auxílio Mútuo da Região Leste"/>
    <d v="2027-04-10T00:00:00"/>
    <n v="3448158.71"/>
    <n v="287346.56"/>
    <n v="283100.06"/>
    <n v="283100.06"/>
    <n v="283100.06"/>
    <n v="288762.06"/>
    <n v="288762.06"/>
    <n v="288762.06"/>
    <n v="288762.06"/>
    <n v="288762.06"/>
    <n v="288762.06"/>
    <n v="288762.05"/>
    <n v="288762.06"/>
    <n v="288762.06"/>
  </r>
  <r>
    <s v="SMDHC"/>
    <s v="Parcerias"/>
    <s v="Atividades"/>
    <n v="6074202400085530"/>
    <s v="Está"/>
    <x v="62"/>
    <x v="6"/>
    <s v="TCL/019/2024/SMDHC/CPM"/>
    <x v="302"/>
    <s v="Instituto Hera Artemisul / Casa da Mulher Paulistana"/>
    <d v="2029-09-30T00:00:00"/>
    <n v="5852384.6399999997"/>
    <n v="487698.72"/>
    <n v="487698.72"/>
    <n v="487698.72"/>
    <n v="487698.72"/>
    <n v="487698.72"/>
    <n v="487698.72"/>
    <n v="487698.72"/>
    <n v="487698.72"/>
    <n v="487698.72"/>
    <n v="487698.72"/>
    <n v="487698.72"/>
    <n v="487698.72"/>
    <n v="487698.72"/>
  </r>
  <r>
    <s v="SMDHC"/>
    <s v="Parcerias"/>
    <s v="Atividades"/>
    <n v="6074202400064510"/>
    <s v="Não está"/>
    <x v="61"/>
    <x v="6"/>
    <s v="TCL/025/2022/SMADS/CPM"/>
    <x v="303"/>
    <s v="Centro de Integração Assistencial e Profissional São Patrício"/>
    <d v="2027-01-31T00:00:00"/>
    <n v="508284.84"/>
    <n v="42357.07"/>
    <n v="42357.07"/>
    <n v="42357.07"/>
    <n v="42357.07"/>
    <n v="42357.07"/>
    <n v="42357.07"/>
    <n v="42357.07"/>
    <n v="42357.07"/>
    <n v="42357.07"/>
    <n v="42357.07"/>
    <n v="42357.07"/>
    <n v="42357.07"/>
    <n v="42357.07"/>
  </r>
  <r>
    <s v="SMDHC"/>
    <s v="Parcerias"/>
    <s v="Atividades"/>
    <n v="6074202400064440"/>
    <s v="Não está"/>
    <x v="61"/>
    <x v="6"/>
    <s v="TCL/029/2022/SMADS/CPM"/>
    <x v="304"/>
    <s v="Fundação Francisca Franco"/>
    <d v="2027-01-31T00:00:00"/>
    <n v="652528.56000000006"/>
    <n v="54377.38"/>
    <n v="54377.38"/>
    <n v="54377.38"/>
    <n v="54377.38"/>
    <n v="54377.38"/>
    <n v="54377.38"/>
    <n v="54377.38"/>
    <n v="54377.38"/>
    <n v="54377.38"/>
    <n v="54377.38"/>
    <n v="54377.38"/>
    <n v="54377.38"/>
    <n v="54377.38"/>
  </r>
  <r>
    <s v="SMDHC"/>
    <s v="Parcerias"/>
    <s v="Atividades"/>
    <n v="6074202300078960"/>
    <s v="Está"/>
    <x v="61"/>
    <x v="6"/>
    <s v="TCL/051/2023/SMDHC/CPM"/>
    <x v="305"/>
    <s v="Instituto Vida São Paulo"/>
    <d v="2026-10-04T00:00:00"/>
    <n v="1355821.55"/>
    <n v="112985.13"/>
    <n v="111315.4"/>
    <n v="111315.4"/>
    <n v="111315.4"/>
    <n v="111315.39"/>
    <n v="111315.4"/>
    <n v="111315.4"/>
    <n v="111315.4"/>
    <n v="111315.4"/>
    <n v="111315.4"/>
    <n v="117994.32"/>
    <n v="117994.32"/>
    <n v="117994.32"/>
  </r>
  <r>
    <s v="SMDHC"/>
    <s v="Parcerias"/>
    <s v="Atividades"/>
    <n v="6074202300078970"/>
    <s v="Está"/>
    <x v="61"/>
    <x v="6"/>
    <s v="TCL/052/2023/SMDHC/CPM"/>
    <x v="306"/>
    <s v="UPM: União Popular de Mulheres de Campo Limpo e Adjacências"/>
    <d v="2026-09-29T00:00:00"/>
    <n v="2093832.37"/>
    <n v="174486.03"/>
    <n v="171907.42"/>
    <n v="171907.42"/>
    <n v="171907.41"/>
    <n v="171907.42"/>
    <n v="171907.42"/>
    <n v="171907.42"/>
    <n v="171907.42"/>
    <n v="171907.42"/>
    <n v="171907.41"/>
    <n v="182221.87"/>
    <n v="182221.87"/>
    <n v="182221.87"/>
  </r>
  <r>
    <s v="SMDHC"/>
    <s v="Parcerias"/>
    <s v="Atividades"/>
    <n v="6074202300078980"/>
    <s v="Está"/>
    <x v="61"/>
    <x v="6"/>
    <s v="TCL/053/2023/SMDHC/CPM"/>
    <x v="307"/>
    <s v="Centro de Integração Assistencial e Profissional São Patrício"/>
    <d v="2026-09-29T00:00:00"/>
    <n v="1817784"/>
    <n v="151482"/>
    <n v="149243.35"/>
    <n v="149243.35"/>
    <n v="149243.35"/>
    <n v="149243.35"/>
    <n v="149243.35"/>
    <n v="149243.35"/>
    <n v="149243.35"/>
    <n v="149243.35"/>
    <n v="149243.35"/>
    <n v="158197.95000000001"/>
    <n v="158197.95000000001"/>
    <n v="158197.95000000001"/>
  </r>
  <r>
    <s v="SMDHC"/>
    <s v="Parcerias"/>
    <s v="Atividades"/>
    <n v="6074202300078990"/>
    <s v="Está"/>
    <x v="61"/>
    <x v="6"/>
    <s v="TCL/054/2023/SMDHC/CPM"/>
    <x v="308"/>
    <s v="Centro de Integração Assistencial e Profissional São Patrício"/>
    <d v="2026-09-29T00:00:00"/>
    <n v="1989522.02"/>
    <n v="165793.5"/>
    <n v="163343.35"/>
    <n v="163343.35"/>
    <n v="163343.35"/>
    <n v="163343.35999999999"/>
    <n v="163343.35999999999"/>
    <n v="163343.35"/>
    <n v="163343.35"/>
    <n v="163343.35"/>
    <n v="163343.35"/>
    <n v="173143.95"/>
    <n v="173143.95"/>
    <n v="173143.95"/>
  </r>
  <r>
    <s v="SMDHC"/>
    <s v="Parcerias"/>
    <s v="Atividades"/>
    <n v="6074202400073980"/>
    <s v="Não está"/>
    <x v="61"/>
    <x v="6"/>
    <s v="TCL/075/2023/SMADS/CPM"/>
    <x v="309"/>
    <s v="Sociedade Santos Mártires"/>
    <d v="2028-03-31T00:00:00"/>
    <n v="442825.56"/>
    <n v="36902.129999999997"/>
    <n v="36902.129999999997"/>
    <n v="36902.129999999997"/>
    <n v="36902.129999999997"/>
    <n v="36902.129999999997"/>
    <n v="36902.129999999997"/>
    <n v="36902.129999999997"/>
    <n v="36902.129999999997"/>
    <n v="36902.129999999997"/>
    <n v="36902.129999999997"/>
    <n v="36902.129999999997"/>
    <n v="36902.129999999997"/>
    <n v="36902.129999999997"/>
  </r>
  <r>
    <s v="SMDHC"/>
    <s v="Parcerias"/>
    <s v="Atividades"/>
    <n v="6074202400095530"/>
    <s v="Não está"/>
    <x v="61"/>
    <x v="6"/>
    <s v="TCL/103/2020/SMADS/CPM"/>
    <x v="310"/>
    <s v="Associação Fala Mulher"/>
    <d v="2025-12-02T00:00:00"/>
    <n v="564492.36"/>
    <n v="47041.03"/>
    <n v="47041.03"/>
    <n v="47041.03"/>
    <n v="47041.03"/>
    <n v="47041.03"/>
    <n v="47041.03"/>
    <n v="47041.03"/>
    <n v="47041.03"/>
    <n v="47041.03"/>
    <n v="47041.03"/>
    <n v="47041.03"/>
    <n v="47041.03"/>
    <n v="47041.03"/>
  </r>
  <r>
    <s v="SMDHC"/>
    <s v="Parcerias"/>
    <s v="Atividades"/>
    <n v="6074202400089750"/>
    <s v="Não está"/>
    <x v="61"/>
    <x v="6"/>
    <s v="TCL/130/2024/SMADS/CPM"/>
    <x v="311"/>
    <s v="AVIB: Associação de Voluntários Integrados no Brasil"/>
    <d v="2029-05-01T00:00:00"/>
    <n v="526183.19999999995"/>
    <n v="43848.6"/>
    <n v="43848.6"/>
    <n v="43848.6"/>
    <n v="43848.6"/>
    <n v="43848.6"/>
    <n v="43848.6"/>
    <n v="43848.6"/>
    <n v="43848.6"/>
    <n v="43848.6"/>
    <n v="43848.6"/>
    <n v="43848.6"/>
    <n v="43848.6"/>
    <n v="43848.6"/>
  </r>
  <r>
    <s v="SMDHC"/>
    <s v="Parcerias"/>
    <s v="Atividades"/>
    <n v="6074202400063000"/>
    <s v="Não está"/>
    <x v="61"/>
    <x v="6"/>
    <s v="TCL/192/2021/SMADS/CPM"/>
    <x v="312"/>
    <s v="NCCV: Núcleo Cristão Cidadania e Vida"/>
    <d v="2026-06-12T00:00:00"/>
    <n v="625891.24"/>
    <n v="52157.599999999999"/>
    <n v="50638.44"/>
    <n v="50638.46"/>
    <n v="50638.46"/>
    <n v="50638.46"/>
    <n v="50638.46"/>
    <n v="50638.46"/>
    <n v="53676.75"/>
    <n v="53676.75"/>
    <n v="53676.75"/>
    <n v="53676.75"/>
    <n v="53676.75"/>
    <n v="53676.75"/>
  </r>
  <r>
    <s v="SMDHC"/>
    <s v="Parcerias"/>
    <s v="Atividades"/>
    <n v="6074202400102230"/>
    <s v="Não está"/>
    <x v="61"/>
    <x v="6"/>
    <s v="TCL/214/2019/SMADS/CPM"/>
    <x v="313"/>
    <s v="Associação Fala Mulher"/>
    <d v="2029-06-15T00:00:00"/>
    <n v="504570.48"/>
    <n v="42047.54"/>
    <n v="42047.54"/>
    <n v="42047.54"/>
    <n v="42047.54"/>
    <n v="42047.54"/>
    <n v="42047.54"/>
    <n v="42047.54"/>
    <n v="42047.54"/>
    <n v="42047.54"/>
    <n v="42047.54"/>
    <n v="42047.54"/>
    <n v="42047.54"/>
    <n v="42047.54"/>
  </r>
  <r>
    <s v="SMDHC"/>
    <s v="Parcerias"/>
    <s v="Atividades"/>
    <n v="6074202400095510"/>
    <s v="Não está"/>
    <x v="61"/>
    <x v="6"/>
    <s v="TCL/229/2023/SMADS/CPM"/>
    <x v="314"/>
    <s v="GFWC CrêSer"/>
    <d v="2028-05-31T00:00:00"/>
    <n v="517105.32"/>
    <n v="43092.11"/>
    <n v="43092.11"/>
    <n v="43092.11"/>
    <n v="43092.11"/>
    <n v="43092.11"/>
    <n v="43092.11"/>
    <n v="43092.11"/>
    <n v="43092.11"/>
    <n v="43092.11"/>
    <n v="43092.11"/>
    <n v="43092.11"/>
    <n v="43092.11"/>
    <n v="43092.11"/>
  </r>
  <r>
    <s v="SMDHC"/>
    <s v="Parcerias"/>
    <s v="Atividades"/>
    <n v="6074202400102280"/>
    <s v="Não está"/>
    <x v="61"/>
    <x v="6"/>
    <s v="TCL/286/2023/SMADS/CPM"/>
    <x v="315"/>
    <s v="Associação Comunitária e Beneficente Padre José Augusto Machado Moreira"/>
    <d v="2028-06-30T00:00:00"/>
    <n v="535867.92000000004"/>
    <n v="44655.66"/>
    <n v="44655.66"/>
    <n v="44655.66"/>
    <n v="44655.66"/>
    <n v="44655.66"/>
    <n v="44655.66"/>
    <n v="44655.66"/>
    <n v="44655.66"/>
    <n v="44655.66"/>
    <n v="44655.66"/>
    <n v="44655.66"/>
    <n v="44655.66"/>
    <n v="44655.66"/>
  </r>
  <r>
    <s v="SMDHC"/>
    <s v="Parcerias"/>
    <s v="Atividades"/>
    <n v="6074202400095440"/>
    <s v="Não está"/>
    <x v="61"/>
    <x v="6"/>
    <s v="TCL/301/2021/SMADS/CPM"/>
    <x v="316"/>
    <s v="Centro de Integração Assistencial e Profissional São Patrício"/>
    <d v="2026-11-10T00:00:00"/>
    <n v="461831.88"/>
    <n v="38485.99"/>
    <n v="38104.94"/>
    <n v="38104.94"/>
    <n v="38104.94"/>
    <n v="38104.94"/>
    <n v="38104.94"/>
    <n v="38104.94"/>
    <n v="38104.94"/>
    <n v="38104.94"/>
    <n v="38104.94"/>
    <n v="38104.94"/>
    <n v="40391.24"/>
    <n v="40391.24"/>
  </r>
  <r>
    <s v="SMDHC"/>
    <s v="Parcerias"/>
    <s v="Atividades"/>
    <n v="6074202400102310"/>
    <s v="Não está"/>
    <x v="61"/>
    <x v="6"/>
    <s v="TCL/315/2023/SMADS/CPM"/>
    <x v="317"/>
    <s v="Associação Comunitária e Beneficente Padre José Augusto Machado Moreira"/>
    <d v="2028-06-30T00:00:00"/>
    <n v="613770.36"/>
    <n v="51147.53"/>
    <n v="51147.53"/>
    <n v="51147.53"/>
    <n v="51147.53"/>
    <n v="51147.53"/>
    <n v="51147.53"/>
    <n v="51147.53"/>
    <n v="51147.53"/>
    <n v="51147.53"/>
    <n v="51147.53"/>
    <n v="51147.53"/>
    <n v="51147.53"/>
    <n v="51147.53"/>
  </r>
  <r>
    <s v="SMDHC"/>
    <s v="Parcerias"/>
    <s v="Atividades"/>
    <n v="6074202400074010"/>
    <s v="Não está"/>
    <x v="61"/>
    <x v="6"/>
    <s v="TCL/459/2023/SMADS/CPM"/>
    <x v="318"/>
    <s v="Casa de Isabel - Centro de Apoio a Mulher a Criança e o Adolescente Vítimas de Violência Doméstica e Situação de Risco"/>
    <d v="2028-09-14T00:00:00"/>
    <n v="598404.12"/>
    <n v="49867.01"/>
    <n v="49867.01"/>
    <n v="49867.01"/>
    <n v="49867.01"/>
    <n v="49867.01"/>
    <n v="49867.01"/>
    <n v="49867.01"/>
    <n v="49867.01"/>
    <n v="49867.01"/>
    <n v="49867.01"/>
    <n v="49867.01"/>
    <n v="49867.01"/>
    <n v="49867.01"/>
  </r>
  <r>
    <s v="SMDHC"/>
    <s v="Parcerias"/>
    <s v="Atividades"/>
    <n v="6074202400089710"/>
    <s v="Não está"/>
    <x v="61"/>
    <x v="6"/>
    <s v="TCL/503/2023/SMADS/CPM"/>
    <x v="319"/>
    <s v="AVIB: Associação de Voluntários Integrados no Brasil"/>
    <d v="2028-10-27T00:00:00"/>
    <n v="587579.64"/>
    <n v="48964.97"/>
    <n v="48964.97"/>
    <n v="48964.97"/>
    <n v="48964.97"/>
    <n v="48964.97"/>
    <n v="48964.97"/>
    <n v="48964.97"/>
    <n v="48964.97"/>
    <n v="48964.97"/>
    <n v="48964.97"/>
    <n v="48964.97"/>
    <n v="48964.97"/>
    <n v="48964.97"/>
  </r>
  <r>
    <s v="SMDHC"/>
    <s v="Parcerias"/>
    <s v="Atividades"/>
    <n v="6074202400095470"/>
    <s v="Não está"/>
    <x v="61"/>
    <x v="6"/>
    <s v="TCL/566/2023/SMADS/CPM"/>
    <x v="320"/>
    <s v="UPM: União Popular de Mulheres de Campo Limpo e Adjacências"/>
    <d v="2028-11-12T00:00:00"/>
    <n v="727578.72"/>
    <n v="60631.56"/>
    <n v="60631.56"/>
    <n v="60631.56"/>
    <n v="60631.56"/>
    <n v="60631.56"/>
    <n v="60631.56"/>
    <n v="60631.56"/>
    <n v="60631.56"/>
    <n v="60631.56"/>
    <n v="60631.56"/>
    <n v="60631.56"/>
    <n v="60631.56"/>
    <n v="60631.56"/>
  </r>
  <r>
    <s v="SMDHC"/>
    <s v="Parcerias"/>
    <s v="Atividades"/>
    <n v="6074202400102200"/>
    <s v="Não está"/>
    <x v="61"/>
    <x v="6"/>
    <s v="TCL/624/2023/SMADS/CPM"/>
    <x v="321"/>
    <s v="UNAS: União de Núcleos, Associações dos Moradores de Heliópolis e Região"/>
    <d v="2028-12-09T00:00:00"/>
    <n v="537264.12"/>
    <n v="44772.01"/>
    <n v="44772.01"/>
    <n v="44772.01"/>
    <n v="44772.01"/>
    <n v="44772.01"/>
    <n v="44772.01"/>
    <n v="44772.01"/>
    <n v="44772.01"/>
    <n v="44772.01"/>
    <n v="44772.01"/>
    <n v="44772.01"/>
    <n v="44772.01"/>
    <n v="44772.01"/>
  </r>
  <r>
    <s v="SMDHC"/>
    <s v="Parcerias"/>
    <s v="Atividades"/>
    <n v="6074202400084440"/>
    <s v="Está"/>
    <x v="63"/>
    <x v="22"/>
    <s v="TCL/018/2024/SMDHC/CPPI"/>
    <x v="322"/>
    <s v="APOIO - Associação de Auxílio Mútuo da Região Leste"/>
    <d v="2029-09-22T00:00:00"/>
    <n v="1909411.73"/>
    <n v="159117.64000000001"/>
    <n v="159117.64000000001"/>
    <n v="159117.65"/>
    <n v="159117.65"/>
    <n v="159117.64000000001"/>
    <n v="159117.64000000001"/>
    <n v="159117.64000000001"/>
    <n v="159117.64000000001"/>
    <n v="159117.64000000001"/>
    <n v="159117.65"/>
    <n v="159117.64000000001"/>
    <n v="159117.65"/>
    <n v="159117.65"/>
  </r>
  <r>
    <s v="SMDHC"/>
    <s v="Parcerias"/>
    <s v="Atividades"/>
    <n v="6074202400008320"/>
    <s v="Está"/>
    <x v="64"/>
    <x v="23"/>
    <s v="TCL/012/2024/SMDHC/CPPSR"/>
    <x v="323"/>
    <s v="Instituto Claret - Solidariedade e Desenvolvimento Humano"/>
    <d v="2027-03-27T00:00:00"/>
    <n v="5538363.0899999999"/>
    <n v="461530.26"/>
    <n v="448087.62"/>
    <n v="448087.63"/>
    <n v="448087.63"/>
    <n v="466011.16"/>
    <n v="466011.13"/>
    <n v="466011.13"/>
    <n v="466011.13"/>
    <n v="466011.13"/>
    <n v="466011.13"/>
    <n v="466011.14"/>
    <n v="466011.13"/>
    <n v="466011.13"/>
  </r>
  <r>
    <s v="SMDHC"/>
    <s v="Parcerias"/>
    <s v="Atividades"/>
    <n v="6074202400008330"/>
    <s v="Está"/>
    <x v="64"/>
    <x v="23"/>
    <s v="TCL/013/2024/SMDHC/CPPSR"/>
    <x v="323"/>
    <s v="Centro Assistencial ao Povo Carente do Estado de São Paulo"/>
    <d v="2027-03-31T00:00:00"/>
    <n v="4658664.76"/>
    <n v="388222.06"/>
    <n v="388222.06"/>
    <n v="388222.06"/>
    <n v="388222.07"/>
    <n v="388222.07"/>
    <n v="388222.07"/>
    <n v="388222.07"/>
    <n v="388222.06"/>
    <n v="388222.06"/>
    <n v="388222.06"/>
    <n v="388222.06"/>
    <n v="388222.06"/>
    <n v="388222.06"/>
  </r>
  <r>
    <s v="SMDHC"/>
    <s v="Parcerias"/>
    <s v="Atividades"/>
    <n v="6074202000060590"/>
    <s v="Está"/>
    <x v="64"/>
    <x v="23"/>
    <s v="TCL/410/2018/SMADS/CPPSR"/>
    <x v="324"/>
    <s v="SEFRAS - Ação Social Franciscana"/>
    <d v="2025-08-15T00:00:00"/>
    <n v="698812.8"/>
    <n v="58234.400000000001"/>
    <n v="58234.400000000001"/>
    <n v="58234.400000000001"/>
    <n v="58234.400000000001"/>
    <n v="58234.400000000001"/>
    <n v="58234.400000000001"/>
    <n v="58234.400000000001"/>
    <n v="58234.400000000001"/>
    <n v="58234.400000000001"/>
    <n v="58234.400000000001"/>
    <n v="58234.400000000001"/>
    <n v="58234.400000000001"/>
    <n v="58234.400000000001"/>
  </r>
  <r>
    <s v="SMDHC"/>
    <s v="Parcerias"/>
    <s v="Atividades"/>
    <n v="6074202000060600"/>
    <s v="Está"/>
    <x v="64"/>
    <x v="23"/>
    <s v="TCL/506/2018/SMDHC/CPPSR"/>
    <x v="325"/>
    <s v="CGGDH: Centro Gaspar Garcia de Direitos Humanos"/>
    <d v="2025-09-30T00:00:00"/>
    <n v="952049.28"/>
    <n v="79337.440000000002"/>
    <n v="79337.440000000002"/>
    <n v="79337.440000000002"/>
    <n v="79337.440000000002"/>
    <n v="79337.440000000002"/>
    <n v="79337.440000000002"/>
    <n v="79337.440000000002"/>
    <n v="79337.440000000002"/>
    <n v="79337.440000000002"/>
    <n v="79337.440000000002"/>
    <n v="79337.440000000002"/>
    <n v="79337.440000000002"/>
    <n v="79337.440000000002"/>
  </r>
  <r>
    <s v="SMDHC"/>
    <s v="Parcerias"/>
    <s v="Atividades"/>
    <n v="6074202300097670"/>
    <s v="Está"/>
    <x v="65"/>
    <x v="24"/>
    <s v="TCL/061/2023/SMDHC/ODH"/>
    <x v="326"/>
    <s v="IASSP: Instituto Atuar Social São Paulo"/>
    <d v="2026-10-28T00:00:00"/>
    <n v="1962177.43"/>
    <n v="163514.79"/>
    <n v="161098.31"/>
    <n v="161098.31"/>
    <n v="161098.31"/>
    <n v="161098.31"/>
    <n v="161098.31"/>
    <n v="161098.31"/>
    <n v="161098.31"/>
    <n v="161098.31"/>
    <n v="161098.32"/>
    <n v="170764.21"/>
    <n v="170764.21"/>
    <n v="170764.21"/>
  </r>
  <r>
    <s v="SMDHC"/>
    <s v="Parcerias"/>
    <s v="Atividades"/>
    <n v="6074202300097680"/>
    <s v="Está"/>
    <x v="65"/>
    <x v="24"/>
    <s v="TCL/062/2023/SMDHC/ODH"/>
    <x v="327"/>
    <s v="Associação Cultural Poder Negro"/>
    <d v="2026-10-28T00:00:00"/>
    <n v="2419584.6800000002"/>
    <n v="201632.06"/>
    <n v="199635.7"/>
    <n v="199635.7"/>
    <n v="199635.7"/>
    <n v="199635.7"/>
    <n v="199635.7"/>
    <n v="199635.7"/>
    <n v="199635.7"/>
    <n v="199635.7"/>
    <n v="199635.7"/>
    <n v="199635.7"/>
    <n v="211613.84"/>
    <n v="211613.84"/>
  </r>
  <r>
    <s v="SMDHC"/>
    <s v="Parcerias"/>
    <s v="Atividades"/>
    <n v="6074202300097690"/>
    <s v="Está"/>
    <x v="65"/>
    <x v="24"/>
    <s v="TCL/063/2023/SMDHC/ODH"/>
    <x v="328"/>
    <s v="Instituto Pesquisa Popular Meu Lugar"/>
    <d v="2026-10-28T00:00:00"/>
    <n v="2419584.6800000002"/>
    <n v="201632.06"/>
    <n v="199635.7"/>
    <n v="199635.7"/>
    <n v="199635.7"/>
    <n v="199635.7"/>
    <n v="199635.7"/>
    <n v="199635.7"/>
    <n v="199635.7"/>
    <n v="199635.7"/>
    <n v="199635.7"/>
    <n v="199635.7"/>
    <n v="211613.84"/>
    <n v="21161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281D48-2C28-43BC-BCDA-D2665647C5F0}" name="Tabela dinâmica1" cacheId="9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7" firstHeaderRow="1"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70">
        <item x="321"/>
        <item x="315"/>
        <item x="355"/>
        <item x="156"/>
        <item x="27"/>
        <item x="121"/>
        <item x="152"/>
        <item x="170"/>
        <item x="137"/>
        <item x="267"/>
        <item x="123"/>
        <item x="141"/>
        <item x="262"/>
        <item x="185"/>
        <item x="219"/>
        <item x="101"/>
        <item x="171"/>
        <item x="305"/>
        <item x="339"/>
        <item x="333"/>
        <item x="349"/>
        <item x="343"/>
        <item x="352"/>
        <item x="324"/>
        <item x="327"/>
        <item x="311"/>
        <item x="348"/>
        <item x="318"/>
        <item x="328"/>
        <item x="353"/>
        <item x="329"/>
        <item x="344"/>
        <item x="340"/>
        <item x="332"/>
        <item x="323"/>
        <item x="331"/>
        <item x="304"/>
        <item x="325"/>
        <item x="345"/>
        <item x="310"/>
        <item x="309"/>
        <item x="308"/>
        <item x="313"/>
        <item x="335"/>
        <item x="346"/>
        <item x="359"/>
        <item x="338"/>
        <item x="342"/>
        <item x="330"/>
        <item x="341"/>
        <item x="357"/>
        <item x="312"/>
        <item x="214"/>
        <item x="239"/>
        <item x="242"/>
        <item x="256"/>
        <item x="87"/>
        <item x="202"/>
        <item x="104"/>
        <item x="190"/>
        <item x="282"/>
        <item x="201"/>
        <item x="261"/>
        <item x="272"/>
        <item x="238"/>
        <item x="78"/>
        <item x="120"/>
        <item x="63"/>
        <item x="64"/>
        <item x="113"/>
        <item x="206"/>
        <item x="237"/>
        <item x="207"/>
        <item x="208"/>
        <item x="166"/>
        <item x="79"/>
        <item x="30"/>
        <item x="81"/>
        <item x="82"/>
        <item x="119"/>
        <item x="260"/>
        <item x="149"/>
        <item x="233"/>
        <item x="234"/>
        <item x="362"/>
        <item x="296"/>
        <item x="286"/>
        <item x="290"/>
        <item x="193"/>
        <item x="203"/>
        <item x="204"/>
        <item x="205"/>
        <item x="89"/>
        <item x="33"/>
        <item x="10"/>
        <item x="125"/>
        <item x="252"/>
        <item x="148"/>
        <item x="138"/>
        <item x="56"/>
        <item x="31"/>
        <item x="168"/>
        <item x="23"/>
        <item x="155"/>
        <item x="292"/>
        <item x="115"/>
        <item x="273"/>
        <item x="274"/>
        <item x="276"/>
        <item x="275"/>
        <item x="221"/>
        <item x="140"/>
        <item x="264"/>
        <item x="285"/>
        <item x="70"/>
        <item x="147"/>
        <item x="5"/>
        <item x="143"/>
        <item x="263"/>
        <item x="161"/>
        <item x="99"/>
        <item x="90"/>
        <item x="122"/>
        <item x="257"/>
        <item x="145"/>
        <item x="50"/>
        <item x="180"/>
        <item x="167"/>
        <item x="53"/>
        <item x="111"/>
        <item x="52"/>
        <item x="136"/>
        <item x="298"/>
        <item x="289"/>
        <item x="19"/>
        <item x="288"/>
        <item x="248"/>
        <item x="299"/>
        <item x="367"/>
        <item x="165"/>
        <item x="198"/>
        <item x="225"/>
        <item x="182"/>
        <item x="209"/>
        <item x="11"/>
        <item x="200"/>
        <item x="192"/>
        <item x="254"/>
        <item x="280"/>
        <item x="287"/>
        <item x="230"/>
        <item x="229"/>
        <item x="245"/>
        <item x="51"/>
        <item x="224"/>
        <item x="259"/>
        <item x="228"/>
        <item x="251"/>
        <item x="226"/>
        <item x="279"/>
        <item x="132"/>
        <item x="278"/>
        <item x="188"/>
        <item x="268"/>
        <item x="197"/>
        <item x="196"/>
        <item x="302"/>
        <item x="181"/>
        <item x="220"/>
        <item x="134"/>
        <item x="100"/>
        <item x="85"/>
        <item x="139"/>
        <item x="86"/>
        <item x="62"/>
        <item x="151"/>
        <item x="77"/>
        <item x="128"/>
        <item x="54"/>
        <item x="58"/>
        <item x="255"/>
        <item x="183"/>
        <item x="184"/>
        <item x="253"/>
        <item x="179"/>
        <item x="247"/>
        <item x="114"/>
        <item x="57"/>
        <item x="266"/>
        <item x="72"/>
        <item x="4"/>
        <item x="21"/>
        <item x="173"/>
        <item x="169"/>
        <item x="92"/>
        <item x="199"/>
        <item x="76"/>
        <item x="306"/>
        <item x="20"/>
        <item x="124"/>
        <item x="80"/>
        <item x="107"/>
        <item x="249"/>
        <item x="210"/>
        <item x="69"/>
        <item x="61"/>
        <item x="106"/>
        <item x="13"/>
        <item x="8"/>
        <item x="281"/>
        <item x="126"/>
        <item x="270"/>
        <item x="277"/>
        <item x="240"/>
        <item x="93"/>
        <item x="174"/>
        <item x="269"/>
        <item x="244"/>
        <item x="293"/>
        <item x="110"/>
        <item x="218"/>
        <item x="212"/>
        <item x="222"/>
        <item x="215"/>
        <item x="211"/>
        <item x="223"/>
        <item x="75"/>
        <item x="368"/>
        <item x="71"/>
        <item x="271"/>
        <item x="365"/>
        <item x="162"/>
        <item x="55"/>
        <item x="17"/>
        <item x="216"/>
        <item x="194"/>
        <item x="26"/>
        <item x="236"/>
        <item x="187"/>
        <item x="246"/>
        <item x="186"/>
        <item x="159"/>
        <item x="157"/>
        <item x="265"/>
        <item x="195"/>
        <item x="109"/>
        <item x="163"/>
        <item x="347"/>
        <item x="314"/>
        <item x="334"/>
        <item x="320"/>
        <item x="232"/>
        <item x="350"/>
        <item x="317"/>
        <item x="326"/>
        <item x="322"/>
        <item x="360"/>
        <item x="316"/>
        <item x="303"/>
        <item x="354"/>
        <item x="307"/>
        <item x="363"/>
        <item x="337"/>
        <item x="356"/>
        <item x="319"/>
        <item x="231"/>
        <item x="336"/>
        <item x="235"/>
        <item x="102"/>
        <item x="98"/>
        <item x="301"/>
        <item x="364"/>
        <item x="191"/>
        <item x="351"/>
        <item x="294"/>
        <item x="177"/>
        <item x="284"/>
        <item x="283"/>
        <item x="175"/>
        <item x="105"/>
        <item x="227"/>
        <item x="25"/>
        <item x="133"/>
        <item x="172"/>
        <item x="49"/>
        <item x="32"/>
        <item x="258"/>
        <item x="127"/>
        <item x="366"/>
        <item x="45"/>
        <item x="44"/>
        <item x="14"/>
        <item x="42"/>
        <item x="43"/>
        <item x="108"/>
        <item x="95"/>
        <item x="250"/>
        <item x="94"/>
        <item x="189"/>
        <item x="295"/>
        <item x="0"/>
        <item x="35"/>
        <item x="37"/>
        <item x="40"/>
        <item x="41"/>
        <item x="38"/>
        <item x="39"/>
        <item x="16"/>
        <item x="15"/>
        <item x="60"/>
        <item x="176"/>
        <item x="34"/>
        <item x="36"/>
        <item x="291"/>
        <item x="243"/>
        <item x="28"/>
        <item x="96"/>
        <item x="117"/>
        <item x="118"/>
        <item x="116"/>
        <item x="135"/>
        <item x="158"/>
        <item x="29"/>
        <item x="6"/>
        <item x="7"/>
        <item x="361"/>
        <item x="73"/>
        <item x="22"/>
        <item x="146"/>
        <item x="1"/>
        <item x="74"/>
        <item x="142"/>
        <item x="144"/>
        <item x="83"/>
        <item x="129"/>
        <item x="153"/>
        <item x="97"/>
        <item x="12"/>
        <item x="178"/>
        <item x="103"/>
        <item x="131"/>
        <item x="154"/>
        <item x="2"/>
        <item x="130"/>
        <item x="88"/>
        <item x="3"/>
        <item x="217"/>
        <item x="358"/>
        <item x="213"/>
        <item x="241"/>
        <item x="24"/>
        <item x="18"/>
        <item x="91"/>
        <item x="112"/>
        <item x="164"/>
        <item x="84"/>
        <item x="160"/>
        <item x="150"/>
        <item x="300"/>
        <item x="68"/>
        <item x="59"/>
        <item x="47"/>
        <item x="46"/>
        <item x="48"/>
        <item x="67"/>
        <item x="66"/>
        <item x="9"/>
        <item x="65"/>
        <item x="297"/>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4">
    <i>
      <x/>
    </i>
    <i>
      <x v="1"/>
    </i>
    <i>
      <x v="2"/>
    </i>
    <i t="grand">
      <x/>
    </i>
  </rowItems>
  <colItems count="1">
    <i/>
  </colItems>
  <dataFields count="1">
    <dataField name="Soma de valAnual" fld="31" baseField="0" baseItem="0" numFmtId="8"/>
  </dataFields>
  <formats count="1">
    <format dxfId="3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59984-A84E-4E02-AE85-5FAD6503ED4A}" name="Tabela dinâmica2" cacheId="4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6" firstHeaderRow="0" firstDataRow="1" firstDataCol="1" rowPageCount="1" colPageCount="1"/>
  <pivotFields count="25">
    <pivotField axis="axisPage" multipleItemSelectionAllowed="1" showAll="0">
      <items count="6">
        <item h="1" x="2"/>
        <item h="1" x="4"/>
        <item h="1" x="3"/>
        <item x="0"/>
        <item h="1" x="1"/>
        <item t="default"/>
      </items>
    </pivotField>
    <pivotField showAll="0"/>
    <pivotField showAll="0"/>
    <pivotField dataField="1" showAll="0"/>
    <pivotField axis="axisRow" showAll="0">
      <items count="17">
        <item x="0"/>
        <item x="1"/>
        <item m="1" x="2"/>
        <item m="1" x="3"/>
        <item m="1" x="4"/>
        <item m="1" x="5"/>
        <item m="1" x="6"/>
        <item m="1" x="7"/>
        <item m="1" x="8"/>
        <item m="1" x="9"/>
        <item m="1" x="10"/>
        <item m="1" x="11"/>
        <item m="1" x="12"/>
        <item m="1" x="13"/>
        <item m="1" x="14"/>
        <item m="1" x="1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Fields count="1">
    <field x="-2"/>
  </colFields>
  <colItems count="2">
    <i>
      <x/>
    </i>
    <i i="1">
      <x v="1"/>
    </i>
  </colItems>
  <pageFields count="1">
    <pageField fld="0" hier="-1"/>
  </pageFields>
  <dataFields count="2">
    <dataField name="Soma de VALOR NECESSÁRIO" fld="11" baseField="0" baseItem="0" numFmtId="8"/>
    <dataField name="Contagem de PROCESSO" fld="3" subtotal="count" baseField="0" baseItem="0"/>
  </dataFields>
  <formats count="1">
    <format dxfId="2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5EE53B-229A-4860-8540-B66BA1E67F46}" name="Tabela dinâmica6" cacheId="9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447" firstHeaderRow="1" firstDataRow="1" firstDataCol="1"/>
  <pivotFields count="25">
    <pivotField showAll="0"/>
    <pivotField showAll="0"/>
    <pivotField showAll="0"/>
    <pivotField showAll="0"/>
    <pivotField showAll="0"/>
    <pivotField axis="axisRow" showAll="0">
      <items count="67">
        <item x="5"/>
        <item x="30"/>
        <item x="56"/>
        <item x="13"/>
        <item x="12"/>
        <item x="55"/>
        <item x="53"/>
        <item x="52"/>
        <item x="54"/>
        <item x="65"/>
        <item x="3"/>
        <item x="8"/>
        <item x="6"/>
        <item x="4"/>
        <item x="7"/>
        <item x="1"/>
        <item x="2"/>
        <item x="31"/>
        <item x="32"/>
        <item x="0"/>
        <item x="29"/>
        <item x="28"/>
        <item x="24"/>
        <item x="27"/>
        <item x="26"/>
        <item x="25"/>
        <item x="22"/>
        <item x="63"/>
        <item x="38"/>
        <item x="36"/>
        <item x="37"/>
        <item x="62"/>
        <item x="11"/>
        <item x="10"/>
        <item x="9"/>
        <item x="64"/>
        <item x="51"/>
        <item x="50"/>
        <item x="42"/>
        <item x="43"/>
        <item x="61"/>
        <item x="23"/>
        <item x="19"/>
        <item x="18"/>
        <item x="21"/>
        <item x="20"/>
        <item x="57"/>
        <item x="41"/>
        <item x="40"/>
        <item x="39"/>
        <item x="33"/>
        <item x="34"/>
        <item x="59"/>
        <item x="46"/>
        <item x="44"/>
        <item x="60"/>
        <item x="47"/>
        <item x="45"/>
        <item x="15"/>
        <item x="14"/>
        <item x="58"/>
        <item x="17"/>
        <item x="16"/>
        <item x="35"/>
        <item x="49"/>
        <item x="48"/>
        <item t="default"/>
      </items>
    </pivotField>
    <pivotField axis="axisRow" showAll="0">
      <items count="26">
        <item x="1"/>
        <item x="2"/>
        <item x="3"/>
        <item x="4"/>
        <item x="19"/>
        <item x="5"/>
        <item x="20"/>
        <item x="21"/>
        <item x="6"/>
        <item x="22"/>
        <item x="23"/>
        <item x="7"/>
        <item x="8"/>
        <item x="9"/>
        <item x="0"/>
        <item x="10"/>
        <item x="11"/>
        <item x="12"/>
        <item x="13"/>
        <item x="14"/>
        <item x="15"/>
        <item x="24"/>
        <item x="16"/>
        <item x="17"/>
        <item x="18"/>
        <item t="default"/>
      </items>
    </pivotField>
    <pivotField showAll="0"/>
    <pivotField axis="axisRow" showAll="0">
      <items count="330">
        <item x="233"/>
        <item x="279"/>
        <item x="242"/>
        <item x="60"/>
        <item x="218"/>
        <item x="100"/>
        <item x="263"/>
        <item x="32"/>
        <item x="102"/>
        <item x="285"/>
        <item x="48"/>
        <item x="47"/>
        <item x="35"/>
        <item x="45"/>
        <item x="46"/>
        <item x="44"/>
        <item x="77"/>
        <item x="225"/>
        <item x="245"/>
        <item x="104"/>
        <item x="283"/>
        <item x="66"/>
        <item x="43"/>
        <item x="105"/>
        <item x="25"/>
        <item x="31"/>
        <item x="101"/>
        <item x="67"/>
        <item x="68"/>
        <item x="302"/>
        <item x="297"/>
        <item x="304"/>
        <item x="147"/>
        <item x="319"/>
        <item x="314"/>
        <item x="310"/>
        <item x="312"/>
        <item x="321"/>
        <item x="311"/>
        <item x="303"/>
        <item x="317"/>
        <item x="315"/>
        <item x="316"/>
        <item x="320"/>
        <item x="309"/>
        <item x="318"/>
        <item x="313"/>
        <item x="322"/>
        <item x="307"/>
        <item x="185"/>
        <item x="257"/>
        <item x="234"/>
        <item x="49"/>
        <item x="76"/>
        <item x="235"/>
        <item x="255"/>
        <item x="96"/>
        <item x="250"/>
        <item x="53"/>
        <item x="50"/>
        <item x="262"/>
        <item x="103"/>
        <item x="243"/>
        <item x="70"/>
        <item x="63"/>
        <item x="219"/>
        <item x="264"/>
        <item x="34"/>
        <item x="280"/>
        <item x="291"/>
        <item x="226"/>
        <item x="276"/>
        <item x="65"/>
        <item x="33"/>
        <item x="265"/>
        <item x="94"/>
        <item x="79"/>
        <item x="286"/>
        <item x="308"/>
        <item x="305"/>
        <item x="300"/>
        <item x="306"/>
        <item x="298"/>
        <item x="301"/>
        <item x="299"/>
        <item x="296"/>
        <item x="295"/>
        <item x="293"/>
        <item x="294"/>
        <item x="292"/>
        <item x="323"/>
        <item x="326"/>
        <item x="327"/>
        <item x="328"/>
        <item x="287"/>
        <item x="288"/>
        <item x="289"/>
        <item x="290"/>
        <item x="237"/>
        <item x="136"/>
        <item x="135"/>
        <item x="114"/>
        <item x="186"/>
        <item x="195"/>
        <item x="204"/>
        <item x="163"/>
        <item x="144"/>
        <item x="132"/>
        <item x="127"/>
        <item x="179"/>
        <item x="171"/>
        <item x="159"/>
        <item x="184"/>
        <item x="165"/>
        <item x="119"/>
        <item x="188"/>
        <item x="129"/>
        <item x="107"/>
        <item x="176"/>
        <item x="214"/>
        <item x="202"/>
        <item x="113"/>
        <item x="223"/>
        <item x="138"/>
        <item x="149"/>
        <item x="109"/>
        <item x="153"/>
        <item x="140"/>
        <item x="172"/>
        <item x="208"/>
        <item x="167"/>
        <item x="89"/>
        <item x="259"/>
        <item x="117"/>
        <item x="197"/>
        <item x="124"/>
        <item x="122"/>
        <item x="36"/>
        <item x="232"/>
        <item x="15"/>
        <item x="71"/>
        <item x="56"/>
        <item x="238"/>
        <item x="187"/>
        <item x="143"/>
        <item x="134"/>
        <item x="126"/>
        <item x="178"/>
        <item x="170"/>
        <item x="160"/>
        <item x="194"/>
        <item x="123"/>
        <item x="205"/>
        <item x="183"/>
        <item x="162"/>
        <item x="191"/>
        <item x="164"/>
        <item x="115"/>
        <item x="200"/>
        <item x="216"/>
        <item x="116"/>
        <item x="118"/>
        <item x="198"/>
        <item x="189"/>
        <item x="130"/>
        <item x="106"/>
        <item x="175"/>
        <item x="213"/>
        <item x="121"/>
        <item x="201"/>
        <item x="112"/>
        <item x="222"/>
        <item x="137"/>
        <item x="148"/>
        <item x="110"/>
        <item x="152"/>
        <item x="141"/>
        <item x="173"/>
        <item x="209"/>
        <item x="168"/>
        <item x="284"/>
        <item x="230"/>
        <item x="8"/>
        <item x="6"/>
        <item x="7"/>
        <item x="11"/>
        <item x="151"/>
        <item x="14"/>
        <item x="158"/>
        <item x="157"/>
        <item x="91"/>
        <item x="21"/>
        <item x="193"/>
        <item x="18"/>
        <item x="87"/>
        <item x="266"/>
        <item x="268"/>
        <item x="267"/>
        <item x="256"/>
        <item x="73"/>
        <item x="83"/>
        <item x="241"/>
        <item x="97"/>
        <item x="24"/>
        <item x="274"/>
        <item x="207"/>
        <item x="275"/>
        <item x="51"/>
        <item x="5"/>
        <item x="220"/>
        <item x="38"/>
        <item x="249"/>
        <item x="246"/>
        <item x="52"/>
        <item x="260"/>
        <item x="20"/>
        <item x="19"/>
        <item x="2"/>
        <item x="85"/>
        <item x="227"/>
        <item x="9"/>
        <item x="40"/>
        <item x="42"/>
        <item x="261"/>
        <item x="239"/>
        <item x="272"/>
        <item x="23"/>
        <item x="72"/>
        <item x="273"/>
        <item x="211"/>
        <item x="58"/>
        <item x="84"/>
        <item x="16"/>
        <item x="28"/>
        <item x="88"/>
        <item x="154"/>
        <item x="39"/>
        <item x="221"/>
        <item x="166"/>
        <item x="125"/>
        <item x="215"/>
        <item x="139"/>
        <item x="145"/>
        <item x="133"/>
        <item x="206"/>
        <item x="192"/>
        <item x="131"/>
        <item x="108"/>
        <item x="203"/>
        <item x="169"/>
        <item x="128"/>
        <item x="180"/>
        <item x="161"/>
        <item x="190"/>
        <item x="177"/>
        <item x="224"/>
        <item x="142"/>
        <item x="174"/>
        <item x="210"/>
        <item x="217"/>
        <item x="199"/>
        <item x="111"/>
        <item x="196"/>
        <item x="258"/>
        <item x="120"/>
        <item x="80"/>
        <item x="95"/>
        <item x="325"/>
        <item x="324"/>
        <item x="229"/>
        <item x="228"/>
        <item x="270"/>
        <item x="98"/>
        <item x="41"/>
        <item x="10"/>
        <item x="93"/>
        <item x="37"/>
        <item x="244"/>
        <item x="236"/>
        <item x="281"/>
        <item x="75"/>
        <item x="248"/>
        <item x="156"/>
        <item x="251"/>
        <item x="212"/>
        <item x="29"/>
        <item x="231"/>
        <item x="4"/>
        <item x="271"/>
        <item x="22"/>
        <item x="64"/>
        <item x="30"/>
        <item x="74"/>
        <item x="277"/>
        <item x="90"/>
        <item x="1"/>
        <item x="3"/>
        <item x="155"/>
        <item x="12"/>
        <item x="59"/>
        <item x="278"/>
        <item x="282"/>
        <item x="181"/>
        <item x="61"/>
        <item x="62"/>
        <item x="81"/>
        <item x="82"/>
        <item x="27"/>
        <item x="150"/>
        <item x="69"/>
        <item x="26"/>
        <item x="78"/>
        <item x="57"/>
        <item x="240"/>
        <item x="13"/>
        <item x="182"/>
        <item x="0"/>
        <item x="254"/>
        <item x="54"/>
        <item x="55"/>
        <item x="146"/>
        <item x="92"/>
        <item x="252"/>
        <item x="253"/>
        <item x="17"/>
        <item x="247"/>
        <item x="99"/>
        <item x="269"/>
        <item x="86"/>
        <item t="default"/>
      </items>
    </pivotField>
    <pivotField showAll="0"/>
    <pivotField showAll="0"/>
    <pivotField dataField="1" numFmtId="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6"/>
    <field x="5"/>
    <field x="8"/>
  </rowFields>
  <rowItems count="444">
    <i>
      <x/>
    </i>
    <i r="1">
      <x/>
    </i>
    <i r="2">
      <x v="233"/>
    </i>
    <i r="1">
      <x v="10"/>
    </i>
    <i r="2">
      <x v="185"/>
    </i>
    <i r="1">
      <x v="11"/>
    </i>
    <i r="2">
      <x v="59"/>
    </i>
    <i r="1">
      <x v="12"/>
    </i>
    <i r="2">
      <x v="10"/>
    </i>
    <i r="2">
      <x v="11"/>
    </i>
    <i r="2">
      <x v="12"/>
    </i>
    <i r="2">
      <x v="13"/>
    </i>
    <i r="2">
      <x v="14"/>
    </i>
    <i r="2">
      <x v="15"/>
    </i>
    <i r="2">
      <x v="22"/>
    </i>
    <i r="2">
      <x v="52"/>
    </i>
    <i r="2">
      <x v="221"/>
    </i>
    <i r="2">
      <x v="236"/>
    </i>
    <i r="1">
      <x v="13"/>
    </i>
    <i r="2">
      <x v="216"/>
    </i>
    <i r="1">
      <x v="14"/>
    </i>
    <i r="2">
      <x v="276"/>
    </i>
    <i r="1">
      <x v="15"/>
    </i>
    <i r="2">
      <x v="7"/>
    </i>
    <i r="2">
      <x v="24"/>
    </i>
    <i r="2">
      <x v="25"/>
    </i>
    <i r="2">
      <x v="67"/>
    </i>
    <i r="2">
      <x v="73"/>
    </i>
    <i r="2">
      <x v="137"/>
    </i>
    <i r="2">
      <x v="139"/>
    </i>
    <i r="2">
      <x v="182"/>
    </i>
    <i r="2">
      <x v="183"/>
    </i>
    <i r="2">
      <x v="187"/>
    </i>
    <i r="2">
      <x v="191"/>
    </i>
    <i r="2">
      <x v="193"/>
    </i>
    <i r="2">
      <x v="203"/>
    </i>
    <i r="2">
      <x v="208"/>
    </i>
    <i r="2">
      <x v="210"/>
    </i>
    <i r="2">
      <x v="215"/>
    </i>
    <i r="2">
      <x v="220"/>
    </i>
    <i r="2">
      <x v="222"/>
    </i>
    <i r="2">
      <x v="226"/>
    </i>
    <i r="2">
      <x v="232"/>
    </i>
    <i r="2">
      <x v="273"/>
    </i>
    <i r="2">
      <x v="274"/>
    </i>
    <i r="2">
      <x v="285"/>
    </i>
    <i r="2">
      <x v="289"/>
    </i>
    <i r="2">
      <x v="291"/>
    </i>
    <i r="2">
      <x v="298"/>
    </i>
    <i r="2">
      <x v="307"/>
    </i>
    <i r="2">
      <x v="310"/>
    </i>
    <i r="2">
      <x v="314"/>
    </i>
    <i r="2">
      <x v="324"/>
    </i>
    <i r="1">
      <x v="16"/>
    </i>
    <i r="2">
      <x v="184"/>
    </i>
    <i>
      <x v="1"/>
    </i>
    <i r="1">
      <x v="32"/>
    </i>
    <i r="2">
      <x v="21"/>
    </i>
    <i r="2">
      <x v="72"/>
    </i>
    <i r="2">
      <x v="304"/>
    </i>
    <i r="1">
      <x v="33"/>
    </i>
    <i r="2">
      <x v="312"/>
    </i>
    <i r="1">
      <x v="34"/>
    </i>
    <i r="2">
      <x v="3"/>
    </i>
    <i r="2">
      <x v="58"/>
    </i>
    <i r="2">
      <x v="64"/>
    </i>
    <i r="2">
      <x v="141"/>
    </i>
    <i r="2">
      <x v="207"/>
    </i>
    <i r="2">
      <x v="213"/>
    </i>
    <i r="2">
      <x v="230"/>
    </i>
    <i r="2">
      <x v="290"/>
    </i>
    <i r="2">
      <x v="299"/>
    </i>
    <i r="2">
      <x v="303"/>
    </i>
    <i r="2">
      <x v="307"/>
    </i>
    <i r="2">
      <x v="310"/>
    </i>
    <i r="2">
      <x v="318"/>
    </i>
    <i r="2">
      <x v="319"/>
    </i>
    <i>
      <x v="2"/>
    </i>
    <i r="1">
      <x v="2"/>
    </i>
    <i r="2">
      <x v="9"/>
    </i>
    <i r="1">
      <x v="3"/>
    </i>
    <i r="2">
      <x v="28"/>
    </i>
    <i r="1">
      <x v="4"/>
    </i>
    <i r="2">
      <x v="27"/>
    </i>
    <i>
      <x v="3"/>
    </i>
    <i r="1">
      <x v="58"/>
    </i>
    <i r="2">
      <x v="280"/>
    </i>
    <i r="1">
      <x v="59"/>
    </i>
    <i r="2">
      <x v="16"/>
    </i>
    <i r="2">
      <x v="53"/>
    </i>
    <i r="2">
      <x v="63"/>
    </i>
    <i r="2">
      <x v="73"/>
    </i>
    <i r="2">
      <x v="140"/>
    </i>
    <i r="2">
      <x v="199"/>
    </i>
    <i r="2">
      <x v="227"/>
    </i>
    <i r="2">
      <x v="292"/>
    </i>
    <i r="2">
      <x v="307"/>
    </i>
    <i r="2">
      <x v="309"/>
    </i>
    <i>
      <x v="4"/>
    </i>
    <i r="1">
      <x v="46"/>
    </i>
    <i r="2">
      <x v="77"/>
    </i>
    <i>
      <x v="5"/>
    </i>
    <i r="1">
      <x v="60"/>
    </i>
    <i r="2">
      <x v="94"/>
    </i>
    <i r="2">
      <x v="95"/>
    </i>
    <i r="2">
      <x v="96"/>
    </i>
    <i r="2">
      <x v="97"/>
    </i>
    <i r="1">
      <x v="61"/>
    </i>
    <i r="2">
      <x v="218"/>
    </i>
    <i r="1">
      <x v="62"/>
    </i>
    <i r="2">
      <x v="76"/>
    </i>
    <i r="2">
      <x v="200"/>
    </i>
    <i r="2">
      <x v="231"/>
    </i>
    <i r="2">
      <x v="265"/>
    </i>
    <i r="2">
      <x v="305"/>
    </i>
    <i r="2">
      <x v="306"/>
    </i>
    <i r="2">
      <x v="311"/>
    </i>
    <i>
      <x v="6"/>
    </i>
    <i r="1">
      <x v="52"/>
    </i>
    <i r="2">
      <x v="69"/>
    </i>
    <i>
      <x v="7"/>
    </i>
    <i r="1">
      <x v="55"/>
    </i>
    <i r="2">
      <x v="85"/>
    </i>
    <i r="2">
      <x v="86"/>
    </i>
    <i r="2">
      <x v="87"/>
    </i>
    <i r="2">
      <x v="88"/>
    </i>
    <i r="2">
      <x v="89"/>
    </i>
    <i>
      <x v="8"/>
    </i>
    <i r="1">
      <x v="26"/>
    </i>
    <i r="2">
      <x v="26"/>
    </i>
    <i r="1">
      <x v="31"/>
    </i>
    <i r="2">
      <x v="29"/>
    </i>
    <i r="1">
      <x v="40"/>
    </i>
    <i r="2">
      <x v="30"/>
    </i>
    <i r="2">
      <x v="31"/>
    </i>
    <i r="2">
      <x v="33"/>
    </i>
    <i r="2">
      <x v="34"/>
    </i>
    <i r="2">
      <x v="35"/>
    </i>
    <i r="2">
      <x v="36"/>
    </i>
    <i r="2">
      <x v="37"/>
    </i>
    <i r="2">
      <x v="38"/>
    </i>
    <i r="2">
      <x v="39"/>
    </i>
    <i r="2">
      <x v="40"/>
    </i>
    <i r="2">
      <x v="41"/>
    </i>
    <i r="2">
      <x v="42"/>
    </i>
    <i r="2">
      <x v="43"/>
    </i>
    <i r="2">
      <x v="44"/>
    </i>
    <i r="2">
      <x v="45"/>
    </i>
    <i r="2">
      <x v="46"/>
    </i>
    <i r="2">
      <x v="48"/>
    </i>
    <i r="2">
      <x v="78"/>
    </i>
    <i r="2">
      <x v="79"/>
    </i>
    <i r="2">
      <x v="80"/>
    </i>
    <i r="2">
      <x v="81"/>
    </i>
    <i r="2">
      <x v="82"/>
    </i>
    <i r="2">
      <x v="83"/>
    </i>
    <i r="2">
      <x v="84"/>
    </i>
    <i r="1">
      <x v="41"/>
    </i>
    <i r="2">
      <x v="19"/>
    </i>
    <i r="2">
      <x v="23"/>
    </i>
    <i r="1">
      <x v="42"/>
    </i>
    <i r="2">
      <x v="194"/>
    </i>
    <i r="2">
      <x v="234"/>
    </i>
    <i r="1">
      <x v="43"/>
    </i>
    <i r="2">
      <x v="275"/>
    </i>
    <i r="2">
      <x v="276"/>
    </i>
    <i r="2">
      <x v="328"/>
    </i>
    <i r="1">
      <x v="44"/>
    </i>
    <i r="2">
      <x v="5"/>
    </i>
    <i r="2">
      <x v="8"/>
    </i>
    <i r="2">
      <x v="56"/>
    </i>
    <i r="2">
      <x v="61"/>
    </i>
    <i r="2">
      <x v="75"/>
    </i>
    <i r="2">
      <x v="190"/>
    </i>
    <i r="2">
      <x v="202"/>
    </i>
    <i r="2">
      <x v="266"/>
    </i>
    <i r="2">
      <x v="272"/>
    </i>
    <i r="2">
      <x v="292"/>
    </i>
    <i r="2">
      <x v="294"/>
    </i>
    <i r="2">
      <x v="305"/>
    </i>
    <i r="2">
      <x v="306"/>
    </i>
    <i r="2">
      <x v="321"/>
    </i>
    <i r="2">
      <x v="326"/>
    </i>
    <i r="1">
      <x v="45"/>
    </i>
    <i r="2">
      <x v="131"/>
    </i>
    <i>
      <x v="9"/>
    </i>
    <i r="1">
      <x v="27"/>
    </i>
    <i r="2">
      <x v="47"/>
    </i>
    <i>
      <x v="10"/>
    </i>
    <i r="1">
      <x v="35"/>
    </i>
    <i r="2">
      <x v="90"/>
    </i>
    <i r="2">
      <x v="267"/>
    </i>
    <i r="2">
      <x v="268"/>
    </i>
    <i>
      <x v="11"/>
    </i>
    <i r="1">
      <x v="1"/>
    </i>
    <i r="2">
      <x v="70"/>
    </i>
    <i r="1">
      <x v="20"/>
    </i>
    <i r="2">
      <x v="17"/>
    </i>
    <i r="2">
      <x v="237"/>
    </i>
    <i r="1">
      <x v="21"/>
    </i>
    <i r="2">
      <x v="215"/>
    </i>
    <i r="1">
      <x v="22"/>
    </i>
    <i r="2">
      <x v="101"/>
    </i>
    <i r="2">
      <x v="104"/>
    </i>
    <i r="2">
      <x v="108"/>
    </i>
    <i r="2">
      <x v="109"/>
    </i>
    <i r="2">
      <x v="110"/>
    </i>
    <i r="2">
      <x v="111"/>
    </i>
    <i r="2">
      <x v="112"/>
    </i>
    <i r="2">
      <x v="113"/>
    </i>
    <i r="2">
      <x v="114"/>
    </i>
    <i r="2">
      <x v="115"/>
    </i>
    <i r="2">
      <x v="116"/>
    </i>
    <i r="2">
      <x v="118"/>
    </i>
    <i r="2">
      <x v="119"/>
    </i>
    <i r="2">
      <x v="120"/>
    </i>
    <i r="2">
      <x v="121"/>
    </i>
    <i r="2">
      <x v="122"/>
    </i>
    <i r="2">
      <x v="126"/>
    </i>
    <i r="2">
      <x v="128"/>
    </i>
    <i r="2">
      <x v="129"/>
    </i>
    <i r="2">
      <x v="130"/>
    </i>
    <i r="2">
      <x v="134"/>
    </i>
    <i r="2">
      <x v="136"/>
    </i>
    <i r="2">
      <x v="144"/>
    </i>
    <i r="2">
      <x v="146"/>
    </i>
    <i r="2">
      <x v="147"/>
    </i>
    <i r="2">
      <x v="148"/>
    </i>
    <i r="2">
      <x v="149"/>
    </i>
    <i r="2">
      <x v="152"/>
    </i>
    <i r="2">
      <x v="153"/>
    </i>
    <i r="2">
      <x v="155"/>
    </i>
    <i r="2">
      <x v="156"/>
    </i>
    <i r="2">
      <x v="157"/>
    </i>
    <i r="2">
      <x v="158"/>
    </i>
    <i r="2">
      <x v="160"/>
    </i>
    <i r="2">
      <x v="161"/>
    </i>
    <i r="2">
      <x v="162"/>
    </i>
    <i r="2">
      <x v="163"/>
    </i>
    <i r="2">
      <x v="164"/>
    </i>
    <i r="2">
      <x v="165"/>
    </i>
    <i r="2">
      <x v="166"/>
    </i>
    <i r="2">
      <x v="167"/>
    </i>
    <i r="2">
      <x v="168"/>
    </i>
    <i r="2">
      <x v="169"/>
    </i>
    <i r="2">
      <x v="170"/>
    </i>
    <i r="2">
      <x v="171"/>
    </i>
    <i r="2">
      <x v="172"/>
    </i>
    <i r="2">
      <x v="175"/>
    </i>
    <i r="2">
      <x v="177"/>
    </i>
    <i r="2">
      <x v="178"/>
    </i>
    <i r="2">
      <x v="179"/>
    </i>
    <i r="2">
      <x v="235"/>
    </i>
    <i r="2">
      <x v="238"/>
    </i>
    <i r="2">
      <x v="240"/>
    </i>
    <i r="2">
      <x v="241"/>
    </i>
    <i r="2">
      <x v="242"/>
    </i>
    <i r="2">
      <x v="246"/>
    </i>
    <i r="2">
      <x v="247"/>
    </i>
    <i r="2">
      <x v="248"/>
    </i>
    <i r="2">
      <x v="249"/>
    </i>
    <i r="2">
      <x v="250"/>
    </i>
    <i r="2">
      <x v="251"/>
    </i>
    <i r="2">
      <x v="253"/>
    </i>
    <i r="2">
      <x v="254"/>
    </i>
    <i r="2">
      <x v="255"/>
    </i>
    <i r="2">
      <x v="257"/>
    </i>
    <i r="2">
      <x v="258"/>
    </i>
    <i r="2">
      <x v="260"/>
    </i>
    <i r="2">
      <x v="264"/>
    </i>
    <i r="1">
      <x v="23"/>
    </i>
    <i r="2">
      <x v="32"/>
    </i>
    <i r="2">
      <x v="276"/>
    </i>
    <i r="1">
      <x v="24"/>
    </i>
    <i r="2">
      <x v="4"/>
    </i>
    <i r="2">
      <x v="49"/>
    </i>
    <i r="2">
      <x v="65"/>
    </i>
    <i r="2">
      <x v="99"/>
    </i>
    <i r="2">
      <x v="102"/>
    </i>
    <i r="2">
      <x v="103"/>
    </i>
    <i r="2">
      <x v="105"/>
    </i>
    <i r="2">
      <x v="124"/>
    </i>
    <i r="2">
      <x v="135"/>
    </i>
    <i r="2">
      <x v="143"/>
    </i>
    <i r="2">
      <x v="145"/>
    </i>
    <i r="2">
      <x v="150"/>
    </i>
    <i r="2">
      <x v="151"/>
    </i>
    <i r="2">
      <x v="154"/>
    </i>
    <i r="2">
      <x v="158"/>
    </i>
    <i r="2">
      <x v="159"/>
    </i>
    <i r="2">
      <x v="173"/>
    </i>
    <i r="2">
      <x v="174"/>
    </i>
    <i r="2">
      <x v="176"/>
    </i>
    <i r="2">
      <x v="186"/>
    </i>
    <i r="2">
      <x v="188"/>
    </i>
    <i r="2">
      <x v="189"/>
    </i>
    <i r="2">
      <x v="192"/>
    </i>
    <i r="2">
      <x v="205"/>
    </i>
    <i r="2">
      <x v="209"/>
    </i>
    <i r="2">
      <x v="216"/>
    </i>
    <i r="2">
      <x v="229"/>
    </i>
    <i r="2">
      <x v="231"/>
    </i>
    <i r="2">
      <x v="239"/>
    </i>
    <i r="2">
      <x v="243"/>
    </i>
    <i r="2">
      <x v="244"/>
    </i>
    <i r="2">
      <x v="245"/>
    </i>
    <i r="2">
      <x v="252"/>
    </i>
    <i r="2">
      <x v="256"/>
    </i>
    <i r="2">
      <x v="259"/>
    </i>
    <i r="2">
      <x v="261"/>
    </i>
    <i r="2">
      <x v="262"/>
    </i>
    <i r="2">
      <x v="282"/>
    </i>
    <i r="2">
      <x v="284"/>
    </i>
    <i r="2">
      <x v="297"/>
    </i>
    <i r="2">
      <x v="302"/>
    </i>
    <i r="2">
      <x v="308"/>
    </i>
    <i r="2">
      <x v="315"/>
    </i>
    <i r="2">
      <x v="320"/>
    </i>
    <i r="1">
      <x v="25"/>
    </i>
    <i r="2">
      <x v="100"/>
    </i>
    <i r="2">
      <x v="106"/>
    </i>
    <i r="2">
      <x v="107"/>
    </i>
    <i r="2">
      <x v="117"/>
    </i>
    <i r="2">
      <x v="123"/>
    </i>
    <i r="2">
      <x v="125"/>
    </i>
    <i r="2">
      <x v="127"/>
    </i>
    <i r="2">
      <x v="133"/>
    </i>
    <i>
      <x v="12"/>
    </i>
    <i r="1">
      <x v="17"/>
    </i>
    <i r="2">
      <x v="219"/>
    </i>
    <i>
      <x v="13"/>
    </i>
    <i r="1">
      <x v="15"/>
    </i>
    <i r="2">
      <x v="270"/>
    </i>
    <i r="1">
      <x v="18"/>
    </i>
    <i r="2">
      <x v="138"/>
    </i>
    <i r="2">
      <x v="269"/>
    </i>
    <i r="1">
      <x v="19"/>
    </i>
    <i r="2">
      <x v="181"/>
    </i>
    <i r="2">
      <x v="286"/>
    </i>
    <i>
      <x v="14"/>
    </i>
    <i r="1">
      <x v="19"/>
    </i>
    <i r="2">
      <x v="217"/>
    </i>
    <i r="2">
      <x v="287"/>
    </i>
    <i r="2">
      <x v="295"/>
    </i>
    <i r="2">
      <x v="296"/>
    </i>
    <i r="2">
      <x v="316"/>
    </i>
    <i>
      <x v="15"/>
    </i>
    <i r="1">
      <x v="50"/>
    </i>
    <i r="2">
      <x/>
    </i>
    <i r="1">
      <x v="51"/>
    </i>
    <i r="2">
      <x v="51"/>
    </i>
    <i>
      <x v="16"/>
    </i>
    <i r="1">
      <x v="63"/>
    </i>
    <i r="2">
      <x v="54"/>
    </i>
    <i>
      <x v="17"/>
    </i>
    <i r="1">
      <x v="28"/>
    </i>
    <i r="2">
      <x v="18"/>
    </i>
    <i r="2">
      <x v="212"/>
    </i>
    <i r="1">
      <x v="29"/>
    </i>
    <i r="2">
      <x v="275"/>
    </i>
    <i r="2">
      <x v="277"/>
    </i>
    <i r="2">
      <x v="278"/>
    </i>
    <i r="2">
      <x v="313"/>
    </i>
    <i r="1">
      <x v="30"/>
    </i>
    <i r="2">
      <x v="2"/>
    </i>
    <i r="2">
      <x v="62"/>
    </i>
    <i r="2">
      <x v="98"/>
    </i>
    <i r="2">
      <x v="142"/>
    </i>
    <i r="2">
      <x v="201"/>
    </i>
    <i r="2">
      <x v="224"/>
    </i>
    <i r="2">
      <x v="292"/>
    </i>
    <i>
      <x v="18"/>
    </i>
    <i r="1">
      <x v="47"/>
    </i>
    <i r="2">
      <x v="211"/>
    </i>
    <i r="1">
      <x v="48"/>
    </i>
    <i r="2">
      <x v="281"/>
    </i>
    <i r="1">
      <x v="49"/>
    </i>
    <i r="2">
      <x v="325"/>
    </i>
    <i>
      <x v="19"/>
    </i>
    <i r="1">
      <x v="38"/>
    </i>
    <i r="2">
      <x v="57"/>
    </i>
    <i r="1">
      <x v="39"/>
    </i>
    <i r="2">
      <x v="283"/>
    </i>
    <i>
      <x v="20"/>
    </i>
    <i r="1">
      <x v="53"/>
    </i>
    <i r="2">
      <x v="317"/>
    </i>
    <i r="1">
      <x v="54"/>
    </i>
    <i r="2">
      <x v="322"/>
    </i>
    <i r="1">
      <x v="56"/>
    </i>
    <i r="2">
      <x v="211"/>
    </i>
    <i r="1">
      <x v="57"/>
    </i>
    <i r="2">
      <x v="55"/>
    </i>
    <i r="2">
      <x v="323"/>
    </i>
    <i>
      <x v="21"/>
    </i>
    <i r="1">
      <x v="9"/>
    </i>
    <i r="2">
      <x v="91"/>
    </i>
    <i r="2">
      <x v="92"/>
    </i>
    <i r="2">
      <x v="93"/>
    </i>
    <i>
      <x v="22"/>
    </i>
    <i r="1">
      <x v="10"/>
    </i>
    <i r="2">
      <x v="50"/>
    </i>
    <i r="2">
      <x v="132"/>
    </i>
    <i r="2">
      <x v="198"/>
    </i>
    <i r="2">
      <x v="214"/>
    </i>
    <i r="2">
      <x v="263"/>
    </i>
    <i>
      <x v="23"/>
    </i>
    <i r="1">
      <x v="36"/>
    </i>
    <i r="2">
      <x v="276"/>
    </i>
    <i r="1">
      <x v="37"/>
    </i>
    <i r="2">
      <x v="6"/>
    </i>
    <i r="2">
      <x v="66"/>
    </i>
    <i r="1">
      <x v="64"/>
    </i>
    <i r="2">
      <x v="60"/>
    </i>
    <i r="1">
      <x v="65"/>
    </i>
    <i r="2">
      <x v="74"/>
    </i>
    <i r="2">
      <x v="223"/>
    </i>
    <i>
      <x v="24"/>
    </i>
    <i r="1">
      <x v="5"/>
    </i>
    <i r="2">
      <x v="20"/>
    </i>
    <i r="2">
      <x v="71"/>
    </i>
    <i r="2">
      <x v="72"/>
    </i>
    <i r="1">
      <x v="6"/>
    </i>
    <i r="2">
      <x v="279"/>
    </i>
    <i r="2">
      <x v="327"/>
    </i>
    <i r="1">
      <x v="7"/>
    </i>
    <i r="2">
      <x v="1"/>
    </i>
    <i r="2">
      <x v="68"/>
    </i>
    <i r="2">
      <x v="180"/>
    </i>
    <i r="2">
      <x v="195"/>
    </i>
    <i r="2">
      <x v="196"/>
    </i>
    <i r="2">
      <x v="197"/>
    </i>
    <i r="2">
      <x v="204"/>
    </i>
    <i r="2">
      <x v="206"/>
    </i>
    <i r="2">
      <x v="225"/>
    </i>
    <i r="2">
      <x v="228"/>
    </i>
    <i r="2">
      <x v="271"/>
    </i>
    <i r="2">
      <x v="285"/>
    </i>
    <i r="2">
      <x v="293"/>
    </i>
    <i r="2">
      <x v="300"/>
    </i>
    <i r="2">
      <x v="301"/>
    </i>
    <i r="2">
      <x v="310"/>
    </i>
    <i r="1">
      <x v="8"/>
    </i>
    <i r="2">
      <x v="288"/>
    </i>
    <i t="grand">
      <x/>
    </i>
  </rowItems>
  <colItems count="1">
    <i/>
  </colItems>
  <dataFields count="1">
    <dataField name="Soma de VALOR NECESSÁRIO" fld="11"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855460-9135-467D-84C0-D2A754F67726}" name="Tabela7" displayName="Tabela7" ref="A3:AQ170" totalsRowShown="0">
  <autoFilter ref="A3:AQ170" xr:uid="{E5855460-9135-467D-84C0-D2A754F67726}"/>
  <tableColumns count="43">
    <tableColumn id="1" xr3:uid="{B340394B-911F-44F3-B5A1-37BFB4D47F6D}" name="codEmpresa"/>
    <tableColumn id="2" xr3:uid="{FE306144-FF72-40A0-91E3-0FC42650D0D4}" name="txtDescricaoOrgao"/>
    <tableColumn id="3" xr3:uid="{02986607-B3A6-4638-B11A-AD1373BC9F59}" name="codOrgao"/>
    <tableColumn id="4" xr3:uid="{9DD378C0-79CC-4241-B2D0-A0D2A00044FA}" name="UO"/>
    <tableColumn id="5" xr3:uid="{10D3F62D-1999-435F-8B46-55C1DFBE4CB3}" name="Funcao"/>
    <tableColumn id="6" xr3:uid="{3D680209-808A-40EB-8B50-33F3B356F9B4}" name="SubFuncao"/>
    <tableColumn id="7" xr3:uid="{47EF51B0-8B31-41F4-958A-656909DDCF7F}" name="Programa"/>
    <tableColumn id="8" xr3:uid="{048A1EA7-348A-400A-A89F-8BD9D79B0B8F}" name="ProjAtiv"/>
    <tableColumn id="9" xr3:uid="{E55F899D-6BFB-4F82-B85A-C3ACEF8EF87D}" name="Despesa"/>
    <tableColumn id="10" xr3:uid="{B64A9D33-1A8C-4FD9-8C66-FFA03F4D0EEF}" name="dotacao_completa"/>
    <tableColumn id="11" xr3:uid="{F6D37330-340B-43B1-B2BB-A116B82FB67C}" name="codTipoContratacao"/>
    <tableColumn id="12" xr3:uid="{6DFBEFA0-DFB2-43B6-9E76-E91019F46240}" name="txtTipoContratacao"/>
    <tableColumn id="13" xr3:uid="{F261388E-F006-4D5F-9187-F93007F579D2}" name="codModalidade"/>
    <tableColumn id="14" xr3:uid="{A9E7D4DA-7EF3-4192-9A4A-D98BD0B662EF}" name="txtDescricaoModalidade"/>
    <tableColumn id="15" xr3:uid="{F16394F5-7705-4479-90CC-2469701B7DB1}" name="anoContrato"/>
    <tableColumn id="16" xr3:uid="{09CD413B-D44D-4D62-BB3B-4F1A59F51680}" name="codContrato"/>
    <tableColumn id="17" xr3:uid="{1ECFB2A0-5BB3-4FFE-B9D7-B4A6F552A968}" name="numOriginalContrato"/>
    <tableColumn id="18" xr3:uid="{5DB2B19D-397E-432B-A221-1F330706295C}" name="codProcesso"/>
    <tableColumn id="19" xr3:uid="{4E467CD0-5B0C-4033-B336-21355CEC961B}" name="Está em CAF?"/>
    <tableColumn id="20" xr3:uid="{3D502351-51A8-4D8A-9615-91932052EBB5}" name="txtObjetoContrato"/>
    <tableColumn id="21" xr3:uid="{B537E5C2-D9D6-44DF-8E14-733A660E49AA}" name="datAssinaturaContrato"/>
    <tableColumn id="22" xr3:uid="{BE1F3D52-9075-43E2-A805-D2E7511AF8E1}" name="datPublicacaoContrato"/>
    <tableColumn id="23" xr3:uid="{4DBE14E7-6C93-4CDA-A333-DE919125529A}" name="datVigencia"/>
    <tableColumn id="24" xr3:uid="{F721F424-9DC7-4513-ADA3-2326D483FE5B}" name="VigenciaMeses"/>
    <tableColumn id="25" xr3:uid="{0916AD11-8F28-4DA3-9CEB-1E08FD38CB98}" name="situacaoContrato"/>
    <tableColumn id="26" xr3:uid="{908EE734-68C9-41BC-8286-1A7C8FF9F577}" name="valPrincipal"/>
    <tableColumn id="27" xr3:uid="{E2ED0C16-A085-4EB7-BF1F-508AE302FF4B}" name="valReajustes"/>
    <tableColumn id="28" xr3:uid="{9CFC7406-8FFC-424C-922F-3A47AF3EA779}" name="valAditamentos"/>
    <tableColumn id="29" xr3:uid="{F986A143-CEAE-43FA-82F3-DD86178262A6}" name="valAnulacao"/>
    <tableColumn id="30" xr3:uid="{E71F9EAC-710A-48E7-B999-FFA2D03C4949}" name="valTotal"/>
    <tableColumn id="31" xr3:uid="{A6731485-202D-4C50-A3B0-72614BC1590E}" name="valMensal"/>
    <tableColumn id="32" xr3:uid="{A1E44219-9F0D-4041-98A0-CC8CEAE27A74}" name="valAnual"/>
    <tableColumn id="33" xr3:uid="{AA7BD219-43E2-42CE-ABF0-C348EA27003D}" name="valTotal_proporcional"/>
    <tableColumn id="34" xr3:uid="{0E5AAB76-A78C-4BEE-88A9-DE7CF7A89704}" name="valMensal_proporcional"/>
    <tableColumn id="35" xr3:uid="{74430090-A514-4BD0-B2A4-652CF185938B}" name="valAnual_proporcional"/>
    <tableColumn id="36" xr3:uid="{0F0F96D6-C54F-49DA-B2C2-21438670E0BB}" name="valTotalEmpenhado"/>
    <tableColumn id="37" xr3:uid="{161E7D5C-9BE3-4C05-9EA2-10FFFDA50C6E}" name="valAnuladoEmpenho"/>
    <tableColumn id="38" xr3:uid="{4BAC6AD8-958F-411E-B058-E8354EAA1867}" name="valEmpenhadoLiquido"/>
    <tableColumn id="39" xr3:uid="{B2428C14-C409-42A9-819B-FA56C08E7AC9}" name="valLiquidado"/>
    <tableColumn id="40" xr3:uid="{E5C3B2D3-8FD5-498C-B1E8-D6604A093D31}" name="valPago"/>
    <tableColumn id="41" xr3:uid="{8945FBD4-44F9-4A2E-9699-032362C77A5A}" name="datExtracao"/>
    <tableColumn id="42" xr3:uid="{AABF1F1F-37A3-45AD-BC98-9F6F1B134B88}" name="chave"/>
    <tableColumn id="43" xr3:uid="{69AA1D6E-F132-4C1A-AC55-B38DD2BD2DE1}" name="percentual_pivo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25F6EC-94A4-496F-A47E-94C2A4D59901}" name="Tabela1" displayName="Tabela1" ref="A1:AQ391" totalsRowShown="0" headerRowDxfId="36" headerRowBorderDxfId="37" tableBorderDxfId="38">
  <autoFilter ref="A1:AQ391" xr:uid="{A425F6EC-94A4-496F-A47E-94C2A4D59901}"/>
  <sortState xmlns:xlrd2="http://schemas.microsoft.com/office/spreadsheetml/2017/richdata2" ref="A2:AQ391">
    <sortCondition descending="1" ref="Z1:Z391"/>
  </sortState>
  <tableColumns count="43">
    <tableColumn id="1" xr3:uid="{DB33D1C2-2D43-499F-B7A3-CCA09F1A24B3}" name="codEmpresa"/>
    <tableColumn id="2" xr3:uid="{87971B2C-257B-4A00-99FD-D71CCC1AE304}" name="txtDescricaoOrgao"/>
    <tableColumn id="3" xr3:uid="{4D6C6E40-F818-477F-BA00-739FD2A87975}" name="codOrgao"/>
    <tableColumn id="4" xr3:uid="{6B943C0A-D5AE-4E08-AA08-E1534899B1F2}" name="UO"/>
    <tableColumn id="5" xr3:uid="{ADF0B883-91AD-4002-85B9-5666A9B0560D}" name="Funcao"/>
    <tableColumn id="6" xr3:uid="{F186C6C0-3493-4DE6-A26F-265A1C8C47E9}" name="SubFuncao"/>
    <tableColumn id="7" xr3:uid="{D39D74F6-AE82-48B8-9EF1-95EA3CA44D1A}" name="Programa"/>
    <tableColumn id="8" xr3:uid="{385FD466-6168-405F-99FF-557F7459DC5D}" name="ProjAtiv"/>
    <tableColumn id="9" xr3:uid="{80E3B1CE-62D8-4B8A-B253-112149054992}" name="Despesa"/>
    <tableColumn id="10" xr3:uid="{F92CE9A8-3AEF-45BF-8379-2D83BCB7E522}" name="dotacao_completa"/>
    <tableColumn id="11" xr3:uid="{93CFD4D2-7C47-4D44-9F07-21A73ABCF582}" name="codTipoContratacao"/>
    <tableColumn id="12" xr3:uid="{7FBDEEE9-0133-4788-9F06-11914199C019}" name="txtTipoContratacao"/>
    <tableColumn id="13" xr3:uid="{2CC0762C-D8DE-4756-817A-505D08E90ECC}" name="codModalidade"/>
    <tableColumn id="14" xr3:uid="{C6678EEE-A961-473D-AC3E-B94935C21CCF}" name="txtDescricaoModalidade"/>
    <tableColumn id="15" xr3:uid="{1640474A-8173-4D76-973E-694CB0190B06}" name="anoContrato"/>
    <tableColumn id="16" xr3:uid="{755317C5-3B81-4474-B91C-22FBD45706D2}" name="codContrato"/>
    <tableColumn id="17" xr3:uid="{1FEA1D35-7E9E-4510-9B04-565020359522}" name="numOriginalContrato"/>
    <tableColumn id="18" xr3:uid="{EE95B8B8-8FC6-4298-B46E-9A40DAD92F4C}" name="codProcesso"/>
    <tableColumn id="44" xr3:uid="{85306C93-0E8F-4041-8ADB-E3C36C956DB8}" name="Está em CAF?" dataDxfId="31">
      <calculatedColumnFormula>IF(COUNTIF(Tabela2[PROCESSO],Tabela1[[#This Row],[codProcesso]])&gt;0,"Está","Não está")</calculatedColumnFormula>
    </tableColumn>
    <tableColumn id="19" xr3:uid="{29BC7B94-CDCF-4CD6-868A-620D009FF1DD}" name="txtObjetoContrato"/>
    <tableColumn id="20" xr3:uid="{F09DE8C1-C0AD-4EC7-8A89-12997BC8DF53}" name="datAssinaturaContrato"/>
    <tableColumn id="21" xr3:uid="{B1784D71-ECC1-471B-81FC-32E6CC1B25D2}" name="datPublicacaoContrato"/>
    <tableColumn id="22" xr3:uid="{CCA8E25D-62B4-478E-AC52-BEEBDA8CC1A6}" name="datVigencia"/>
    <tableColumn id="23" xr3:uid="{04A1F7C2-B0D8-4066-8B78-8FFD28EB543D}" name="VigenciaMeses"/>
    <tableColumn id="24" xr3:uid="{0BA96A72-E814-4AB1-9E40-A3CCF75DCC21}" name="situacaoContrato"/>
    <tableColumn id="25" xr3:uid="{F2C07DF8-9AC9-4FF7-861F-CCD8096E99FF}" name="valPrincipal" dataDxfId="27"/>
    <tableColumn id="26" xr3:uid="{940158D8-A31D-4716-9CE9-D8DFAE413441}" name="valReajustes" dataDxfId="26"/>
    <tableColumn id="27" xr3:uid="{E08DDE58-840F-4578-9CB6-AB1E8742BFF7}" name="valAditamentos" dataDxfId="25"/>
    <tableColumn id="28" xr3:uid="{08F4C239-6981-4EB8-9252-9FA749624230}" name="valAnulacao" dataDxfId="24"/>
    <tableColumn id="29" xr3:uid="{F9C185F8-7FB8-429F-92FC-232C70016B59}" name="valTotal" dataDxfId="23"/>
    <tableColumn id="30" xr3:uid="{E7E0D682-341E-4F08-AF12-6838C996BE55}" name="valMensal" dataDxfId="22"/>
    <tableColumn id="31" xr3:uid="{8744C0FB-C7D5-419E-B8C0-09B5549A37CB}" name="valAnual" dataDxfId="21"/>
    <tableColumn id="32" xr3:uid="{F694DA90-C3EF-4EBE-A189-DD5F295555A6}" name="valTotal_proporcional"/>
    <tableColumn id="33" xr3:uid="{CD382847-81F2-4F4B-92C4-EA10C38E93CA}" name="valMensal_proporcional"/>
    <tableColumn id="34" xr3:uid="{A6C7AF36-4839-4AA4-B608-0051699C011B}" name="valAnual_proporcional"/>
    <tableColumn id="35" xr3:uid="{1C4ECE76-80DF-4630-A131-9D2D29128B98}" name="valTotalEmpenhado"/>
    <tableColumn id="36" xr3:uid="{5AED99FB-5850-4255-ABEF-7C599B7A16B2}" name="valAnuladoEmpenho"/>
    <tableColumn id="37" xr3:uid="{4CAADEB9-3DD8-4F08-830A-F650C5F8EBEA}" name="valEmpenhadoLiquido"/>
    <tableColumn id="38" xr3:uid="{BF30E391-849A-469D-A62C-2877FD3FB5C7}" name="valLiquidado"/>
    <tableColumn id="39" xr3:uid="{82004D97-809F-4E70-ABB7-1E94039A0511}" name="valPago"/>
    <tableColumn id="40" xr3:uid="{C1D286BD-ADE8-4379-9D3D-D1547761C4EF}" name="datExtracao"/>
    <tableColumn id="41" xr3:uid="{4FD21364-BFFB-42BD-B268-745E7D22A4D1}" name="chave"/>
    <tableColumn id="42" xr3:uid="{99F005D9-E2D4-46E3-9282-2BAF13BDC95A}" name="percentual_pivot"/>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F2FB34-69F7-47F8-9E60-0737C27CCFAD}" name="Tabela5" displayName="Tabela5" ref="A3:Y184" totalsRowShown="0">
  <autoFilter ref="A3:Y184" xr:uid="{BCF2FB34-69F7-47F8-9E60-0737C27CCFAD}"/>
  <tableColumns count="25">
    <tableColumn id="1" xr3:uid="{ED1ECB8A-3658-42BB-B92B-1D20829117B0}" name="Orgão"/>
    <tableColumn id="2" xr3:uid="{B13E30E4-1C57-4FE6-943D-B91AD8680011}" name="Tipo"/>
    <tableColumn id="3" xr3:uid="{DFC2ECD5-DD34-49CC-810A-84D7D7B5A7EA}" name="PAPA"/>
    <tableColumn id="4" xr3:uid="{3EC6C946-3A77-48B8-88B3-A2545A6AD9E9}" name="PROCESSO"/>
    <tableColumn id="5" xr3:uid="{E579BEA3-22FD-4BB5-8690-FD92CA013E3B}" name="Está na API?"/>
    <tableColumn id="6" xr3:uid="{932810ED-A5F3-4F0F-AC29-11AA109BE5A9}" name="DOTAÇÃO ORÇAMENTÁRIA"/>
    <tableColumn id="7" xr3:uid="{272242DE-1147-4895-BC86-DEFD7B7FC60D}" name="COORDENAÇÃO"/>
    <tableColumn id="8" xr3:uid="{69167E93-D2C8-4204-92DF-78A20A2FF895}" name="CONTRATO"/>
    <tableColumn id="9" xr3:uid="{8F93E7C6-CA3F-4DDB-A83C-63B08A9A48AF}" name="OBJETO CONTRATUAL"/>
    <tableColumn id="10" xr3:uid="{2E6DC39C-E22A-4589-BFF1-64B7CFBD5151}" name="CONTRATADO (A)"/>
    <tableColumn id="11" xr3:uid="{71AE48A9-BF50-431D-91FE-66B01550BDDE}" name="TÉRMINO" dataDxfId="28"/>
    <tableColumn id="12" xr3:uid="{482D39FC-7A8E-499F-92A4-6D2B41CBA34A}" name="VALOR NECESSÁRIO"/>
    <tableColumn id="13" xr3:uid="{4DB1523F-122D-47B1-825E-AA5D6A589D21}" name="VALOR MENSAL NECESSÁRIO"/>
    <tableColumn id="14" xr3:uid="{123A4798-6D9F-40AF-984D-5D935A7741B0}" name="JANEIRO"/>
    <tableColumn id="15" xr3:uid="{F107B25D-0230-4CCD-82D6-2A6386F722F8}" name="FEVEREIRO"/>
    <tableColumn id="16" xr3:uid="{8717C50F-6DCF-482C-8221-F4C0B366E1F3}" name="MARÇO"/>
    <tableColumn id="17" xr3:uid="{4C39A9B5-5215-41BA-8893-790044390725}" name="ABRIL"/>
    <tableColumn id="18" xr3:uid="{581FDAC5-5FB0-46B7-9D0E-BAEBFBBE523E}" name="MAIO"/>
    <tableColumn id="19" xr3:uid="{048E4033-C154-476B-9C4C-F0D3434E5088}" name="JUNHO"/>
    <tableColumn id="20" xr3:uid="{9C2759A1-0D3B-48C1-B95E-9EE46F9A45C5}" name="JULHO"/>
    <tableColumn id="21" xr3:uid="{4262778C-4E25-4591-A5C1-0194AE51009A}" name="AGOSTO"/>
    <tableColumn id="22" xr3:uid="{735491CD-09E0-43DB-ABC3-4D9FEDE4C856}" name="SETEMBRO"/>
    <tableColumn id="23" xr3:uid="{8C63E063-5B78-439A-A54F-8EBD9A868889}" name="OUTUBRO"/>
    <tableColumn id="24" xr3:uid="{9E8D9D4A-0D1F-40F0-BBF1-6386256434CB}" name="NOVEMBRO"/>
    <tableColumn id="25" xr3:uid="{F507FD01-F5B9-44D1-8983-7A73C52DD0A3}" name="DEZEMBRO"/>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65EF17-8142-445B-A9DD-532DA008E292}" name="Tabela2" displayName="Tabela2" ref="A1:Y551" totalsRowShown="0">
  <autoFilter ref="A1:Y551" xr:uid="{E065EF17-8142-445B-A9DD-532DA008E292}">
    <filterColumn colId="0">
      <filters>
        <filter val="SMDHC"/>
      </filters>
    </filterColumn>
  </autoFilter>
  <tableColumns count="25">
    <tableColumn id="1" xr3:uid="{460B2B44-F412-41CB-B132-ABD3E47E8092}" name="Orgão"/>
    <tableColumn id="2" xr3:uid="{63C9C09C-0176-46BA-A463-4585BAF40231}" name="Tipo"/>
    <tableColumn id="3" xr3:uid="{5143F99F-2A4E-4159-AF31-11B33166A670}" name="PAPA"/>
    <tableColumn id="4" xr3:uid="{680A8B4D-E6BB-499E-ABAF-F7969E8724CE}" name="PROCESSO"/>
    <tableColumn id="25" xr3:uid="{91DCD61B-2645-4C93-BB94-1F4575D8B4B1}" name="Está na API?" dataDxfId="32">
      <calculatedColumnFormula>IF(COUNTIF(Tabela1[codProcesso],Tabela2[[#This Row],[PROCESSO]]),"Está","Não está")</calculatedColumnFormula>
    </tableColumn>
    <tableColumn id="5" xr3:uid="{9C097B1D-C621-476C-988A-43B600943D92}" name="DOTAÇÃO ORÇAMENTÁRIA"/>
    <tableColumn id="6" xr3:uid="{BF315E2E-9CC8-4630-9B26-7BE244FDC404}" name="COORDENAÇÃO"/>
    <tableColumn id="7" xr3:uid="{7D15C00B-0A59-4325-A12D-6C1B39689802}" name="CONTRATO"/>
    <tableColumn id="8" xr3:uid="{DD6CA042-EF39-45EE-890B-9A781BE9A3A7}" name="OBJETO CONTRATUAL"/>
    <tableColumn id="9" xr3:uid="{BC7CC93B-DB5B-40E5-B7EC-7554500EAA4E}" name="CONTRATADO (A)"/>
    <tableColumn id="10" xr3:uid="{D5674DFA-CD4F-44DD-8EC6-1AB841FB868A}" name="TÉRMINO" dataDxfId="35"/>
    <tableColumn id="11" xr3:uid="{099FE3C3-B3A8-4BAB-B27B-FF3014695CEC}" name="VALOR NECESSÁRIO" dataDxfId="34"/>
    <tableColumn id="12" xr3:uid="{B68F11FE-C991-4D85-82E7-1940BF16471F}" name="VALOR MENSAL NECESSÁRIO" dataDxfId="33"/>
    <tableColumn id="13" xr3:uid="{29C7291C-23A1-4BF9-B203-232848C31947}" name="JANEIRO"/>
    <tableColumn id="14" xr3:uid="{D26BE040-C3FD-4841-8524-948EA1DE46D0}" name="FEVEREIRO"/>
    <tableColumn id="15" xr3:uid="{5EA10C50-3C3C-4D6B-984F-E7D82A1C6CCA}" name="MARÇO"/>
    <tableColumn id="16" xr3:uid="{D3E9DC33-14F8-4604-B426-B81A2EF2079C}" name="ABRIL"/>
    <tableColumn id="17" xr3:uid="{2344B41D-26C9-45DF-9F8E-6A9BA8EF1F0D}" name="MAIO"/>
    <tableColumn id="18" xr3:uid="{3A0DE76E-8230-49C3-8AD7-753654904E1C}" name="JUNHO"/>
    <tableColumn id="19" xr3:uid="{2A98E360-2FD7-4F21-BB04-5718C90317F0}" name="JULHO"/>
    <tableColumn id="20" xr3:uid="{636164D0-3E89-45C3-B95C-EA7B6485BBC5}" name="AGOSTO"/>
    <tableColumn id="21" xr3:uid="{89C3C5E6-4053-41BD-89FD-89DC2C89C631}" name="SETEMBRO"/>
    <tableColumn id="22" xr3:uid="{BF64F22C-2328-4EF5-8765-D4C5EC01D341}" name="OUTUBRO"/>
    <tableColumn id="23" xr3:uid="{20A9C317-6BCF-42B7-9E9C-7ED8B0B621E9}" name="NOVEMBRO"/>
    <tableColumn id="24" xr3:uid="{F4D87356-4F73-42F7-B734-F61ABCBCABF3}" name="DEZEMBRO"/>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7B0D6F-7C1B-4A43-8265-7417209EAD56}" name="Tabela6" displayName="Tabela6" ref="A1:Y354" totalsRowShown="0">
  <autoFilter ref="A1:Y354" xr:uid="{677B0D6F-7C1B-4A43-8265-7417209EAD56}"/>
  <tableColumns count="25">
    <tableColumn id="1" xr3:uid="{5398BECE-7FA9-4DA1-87DD-C058E16093B9}" name="Orgão"/>
    <tableColumn id="2" xr3:uid="{09DC6120-A903-4DA7-8E36-56B97D7FF940}" name="Tipo"/>
    <tableColumn id="3" xr3:uid="{D0C71AB7-41C4-4CD0-8400-4DB06DF7189D}" name="PAPA"/>
    <tableColumn id="4" xr3:uid="{72C4629A-F0A0-47DF-BCE9-311151F66643}" name="PROCESSO"/>
    <tableColumn id="5" xr3:uid="{B088910E-7B00-490E-A90A-DBAF82769651}" name="Está na API?"/>
    <tableColumn id="6" xr3:uid="{506FEB5E-FA34-4256-AF2C-FE300CC03E8C}" name="DOTAÇÃO ORÇAMENTÁRIA"/>
    <tableColumn id="7" xr3:uid="{BAB9AF82-60F6-4A74-A8E6-59E6CDA2E771}" name="COORDENAÇÃO"/>
    <tableColumn id="8" xr3:uid="{27DE1646-1AD1-4983-B44D-7A872BAD3B5E}" name="CONTRATO"/>
    <tableColumn id="9" xr3:uid="{98DBFF53-8586-4647-BCD0-131636E7A2D0}" name="OBJETO CONTRATUAL"/>
    <tableColumn id="10" xr3:uid="{BABECA0B-4A0A-442C-B56C-6784E59278CD}" name="CONTRATADO (A)"/>
    <tableColumn id="11" xr3:uid="{A8C52B7D-3C4F-4AF1-84AC-AE6FC02ED688}" name="TÉRMINO" dataDxfId="6"/>
    <tableColumn id="12" xr3:uid="{E9BCDA18-A727-4C73-8012-B7DB2D0F60A7}" name="VALOR NECESSÁRIO" dataDxfId="7"/>
    <tableColumn id="13" xr3:uid="{5C5DF280-647C-420A-8B12-CAE84462F025}" name="VALOR MENSAL NECESSÁRIO" dataDxfId="20"/>
    <tableColumn id="14" xr3:uid="{CBB296F7-72E3-4DAD-8610-81A4B912759F}" name="JANEIRO" dataDxfId="19"/>
    <tableColumn id="15" xr3:uid="{A4D46A4B-D261-45E3-BD76-F3DE568BBD5B}" name="FEVEREIRO" dataDxfId="18"/>
    <tableColumn id="16" xr3:uid="{465CBF78-F81F-4790-92D0-57AD3BC9EE76}" name="MARÇO" dataDxfId="17"/>
    <tableColumn id="17" xr3:uid="{31E17F71-6438-4D67-86C2-F6F06A3EB145}" name="ABRIL" dataDxfId="16"/>
    <tableColumn id="18" xr3:uid="{D2788452-7FEA-49F0-A97D-04438718A63B}" name="MAIO" dataDxfId="15"/>
    <tableColumn id="19" xr3:uid="{B93BA539-48A9-4C62-8545-4FC79830F541}" name="JUNHO" dataDxfId="14"/>
    <tableColumn id="20" xr3:uid="{AA0BD1C2-8EDF-40FD-8347-DEE1EF47A9A6}" name="JULHO" dataDxfId="13"/>
    <tableColumn id="21" xr3:uid="{AD811263-F172-45B7-86E8-BA3A00A607B3}" name="AGOSTO" dataDxfId="12"/>
    <tableColumn id="22" xr3:uid="{214B35D3-126B-4678-A256-9658F29F8F1D}" name="SETEMBRO" dataDxfId="11"/>
    <tableColumn id="23" xr3:uid="{78486068-6AB4-49E0-A589-D6BA2BB0CE00}" name="OUTUBRO" dataDxfId="10"/>
    <tableColumn id="24" xr3:uid="{6B18400B-A172-4EE1-8A90-88466459C7F3}" name="NOVEMBRO" dataDxfId="9"/>
    <tableColumn id="25" xr3:uid="{63AB6F3F-B0DB-40BD-8B39-80F3B15620A8}" name="DEZEMBRO" dataDxfId="8"/>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683B0-8003-4770-9EED-5BA582F21C25}">
  <dimension ref="A1:AQ170"/>
  <sheetViews>
    <sheetView tabSelected="1" topLeftCell="P133" workbookViewId="0">
      <selection activeCell="R133" sqref="R133"/>
    </sheetView>
  </sheetViews>
  <sheetFormatPr defaultRowHeight="15" x14ac:dyDescent="0.25"/>
  <cols>
    <col min="1" max="1" width="14" bestFit="1" customWidth="1"/>
    <col min="2" max="2" width="49.85546875" bestFit="1" customWidth="1"/>
    <col min="3" max="3" width="11.7109375" bestFit="1" customWidth="1"/>
    <col min="4" max="4" width="9.28515625" bestFit="1" customWidth="1"/>
    <col min="5" max="5" width="9.5703125" bestFit="1" customWidth="1"/>
    <col min="6" max="6" width="12.85546875" bestFit="1" customWidth="1"/>
    <col min="7" max="7" width="11.7109375" bestFit="1" customWidth="1"/>
    <col min="8" max="8" width="10.42578125" bestFit="1" customWidth="1"/>
    <col min="9" max="9" width="10.7109375" bestFit="1" customWidth="1"/>
    <col min="10" max="10" width="30.140625" bestFit="1" customWidth="1"/>
    <col min="11" max="11" width="21.140625" bestFit="1" customWidth="1"/>
    <col min="12" max="12" width="68.28515625" bestFit="1" customWidth="1"/>
    <col min="13" max="13" width="17.28515625" bestFit="1" customWidth="1"/>
    <col min="14" max="14" width="25.28515625" bestFit="1" customWidth="1"/>
    <col min="15" max="15" width="14.28515625" bestFit="1" customWidth="1"/>
    <col min="16" max="16" width="14.140625" bestFit="1" customWidth="1"/>
    <col min="17" max="17" width="22.28515625" bestFit="1" customWidth="1"/>
    <col min="18" max="18" width="17.28515625" bestFit="1" customWidth="1"/>
    <col min="19" max="19" width="15" bestFit="1" customWidth="1"/>
    <col min="20" max="20" width="89.42578125" customWidth="1"/>
    <col min="21" max="21" width="23.42578125" bestFit="1" customWidth="1"/>
    <col min="22" max="22" width="23.7109375" bestFit="1" customWidth="1"/>
    <col min="23" max="23" width="18.5703125" bestFit="1" customWidth="1"/>
    <col min="24" max="24" width="16.85546875" bestFit="1" customWidth="1"/>
    <col min="25" max="25" width="18.42578125" bestFit="1" customWidth="1"/>
    <col min="26" max="26" width="13.5703125" bestFit="1" customWidth="1"/>
    <col min="27" max="27" width="14.42578125" bestFit="1" customWidth="1"/>
    <col min="28" max="28" width="17.42578125" bestFit="1" customWidth="1"/>
    <col min="29" max="29" width="14" bestFit="1" customWidth="1"/>
    <col min="30" max="30" width="10.28515625" bestFit="1" customWidth="1"/>
    <col min="31" max="31" width="12.42578125" bestFit="1" customWidth="1"/>
    <col min="32" max="32" width="11" bestFit="1" customWidth="1"/>
    <col min="33" max="33" width="22.85546875" bestFit="1" customWidth="1"/>
    <col min="34" max="34" width="25.140625" bestFit="1" customWidth="1"/>
    <col min="35" max="35" width="23.7109375" bestFit="1" customWidth="1"/>
    <col min="36" max="36" width="21.140625" bestFit="1" customWidth="1"/>
    <col min="37" max="37" width="22" bestFit="1" customWidth="1"/>
    <col min="38" max="38" width="23.28515625" bestFit="1" customWidth="1"/>
    <col min="39" max="39" width="14.5703125" bestFit="1" customWidth="1"/>
    <col min="40" max="40" width="10.140625" bestFit="1" customWidth="1"/>
    <col min="41" max="41" width="13.5703125" bestFit="1" customWidth="1"/>
    <col min="42" max="42" width="47.7109375" bestFit="1" customWidth="1"/>
    <col min="43" max="43" width="18.5703125" bestFit="1" customWidth="1"/>
  </cols>
  <sheetData>
    <row r="1" spans="1:43" x14ac:dyDescent="0.25">
      <c r="A1" s="11" t="s">
        <v>3155</v>
      </c>
    </row>
    <row r="3" spans="1:43"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1862</v>
      </c>
      <c r="T3" t="s">
        <v>18</v>
      </c>
      <c r="U3" t="s">
        <v>19</v>
      </c>
      <c r="V3" t="s">
        <v>20</v>
      </c>
      <c r="W3" t="s">
        <v>21</v>
      </c>
      <c r="X3" t="s">
        <v>22</v>
      </c>
      <c r="Y3" t="s">
        <v>23</v>
      </c>
      <c r="Z3" t="s">
        <v>24</v>
      </c>
      <c r="AA3" t="s">
        <v>25</v>
      </c>
      <c r="AB3" t="s">
        <v>26</v>
      </c>
      <c r="AC3" t="s">
        <v>27</v>
      </c>
      <c r="AD3" t="s">
        <v>28</v>
      </c>
      <c r="AE3" t="s">
        <v>29</v>
      </c>
      <c r="AF3" t="s">
        <v>30</v>
      </c>
      <c r="AG3" t="s">
        <v>31</v>
      </c>
      <c r="AH3" t="s">
        <v>32</v>
      </c>
      <c r="AI3" t="s">
        <v>33</v>
      </c>
      <c r="AJ3" t="s">
        <v>34</v>
      </c>
      <c r="AK3" t="s">
        <v>35</v>
      </c>
      <c r="AL3" t="s">
        <v>36</v>
      </c>
      <c r="AM3" t="s">
        <v>37</v>
      </c>
      <c r="AN3" t="s">
        <v>38</v>
      </c>
      <c r="AO3" t="s">
        <v>39</v>
      </c>
      <c r="AP3" t="s">
        <v>40</v>
      </c>
      <c r="AQ3" t="s">
        <v>41</v>
      </c>
    </row>
    <row r="4" spans="1:43" x14ac:dyDescent="0.25">
      <c r="A4" t="s">
        <v>42</v>
      </c>
      <c r="B4" t="s">
        <v>43</v>
      </c>
      <c r="C4" t="s">
        <v>44</v>
      </c>
      <c r="D4" t="s">
        <v>45</v>
      </c>
      <c r="E4">
        <v>8</v>
      </c>
      <c r="F4">
        <v>243</v>
      </c>
      <c r="G4">
        <v>3013</v>
      </c>
      <c r="H4">
        <v>4328</v>
      </c>
      <c r="I4" t="s">
        <v>46</v>
      </c>
      <c r="J4" t="s">
        <v>47</v>
      </c>
      <c r="K4" t="s">
        <v>48</v>
      </c>
      <c r="L4" t="s">
        <v>49</v>
      </c>
      <c r="M4">
        <v>8</v>
      </c>
      <c r="N4" t="s">
        <v>50</v>
      </c>
      <c r="O4">
        <v>2025</v>
      </c>
      <c r="P4">
        <v>482</v>
      </c>
      <c r="R4" t="s">
        <v>51</v>
      </c>
      <c r="S4" t="s">
        <v>2472</v>
      </c>
      <c r="T4" t="s">
        <v>52</v>
      </c>
      <c r="W4" t="s">
        <v>53</v>
      </c>
      <c r="X4">
        <v>12</v>
      </c>
      <c r="Y4" t="s">
        <v>54</v>
      </c>
      <c r="Z4">
        <v>99200</v>
      </c>
      <c r="AA4">
        <v>0</v>
      </c>
      <c r="AB4">
        <v>627750</v>
      </c>
      <c r="AC4">
        <v>0</v>
      </c>
      <c r="AD4">
        <v>726950</v>
      </c>
      <c r="AE4">
        <v>60579.166666666657</v>
      </c>
      <c r="AF4">
        <v>726950</v>
      </c>
      <c r="AG4">
        <v>101773</v>
      </c>
      <c r="AH4">
        <v>8481.0833333333339</v>
      </c>
      <c r="AI4">
        <v>101773</v>
      </c>
      <c r="AJ4">
        <v>726950</v>
      </c>
      <c r="AK4">
        <v>0</v>
      </c>
      <c r="AL4">
        <v>726950</v>
      </c>
      <c r="AM4">
        <v>726950</v>
      </c>
      <c r="AN4">
        <v>618450</v>
      </c>
      <c r="AO4" t="s">
        <v>55</v>
      </c>
      <c r="AP4" t="s">
        <v>56</v>
      </c>
      <c r="AQ4">
        <v>0.14000000000000001</v>
      </c>
    </row>
    <row r="5" spans="1:43" x14ac:dyDescent="0.25">
      <c r="A5" t="s">
        <v>42</v>
      </c>
      <c r="B5" t="s">
        <v>43</v>
      </c>
      <c r="C5" t="s">
        <v>44</v>
      </c>
      <c r="D5" t="s">
        <v>45</v>
      </c>
      <c r="E5">
        <v>14</v>
      </c>
      <c r="F5">
        <v>422</v>
      </c>
      <c r="G5">
        <v>3018</v>
      </c>
      <c r="H5">
        <v>4326</v>
      </c>
      <c r="I5" t="s">
        <v>57</v>
      </c>
      <c r="J5" t="s">
        <v>47</v>
      </c>
      <c r="K5" t="s">
        <v>58</v>
      </c>
      <c r="L5" t="s">
        <v>59</v>
      </c>
      <c r="M5">
        <v>12</v>
      </c>
      <c r="N5" t="s">
        <v>60</v>
      </c>
      <c r="O5">
        <v>2025</v>
      </c>
      <c r="P5">
        <v>490</v>
      </c>
      <c r="R5" t="s">
        <v>61</v>
      </c>
      <c r="S5" t="s">
        <v>2472</v>
      </c>
      <c r="T5" t="s">
        <v>62</v>
      </c>
      <c r="W5" t="s">
        <v>63</v>
      </c>
      <c r="X5">
        <v>12</v>
      </c>
      <c r="Y5" t="s">
        <v>54</v>
      </c>
      <c r="Z5">
        <v>6596</v>
      </c>
      <c r="AA5">
        <v>0</v>
      </c>
      <c r="AB5">
        <v>0</v>
      </c>
      <c r="AC5">
        <v>0</v>
      </c>
      <c r="AD5">
        <v>6596</v>
      </c>
      <c r="AE5">
        <v>549.66666666666663</v>
      </c>
      <c r="AF5">
        <v>6596</v>
      </c>
      <c r="AG5">
        <v>6596</v>
      </c>
      <c r="AH5">
        <v>549.66666666666663</v>
      </c>
      <c r="AI5">
        <v>6596</v>
      </c>
      <c r="AJ5">
        <v>6596</v>
      </c>
      <c r="AK5">
        <v>0</v>
      </c>
      <c r="AL5">
        <v>6596</v>
      </c>
      <c r="AM5">
        <v>6596</v>
      </c>
      <c r="AN5">
        <v>6596</v>
      </c>
      <c r="AO5" t="s">
        <v>55</v>
      </c>
      <c r="AP5" t="s">
        <v>64</v>
      </c>
      <c r="AQ5">
        <v>1</v>
      </c>
    </row>
    <row r="6" spans="1:43" x14ac:dyDescent="0.25">
      <c r="A6" t="s">
        <v>42</v>
      </c>
      <c r="B6" t="s">
        <v>43</v>
      </c>
      <c r="C6" t="s">
        <v>44</v>
      </c>
      <c r="D6" t="s">
        <v>45</v>
      </c>
      <c r="E6">
        <v>14</v>
      </c>
      <c r="F6">
        <v>422</v>
      </c>
      <c r="G6">
        <v>3013</v>
      </c>
      <c r="H6">
        <v>6178</v>
      </c>
      <c r="I6" t="s">
        <v>57</v>
      </c>
      <c r="J6" t="s">
        <v>1848</v>
      </c>
      <c r="K6" t="s">
        <v>65</v>
      </c>
      <c r="L6" t="s">
        <v>66</v>
      </c>
      <c r="M6">
        <v>6</v>
      </c>
      <c r="N6" t="s">
        <v>115</v>
      </c>
      <c r="O6">
        <v>2025</v>
      </c>
      <c r="P6">
        <v>19901</v>
      </c>
      <c r="R6" t="s">
        <v>1859</v>
      </c>
      <c r="S6" t="s">
        <v>2472</v>
      </c>
      <c r="T6" t="s">
        <v>1860</v>
      </c>
      <c r="X6">
        <v>12</v>
      </c>
      <c r="Y6" t="s">
        <v>54</v>
      </c>
      <c r="Z6">
        <v>3879.52</v>
      </c>
      <c r="AA6">
        <v>0</v>
      </c>
      <c r="AB6">
        <v>0</v>
      </c>
      <c r="AC6">
        <v>0</v>
      </c>
      <c r="AD6">
        <v>3879.52</v>
      </c>
      <c r="AE6">
        <v>323.29333333333341</v>
      </c>
      <c r="AF6">
        <v>3879.52</v>
      </c>
      <c r="AG6">
        <v>3879.52</v>
      </c>
      <c r="AH6">
        <v>323.29333333333341</v>
      </c>
      <c r="AI6">
        <v>3879.52</v>
      </c>
      <c r="AJ6">
        <v>3879.52</v>
      </c>
      <c r="AK6">
        <v>0</v>
      </c>
      <c r="AL6">
        <v>3879.52</v>
      </c>
      <c r="AM6">
        <v>0</v>
      </c>
      <c r="AN6">
        <v>0</v>
      </c>
      <c r="AO6" t="s">
        <v>55</v>
      </c>
      <c r="AP6" t="s">
        <v>1861</v>
      </c>
      <c r="AQ6">
        <v>1</v>
      </c>
    </row>
    <row r="7" spans="1:43" x14ac:dyDescent="0.25">
      <c r="A7" t="s">
        <v>42</v>
      </c>
      <c r="B7" t="s">
        <v>43</v>
      </c>
      <c r="C7" t="s">
        <v>44</v>
      </c>
      <c r="D7" t="s">
        <v>45</v>
      </c>
      <c r="E7">
        <v>14</v>
      </c>
      <c r="F7">
        <v>122</v>
      </c>
      <c r="G7">
        <v>3024</v>
      </c>
      <c r="H7">
        <v>2100</v>
      </c>
      <c r="I7" t="s">
        <v>57</v>
      </c>
      <c r="J7" t="s">
        <v>1848</v>
      </c>
      <c r="K7" t="s">
        <v>58</v>
      </c>
      <c r="L7" t="s">
        <v>59</v>
      </c>
      <c r="M7">
        <v>12</v>
      </c>
      <c r="N7" t="s">
        <v>60</v>
      </c>
      <c r="O7">
        <v>2025</v>
      </c>
      <c r="P7">
        <v>18883</v>
      </c>
      <c r="R7" t="s">
        <v>1856</v>
      </c>
      <c r="S7" t="s">
        <v>2472</v>
      </c>
      <c r="T7" t="s">
        <v>1857</v>
      </c>
      <c r="X7">
        <v>12</v>
      </c>
      <c r="Y7" t="s">
        <v>54</v>
      </c>
      <c r="Z7">
        <v>989.4</v>
      </c>
      <c r="AA7">
        <v>0</v>
      </c>
      <c r="AB7">
        <v>0</v>
      </c>
      <c r="AC7">
        <v>0</v>
      </c>
      <c r="AD7">
        <v>989.4</v>
      </c>
      <c r="AE7">
        <v>82.45</v>
      </c>
      <c r="AF7">
        <v>989.40000000000009</v>
      </c>
      <c r="AG7">
        <v>989.4</v>
      </c>
      <c r="AH7">
        <v>82.45</v>
      </c>
      <c r="AI7">
        <v>989.40000000000009</v>
      </c>
      <c r="AJ7">
        <v>989.4</v>
      </c>
      <c r="AK7">
        <v>0</v>
      </c>
      <c r="AL7">
        <v>989.4</v>
      </c>
      <c r="AM7">
        <v>0</v>
      </c>
      <c r="AN7">
        <v>0</v>
      </c>
      <c r="AO7" t="s">
        <v>55</v>
      </c>
      <c r="AP7" t="s">
        <v>1858</v>
      </c>
      <c r="AQ7">
        <v>1</v>
      </c>
    </row>
    <row r="8" spans="1:43" x14ac:dyDescent="0.25">
      <c r="A8" t="s">
        <v>42</v>
      </c>
      <c r="B8" t="s">
        <v>43</v>
      </c>
      <c r="C8" t="s">
        <v>44</v>
      </c>
      <c r="D8" t="s">
        <v>45</v>
      </c>
      <c r="E8">
        <v>14</v>
      </c>
      <c r="F8">
        <v>122</v>
      </c>
      <c r="G8">
        <v>3024</v>
      </c>
      <c r="H8">
        <v>2100</v>
      </c>
      <c r="I8" t="s">
        <v>57</v>
      </c>
      <c r="J8" t="s">
        <v>1841</v>
      </c>
      <c r="K8" t="s">
        <v>65</v>
      </c>
      <c r="L8" t="s">
        <v>66</v>
      </c>
      <c r="M8">
        <v>6</v>
      </c>
      <c r="N8" t="s">
        <v>115</v>
      </c>
      <c r="O8">
        <v>2025</v>
      </c>
      <c r="P8">
        <v>18222</v>
      </c>
      <c r="R8" t="s">
        <v>1845</v>
      </c>
      <c r="S8" t="s">
        <v>2472</v>
      </c>
      <c r="T8" s="12" t="s">
        <v>1846</v>
      </c>
      <c r="X8">
        <v>12</v>
      </c>
      <c r="Y8" t="s">
        <v>54</v>
      </c>
      <c r="Z8">
        <v>16900</v>
      </c>
      <c r="AA8">
        <v>0</v>
      </c>
      <c r="AB8">
        <v>0</v>
      </c>
      <c r="AC8">
        <v>0</v>
      </c>
      <c r="AD8">
        <v>16900</v>
      </c>
      <c r="AE8">
        <v>1408.333333333333</v>
      </c>
      <c r="AF8">
        <v>16900</v>
      </c>
      <c r="AG8">
        <v>16900</v>
      </c>
      <c r="AH8">
        <v>1408.333333333333</v>
      </c>
      <c r="AI8">
        <v>16900</v>
      </c>
      <c r="AJ8">
        <v>16900</v>
      </c>
      <c r="AK8">
        <v>0</v>
      </c>
      <c r="AL8">
        <v>16900</v>
      </c>
      <c r="AM8">
        <v>0</v>
      </c>
      <c r="AN8">
        <v>0</v>
      </c>
      <c r="AO8" t="s">
        <v>55</v>
      </c>
      <c r="AP8" t="s">
        <v>1847</v>
      </c>
      <c r="AQ8">
        <v>1</v>
      </c>
    </row>
    <row r="9" spans="1:43" x14ac:dyDescent="0.25">
      <c r="A9" t="s">
        <v>42</v>
      </c>
      <c r="B9" t="s">
        <v>43</v>
      </c>
      <c r="C9" t="s">
        <v>44</v>
      </c>
      <c r="D9" t="s">
        <v>45</v>
      </c>
      <c r="E9">
        <v>14</v>
      </c>
      <c r="F9">
        <v>422</v>
      </c>
      <c r="G9">
        <v>3018</v>
      </c>
      <c r="H9">
        <v>4318</v>
      </c>
      <c r="I9" t="s">
        <v>122</v>
      </c>
      <c r="J9" t="s">
        <v>1841</v>
      </c>
      <c r="K9" t="s">
        <v>355</v>
      </c>
      <c r="L9" t="s">
        <v>356</v>
      </c>
      <c r="M9">
        <v>8</v>
      </c>
      <c r="N9" t="s">
        <v>50</v>
      </c>
      <c r="O9">
        <v>2025</v>
      </c>
      <c r="P9">
        <v>17351</v>
      </c>
      <c r="R9" t="s">
        <v>1842</v>
      </c>
      <c r="S9" t="s">
        <v>2472</v>
      </c>
      <c r="T9" t="s">
        <v>1843</v>
      </c>
      <c r="X9">
        <v>12</v>
      </c>
      <c r="Y9" t="s">
        <v>54</v>
      </c>
      <c r="Z9">
        <v>80000</v>
      </c>
      <c r="AA9">
        <v>0</v>
      </c>
      <c r="AB9">
        <v>0</v>
      </c>
      <c r="AC9">
        <v>0</v>
      </c>
      <c r="AD9">
        <v>80000</v>
      </c>
      <c r="AE9">
        <v>6666.666666666667</v>
      </c>
      <c r="AF9">
        <v>80000</v>
      </c>
      <c r="AG9">
        <v>80000</v>
      </c>
      <c r="AH9">
        <v>6666.666666666667</v>
      </c>
      <c r="AI9">
        <v>80000</v>
      </c>
      <c r="AJ9">
        <v>80000</v>
      </c>
      <c r="AK9">
        <v>0</v>
      </c>
      <c r="AL9">
        <v>80000</v>
      </c>
      <c r="AM9">
        <v>0</v>
      </c>
      <c r="AN9">
        <v>0</v>
      </c>
      <c r="AO9" t="s">
        <v>55</v>
      </c>
      <c r="AP9" t="s">
        <v>1844</v>
      </c>
      <c r="AQ9">
        <v>1</v>
      </c>
    </row>
    <row r="10" spans="1:43" x14ac:dyDescent="0.25">
      <c r="A10" t="s">
        <v>42</v>
      </c>
      <c r="B10" t="s">
        <v>1322</v>
      </c>
      <c r="C10" t="s">
        <v>1323</v>
      </c>
      <c r="D10" t="s">
        <v>45</v>
      </c>
      <c r="E10">
        <v>14</v>
      </c>
      <c r="F10">
        <v>422</v>
      </c>
      <c r="G10">
        <v>3018</v>
      </c>
      <c r="H10">
        <v>4326</v>
      </c>
      <c r="I10" t="s">
        <v>57</v>
      </c>
      <c r="J10" t="s">
        <v>1814</v>
      </c>
      <c r="K10" t="s">
        <v>65</v>
      </c>
      <c r="L10" t="s">
        <v>66</v>
      </c>
      <c r="M10">
        <v>7</v>
      </c>
      <c r="N10" t="s">
        <v>391</v>
      </c>
      <c r="O10">
        <v>2025</v>
      </c>
      <c r="P10">
        <v>16935</v>
      </c>
      <c r="R10" t="s">
        <v>1838</v>
      </c>
      <c r="S10" t="s">
        <v>2472</v>
      </c>
      <c r="T10" s="12" t="s">
        <v>1839</v>
      </c>
      <c r="X10">
        <v>12</v>
      </c>
      <c r="Y10" t="s">
        <v>54</v>
      </c>
      <c r="Z10">
        <v>101415.84</v>
      </c>
      <c r="AA10">
        <v>0</v>
      </c>
      <c r="AB10">
        <v>0</v>
      </c>
      <c r="AC10">
        <v>0</v>
      </c>
      <c r="AD10">
        <v>101415.84</v>
      </c>
      <c r="AE10">
        <v>8451.32</v>
      </c>
      <c r="AF10">
        <v>101415.84</v>
      </c>
      <c r="AG10">
        <v>101415.84</v>
      </c>
      <c r="AH10">
        <v>8451.32</v>
      </c>
      <c r="AI10">
        <v>101415.84</v>
      </c>
      <c r="AJ10">
        <v>101415.84</v>
      </c>
      <c r="AK10">
        <v>0</v>
      </c>
      <c r="AL10">
        <v>101415.84</v>
      </c>
      <c r="AM10">
        <v>0</v>
      </c>
      <c r="AN10">
        <v>0</v>
      </c>
      <c r="AO10" t="s">
        <v>55</v>
      </c>
      <c r="AP10" t="s">
        <v>1840</v>
      </c>
      <c r="AQ10">
        <v>1</v>
      </c>
    </row>
    <row r="11" spans="1:43" x14ac:dyDescent="0.25">
      <c r="A11" t="s">
        <v>42</v>
      </c>
      <c r="B11" t="s">
        <v>43</v>
      </c>
      <c r="C11" t="s">
        <v>44</v>
      </c>
      <c r="D11" t="s">
        <v>45</v>
      </c>
      <c r="E11">
        <v>14</v>
      </c>
      <c r="F11">
        <v>122</v>
      </c>
      <c r="G11">
        <v>3024</v>
      </c>
      <c r="H11">
        <v>2100</v>
      </c>
      <c r="I11" t="s">
        <v>186</v>
      </c>
      <c r="J11" t="s">
        <v>1814</v>
      </c>
      <c r="K11" t="s">
        <v>247</v>
      </c>
      <c r="L11" t="s">
        <v>248</v>
      </c>
      <c r="M11">
        <v>6</v>
      </c>
      <c r="N11" t="s">
        <v>115</v>
      </c>
      <c r="O11">
        <v>2025</v>
      </c>
      <c r="P11">
        <v>16925</v>
      </c>
      <c r="R11" t="s">
        <v>1835</v>
      </c>
      <c r="S11" t="s">
        <v>2472</v>
      </c>
      <c r="T11" t="s">
        <v>1836</v>
      </c>
      <c r="X11">
        <v>12</v>
      </c>
      <c r="Y11" t="s">
        <v>54</v>
      </c>
      <c r="Z11">
        <v>3800</v>
      </c>
      <c r="AA11">
        <v>0</v>
      </c>
      <c r="AB11">
        <v>0</v>
      </c>
      <c r="AC11">
        <v>0</v>
      </c>
      <c r="AD11">
        <v>3800</v>
      </c>
      <c r="AE11">
        <v>316.66666666666669</v>
      </c>
      <c r="AF11">
        <v>3800</v>
      </c>
      <c r="AG11">
        <v>3800</v>
      </c>
      <c r="AH11">
        <v>316.66666666666669</v>
      </c>
      <c r="AI11">
        <v>3800</v>
      </c>
      <c r="AJ11">
        <v>3800</v>
      </c>
      <c r="AK11">
        <v>0</v>
      </c>
      <c r="AL11">
        <v>3800</v>
      </c>
      <c r="AM11">
        <v>0</v>
      </c>
      <c r="AN11">
        <v>0</v>
      </c>
      <c r="AO11" t="s">
        <v>55</v>
      </c>
      <c r="AP11" t="s">
        <v>1837</v>
      </c>
      <c r="AQ11">
        <v>1</v>
      </c>
    </row>
    <row r="12" spans="1:43" x14ac:dyDescent="0.25">
      <c r="A12" t="s">
        <v>42</v>
      </c>
      <c r="B12" t="s">
        <v>43</v>
      </c>
      <c r="C12" t="s">
        <v>44</v>
      </c>
      <c r="D12" t="s">
        <v>45</v>
      </c>
      <c r="E12">
        <v>14</v>
      </c>
      <c r="F12">
        <v>422</v>
      </c>
      <c r="G12">
        <v>3013</v>
      </c>
      <c r="H12">
        <v>2431</v>
      </c>
      <c r="I12" t="s">
        <v>57</v>
      </c>
      <c r="J12" t="s">
        <v>1814</v>
      </c>
      <c r="K12" t="s">
        <v>690</v>
      </c>
      <c r="L12" t="s">
        <v>691</v>
      </c>
      <c r="M12">
        <v>12</v>
      </c>
      <c r="N12" t="s">
        <v>60</v>
      </c>
      <c r="O12">
        <v>2025</v>
      </c>
      <c r="P12">
        <v>16921</v>
      </c>
      <c r="R12" t="s">
        <v>1832</v>
      </c>
      <c r="S12" t="s">
        <v>2472</v>
      </c>
      <c r="T12" t="s">
        <v>1833</v>
      </c>
      <c r="X12">
        <v>12</v>
      </c>
      <c r="Y12" t="s">
        <v>54</v>
      </c>
      <c r="Z12">
        <v>6751.5</v>
      </c>
      <c r="AA12">
        <v>0</v>
      </c>
      <c r="AB12">
        <v>0</v>
      </c>
      <c r="AC12">
        <v>0</v>
      </c>
      <c r="AD12">
        <v>6751.5</v>
      </c>
      <c r="AE12">
        <v>562.625</v>
      </c>
      <c r="AF12">
        <v>6751.5</v>
      </c>
      <c r="AG12">
        <v>6751.5</v>
      </c>
      <c r="AH12">
        <v>562.625</v>
      </c>
      <c r="AI12">
        <v>6751.5</v>
      </c>
      <c r="AJ12">
        <v>6751.5</v>
      </c>
      <c r="AK12">
        <v>0</v>
      </c>
      <c r="AL12">
        <v>6751.5</v>
      </c>
      <c r="AM12">
        <v>0</v>
      </c>
      <c r="AN12">
        <v>0</v>
      </c>
      <c r="AO12" t="s">
        <v>55</v>
      </c>
      <c r="AP12" t="s">
        <v>1834</v>
      </c>
      <c r="AQ12">
        <v>1</v>
      </c>
    </row>
    <row r="13" spans="1:43" x14ac:dyDescent="0.25">
      <c r="A13" t="s">
        <v>42</v>
      </c>
      <c r="B13" t="s">
        <v>1322</v>
      </c>
      <c r="C13" t="s">
        <v>1323</v>
      </c>
      <c r="D13" t="s">
        <v>45</v>
      </c>
      <c r="E13">
        <v>14</v>
      </c>
      <c r="F13">
        <v>422</v>
      </c>
      <c r="G13">
        <v>3018</v>
      </c>
      <c r="H13">
        <v>4326</v>
      </c>
      <c r="I13" t="s">
        <v>57</v>
      </c>
      <c r="J13" t="s">
        <v>1814</v>
      </c>
      <c r="K13" t="s">
        <v>65</v>
      </c>
      <c r="L13" t="s">
        <v>66</v>
      </c>
      <c r="M13">
        <v>7</v>
      </c>
      <c r="N13" t="s">
        <v>391</v>
      </c>
      <c r="O13">
        <v>2025</v>
      </c>
      <c r="P13">
        <v>16915</v>
      </c>
      <c r="R13" t="s">
        <v>1829</v>
      </c>
      <c r="S13" t="s">
        <v>2472</v>
      </c>
      <c r="T13" s="12" t="s">
        <v>1830</v>
      </c>
      <c r="X13">
        <v>12</v>
      </c>
      <c r="Y13" t="s">
        <v>54</v>
      </c>
      <c r="Z13">
        <v>9000</v>
      </c>
      <c r="AA13">
        <v>0</v>
      </c>
      <c r="AB13">
        <v>0</v>
      </c>
      <c r="AC13">
        <v>0</v>
      </c>
      <c r="AD13">
        <v>9000</v>
      </c>
      <c r="AE13">
        <v>750</v>
      </c>
      <c r="AF13">
        <v>9000</v>
      </c>
      <c r="AG13">
        <v>9000</v>
      </c>
      <c r="AH13">
        <v>750</v>
      </c>
      <c r="AI13">
        <v>9000</v>
      </c>
      <c r="AJ13">
        <v>9000</v>
      </c>
      <c r="AK13">
        <v>0</v>
      </c>
      <c r="AL13">
        <v>9000</v>
      </c>
      <c r="AM13">
        <v>0</v>
      </c>
      <c r="AN13">
        <v>0</v>
      </c>
      <c r="AO13" t="s">
        <v>55</v>
      </c>
      <c r="AP13" t="s">
        <v>1831</v>
      </c>
      <c r="AQ13">
        <v>1</v>
      </c>
    </row>
    <row r="14" spans="1:43" x14ac:dyDescent="0.25">
      <c r="A14" t="s">
        <v>42</v>
      </c>
      <c r="B14" t="s">
        <v>43</v>
      </c>
      <c r="C14" t="s">
        <v>44</v>
      </c>
      <c r="D14" t="s">
        <v>45</v>
      </c>
      <c r="E14">
        <v>14</v>
      </c>
      <c r="F14">
        <v>122</v>
      </c>
      <c r="G14">
        <v>3024</v>
      </c>
      <c r="H14">
        <v>2100</v>
      </c>
      <c r="I14" t="s">
        <v>186</v>
      </c>
      <c r="J14" t="s">
        <v>1814</v>
      </c>
      <c r="K14" t="s">
        <v>247</v>
      </c>
      <c r="L14" t="s">
        <v>248</v>
      </c>
      <c r="M14">
        <v>12</v>
      </c>
      <c r="N14" t="s">
        <v>60</v>
      </c>
      <c r="O14">
        <v>2025</v>
      </c>
      <c r="P14">
        <v>16882</v>
      </c>
      <c r="R14" t="s">
        <v>1822</v>
      </c>
      <c r="S14" t="s">
        <v>2472</v>
      </c>
      <c r="T14" t="s">
        <v>1823</v>
      </c>
      <c r="X14">
        <v>12</v>
      </c>
      <c r="Y14" t="s">
        <v>54</v>
      </c>
      <c r="Z14">
        <v>400.96</v>
      </c>
      <c r="AA14">
        <v>0</v>
      </c>
      <c r="AB14">
        <v>0</v>
      </c>
      <c r="AC14">
        <v>0</v>
      </c>
      <c r="AD14">
        <v>400.96</v>
      </c>
      <c r="AE14">
        <v>33.413333333333327</v>
      </c>
      <c r="AF14">
        <v>400.96</v>
      </c>
      <c r="AG14">
        <v>400.96</v>
      </c>
      <c r="AH14">
        <v>33.413333333333327</v>
      </c>
      <c r="AI14">
        <v>400.96</v>
      </c>
      <c r="AJ14">
        <v>400.96</v>
      </c>
      <c r="AK14">
        <v>0</v>
      </c>
      <c r="AL14">
        <v>400.96</v>
      </c>
      <c r="AM14">
        <v>0</v>
      </c>
      <c r="AN14">
        <v>0</v>
      </c>
      <c r="AO14" t="s">
        <v>55</v>
      </c>
      <c r="AP14" t="s">
        <v>1824</v>
      </c>
      <c r="AQ14">
        <v>1</v>
      </c>
    </row>
    <row r="15" spans="1:43" x14ac:dyDescent="0.25">
      <c r="A15" t="s">
        <v>42</v>
      </c>
      <c r="B15" t="s">
        <v>1322</v>
      </c>
      <c r="C15" t="s">
        <v>1323</v>
      </c>
      <c r="D15" t="s">
        <v>45</v>
      </c>
      <c r="E15">
        <v>14</v>
      </c>
      <c r="F15">
        <v>422</v>
      </c>
      <c r="G15">
        <v>3018</v>
      </c>
      <c r="H15">
        <v>4326</v>
      </c>
      <c r="I15" t="s">
        <v>57</v>
      </c>
      <c r="J15" t="s">
        <v>1814</v>
      </c>
      <c r="K15" t="s">
        <v>65</v>
      </c>
      <c r="L15" t="s">
        <v>66</v>
      </c>
      <c r="M15">
        <v>7</v>
      </c>
      <c r="N15" t="s">
        <v>391</v>
      </c>
      <c r="O15">
        <v>2025</v>
      </c>
      <c r="P15">
        <v>16869</v>
      </c>
      <c r="R15" t="s">
        <v>1815</v>
      </c>
      <c r="S15" t="s">
        <v>2472</v>
      </c>
      <c r="T15" s="12" t="s">
        <v>1816</v>
      </c>
      <c r="X15">
        <v>12</v>
      </c>
      <c r="Y15" t="s">
        <v>54</v>
      </c>
      <c r="Z15">
        <v>1000</v>
      </c>
      <c r="AA15">
        <v>0</v>
      </c>
      <c r="AB15">
        <v>0</v>
      </c>
      <c r="AC15">
        <v>0</v>
      </c>
      <c r="AD15">
        <v>1000</v>
      </c>
      <c r="AE15">
        <v>83.333333333333329</v>
      </c>
      <c r="AF15">
        <v>1000</v>
      </c>
      <c r="AG15">
        <v>1000</v>
      </c>
      <c r="AH15">
        <v>83.333333333333329</v>
      </c>
      <c r="AI15">
        <v>1000</v>
      </c>
      <c r="AJ15">
        <v>1000</v>
      </c>
      <c r="AK15">
        <v>0</v>
      </c>
      <c r="AL15">
        <v>1000</v>
      </c>
      <c r="AM15">
        <v>0</v>
      </c>
      <c r="AN15">
        <v>0</v>
      </c>
      <c r="AO15" t="s">
        <v>55</v>
      </c>
      <c r="AP15" t="s">
        <v>1817</v>
      </c>
      <c r="AQ15">
        <v>1</v>
      </c>
    </row>
    <row r="16" spans="1:43" x14ac:dyDescent="0.25">
      <c r="A16" t="s">
        <v>42</v>
      </c>
      <c r="B16" t="s">
        <v>1322</v>
      </c>
      <c r="C16" t="s">
        <v>1323</v>
      </c>
      <c r="D16" t="s">
        <v>45</v>
      </c>
      <c r="E16">
        <v>14</v>
      </c>
      <c r="F16">
        <v>422</v>
      </c>
      <c r="G16">
        <v>3018</v>
      </c>
      <c r="H16">
        <v>4326</v>
      </c>
      <c r="I16" t="s">
        <v>57</v>
      </c>
      <c r="J16" t="s">
        <v>1639</v>
      </c>
      <c r="K16" t="s">
        <v>65</v>
      </c>
      <c r="L16" t="s">
        <v>66</v>
      </c>
      <c r="M16">
        <v>7</v>
      </c>
      <c r="N16" t="s">
        <v>391</v>
      </c>
      <c r="O16">
        <v>2025</v>
      </c>
      <c r="P16">
        <v>16858</v>
      </c>
      <c r="R16" t="s">
        <v>1807</v>
      </c>
      <c r="S16" t="s">
        <v>2472</v>
      </c>
      <c r="T16" s="12" t="s">
        <v>1808</v>
      </c>
      <c r="X16">
        <v>12</v>
      </c>
      <c r="Y16" t="s">
        <v>54</v>
      </c>
      <c r="Z16">
        <v>1500</v>
      </c>
      <c r="AA16">
        <v>0</v>
      </c>
      <c r="AB16">
        <v>0</v>
      </c>
      <c r="AC16">
        <v>0</v>
      </c>
      <c r="AD16">
        <v>1500</v>
      </c>
      <c r="AE16">
        <v>125</v>
      </c>
      <c r="AF16">
        <v>1500</v>
      </c>
      <c r="AG16">
        <v>1500</v>
      </c>
      <c r="AH16">
        <v>125</v>
      </c>
      <c r="AI16">
        <v>1500</v>
      </c>
      <c r="AJ16">
        <v>1500</v>
      </c>
      <c r="AK16">
        <v>0</v>
      </c>
      <c r="AL16">
        <v>1500</v>
      </c>
      <c r="AM16">
        <v>0</v>
      </c>
      <c r="AN16">
        <v>0</v>
      </c>
      <c r="AO16" t="s">
        <v>55</v>
      </c>
      <c r="AP16" t="s">
        <v>1809</v>
      </c>
      <c r="AQ16">
        <v>1</v>
      </c>
    </row>
    <row r="17" spans="1:43" x14ac:dyDescent="0.25">
      <c r="A17" t="s">
        <v>42</v>
      </c>
      <c r="B17" t="s">
        <v>43</v>
      </c>
      <c r="C17" t="s">
        <v>44</v>
      </c>
      <c r="D17" t="s">
        <v>45</v>
      </c>
      <c r="E17">
        <v>14</v>
      </c>
      <c r="F17">
        <v>422</v>
      </c>
      <c r="G17">
        <v>3018</v>
      </c>
      <c r="H17">
        <v>2051</v>
      </c>
      <c r="I17" t="s">
        <v>57</v>
      </c>
      <c r="J17" t="s">
        <v>47</v>
      </c>
      <c r="K17" t="s">
        <v>58</v>
      </c>
      <c r="L17" t="s">
        <v>59</v>
      </c>
      <c r="M17">
        <v>12</v>
      </c>
      <c r="N17" t="s">
        <v>60</v>
      </c>
      <c r="O17">
        <v>2025</v>
      </c>
      <c r="P17">
        <v>946</v>
      </c>
      <c r="R17" t="s">
        <v>145</v>
      </c>
      <c r="S17" t="s">
        <v>2472</v>
      </c>
      <c r="T17" t="s">
        <v>146</v>
      </c>
      <c r="W17" t="s">
        <v>147</v>
      </c>
      <c r="X17">
        <v>12</v>
      </c>
      <c r="Y17" t="s">
        <v>54</v>
      </c>
      <c r="Z17">
        <v>3298</v>
      </c>
      <c r="AA17">
        <v>0</v>
      </c>
      <c r="AB17">
        <v>0</v>
      </c>
      <c r="AC17">
        <v>0</v>
      </c>
      <c r="AD17">
        <v>3298</v>
      </c>
      <c r="AE17">
        <v>274.83333333333331</v>
      </c>
      <c r="AF17">
        <v>3298</v>
      </c>
      <c r="AG17">
        <v>3298</v>
      </c>
      <c r="AH17">
        <v>274.83333333333331</v>
      </c>
      <c r="AI17">
        <v>3298</v>
      </c>
      <c r="AJ17">
        <v>3298</v>
      </c>
      <c r="AK17">
        <v>0</v>
      </c>
      <c r="AL17">
        <v>3298</v>
      </c>
      <c r="AM17">
        <v>3298</v>
      </c>
      <c r="AN17">
        <v>3298</v>
      </c>
      <c r="AO17" t="s">
        <v>55</v>
      </c>
      <c r="AP17" t="s">
        <v>148</v>
      </c>
      <c r="AQ17">
        <v>1</v>
      </c>
    </row>
    <row r="18" spans="1:43" x14ac:dyDescent="0.25">
      <c r="A18" t="s">
        <v>42</v>
      </c>
      <c r="B18" t="s">
        <v>1322</v>
      </c>
      <c r="C18" t="s">
        <v>1323</v>
      </c>
      <c r="D18" t="s">
        <v>45</v>
      </c>
      <c r="E18">
        <v>14</v>
      </c>
      <c r="F18">
        <v>422</v>
      </c>
      <c r="G18">
        <v>3018</v>
      </c>
      <c r="H18">
        <v>4326</v>
      </c>
      <c r="I18" t="s">
        <v>57</v>
      </c>
      <c r="J18" t="s">
        <v>1639</v>
      </c>
      <c r="K18" t="s">
        <v>65</v>
      </c>
      <c r="L18" t="s">
        <v>66</v>
      </c>
      <c r="M18">
        <v>7</v>
      </c>
      <c r="N18" t="s">
        <v>391</v>
      </c>
      <c r="O18">
        <v>2025</v>
      </c>
      <c r="P18">
        <v>16855</v>
      </c>
      <c r="R18" t="s">
        <v>1804</v>
      </c>
      <c r="S18" t="s">
        <v>2472</v>
      </c>
      <c r="T18" t="s">
        <v>1805</v>
      </c>
      <c r="X18">
        <v>12</v>
      </c>
      <c r="Y18" t="s">
        <v>54</v>
      </c>
      <c r="Z18">
        <v>1000</v>
      </c>
      <c r="AA18">
        <v>0</v>
      </c>
      <c r="AB18">
        <v>0</v>
      </c>
      <c r="AC18">
        <v>0</v>
      </c>
      <c r="AD18">
        <v>1000</v>
      </c>
      <c r="AE18">
        <v>83.333333333333329</v>
      </c>
      <c r="AF18">
        <v>1000</v>
      </c>
      <c r="AG18">
        <v>1000</v>
      </c>
      <c r="AH18">
        <v>83.333333333333329</v>
      </c>
      <c r="AI18">
        <v>1000</v>
      </c>
      <c r="AJ18">
        <v>1000</v>
      </c>
      <c r="AK18">
        <v>0</v>
      </c>
      <c r="AL18">
        <v>1000</v>
      </c>
      <c r="AM18">
        <v>0</v>
      </c>
      <c r="AN18">
        <v>0</v>
      </c>
      <c r="AO18" t="s">
        <v>55</v>
      </c>
      <c r="AP18" t="s">
        <v>1806</v>
      </c>
      <c r="AQ18">
        <v>1</v>
      </c>
    </row>
    <row r="19" spans="1:43" x14ac:dyDescent="0.25">
      <c r="A19" t="s">
        <v>42</v>
      </c>
      <c r="B19" t="s">
        <v>43</v>
      </c>
      <c r="C19" t="s">
        <v>44</v>
      </c>
      <c r="D19" t="s">
        <v>45</v>
      </c>
      <c r="E19">
        <v>14</v>
      </c>
      <c r="F19">
        <v>422</v>
      </c>
      <c r="G19">
        <v>3013</v>
      </c>
      <c r="H19">
        <v>2431</v>
      </c>
      <c r="I19" t="s">
        <v>57</v>
      </c>
      <c r="J19" t="s">
        <v>1639</v>
      </c>
      <c r="K19" t="s">
        <v>690</v>
      </c>
      <c r="L19" t="s">
        <v>691</v>
      </c>
      <c r="M19">
        <v>12</v>
      </c>
      <c r="N19" t="s">
        <v>60</v>
      </c>
      <c r="O19">
        <v>2025</v>
      </c>
      <c r="P19">
        <v>16852</v>
      </c>
      <c r="R19" t="s">
        <v>1797</v>
      </c>
      <c r="S19" t="s">
        <v>2472</v>
      </c>
      <c r="T19" t="s">
        <v>1798</v>
      </c>
      <c r="X19">
        <v>12</v>
      </c>
      <c r="Y19" t="s">
        <v>54</v>
      </c>
      <c r="Z19">
        <v>2512</v>
      </c>
      <c r="AA19">
        <v>0</v>
      </c>
      <c r="AB19">
        <v>0</v>
      </c>
      <c r="AC19">
        <v>0</v>
      </c>
      <c r="AD19">
        <v>2512</v>
      </c>
      <c r="AE19">
        <v>209.33333333333329</v>
      </c>
      <c r="AF19">
        <v>2512</v>
      </c>
      <c r="AG19">
        <v>2512</v>
      </c>
      <c r="AH19">
        <v>209.33333333333329</v>
      </c>
      <c r="AI19">
        <v>2512</v>
      </c>
      <c r="AJ19">
        <v>2512</v>
      </c>
      <c r="AK19">
        <v>0</v>
      </c>
      <c r="AL19">
        <v>2512</v>
      </c>
      <c r="AM19">
        <v>0</v>
      </c>
      <c r="AN19">
        <v>0</v>
      </c>
      <c r="AO19" t="s">
        <v>55</v>
      </c>
      <c r="AP19" t="s">
        <v>1799</v>
      </c>
      <c r="AQ19">
        <v>1</v>
      </c>
    </row>
    <row r="20" spans="1:43" x14ac:dyDescent="0.25">
      <c r="A20" t="s">
        <v>42</v>
      </c>
      <c r="B20" t="s">
        <v>1322</v>
      </c>
      <c r="C20" t="s">
        <v>1323</v>
      </c>
      <c r="D20" t="s">
        <v>45</v>
      </c>
      <c r="E20">
        <v>14</v>
      </c>
      <c r="F20">
        <v>422</v>
      </c>
      <c r="G20">
        <v>3018</v>
      </c>
      <c r="H20">
        <v>4326</v>
      </c>
      <c r="I20" t="s">
        <v>57</v>
      </c>
      <c r="J20" t="s">
        <v>1639</v>
      </c>
      <c r="K20" t="s">
        <v>65</v>
      </c>
      <c r="L20" t="s">
        <v>66</v>
      </c>
      <c r="M20">
        <v>7</v>
      </c>
      <c r="N20" t="s">
        <v>391</v>
      </c>
      <c r="O20">
        <v>2025</v>
      </c>
      <c r="P20">
        <v>16851</v>
      </c>
      <c r="R20" t="s">
        <v>1790</v>
      </c>
      <c r="S20" t="s">
        <v>2472</v>
      </c>
      <c r="T20" t="s">
        <v>1791</v>
      </c>
      <c r="X20">
        <v>12</v>
      </c>
      <c r="Y20" t="s">
        <v>54</v>
      </c>
      <c r="Z20">
        <v>800</v>
      </c>
      <c r="AA20">
        <v>0</v>
      </c>
      <c r="AB20">
        <v>0</v>
      </c>
      <c r="AC20">
        <v>0</v>
      </c>
      <c r="AD20">
        <v>800</v>
      </c>
      <c r="AE20">
        <v>66.666666666666671</v>
      </c>
      <c r="AF20">
        <v>800</v>
      </c>
      <c r="AG20">
        <v>800</v>
      </c>
      <c r="AH20">
        <v>66.666666666666671</v>
      </c>
      <c r="AI20">
        <v>800</v>
      </c>
      <c r="AJ20">
        <v>800</v>
      </c>
      <c r="AK20">
        <v>0</v>
      </c>
      <c r="AL20">
        <v>800</v>
      </c>
      <c r="AM20">
        <v>0</v>
      </c>
      <c r="AN20">
        <v>0</v>
      </c>
      <c r="AO20" t="s">
        <v>55</v>
      </c>
      <c r="AP20" t="s">
        <v>1792</v>
      </c>
      <c r="AQ20">
        <v>1</v>
      </c>
    </row>
    <row r="21" spans="1:43" x14ac:dyDescent="0.25">
      <c r="A21" t="s">
        <v>42</v>
      </c>
      <c r="B21" t="s">
        <v>1322</v>
      </c>
      <c r="C21" t="s">
        <v>1323</v>
      </c>
      <c r="D21" t="s">
        <v>45</v>
      </c>
      <c r="E21">
        <v>14</v>
      </c>
      <c r="F21">
        <v>422</v>
      </c>
      <c r="G21">
        <v>3018</v>
      </c>
      <c r="H21">
        <v>4326</v>
      </c>
      <c r="I21" t="s">
        <v>57</v>
      </c>
      <c r="J21" t="s">
        <v>1639</v>
      </c>
      <c r="K21" t="s">
        <v>65</v>
      </c>
      <c r="L21" t="s">
        <v>66</v>
      </c>
      <c r="M21">
        <v>7</v>
      </c>
      <c r="N21" t="s">
        <v>391</v>
      </c>
      <c r="O21">
        <v>2025</v>
      </c>
      <c r="P21">
        <v>16850</v>
      </c>
      <c r="R21" t="s">
        <v>1787</v>
      </c>
      <c r="S21" t="s">
        <v>2472</v>
      </c>
      <c r="T21" s="12" t="s">
        <v>1788</v>
      </c>
      <c r="X21">
        <v>12</v>
      </c>
      <c r="Y21" t="s">
        <v>54</v>
      </c>
      <c r="Z21">
        <v>5000</v>
      </c>
      <c r="AA21">
        <v>0</v>
      </c>
      <c r="AB21">
        <v>0</v>
      </c>
      <c r="AC21">
        <v>0</v>
      </c>
      <c r="AD21">
        <v>5000</v>
      </c>
      <c r="AE21">
        <v>416.66666666666669</v>
      </c>
      <c r="AF21">
        <v>5000</v>
      </c>
      <c r="AG21">
        <v>5000</v>
      </c>
      <c r="AH21">
        <v>416.66666666666669</v>
      </c>
      <c r="AI21">
        <v>5000</v>
      </c>
      <c r="AJ21">
        <v>5000</v>
      </c>
      <c r="AK21">
        <v>0</v>
      </c>
      <c r="AL21">
        <v>5000</v>
      </c>
      <c r="AM21">
        <v>0</v>
      </c>
      <c r="AN21">
        <v>0</v>
      </c>
      <c r="AO21" t="s">
        <v>55</v>
      </c>
      <c r="AP21" t="s">
        <v>1789</v>
      </c>
      <c r="AQ21">
        <v>1</v>
      </c>
    </row>
    <row r="22" spans="1:43" x14ac:dyDescent="0.25">
      <c r="A22" t="s">
        <v>42</v>
      </c>
      <c r="B22" t="s">
        <v>1322</v>
      </c>
      <c r="C22" t="s">
        <v>1323</v>
      </c>
      <c r="D22" t="s">
        <v>45</v>
      </c>
      <c r="E22">
        <v>14</v>
      </c>
      <c r="F22">
        <v>422</v>
      </c>
      <c r="G22">
        <v>3018</v>
      </c>
      <c r="H22">
        <v>4326</v>
      </c>
      <c r="I22" t="s">
        <v>57</v>
      </c>
      <c r="J22" t="s">
        <v>1639</v>
      </c>
      <c r="K22" t="s">
        <v>65</v>
      </c>
      <c r="L22" t="s">
        <v>66</v>
      </c>
      <c r="M22">
        <v>7</v>
      </c>
      <c r="N22" t="s">
        <v>391</v>
      </c>
      <c r="O22">
        <v>2025</v>
      </c>
      <c r="P22">
        <v>16840</v>
      </c>
      <c r="R22" t="s">
        <v>1776</v>
      </c>
      <c r="S22" t="s">
        <v>2472</v>
      </c>
      <c r="T22" t="s">
        <v>1777</v>
      </c>
      <c r="X22">
        <v>12</v>
      </c>
      <c r="Y22" t="s">
        <v>54</v>
      </c>
      <c r="Z22">
        <v>14200</v>
      </c>
      <c r="AA22">
        <v>0</v>
      </c>
      <c r="AB22">
        <v>0</v>
      </c>
      <c r="AC22">
        <v>0</v>
      </c>
      <c r="AD22">
        <v>14200</v>
      </c>
      <c r="AE22">
        <v>1183.333333333333</v>
      </c>
      <c r="AF22">
        <v>14200</v>
      </c>
      <c r="AG22">
        <v>14200</v>
      </c>
      <c r="AH22">
        <v>1183.333333333333</v>
      </c>
      <c r="AI22">
        <v>14200</v>
      </c>
      <c r="AJ22">
        <v>14200</v>
      </c>
      <c r="AK22">
        <v>0</v>
      </c>
      <c r="AL22">
        <v>14200</v>
      </c>
      <c r="AM22">
        <v>0</v>
      </c>
      <c r="AN22">
        <v>0</v>
      </c>
      <c r="AO22" t="s">
        <v>55</v>
      </c>
      <c r="AP22" t="s">
        <v>1778</v>
      </c>
      <c r="AQ22">
        <v>1</v>
      </c>
    </row>
    <row r="23" spans="1:43" x14ac:dyDescent="0.25">
      <c r="A23" t="s">
        <v>42</v>
      </c>
      <c r="B23" t="s">
        <v>1322</v>
      </c>
      <c r="C23" t="s">
        <v>1323</v>
      </c>
      <c r="D23" t="s">
        <v>45</v>
      </c>
      <c r="E23">
        <v>14</v>
      </c>
      <c r="F23">
        <v>422</v>
      </c>
      <c r="G23">
        <v>3018</v>
      </c>
      <c r="H23">
        <v>4326</v>
      </c>
      <c r="I23" t="s">
        <v>57</v>
      </c>
      <c r="J23" t="s">
        <v>1639</v>
      </c>
      <c r="K23" t="s">
        <v>65</v>
      </c>
      <c r="L23" t="s">
        <v>66</v>
      </c>
      <c r="M23">
        <v>7</v>
      </c>
      <c r="N23" t="s">
        <v>391</v>
      </c>
      <c r="O23">
        <v>2025</v>
      </c>
      <c r="P23">
        <v>16806</v>
      </c>
      <c r="R23" t="s">
        <v>1761</v>
      </c>
      <c r="S23" t="s">
        <v>2472</v>
      </c>
      <c r="T23" t="s">
        <v>1762</v>
      </c>
      <c r="X23">
        <v>12</v>
      </c>
      <c r="Y23" t="s">
        <v>54</v>
      </c>
      <c r="Z23">
        <v>14200</v>
      </c>
      <c r="AA23">
        <v>0</v>
      </c>
      <c r="AB23">
        <v>0</v>
      </c>
      <c r="AC23">
        <v>0</v>
      </c>
      <c r="AD23">
        <v>14200</v>
      </c>
      <c r="AE23">
        <v>1183.333333333333</v>
      </c>
      <c r="AF23">
        <v>14200</v>
      </c>
      <c r="AG23">
        <v>14200</v>
      </c>
      <c r="AH23">
        <v>1183.333333333333</v>
      </c>
      <c r="AI23">
        <v>14200</v>
      </c>
      <c r="AJ23">
        <v>14200</v>
      </c>
      <c r="AK23">
        <v>0</v>
      </c>
      <c r="AL23">
        <v>14200</v>
      </c>
      <c r="AM23">
        <v>0</v>
      </c>
      <c r="AN23">
        <v>0</v>
      </c>
      <c r="AO23" t="s">
        <v>55</v>
      </c>
      <c r="AP23" t="s">
        <v>1763</v>
      </c>
      <c r="AQ23">
        <v>1</v>
      </c>
    </row>
    <row r="24" spans="1:43" x14ac:dyDescent="0.25">
      <c r="A24" t="s">
        <v>42</v>
      </c>
      <c r="B24" t="s">
        <v>43</v>
      </c>
      <c r="C24" t="s">
        <v>44</v>
      </c>
      <c r="D24" t="s">
        <v>45</v>
      </c>
      <c r="E24">
        <v>14</v>
      </c>
      <c r="F24">
        <v>422</v>
      </c>
      <c r="G24">
        <v>3018</v>
      </c>
      <c r="H24">
        <v>4326</v>
      </c>
      <c r="I24" t="s">
        <v>57</v>
      </c>
      <c r="J24" t="s">
        <v>47</v>
      </c>
      <c r="K24" t="s">
        <v>58</v>
      </c>
      <c r="L24" t="s">
        <v>59</v>
      </c>
      <c r="M24">
        <v>12</v>
      </c>
      <c r="N24" t="s">
        <v>60</v>
      </c>
      <c r="O24">
        <v>2025</v>
      </c>
      <c r="P24">
        <v>1021</v>
      </c>
      <c r="R24" t="s">
        <v>183</v>
      </c>
      <c r="S24" t="s">
        <v>2472</v>
      </c>
      <c r="T24" t="s">
        <v>184</v>
      </c>
      <c r="W24" t="s">
        <v>147</v>
      </c>
      <c r="X24">
        <v>12</v>
      </c>
      <c r="Y24" t="s">
        <v>54</v>
      </c>
      <c r="Z24">
        <v>9002</v>
      </c>
      <c r="AA24">
        <v>0</v>
      </c>
      <c r="AB24">
        <v>0</v>
      </c>
      <c r="AC24">
        <v>0</v>
      </c>
      <c r="AD24">
        <v>9002</v>
      </c>
      <c r="AE24">
        <v>750.16666666666663</v>
      </c>
      <c r="AF24">
        <v>9002</v>
      </c>
      <c r="AG24">
        <v>9002</v>
      </c>
      <c r="AH24">
        <v>750.16666666666663</v>
      </c>
      <c r="AI24">
        <v>9002</v>
      </c>
      <c r="AJ24">
        <v>9002</v>
      </c>
      <c r="AK24">
        <v>0</v>
      </c>
      <c r="AL24">
        <v>9002</v>
      </c>
      <c r="AM24">
        <v>9002</v>
      </c>
      <c r="AN24">
        <v>9002</v>
      </c>
      <c r="AO24" t="s">
        <v>55</v>
      </c>
      <c r="AP24" t="s">
        <v>185</v>
      </c>
      <c r="AQ24">
        <v>1</v>
      </c>
    </row>
    <row r="25" spans="1:43" x14ac:dyDescent="0.25">
      <c r="A25" t="s">
        <v>42</v>
      </c>
      <c r="B25" t="s">
        <v>1322</v>
      </c>
      <c r="C25" t="s">
        <v>1323</v>
      </c>
      <c r="D25" t="s">
        <v>45</v>
      </c>
      <c r="E25">
        <v>14</v>
      </c>
      <c r="F25">
        <v>422</v>
      </c>
      <c r="G25">
        <v>3018</v>
      </c>
      <c r="H25">
        <v>4326</v>
      </c>
      <c r="I25" t="s">
        <v>57</v>
      </c>
      <c r="J25" t="s">
        <v>1639</v>
      </c>
      <c r="K25" t="s">
        <v>65</v>
      </c>
      <c r="L25" t="s">
        <v>66</v>
      </c>
      <c r="M25">
        <v>7</v>
      </c>
      <c r="N25" t="s">
        <v>391</v>
      </c>
      <c r="O25">
        <v>2025</v>
      </c>
      <c r="P25">
        <v>16802</v>
      </c>
      <c r="R25" t="s">
        <v>1758</v>
      </c>
      <c r="S25" t="s">
        <v>2472</v>
      </c>
      <c r="T25" t="s">
        <v>1759</v>
      </c>
      <c r="X25">
        <v>12</v>
      </c>
      <c r="Y25" t="s">
        <v>54</v>
      </c>
      <c r="Z25">
        <v>2000</v>
      </c>
      <c r="AA25">
        <v>0</v>
      </c>
      <c r="AB25">
        <v>0</v>
      </c>
      <c r="AC25">
        <v>0</v>
      </c>
      <c r="AD25">
        <v>2000</v>
      </c>
      <c r="AE25">
        <v>166.66666666666671</v>
      </c>
      <c r="AF25">
        <v>2000</v>
      </c>
      <c r="AG25">
        <v>2000</v>
      </c>
      <c r="AH25">
        <v>166.66666666666671</v>
      </c>
      <c r="AI25">
        <v>2000</v>
      </c>
      <c r="AJ25">
        <v>2000</v>
      </c>
      <c r="AK25">
        <v>0</v>
      </c>
      <c r="AL25">
        <v>2000</v>
      </c>
      <c r="AM25">
        <v>0</v>
      </c>
      <c r="AN25">
        <v>0</v>
      </c>
      <c r="AO25" t="s">
        <v>55</v>
      </c>
      <c r="AP25" t="s">
        <v>1760</v>
      </c>
      <c r="AQ25">
        <v>1</v>
      </c>
    </row>
    <row r="26" spans="1:43" x14ac:dyDescent="0.25">
      <c r="A26" t="s">
        <v>42</v>
      </c>
      <c r="B26" t="s">
        <v>1322</v>
      </c>
      <c r="C26" t="s">
        <v>1323</v>
      </c>
      <c r="D26" t="s">
        <v>45</v>
      </c>
      <c r="E26">
        <v>14</v>
      </c>
      <c r="F26">
        <v>422</v>
      </c>
      <c r="G26">
        <v>3018</v>
      </c>
      <c r="H26">
        <v>4326</v>
      </c>
      <c r="I26" t="s">
        <v>57</v>
      </c>
      <c r="J26" t="s">
        <v>1639</v>
      </c>
      <c r="K26" t="s">
        <v>65</v>
      </c>
      <c r="L26" t="s">
        <v>66</v>
      </c>
      <c r="M26">
        <v>7</v>
      </c>
      <c r="N26" t="s">
        <v>391</v>
      </c>
      <c r="O26">
        <v>2025</v>
      </c>
      <c r="P26">
        <v>16794</v>
      </c>
      <c r="R26" t="s">
        <v>1755</v>
      </c>
      <c r="S26" t="s">
        <v>2472</v>
      </c>
      <c r="T26" t="s">
        <v>1756</v>
      </c>
      <c r="X26">
        <v>12</v>
      </c>
      <c r="Y26" t="s">
        <v>54</v>
      </c>
      <c r="Z26">
        <v>4000</v>
      </c>
      <c r="AA26">
        <v>0</v>
      </c>
      <c r="AB26">
        <v>0</v>
      </c>
      <c r="AC26">
        <v>0</v>
      </c>
      <c r="AD26">
        <v>4000</v>
      </c>
      <c r="AE26">
        <v>333.33333333333331</v>
      </c>
      <c r="AF26">
        <v>4000</v>
      </c>
      <c r="AG26">
        <v>4000</v>
      </c>
      <c r="AH26">
        <v>333.33333333333331</v>
      </c>
      <c r="AI26">
        <v>4000</v>
      </c>
      <c r="AJ26">
        <v>4000</v>
      </c>
      <c r="AK26">
        <v>0</v>
      </c>
      <c r="AL26">
        <v>4000</v>
      </c>
      <c r="AM26">
        <v>0</v>
      </c>
      <c r="AN26">
        <v>0</v>
      </c>
      <c r="AO26" t="s">
        <v>55</v>
      </c>
      <c r="AP26" t="s">
        <v>1757</v>
      </c>
      <c r="AQ26">
        <v>1</v>
      </c>
    </row>
    <row r="27" spans="1:43" x14ac:dyDescent="0.25">
      <c r="A27" t="s">
        <v>42</v>
      </c>
      <c r="B27" t="s">
        <v>1322</v>
      </c>
      <c r="C27" t="s">
        <v>1323</v>
      </c>
      <c r="D27" t="s">
        <v>45</v>
      </c>
      <c r="E27">
        <v>14</v>
      </c>
      <c r="F27">
        <v>422</v>
      </c>
      <c r="G27">
        <v>3018</v>
      </c>
      <c r="H27">
        <v>4326</v>
      </c>
      <c r="I27" t="s">
        <v>57</v>
      </c>
      <c r="J27" t="s">
        <v>1639</v>
      </c>
      <c r="K27" t="s">
        <v>65</v>
      </c>
      <c r="L27" t="s">
        <v>66</v>
      </c>
      <c r="M27">
        <v>7</v>
      </c>
      <c r="N27" t="s">
        <v>391</v>
      </c>
      <c r="O27">
        <v>2025</v>
      </c>
      <c r="P27">
        <v>16775</v>
      </c>
      <c r="R27" t="s">
        <v>1748</v>
      </c>
      <c r="S27" t="s">
        <v>2472</v>
      </c>
      <c r="T27" s="12" t="s">
        <v>1749</v>
      </c>
      <c r="X27">
        <v>12</v>
      </c>
      <c r="Y27" t="s">
        <v>54</v>
      </c>
      <c r="Z27">
        <v>3000</v>
      </c>
      <c r="AA27">
        <v>0</v>
      </c>
      <c r="AB27">
        <v>0</v>
      </c>
      <c r="AC27">
        <v>0</v>
      </c>
      <c r="AD27">
        <v>3000</v>
      </c>
      <c r="AE27">
        <v>250</v>
      </c>
      <c r="AF27">
        <v>3000</v>
      </c>
      <c r="AG27">
        <v>3000</v>
      </c>
      <c r="AH27">
        <v>250</v>
      </c>
      <c r="AI27">
        <v>3000</v>
      </c>
      <c r="AJ27">
        <v>3000</v>
      </c>
      <c r="AK27">
        <v>0</v>
      </c>
      <c r="AL27">
        <v>3000</v>
      </c>
      <c r="AM27">
        <v>0</v>
      </c>
      <c r="AN27">
        <v>0</v>
      </c>
      <c r="AO27" t="s">
        <v>55</v>
      </c>
      <c r="AP27" t="s">
        <v>1750</v>
      </c>
      <c r="AQ27">
        <v>1</v>
      </c>
    </row>
    <row r="28" spans="1:43" x14ac:dyDescent="0.25">
      <c r="A28" t="s">
        <v>42</v>
      </c>
      <c r="B28" t="s">
        <v>43</v>
      </c>
      <c r="C28" t="s">
        <v>44</v>
      </c>
      <c r="D28" t="s">
        <v>45</v>
      </c>
      <c r="E28">
        <v>14</v>
      </c>
      <c r="F28">
        <v>422</v>
      </c>
      <c r="G28">
        <v>3013</v>
      </c>
      <c r="H28">
        <v>2431</v>
      </c>
      <c r="I28" t="s">
        <v>57</v>
      </c>
      <c r="J28" t="s">
        <v>47</v>
      </c>
      <c r="K28" t="s">
        <v>208</v>
      </c>
      <c r="L28" t="s">
        <v>209</v>
      </c>
      <c r="M28">
        <v>6</v>
      </c>
      <c r="N28" t="s">
        <v>115</v>
      </c>
      <c r="O28">
        <v>2025</v>
      </c>
      <c r="P28">
        <v>188</v>
      </c>
      <c r="R28" t="s">
        <v>210</v>
      </c>
      <c r="S28" t="s">
        <v>2471</v>
      </c>
      <c r="T28" t="s">
        <v>211</v>
      </c>
      <c r="W28" t="s">
        <v>212</v>
      </c>
      <c r="X28">
        <v>12</v>
      </c>
      <c r="Y28" t="s">
        <v>54</v>
      </c>
      <c r="Z28">
        <v>540000</v>
      </c>
      <c r="AA28">
        <v>0</v>
      </c>
      <c r="AB28">
        <v>30000</v>
      </c>
      <c r="AC28">
        <v>0</v>
      </c>
      <c r="AD28">
        <v>570000</v>
      </c>
      <c r="AE28">
        <v>47500</v>
      </c>
      <c r="AF28">
        <v>570000</v>
      </c>
      <c r="AG28">
        <v>307800</v>
      </c>
      <c r="AH28">
        <v>25650</v>
      </c>
      <c r="AI28">
        <v>307800</v>
      </c>
      <c r="AJ28">
        <v>892500</v>
      </c>
      <c r="AK28">
        <v>341714.89</v>
      </c>
      <c r="AL28">
        <v>550785.11</v>
      </c>
      <c r="AM28">
        <v>151164.49</v>
      </c>
      <c r="AN28">
        <v>150784.07999999999</v>
      </c>
      <c r="AO28" t="s">
        <v>55</v>
      </c>
      <c r="AP28" t="s">
        <v>213</v>
      </c>
      <c r="AQ28">
        <v>0.54</v>
      </c>
    </row>
    <row r="29" spans="1:43" x14ac:dyDescent="0.25">
      <c r="A29" t="s">
        <v>42</v>
      </c>
      <c r="B29" t="s">
        <v>43</v>
      </c>
      <c r="C29" t="s">
        <v>44</v>
      </c>
      <c r="D29" t="s">
        <v>45</v>
      </c>
      <c r="E29">
        <v>14</v>
      </c>
      <c r="F29">
        <v>422</v>
      </c>
      <c r="G29">
        <v>3013</v>
      </c>
      <c r="H29">
        <v>2431</v>
      </c>
      <c r="I29" t="s">
        <v>57</v>
      </c>
      <c r="J29" t="s">
        <v>47</v>
      </c>
      <c r="K29" t="s">
        <v>208</v>
      </c>
      <c r="L29" t="s">
        <v>209</v>
      </c>
      <c r="M29">
        <v>6</v>
      </c>
      <c r="N29" t="s">
        <v>115</v>
      </c>
      <c r="O29">
        <v>2025</v>
      </c>
      <c r="P29">
        <v>1097</v>
      </c>
      <c r="R29" t="s">
        <v>210</v>
      </c>
      <c r="S29" t="s">
        <v>2471</v>
      </c>
      <c r="T29" t="s">
        <v>214</v>
      </c>
      <c r="X29">
        <v>12</v>
      </c>
      <c r="Y29" t="s">
        <v>54</v>
      </c>
      <c r="Z29">
        <v>540000</v>
      </c>
      <c r="AA29">
        <v>0</v>
      </c>
      <c r="AB29">
        <v>0</v>
      </c>
      <c r="AC29">
        <v>0</v>
      </c>
      <c r="AD29">
        <v>540000</v>
      </c>
      <c r="AE29">
        <v>45000</v>
      </c>
      <c r="AF29">
        <v>540000</v>
      </c>
      <c r="AG29">
        <v>291600</v>
      </c>
      <c r="AH29">
        <v>24300</v>
      </c>
      <c r="AI29">
        <v>291600</v>
      </c>
      <c r="AJ29">
        <v>30000</v>
      </c>
      <c r="AK29">
        <v>30000</v>
      </c>
      <c r="AL29">
        <v>0</v>
      </c>
      <c r="AM29">
        <v>0</v>
      </c>
      <c r="AN29">
        <v>0</v>
      </c>
      <c r="AO29" t="s">
        <v>55</v>
      </c>
      <c r="AP29" t="s">
        <v>213</v>
      </c>
      <c r="AQ29">
        <v>0.54</v>
      </c>
    </row>
    <row r="30" spans="1:43" x14ac:dyDescent="0.25">
      <c r="A30" t="s">
        <v>42</v>
      </c>
      <c r="B30" t="s">
        <v>43</v>
      </c>
      <c r="C30" t="s">
        <v>44</v>
      </c>
      <c r="D30" t="s">
        <v>45</v>
      </c>
      <c r="E30">
        <v>14</v>
      </c>
      <c r="F30">
        <v>243</v>
      </c>
      <c r="G30">
        <v>3013</v>
      </c>
      <c r="H30">
        <v>2157</v>
      </c>
      <c r="I30" t="s">
        <v>57</v>
      </c>
      <c r="J30" t="s">
        <v>215</v>
      </c>
      <c r="K30" t="s">
        <v>208</v>
      </c>
      <c r="L30" t="s">
        <v>209</v>
      </c>
      <c r="M30">
        <v>6</v>
      </c>
      <c r="N30" t="s">
        <v>115</v>
      </c>
      <c r="O30">
        <v>2025</v>
      </c>
      <c r="P30">
        <v>191</v>
      </c>
      <c r="R30" t="s">
        <v>216</v>
      </c>
      <c r="S30" t="s">
        <v>2471</v>
      </c>
      <c r="T30" t="s">
        <v>211</v>
      </c>
      <c r="W30" t="s">
        <v>53</v>
      </c>
      <c r="X30">
        <v>12</v>
      </c>
      <c r="Y30" t="s">
        <v>54</v>
      </c>
      <c r="Z30">
        <v>210000</v>
      </c>
      <c r="AA30">
        <v>0</v>
      </c>
      <c r="AB30">
        <v>0</v>
      </c>
      <c r="AC30">
        <v>0</v>
      </c>
      <c r="AD30">
        <v>210000</v>
      </c>
      <c r="AE30">
        <v>17500</v>
      </c>
      <c r="AF30">
        <v>210000</v>
      </c>
      <c r="AG30">
        <v>210000</v>
      </c>
      <c r="AH30">
        <v>17500</v>
      </c>
      <c r="AI30">
        <v>210000</v>
      </c>
      <c r="AJ30">
        <v>210000</v>
      </c>
      <c r="AK30">
        <v>0</v>
      </c>
      <c r="AL30">
        <v>210000</v>
      </c>
      <c r="AM30">
        <v>69722.59</v>
      </c>
      <c r="AN30">
        <v>69544.960000000006</v>
      </c>
      <c r="AO30" t="s">
        <v>55</v>
      </c>
      <c r="AP30" t="s">
        <v>217</v>
      </c>
      <c r="AQ30">
        <v>1</v>
      </c>
    </row>
    <row r="31" spans="1:43" x14ac:dyDescent="0.25">
      <c r="A31" t="s">
        <v>42</v>
      </c>
      <c r="B31" t="s">
        <v>1322</v>
      </c>
      <c r="C31" t="s">
        <v>1323</v>
      </c>
      <c r="D31" t="s">
        <v>45</v>
      </c>
      <c r="E31">
        <v>14</v>
      </c>
      <c r="F31">
        <v>422</v>
      </c>
      <c r="G31">
        <v>3018</v>
      </c>
      <c r="H31">
        <v>4326</v>
      </c>
      <c r="I31" t="s">
        <v>57</v>
      </c>
      <c r="J31" t="s">
        <v>1639</v>
      </c>
      <c r="K31" t="s">
        <v>65</v>
      </c>
      <c r="L31" t="s">
        <v>66</v>
      </c>
      <c r="M31">
        <v>7</v>
      </c>
      <c r="N31" t="s">
        <v>391</v>
      </c>
      <c r="O31">
        <v>2025</v>
      </c>
      <c r="P31">
        <v>16774</v>
      </c>
      <c r="R31" t="s">
        <v>1745</v>
      </c>
      <c r="S31" t="s">
        <v>2472</v>
      </c>
      <c r="T31" s="12" t="s">
        <v>1746</v>
      </c>
      <c r="X31">
        <v>12</v>
      </c>
      <c r="Y31" t="s">
        <v>54</v>
      </c>
      <c r="Z31">
        <v>1500</v>
      </c>
      <c r="AA31">
        <v>0</v>
      </c>
      <c r="AB31">
        <v>0</v>
      </c>
      <c r="AC31">
        <v>0</v>
      </c>
      <c r="AD31">
        <v>1500</v>
      </c>
      <c r="AE31">
        <v>125</v>
      </c>
      <c r="AF31">
        <v>1500</v>
      </c>
      <c r="AG31">
        <v>1500</v>
      </c>
      <c r="AH31">
        <v>125</v>
      </c>
      <c r="AI31">
        <v>1500</v>
      </c>
      <c r="AJ31">
        <v>1500</v>
      </c>
      <c r="AK31">
        <v>0</v>
      </c>
      <c r="AL31">
        <v>1500</v>
      </c>
      <c r="AM31">
        <v>0</v>
      </c>
      <c r="AN31">
        <v>0</v>
      </c>
      <c r="AO31" t="s">
        <v>55</v>
      </c>
      <c r="AP31" t="s">
        <v>1747</v>
      </c>
      <c r="AQ31">
        <v>1</v>
      </c>
    </row>
    <row r="32" spans="1:43" x14ac:dyDescent="0.25">
      <c r="A32" t="s">
        <v>42</v>
      </c>
      <c r="B32" t="s">
        <v>1322</v>
      </c>
      <c r="C32" t="s">
        <v>1323</v>
      </c>
      <c r="D32" t="s">
        <v>45</v>
      </c>
      <c r="E32">
        <v>14</v>
      </c>
      <c r="F32">
        <v>422</v>
      </c>
      <c r="G32">
        <v>3018</v>
      </c>
      <c r="H32">
        <v>4326</v>
      </c>
      <c r="I32" t="s">
        <v>57</v>
      </c>
      <c r="J32" t="s">
        <v>1639</v>
      </c>
      <c r="K32" t="s">
        <v>65</v>
      </c>
      <c r="L32" t="s">
        <v>66</v>
      </c>
      <c r="M32">
        <v>7</v>
      </c>
      <c r="N32" t="s">
        <v>391</v>
      </c>
      <c r="O32">
        <v>2025</v>
      </c>
      <c r="P32">
        <v>16777</v>
      </c>
      <c r="R32" t="s">
        <v>1742</v>
      </c>
      <c r="S32" t="s">
        <v>2472</v>
      </c>
      <c r="T32" t="s">
        <v>1743</v>
      </c>
      <c r="X32">
        <v>12</v>
      </c>
      <c r="Y32" t="s">
        <v>54</v>
      </c>
      <c r="Z32">
        <v>10000</v>
      </c>
      <c r="AA32">
        <v>0</v>
      </c>
      <c r="AB32">
        <v>0</v>
      </c>
      <c r="AC32">
        <v>0</v>
      </c>
      <c r="AD32">
        <v>10000</v>
      </c>
      <c r="AE32">
        <v>833.33333333333337</v>
      </c>
      <c r="AF32">
        <v>10000</v>
      </c>
      <c r="AG32">
        <v>10000</v>
      </c>
      <c r="AH32">
        <v>833.33333333333337</v>
      </c>
      <c r="AI32">
        <v>10000</v>
      </c>
      <c r="AJ32">
        <v>10000</v>
      </c>
      <c r="AK32">
        <v>0</v>
      </c>
      <c r="AL32">
        <v>10000</v>
      </c>
      <c r="AM32">
        <v>0</v>
      </c>
      <c r="AN32">
        <v>0</v>
      </c>
      <c r="AO32" t="s">
        <v>55</v>
      </c>
      <c r="AP32" t="s">
        <v>1744</v>
      </c>
      <c r="AQ32">
        <v>1</v>
      </c>
    </row>
    <row r="33" spans="1:43" x14ac:dyDescent="0.25">
      <c r="A33" t="s">
        <v>42</v>
      </c>
      <c r="B33" t="s">
        <v>43</v>
      </c>
      <c r="C33" t="s">
        <v>44</v>
      </c>
      <c r="D33" t="s">
        <v>45</v>
      </c>
      <c r="E33">
        <v>14</v>
      </c>
      <c r="F33">
        <v>422</v>
      </c>
      <c r="G33">
        <v>3013</v>
      </c>
      <c r="H33">
        <v>2431</v>
      </c>
      <c r="I33" t="s">
        <v>57</v>
      </c>
      <c r="J33" t="s">
        <v>215</v>
      </c>
      <c r="K33" t="s">
        <v>208</v>
      </c>
      <c r="L33" t="s">
        <v>209</v>
      </c>
      <c r="M33">
        <v>6</v>
      </c>
      <c r="N33" t="s">
        <v>115</v>
      </c>
      <c r="O33">
        <v>2025</v>
      </c>
      <c r="P33">
        <v>185</v>
      </c>
      <c r="R33" t="s">
        <v>231</v>
      </c>
      <c r="S33" t="s">
        <v>2471</v>
      </c>
      <c r="T33" t="s">
        <v>232</v>
      </c>
      <c r="W33" t="s">
        <v>53</v>
      </c>
      <c r="X33">
        <v>12</v>
      </c>
      <c r="Y33" t="s">
        <v>54</v>
      </c>
      <c r="Z33">
        <v>570000</v>
      </c>
      <c r="AA33">
        <v>0</v>
      </c>
      <c r="AB33">
        <v>80000</v>
      </c>
      <c r="AC33">
        <v>0</v>
      </c>
      <c r="AD33">
        <v>650000</v>
      </c>
      <c r="AE33">
        <v>54166.666666666657</v>
      </c>
      <c r="AF33">
        <v>650000</v>
      </c>
      <c r="AG33">
        <v>305500</v>
      </c>
      <c r="AH33">
        <v>25458.333333333328</v>
      </c>
      <c r="AI33">
        <v>305500</v>
      </c>
      <c r="AJ33">
        <v>650000</v>
      </c>
      <c r="AK33">
        <v>12331.43</v>
      </c>
      <c r="AL33">
        <v>637668.56999999995</v>
      </c>
      <c r="AM33">
        <v>167823.7</v>
      </c>
      <c r="AN33">
        <v>126921.19</v>
      </c>
      <c r="AO33" t="s">
        <v>55</v>
      </c>
      <c r="AP33" t="s">
        <v>233</v>
      </c>
      <c r="AQ33">
        <v>0.47</v>
      </c>
    </row>
    <row r="34" spans="1:43" x14ac:dyDescent="0.25">
      <c r="A34" t="s">
        <v>42</v>
      </c>
      <c r="B34" t="s">
        <v>1322</v>
      </c>
      <c r="C34" t="s">
        <v>1323</v>
      </c>
      <c r="D34" t="s">
        <v>45</v>
      </c>
      <c r="E34">
        <v>14</v>
      </c>
      <c r="F34">
        <v>422</v>
      </c>
      <c r="G34">
        <v>3018</v>
      </c>
      <c r="H34">
        <v>4326</v>
      </c>
      <c r="I34" t="s">
        <v>57</v>
      </c>
      <c r="J34" t="s">
        <v>1639</v>
      </c>
      <c r="K34" t="s">
        <v>65</v>
      </c>
      <c r="L34" t="s">
        <v>66</v>
      </c>
      <c r="M34">
        <v>7</v>
      </c>
      <c r="N34" t="s">
        <v>391</v>
      </c>
      <c r="O34">
        <v>2025</v>
      </c>
      <c r="P34">
        <v>16771</v>
      </c>
      <c r="R34" t="s">
        <v>1731</v>
      </c>
      <c r="S34" t="s">
        <v>2472</v>
      </c>
      <c r="T34" t="s">
        <v>1732</v>
      </c>
      <c r="X34">
        <v>12</v>
      </c>
      <c r="Y34" t="s">
        <v>54</v>
      </c>
      <c r="Z34">
        <v>8000</v>
      </c>
      <c r="AA34">
        <v>0</v>
      </c>
      <c r="AB34">
        <v>0</v>
      </c>
      <c r="AC34">
        <v>0</v>
      </c>
      <c r="AD34">
        <v>8000</v>
      </c>
      <c r="AE34">
        <v>666.66666666666663</v>
      </c>
      <c r="AF34">
        <v>8000</v>
      </c>
      <c r="AG34">
        <v>8000</v>
      </c>
      <c r="AH34">
        <v>666.66666666666663</v>
      </c>
      <c r="AI34">
        <v>8000</v>
      </c>
      <c r="AJ34">
        <v>8000</v>
      </c>
      <c r="AK34">
        <v>0</v>
      </c>
      <c r="AL34">
        <v>8000</v>
      </c>
      <c r="AM34">
        <v>0</v>
      </c>
      <c r="AN34">
        <v>0</v>
      </c>
      <c r="AO34" t="s">
        <v>55</v>
      </c>
      <c r="AP34" t="s">
        <v>1733</v>
      </c>
      <c r="AQ34">
        <v>1</v>
      </c>
    </row>
    <row r="35" spans="1:43" x14ac:dyDescent="0.25">
      <c r="A35" t="s">
        <v>42</v>
      </c>
      <c r="B35" t="s">
        <v>1322</v>
      </c>
      <c r="C35" t="s">
        <v>1323</v>
      </c>
      <c r="D35" t="s">
        <v>45</v>
      </c>
      <c r="E35">
        <v>14</v>
      </c>
      <c r="F35">
        <v>422</v>
      </c>
      <c r="G35">
        <v>3018</v>
      </c>
      <c r="H35">
        <v>4326</v>
      </c>
      <c r="I35" t="s">
        <v>57</v>
      </c>
      <c r="J35" t="s">
        <v>1639</v>
      </c>
      <c r="K35" t="s">
        <v>65</v>
      </c>
      <c r="L35" t="s">
        <v>66</v>
      </c>
      <c r="M35">
        <v>7</v>
      </c>
      <c r="N35" t="s">
        <v>391</v>
      </c>
      <c r="O35">
        <v>2025</v>
      </c>
      <c r="P35">
        <v>16768</v>
      </c>
      <c r="R35" t="s">
        <v>1720</v>
      </c>
      <c r="S35" t="s">
        <v>2472</v>
      </c>
      <c r="T35" t="s">
        <v>1721</v>
      </c>
      <c r="X35">
        <v>12</v>
      </c>
      <c r="Y35" t="s">
        <v>54</v>
      </c>
      <c r="Z35">
        <v>800</v>
      </c>
      <c r="AA35">
        <v>0</v>
      </c>
      <c r="AB35">
        <v>0</v>
      </c>
      <c r="AC35">
        <v>0</v>
      </c>
      <c r="AD35">
        <v>800</v>
      </c>
      <c r="AE35">
        <v>66.666666666666671</v>
      </c>
      <c r="AF35">
        <v>800</v>
      </c>
      <c r="AG35">
        <v>800</v>
      </c>
      <c r="AH35">
        <v>66.666666666666671</v>
      </c>
      <c r="AI35">
        <v>800</v>
      </c>
      <c r="AJ35">
        <v>800</v>
      </c>
      <c r="AK35">
        <v>0</v>
      </c>
      <c r="AL35">
        <v>800</v>
      </c>
      <c r="AM35">
        <v>0</v>
      </c>
      <c r="AN35">
        <v>0</v>
      </c>
      <c r="AO35" t="s">
        <v>55</v>
      </c>
      <c r="AP35" t="s">
        <v>1722</v>
      </c>
      <c r="AQ35">
        <v>1</v>
      </c>
    </row>
    <row r="36" spans="1:43" x14ac:dyDescent="0.25">
      <c r="A36" t="s">
        <v>42</v>
      </c>
      <c r="B36" t="s">
        <v>43</v>
      </c>
      <c r="C36" t="s">
        <v>44</v>
      </c>
      <c r="D36" t="s">
        <v>45</v>
      </c>
      <c r="E36">
        <v>14</v>
      </c>
      <c r="F36">
        <v>122</v>
      </c>
      <c r="G36">
        <v>3024</v>
      </c>
      <c r="H36">
        <v>2100</v>
      </c>
      <c r="I36" t="s">
        <v>246</v>
      </c>
      <c r="J36" t="s">
        <v>215</v>
      </c>
      <c r="K36" t="s">
        <v>247</v>
      </c>
      <c r="L36" t="s">
        <v>248</v>
      </c>
      <c r="M36">
        <v>6</v>
      </c>
      <c r="N36" t="s">
        <v>115</v>
      </c>
      <c r="O36">
        <v>2025</v>
      </c>
      <c r="P36">
        <v>1370</v>
      </c>
      <c r="R36" t="s">
        <v>249</v>
      </c>
      <c r="S36" t="s">
        <v>2472</v>
      </c>
      <c r="T36" t="s">
        <v>250</v>
      </c>
      <c r="W36" t="s">
        <v>251</v>
      </c>
      <c r="X36">
        <v>12</v>
      </c>
      <c r="Y36" t="s">
        <v>54</v>
      </c>
      <c r="Z36">
        <v>1407</v>
      </c>
      <c r="AA36">
        <v>0</v>
      </c>
      <c r="AB36">
        <v>0</v>
      </c>
      <c r="AC36">
        <v>0</v>
      </c>
      <c r="AD36">
        <v>1407</v>
      </c>
      <c r="AE36">
        <v>117.25</v>
      </c>
      <c r="AF36">
        <v>1407</v>
      </c>
      <c r="AG36">
        <v>1407</v>
      </c>
      <c r="AH36">
        <v>117.25</v>
      </c>
      <c r="AI36">
        <v>1407</v>
      </c>
      <c r="AJ36">
        <v>1407</v>
      </c>
      <c r="AK36">
        <v>0</v>
      </c>
      <c r="AL36">
        <v>1407</v>
      </c>
      <c r="AM36">
        <v>1407</v>
      </c>
      <c r="AN36">
        <v>1407</v>
      </c>
      <c r="AO36" t="s">
        <v>55</v>
      </c>
      <c r="AP36" t="s">
        <v>252</v>
      </c>
      <c r="AQ36">
        <v>1</v>
      </c>
    </row>
    <row r="37" spans="1:43" x14ac:dyDescent="0.25">
      <c r="A37" t="s">
        <v>42</v>
      </c>
      <c r="B37" t="s">
        <v>43</v>
      </c>
      <c r="C37" t="s">
        <v>44</v>
      </c>
      <c r="D37" t="s">
        <v>45</v>
      </c>
      <c r="E37">
        <v>14</v>
      </c>
      <c r="F37">
        <v>243</v>
      </c>
      <c r="G37">
        <v>3013</v>
      </c>
      <c r="H37">
        <v>2157</v>
      </c>
      <c r="I37" t="s">
        <v>57</v>
      </c>
      <c r="J37" t="s">
        <v>215</v>
      </c>
      <c r="K37" t="s">
        <v>208</v>
      </c>
      <c r="L37" t="s">
        <v>209</v>
      </c>
      <c r="M37">
        <v>6</v>
      </c>
      <c r="N37" t="s">
        <v>115</v>
      </c>
      <c r="O37">
        <v>2025</v>
      </c>
      <c r="P37">
        <v>1399</v>
      </c>
      <c r="R37" t="s">
        <v>253</v>
      </c>
      <c r="S37" t="s">
        <v>2471</v>
      </c>
      <c r="T37" t="s">
        <v>254</v>
      </c>
      <c r="W37" t="s">
        <v>53</v>
      </c>
      <c r="X37">
        <v>12</v>
      </c>
      <c r="Y37" t="s">
        <v>54</v>
      </c>
      <c r="Z37">
        <v>200000</v>
      </c>
      <c r="AA37">
        <v>0</v>
      </c>
      <c r="AB37">
        <v>0</v>
      </c>
      <c r="AC37">
        <v>0</v>
      </c>
      <c r="AD37">
        <v>200000</v>
      </c>
      <c r="AE37">
        <v>16666.666666666672</v>
      </c>
      <c r="AF37">
        <v>200000</v>
      </c>
      <c r="AG37">
        <v>200000</v>
      </c>
      <c r="AH37">
        <v>16666.666666666672</v>
      </c>
      <c r="AI37">
        <v>200000</v>
      </c>
      <c r="AJ37">
        <v>200000</v>
      </c>
      <c r="AK37">
        <v>0</v>
      </c>
      <c r="AL37">
        <v>200000</v>
      </c>
      <c r="AM37">
        <v>64697.89</v>
      </c>
      <c r="AN37">
        <v>51727.81</v>
      </c>
      <c r="AO37" t="s">
        <v>55</v>
      </c>
      <c r="AP37" t="s">
        <v>255</v>
      </c>
      <c r="AQ37">
        <v>1</v>
      </c>
    </row>
    <row r="38" spans="1:43" x14ac:dyDescent="0.25">
      <c r="A38" t="s">
        <v>42</v>
      </c>
      <c r="B38" t="s">
        <v>1322</v>
      </c>
      <c r="C38" t="s">
        <v>1323</v>
      </c>
      <c r="D38" t="s">
        <v>45</v>
      </c>
      <c r="E38">
        <v>14</v>
      </c>
      <c r="F38">
        <v>422</v>
      </c>
      <c r="G38">
        <v>3018</v>
      </c>
      <c r="H38">
        <v>4326</v>
      </c>
      <c r="I38" t="s">
        <v>57</v>
      </c>
      <c r="J38" t="s">
        <v>1639</v>
      </c>
      <c r="K38" t="s">
        <v>65</v>
      </c>
      <c r="L38" t="s">
        <v>66</v>
      </c>
      <c r="M38">
        <v>7</v>
      </c>
      <c r="N38" t="s">
        <v>391</v>
      </c>
      <c r="O38">
        <v>2025</v>
      </c>
      <c r="P38">
        <v>16765</v>
      </c>
      <c r="R38" t="s">
        <v>1717</v>
      </c>
      <c r="S38" t="s">
        <v>2472</v>
      </c>
      <c r="T38" t="s">
        <v>1718</v>
      </c>
      <c r="X38">
        <v>12</v>
      </c>
      <c r="Y38" t="s">
        <v>54</v>
      </c>
      <c r="Z38">
        <v>1000</v>
      </c>
      <c r="AA38">
        <v>0</v>
      </c>
      <c r="AB38">
        <v>0</v>
      </c>
      <c r="AC38">
        <v>0</v>
      </c>
      <c r="AD38">
        <v>1000</v>
      </c>
      <c r="AE38">
        <v>83.333333333333329</v>
      </c>
      <c r="AF38">
        <v>1000</v>
      </c>
      <c r="AG38">
        <v>1000</v>
      </c>
      <c r="AH38">
        <v>83.333333333333329</v>
      </c>
      <c r="AI38">
        <v>1000</v>
      </c>
      <c r="AJ38">
        <v>1000</v>
      </c>
      <c r="AK38">
        <v>0</v>
      </c>
      <c r="AL38">
        <v>1000</v>
      </c>
      <c r="AM38">
        <v>0</v>
      </c>
      <c r="AN38">
        <v>0</v>
      </c>
      <c r="AO38" t="s">
        <v>55</v>
      </c>
      <c r="AP38" t="s">
        <v>1719</v>
      </c>
      <c r="AQ38">
        <v>1</v>
      </c>
    </row>
    <row r="39" spans="1:43" x14ac:dyDescent="0.25">
      <c r="A39" t="s">
        <v>42</v>
      </c>
      <c r="B39" t="s">
        <v>1322</v>
      </c>
      <c r="C39" t="s">
        <v>1323</v>
      </c>
      <c r="D39" t="s">
        <v>45</v>
      </c>
      <c r="E39">
        <v>14</v>
      </c>
      <c r="F39">
        <v>422</v>
      </c>
      <c r="G39">
        <v>3018</v>
      </c>
      <c r="H39">
        <v>4326</v>
      </c>
      <c r="I39" t="s">
        <v>57</v>
      </c>
      <c r="J39" t="s">
        <v>1639</v>
      </c>
      <c r="K39" t="s">
        <v>65</v>
      </c>
      <c r="L39" t="s">
        <v>66</v>
      </c>
      <c r="M39">
        <v>7</v>
      </c>
      <c r="N39" t="s">
        <v>391</v>
      </c>
      <c r="O39">
        <v>2025</v>
      </c>
      <c r="P39">
        <v>16763</v>
      </c>
      <c r="R39" t="s">
        <v>1709</v>
      </c>
      <c r="S39" t="s">
        <v>2472</v>
      </c>
      <c r="T39" s="12" t="s">
        <v>1710</v>
      </c>
      <c r="X39">
        <v>12</v>
      </c>
      <c r="Y39" t="s">
        <v>54</v>
      </c>
      <c r="Z39">
        <v>1000</v>
      </c>
      <c r="AA39">
        <v>0</v>
      </c>
      <c r="AB39">
        <v>0</v>
      </c>
      <c r="AC39">
        <v>0</v>
      </c>
      <c r="AD39">
        <v>1000</v>
      </c>
      <c r="AE39">
        <v>83.333333333333329</v>
      </c>
      <c r="AF39">
        <v>1000</v>
      </c>
      <c r="AG39">
        <v>1000</v>
      </c>
      <c r="AH39">
        <v>83.333333333333329</v>
      </c>
      <c r="AI39">
        <v>1000</v>
      </c>
      <c r="AJ39">
        <v>1000</v>
      </c>
      <c r="AK39">
        <v>0</v>
      </c>
      <c r="AL39">
        <v>1000</v>
      </c>
      <c r="AM39">
        <v>0</v>
      </c>
      <c r="AN39">
        <v>0</v>
      </c>
      <c r="AO39" t="s">
        <v>55</v>
      </c>
      <c r="AP39" t="s">
        <v>1711</v>
      </c>
      <c r="AQ39">
        <v>1</v>
      </c>
    </row>
    <row r="40" spans="1:43" x14ac:dyDescent="0.25">
      <c r="A40" t="s">
        <v>42</v>
      </c>
      <c r="B40" t="s">
        <v>1322</v>
      </c>
      <c r="C40" t="s">
        <v>1323</v>
      </c>
      <c r="D40" t="s">
        <v>45</v>
      </c>
      <c r="E40">
        <v>14</v>
      </c>
      <c r="F40">
        <v>422</v>
      </c>
      <c r="G40">
        <v>3018</v>
      </c>
      <c r="H40">
        <v>4326</v>
      </c>
      <c r="I40" t="s">
        <v>57</v>
      </c>
      <c r="J40" t="s">
        <v>1639</v>
      </c>
      <c r="K40" t="s">
        <v>65</v>
      </c>
      <c r="L40" t="s">
        <v>66</v>
      </c>
      <c r="M40">
        <v>7</v>
      </c>
      <c r="N40" t="s">
        <v>391</v>
      </c>
      <c r="O40">
        <v>2025</v>
      </c>
      <c r="P40">
        <v>16755</v>
      </c>
      <c r="R40" t="s">
        <v>1706</v>
      </c>
      <c r="S40" t="s">
        <v>2472</v>
      </c>
      <c r="T40" t="s">
        <v>1707</v>
      </c>
      <c r="X40">
        <v>12</v>
      </c>
      <c r="Y40" t="s">
        <v>54</v>
      </c>
      <c r="Z40">
        <v>10000</v>
      </c>
      <c r="AA40">
        <v>0</v>
      </c>
      <c r="AB40">
        <v>0</v>
      </c>
      <c r="AC40">
        <v>0</v>
      </c>
      <c r="AD40">
        <v>10000</v>
      </c>
      <c r="AE40">
        <v>833.33333333333337</v>
      </c>
      <c r="AF40">
        <v>10000</v>
      </c>
      <c r="AG40">
        <v>10000</v>
      </c>
      <c r="AH40">
        <v>833.33333333333337</v>
      </c>
      <c r="AI40">
        <v>10000</v>
      </c>
      <c r="AJ40">
        <v>10000</v>
      </c>
      <c r="AK40">
        <v>0</v>
      </c>
      <c r="AL40">
        <v>10000</v>
      </c>
      <c r="AM40">
        <v>0</v>
      </c>
      <c r="AN40">
        <v>0</v>
      </c>
      <c r="AO40" t="s">
        <v>55</v>
      </c>
      <c r="AP40" t="s">
        <v>1708</v>
      </c>
      <c r="AQ40">
        <v>1</v>
      </c>
    </row>
    <row r="41" spans="1:43" x14ac:dyDescent="0.25">
      <c r="A41" t="s">
        <v>42</v>
      </c>
      <c r="B41" t="s">
        <v>1322</v>
      </c>
      <c r="C41" t="s">
        <v>1323</v>
      </c>
      <c r="D41" t="s">
        <v>45</v>
      </c>
      <c r="E41">
        <v>14</v>
      </c>
      <c r="F41">
        <v>422</v>
      </c>
      <c r="G41">
        <v>3018</v>
      </c>
      <c r="H41">
        <v>4326</v>
      </c>
      <c r="I41" t="s">
        <v>57</v>
      </c>
      <c r="J41" t="s">
        <v>1639</v>
      </c>
      <c r="K41" t="s">
        <v>65</v>
      </c>
      <c r="L41" t="s">
        <v>66</v>
      </c>
      <c r="M41">
        <v>7</v>
      </c>
      <c r="N41" t="s">
        <v>391</v>
      </c>
      <c r="O41">
        <v>2025</v>
      </c>
      <c r="P41">
        <v>16754</v>
      </c>
      <c r="R41" t="s">
        <v>1703</v>
      </c>
      <c r="S41" t="s">
        <v>2472</v>
      </c>
      <c r="T41" t="s">
        <v>1704</v>
      </c>
      <c r="X41">
        <v>12</v>
      </c>
      <c r="Y41" t="s">
        <v>54</v>
      </c>
      <c r="Z41">
        <v>1000</v>
      </c>
      <c r="AA41">
        <v>0</v>
      </c>
      <c r="AB41">
        <v>0</v>
      </c>
      <c r="AC41">
        <v>0</v>
      </c>
      <c r="AD41">
        <v>1000</v>
      </c>
      <c r="AE41">
        <v>83.333333333333329</v>
      </c>
      <c r="AF41">
        <v>1000</v>
      </c>
      <c r="AG41">
        <v>1000</v>
      </c>
      <c r="AH41">
        <v>83.333333333333329</v>
      </c>
      <c r="AI41">
        <v>1000</v>
      </c>
      <c r="AJ41">
        <v>1000</v>
      </c>
      <c r="AK41">
        <v>0</v>
      </c>
      <c r="AL41">
        <v>1000</v>
      </c>
      <c r="AM41">
        <v>0</v>
      </c>
      <c r="AN41">
        <v>0</v>
      </c>
      <c r="AO41" t="s">
        <v>55</v>
      </c>
      <c r="AP41" t="s">
        <v>1705</v>
      </c>
      <c r="AQ41">
        <v>1</v>
      </c>
    </row>
    <row r="42" spans="1:43" x14ac:dyDescent="0.25">
      <c r="A42" t="s">
        <v>42</v>
      </c>
      <c r="B42" t="s">
        <v>1322</v>
      </c>
      <c r="C42" t="s">
        <v>1323</v>
      </c>
      <c r="D42" t="s">
        <v>45</v>
      </c>
      <c r="E42">
        <v>14</v>
      </c>
      <c r="F42">
        <v>422</v>
      </c>
      <c r="G42">
        <v>3018</v>
      </c>
      <c r="H42">
        <v>4326</v>
      </c>
      <c r="I42" t="s">
        <v>57</v>
      </c>
      <c r="J42" t="s">
        <v>1639</v>
      </c>
      <c r="K42" t="s">
        <v>65</v>
      </c>
      <c r="L42" t="s">
        <v>66</v>
      </c>
      <c r="M42">
        <v>7</v>
      </c>
      <c r="N42" t="s">
        <v>391</v>
      </c>
      <c r="O42">
        <v>2025</v>
      </c>
      <c r="P42">
        <v>16752</v>
      </c>
      <c r="R42" t="s">
        <v>1696</v>
      </c>
      <c r="S42" t="s">
        <v>2472</v>
      </c>
      <c r="T42" s="12" t="s">
        <v>1697</v>
      </c>
      <c r="X42">
        <v>12</v>
      </c>
      <c r="Y42" t="s">
        <v>54</v>
      </c>
      <c r="Z42">
        <v>3000</v>
      </c>
      <c r="AA42">
        <v>0</v>
      </c>
      <c r="AB42">
        <v>0</v>
      </c>
      <c r="AC42">
        <v>0</v>
      </c>
      <c r="AD42">
        <v>3000</v>
      </c>
      <c r="AE42">
        <v>250</v>
      </c>
      <c r="AF42">
        <v>3000</v>
      </c>
      <c r="AG42">
        <v>3000</v>
      </c>
      <c r="AH42">
        <v>250</v>
      </c>
      <c r="AI42">
        <v>3000</v>
      </c>
      <c r="AJ42">
        <v>3000</v>
      </c>
      <c r="AK42">
        <v>0</v>
      </c>
      <c r="AL42">
        <v>3000</v>
      </c>
      <c r="AM42">
        <v>0</v>
      </c>
      <c r="AN42">
        <v>0</v>
      </c>
      <c r="AO42" t="s">
        <v>55</v>
      </c>
      <c r="AP42" t="s">
        <v>1698</v>
      </c>
      <c r="AQ42">
        <v>1</v>
      </c>
    </row>
    <row r="43" spans="1:43" x14ac:dyDescent="0.25">
      <c r="A43" t="s">
        <v>42</v>
      </c>
      <c r="B43" t="s">
        <v>1322</v>
      </c>
      <c r="C43" t="s">
        <v>1323</v>
      </c>
      <c r="D43" t="s">
        <v>45</v>
      </c>
      <c r="E43">
        <v>14</v>
      </c>
      <c r="F43">
        <v>422</v>
      </c>
      <c r="G43">
        <v>3018</v>
      </c>
      <c r="H43">
        <v>4326</v>
      </c>
      <c r="I43" t="s">
        <v>57</v>
      </c>
      <c r="J43" t="s">
        <v>1639</v>
      </c>
      <c r="K43" t="s">
        <v>65</v>
      </c>
      <c r="L43" t="s">
        <v>66</v>
      </c>
      <c r="M43">
        <v>7</v>
      </c>
      <c r="N43" t="s">
        <v>391</v>
      </c>
      <c r="O43">
        <v>2025</v>
      </c>
      <c r="P43">
        <v>16741</v>
      </c>
      <c r="R43" t="s">
        <v>1685</v>
      </c>
      <c r="S43" t="s">
        <v>2472</v>
      </c>
      <c r="T43" s="12" t="s">
        <v>1686</v>
      </c>
      <c r="X43">
        <v>12</v>
      </c>
      <c r="Y43" t="s">
        <v>54</v>
      </c>
      <c r="Z43">
        <v>5000</v>
      </c>
      <c r="AA43">
        <v>0</v>
      </c>
      <c r="AB43">
        <v>0</v>
      </c>
      <c r="AC43">
        <v>0</v>
      </c>
      <c r="AD43">
        <v>5000</v>
      </c>
      <c r="AE43">
        <v>416.66666666666669</v>
      </c>
      <c r="AF43">
        <v>5000</v>
      </c>
      <c r="AG43">
        <v>5000</v>
      </c>
      <c r="AH43">
        <v>416.66666666666669</v>
      </c>
      <c r="AI43">
        <v>5000</v>
      </c>
      <c r="AJ43">
        <v>5000</v>
      </c>
      <c r="AK43">
        <v>0</v>
      </c>
      <c r="AL43">
        <v>5000</v>
      </c>
      <c r="AM43">
        <v>0</v>
      </c>
      <c r="AN43">
        <v>0</v>
      </c>
      <c r="AO43" t="s">
        <v>55</v>
      </c>
      <c r="AP43" t="s">
        <v>1687</v>
      </c>
      <c r="AQ43">
        <v>1</v>
      </c>
    </row>
    <row r="44" spans="1:43" x14ac:dyDescent="0.25">
      <c r="A44" t="s">
        <v>42</v>
      </c>
      <c r="B44" t="s">
        <v>1322</v>
      </c>
      <c r="C44" t="s">
        <v>1323</v>
      </c>
      <c r="D44" t="s">
        <v>45</v>
      </c>
      <c r="E44">
        <v>14</v>
      </c>
      <c r="F44">
        <v>422</v>
      </c>
      <c r="G44">
        <v>3018</v>
      </c>
      <c r="H44">
        <v>4326</v>
      </c>
      <c r="I44" t="s">
        <v>57</v>
      </c>
      <c r="J44" t="s">
        <v>1639</v>
      </c>
      <c r="K44" t="s">
        <v>65</v>
      </c>
      <c r="L44" t="s">
        <v>66</v>
      </c>
      <c r="M44">
        <v>7</v>
      </c>
      <c r="N44" t="s">
        <v>391</v>
      </c>
      <c r="O44">
        <v>2025</v>
      </c>
      <c r="P44">
        <v>16738</v>
      </c>
      <c r="R44" t="s">
        <v>1678</v>
      </c>
      <c r="S44" t="s">
        <v>2472</v>
      </c>
      <c r="T44" s="12" t="s">
        <v>1679</v>
      </c>
      <c r="X44">
        <v>12</v>
      </c>
      <c r="Y44" t="s">
        <v>54</v>
      </c>
      <c r="Z44">
        <v>800</v>
      </c>
      <c r="AA44">
        <v>0</v>
      </c>
      <c r="AB44">
        <v>0</v>
      </c>
      <c r="AC44">
        <v>0</v>
      </c>
      <c r="AD44">
        <v>800</v>
      </c>
      <c r="AE44">
        <v>66.666666666666671</v>
      </c>
      <c r="AF44">
        <v>800</v>
      </c>
      <c r="AG44">
        <v>800</v>
      </c>
      <c r="AH44">
        <v>66.666666666666671</v>
      </c>
      <c r="AI44">
        <v>800</v>
      </c>
      <c r="AJ44">
        <v>800</v>
      </c>
      <c r="AK44">
        <v>0</v>
      </c>
      <c r="AL44">
        <v>800</v>
      </c>
      <c r="AM44">
        <v>0</v>
      </c>
      <c r="AN44">
        <v>0</v>
      </c>
      <c r="AO44" t="s">
        <v>55</v>
      </c>
      <c r="AP44" t="s">
        <v>1680</v>
      </c>
      <c r="AQ44">
        <v>1</v>
      </c>
    </row>
    <row r="45" spans="1:43" x14ac:dyDescent="0.25">
      <c r="A45" t="s">
        <v>42</v>
      </c>
      <c r="B45" t="s">
        <v>1322</v>
      </c>
      <c r="C45" t="s">
        <v>1323</v>
      </c>
      <c r="D45" t="s">
        <v>45</v>
      </c>
      <c r="E45">
        <v>14</v>
      </c>
      <c r="F45">
        <v>422</v>
      </c>
      <c r="G45">
        <v>3018</v>
      </c>
      <c r="H45">
        <v>4326</v>
      </c>
      <c r="I45" t="s">
        <v>57</v>
      </c>
      <c r="J45" t="s">
        <v>1639</v>
      </c>
      <c r="K45" t="s">
        <v>65</v>
      </c>
      <c r="L45" t="s">
        <v>66</v>
      </c>
      <c r="M45">
        <v>7</v>
      </c>
      <c r="N45" t="s">
        <v>391</v>
      </c>
      <c r="O45">
        <v>2025</v>
      </c>
      <c r="P45">
        <v>16735</v>
      </c>
      <c r="R45" t="s">
        <v>1666</v>
      </c>
      <c r="S45" t="s">
        <v>2472</v>
      </c>
      <c r="T45" s="12" t="s">
        <v>1667</v>
      </c>
      <c r="X45">
        <v>12</v>
      </c>
      <c r="Y45" t="s">
        <v>54</v>
      </c>
      <c r="Z45">
        <v>2000</v>
      </c>
      <c r="AA45">
        <v>0</v>
      </c>
      <c r="AB45">
        <v>0</v>
      </c>
      <c r="AC45">
        <v>0</v>
      </c>
      <c r="AD45">
        <v>2000</v>
      </c>
      <c r="AE45">
        <v>166.66666666666671</v>
      </c>
      <c r="AF45">
        <v>2000</v>
      </c>
      <c r="AG45">
        <v>2000</v>
      </c>
      <c r="AH45">
        <v>166.66666666666671</v>
      </c>
      <c r="AI45">
        <v>2000</v>
      </c>
      <c r="AJ45">
        <v>2000</v>
      </c>
      <c r="AK45">
        <v>0</v>
      </c>
      <c r="AL45">
        <v>2000</v>
      </c>
      <c r="AM45">
        <v>0</v>
      </c>
      <c r="AN45">
        <v>0</v>
      </c>
      <c r="AO45" t="s">
        <v>55</v>
      </c>
      <c r="AP45" t="s">
        <v>1668</v>
      </c>
      <c r="AQ45">
        <v>1</v>
      </c>
    </row>
    <row r="46" spans="1:43" x14ac:dyDescent="0.25">
      <c r="A46" t="s">
        <v>42</v>
      </c>
      <c r="B46" t="s">
        <v>1322</v>
      </c>
      <c r="C46" t="s">
        <v>1323</v>
      </c>
      <c r="D46" t="s">
        <v>45</v>
      </c>
      <c r="E46">
        <v>14</v>
      </c>
      <c r="F46">
        <v>422</v>
      </c>
      <c r="G46">
        <v>3018</v>
      </c>
      <c r="H46">
        <v>4326</v>
      </c>
      <c r="I46" t="s">
        <v>57</v>
      </c>
      <c r="J46" t="s">
        <v>1639</v>
      </c>
      <c r="K46" t="s">
        <v>65</v>
      </c>
      <c r="L46" t="s">
        <v>66</v>
      </c>
      <c r="M46">
        <v>7</v>
      </c>
      <c r="N46" t="s">
        <v>391</v>
      </c>
      <c r="O46">
        <v>2025</v>
      </c>
      <c r="P46">
        <v>16739</v>
      </c>
      <c r="R46" t="s">
        <v>1663</v>
      </c>
      <c r="S46" t="s">
        <v>2472</v>
      </c>
      <c r="T46" t="s">
        <v>1664</v>
      </c>
      <c r="X46">
        <v>12</v>
      </c>
      <c r="Y46" t="s">
        <v>54</v>
      </c>
      <c r="Z46">
        <v>14200</v>
      </c>
      <c r="AA46">
        <v>0</v>
      </c>
      <c r="AB46">
        <v>0</v>
      </c>
      <c r="AC46">
        <v>0</v>
      </c>
      <c r="AD46">
        <v>14200</v>
      </c>
      <c r="AE46">
        <v>1183.333333333333</v>
      </c>
      <c r="AF46">
        <v>14200</v>
      </c>
      <c r="AG46">
        <v>14200</v>
      </c>
      <c r="AH46">
        <v>1183.333333333333</v>
      </c>
      <c r="AI46">
        <v>14200</v>
      </c>
      <c r="AJ46">
        <v>14200</v>
      </c>
      <c r="AK46">
        <v>0</v>
      </c>
      <c r="AL46">
        <v>14200</v>
      </c>
      <c r="AM46">
        <v>0</v>
      </c>
      <c r="AN46">
        <v>0</v>
      </c>
      <c r="AO46" t="s">
        <v>55</v>
      </c>
      <c r="AP46" t="s">
        <v>1665</v>
      </c>
      <c r="AQ46">
        <v>1</v>
      </c>
    </row>
    <row r="47" spans="1:43" x14ac:dyDescent="0.25">
      <c r="A47" t="s">
        <v>42</v>
      </c>
      <c r="B47" t="s">
        <v>1322</v>
      </c>
      <c r="C47" t="s">
        <v>1323</v>
      </c>
      <c r="D47" t="s">
        <v>45</v>
      </c>
      <c r="E47">
        <v>14</v>
      </c>
      <c r="F47">
        <v>422</v>
      </c>
      <c r="G47">
        <v>3018</v>
      </c>
      <c r="H47">
        <v>4326</v>
      </c>
      <c r="I47" t="s">
        <v>57</v>
      </c>
      <c r="J47" t="s">
        <v>1639</v>
      </c>
      <c r="K47" t="s">
        <v>65</v>
      </c>
      <c r="L47" t="s">
        <v>66</v>
      </c>
      <c r="M47">
        <v>7</v>
      </c>
      <c r="N47" t="s">
        <v>391</v>
      </c>
      <c r="O47">
        <v>2025</v>
      </c>
      <c r="P47">
        <v>16736</v>
      </c>
      <c r="R47" t="s">
        <v>1660</v>
      </c>
      <c r="S47" t="s">
        <v>2472</v>
      </c>
      <c r="T47" t="s">
        <v>1661</v>
      </c>
      <c r="X47">
        <v>12</v>
      </c>
      <c r="Y47" t="s">
        <v>54</v>
      </c>
      <c r="Z47">
        <v>7100</v>
      </c>
      <c r="AA47">
        <v>0</v>
      </c>
      <c r="AB47">
        <v>0</v>
      </c>
      <c r="AC47">
        <v>0</v>
      </c>
      <c r="AD47">
        <v>7100</v>
      </c>
      <c r="AE47">
        <v>591.66666666666663</v>
      </c>
      <c r="AF47">
        <v>7100</v>
      </c>
      <c r="AG47">
        <v>7100</v>
      </c>
      <c r="AH47">
        <v>591.66666666666663</v>
      </c>
      <c r="AI47">
        <v>7100</v>
      </c>
      <c r="AJ47">
        <v>7100</v>
      </c>
      <c r="AK47">
        <v>0</v>
      </c>
      <c r="AL47">
        <v>7100</v>
      </c>
      <c r="AM47">
        <v>0</v>
      </c>
      <c r="AN47">
        <v>0</v>
      </c>
      <c r="AO47" t="s">
        <v>55</v>
      </c>
      <c r="AP47" t="s">
        <v>1662</v>
      </c>
      <c r="AQ47">
        <v>1</v>
      </c>
    </row>
    <row r="48" spans="1:43" x14ac:dyDescent="0.25">
      <c r="A48" t="s">
        <v>42</v>
      </c>
      <c r="B48" t="s">
        <v>1322</v>
      </c>
      <c r="C48" t="s">
        <v>1323</v>
      </c>
      <c r="D48" t="s">
        <v>45</v>
      </c>
      <c r="E48">
        <v>14</v>
      </c>
      <c r="F48">
        <v>422</v>
      </c>
      <c r="G48">
        <v>3018</v>
      </c>
      <c r="H48">
        <v>4326</v>
      </c>
      <c r="I48" t="s">
        <v>57</v>
      </c>
      <c r="J48" t="s">
        <v>1639</v>
      </c>
      <c r="K48" t="s">
        <v>65</v>
      </c>
      <c r="L48" t="s">
        <v>66</v>
      </c>
      <c r="M48">
        <v>7</v>
      </c>
      <c r="N48" t="s">
        <v>391</v>
      </c>
      <c r="O48">
        <v>2025</v>
      </c>
      <c r="P48">
        <v>16732</v>
      </c>
      <c r="R48" t="s">
        <v>1657</v>
      </c>
      <c r="S48" t="s">
        <v>2472</v>
      </c>
      <c r="T48" s="12" t="s">
        <v>1658</v>
      </c>
      <c r="X48">
        <v>12</v>
      </c>
      <c r="Y48" t="s">
        <v>54</v>
      </c>
      <c r="Z48">
        <v>8000</v>
      </c>
      <c r="AA48">
        <v>0</v>
      </c>
      <c r="AB48">
        <v>0</v>
      </c>
      <c r="AC48">
        <v>0</v>
      </c>
      <c r="AD48">
        <v>8000</v>
      </c>
      <c r="AE48">
        <v>666.66666666666663</v>
      </c>
      <c r="AF48">
        <v>8000</v>
      </c>
      <c r="AG48">
        <v>8000</v>
      </c>
      <c r="AH48">
        <v>666.66666666666663</v>
      </c>
      <c r="AI48">
        <v>8000</v>
      </c>
      <c r="AJ48">
        <v>8000</v>
      </c>
      <c r="AK48">
        <v>0</v>
      </c>
      <c r="AL48">
        <v>8000</v>
      </c>
      <c r="AM48">
        <v>0</v>
      </c>
      <c r="AN48">
        <v>0</v>
      </c>
      <c r="AO48" t="s">
        <v>55</v>
      </c>
      <c r="AP48" t="s">
        <v>1659</v>
      </c>
      <c r="AQ48">
        <v>1</v>
      </c>
    </row>
    <row r="49" spans="1:43" x14ac:dyDescent="0.25">
      <c r="A49" t="s">
        <v>42</v>
      </c>
      <c r="B49" t="s">
        <v>1322</v>
      </c>
      <c r="C49" t="s">
        <v>1323</v>
      </c>
      <c r="D49" t="s">
        <v>45</v>
      </c>
      <c r="E49">
        <v>14</v>
      </c>
      <c r="F49">
        <v>422</v>
      </c>
      <c r="G49">
        <v>3018</v>
      </c>
      <c r="H49">
        <v>4326</v>
      </c>
      <c r="I49" t="s">
        <v>57</v>
      </c>
      <c r="J49" t="s">
        <v>1639</v>
      </c>
      <c r="K49" t="s">
        <v>65</v>
      </c>
      <c r="L49" t="s">
        <v>66</v>
      </c>
      <c r="M49">
        <v>7</v>
      </c>
      <c r="N49" t="s">
        <v>391</v>
      </c>
      <c r="O49">
        <v>2025</v>
      </c>
      <c r="P49">
        <v>16730</v>
      </c>
      <c r="R49" t="s">
        <v>1654</v>
      </c>
      <c r="S49" t="s">
        <v>2472</v>
      </c>
      <c r="T49" t="s">
        <v>1655</v>
      </c>
      <c r="X49">
        <v>12</v>
      </c>
      <c r="Y49" t="s">
        <v>54</v>
      </c>
      <c r="Z49">
        <v>14200</v>
      </c>
      <c r="AA49">
        <v>0</v>
      </c>
      <c r="AB49">
        <v>0</v>
      </c>
      <c r="AC49">
        <v>0</v>
      </c>
      <c r="AD49">
        <v>14200</v>
      </c>
      <c r="AE49">
        <v>1183.333333333333</v>
      </c>
      <c r="AF49">
        <v>14200</v>
      </c>
      <c r="AG49">
        <v>14200</v>
      </c>
      <c r="AH49">
        <v>1183.333333333333</v>
      </c>
      <c r="AI49">
        <v>14200</v>
      </c>
      <c r="AJ49">
        <v>14200</v>
      </c>
      <c r="AK49">
        <v>0</v>
      </c>
      <c r="AL49">
        <v>14200</v>
      </c>
      <c r="AM49">
        <v>0</v>
      </c>
      <c r="AN49">
        <v>0</v>
      </c>
      <c r="AO49" t="s">
        <v>55</v>
      </c>
      <c r="AP49" t="s">
        <v>1656</v>
      </c>
      <c r="AQ49">
        <v>1</v>
      </c>
    </row>
    <row r="50" spans="1:43" x14ac:dyDescent="0.25">
      <c r="A50" t="s">
        <v>42</v>
      </c>
      <c r="B50" t="s">
        <v>1322</v>
      </c>
      <c r="C50" t="s">
        <v>1323</v>
      </c>
      <c r="D50" t="s">
        <v>45</v>
      </c>
      <c r="E50">
        <v>14</v>
      </c>
      <c r="F50">
        <v>422</v>
      </c>
      <c r="G50">
        <v>3018</v>
      </c>
      <c r="H50">
        <v>4326</v>
      </c>
      <c r="I50" t="s">
        <v>57</v>
      </c>
      <c r="J50" t="s">
        <v>1639</v>
      </c>
      <c r="K50" t="s">
        <v>65</v>
      </c>
      <c r="L50" t="s">
        <v>66</v>
      </c>
      <c r="M50">
        <v>7</v>
      </c>
      <c r="N50" t="s">
        <v>391</v>
      </c>
      <c r="O50">
        <v>2025</v>
      </c>
      <c r="P50">
        <v>16719</v>
      </c>
      <c r="R50" t="s">
        <v>1643</v>
      </c>
      <c r="S50" t="s">
        <v>2472</v>
      </c>
      <c r="T50" s="12" t="s">
        <v>1644</v>
      </c>
      <c r="X50">
        <v>12</v>
      </c>
      <c r="Y50" t="s">
        <v>54</v>
      </c>
      <c r="Z50">
        <v>2000</v>
      </c>
      <c r="AA50">
        <v>0</v>
      </c>
      <c r="AB50">
        <v>0</v>
      </c>
      <c r="AC50">
        <v>0</v>
      </c>
      <c r="AD50">
        <v>2000</v>
      </c>
      <c r="AE50">
        <v>166.66666666666671</v>
      </c>
      <c r="AF50">
        <v>2000</v>
      </c>
      <c r="AG50">
        <v>2000</v>
      </c>
      <c r="AH50">
        <v>166.66666666666671</v>
      </c>
      <c r="AI50">
        <v>2000</v>
      </c>
      <c r="AJ50">
        <v>2000</v>
      </c>
      <c r="AK50">
        <v>0</v>
      </c>
      <c r="AL50">
        <v>2000</v>
      </c>
      <c r="AM50">
        <v>0</v>
      </c>
      <c r="AN50">
        <v>0</v>
      </c>
      <c r="AO50" t="s">
        <v>55</v>
      </c>
      <c r="AP50" t="s">
        <v>1645</v>
      </c>
      <c r="AQ50">
        <v>1</v>
      </c>
    </row>
    <row r="51" spans="1:43" x14ac:dyDescent="0.25">
      <c r="A51" t="s">
        <v>42</v>
      </c>
      <c r="B51" t="s">
        <v>43</v>
      </c>
      <c r="C51" t="s">
        <v>44</v>
      </c>
      <c r="D51" t="s">
        <v>45</v>
      </c>
      <c r="E51">
        <v>14</v>
      </c>
      <c r="F51">
        <v>422</v>
      </c>
      <c r="G51">
        <v>3013</v>
      </c>
      <c r="H51">
        <v>6178</v>
      </c>
      <c r="I51" t="s">
        <v>186</v>
      </c>
      <c r="J51" t="s">
        <v>1639</v>
      </c>
      <c r="K51" t="s">
        <v>491</v>
      </c>
      <c r="L51" t="s">
        <v>492</v>
      </c>
      <c r="M51">
        <v>12</v>
      </c>
      <c r="N51" t="s">
        <v>60</v>
      </c>
      <c r="O51">
        <v>2025</v>
      </c>
      <c r="P51">
        <v>16705</v>
      </c>
      <c r="R51" t="s">
        <v>1640</v>
      </c>
      <c r="S51" t="s">
        <v>2472</v>
      </c>
      <c r="T51" t="s">
        <v>1641</v>
      </c>
      <c r="X51">
        <v>12</v>
      </c>
      <c r="Y51" t="s">
        <v>54</v>
      </c>
      <c r="Z51">
        <v>19200</v>
      </c>
      <c r="AA51">
        <v>0</v>
      </c>
      <c r="AB51">
        <v>0</v>
      </c>
      <c r="AC51">
        <v>0</v>
      </c>
      <c r="AD51">
        <v>19200</v>
      </c>
      <c r="AE51">
        <v>1600</v>
      </c>
      <c r="AF51">
        <v>19200</v>
      </c>
      <c r="AG51">
        <v>19200</v>
      </c>
      <c r="AH51">
        <v>1600</v>
      </c>
      <c r="AI51">
        <v>19200</v>
      </c>
      <c r="AJ51">
        <v>19200</v>
      </c>
      <c r="AK51">
        <v>0</v>
      </c>
      <c r="AL51">
        <v>19200</v>
      </c>
      <c r="AM51">
        <v>0</v>
      </c>
      <c r="AN51">
        <v>0</v>
      </c>
      <c r="AO51" t="s">
        <v>55</v>
      </c>
      <c r="AP51" t="s">
        <v>1642</v>
      </c>
      <c r="AQ51">
        <v>1</v>
      </c>
    </row>
    <row r="52" spans="1:43" x14ac:dyDescent="0.25">
      <c r="A52" t="s">
        <v>42</v>
      </c>
      <c r="B52" t="s">
        <v>1322</v>
      </c>
      <c r="C52" t="s">
        <v>1323</v>
      </c>
      <c r="D52" t="s">
        <v>45</v>
      </c>
      <c r="E52">
        <v>14</v>
      </c>
      <c r="F52">
        <v>422</v>
      </c>
      <c r="G52">
        <v>3018</v>
      </c>
      <c r="H52">
        <v>4326</v>
      </c>
      <c r="I52" t="s">
        <v>57</v>
      </c>
      <c r="J52" t="s">
        <v>1600</v>
      </c>
      <c r="K52" t="s">
        <v>65</v>
      </c>
      <c r="L52" t="s">
        <v>66</v>
      </c>
      <c r="M52">
        <v>7</v>
      </c>
      <c r="N52" t="s">
        <v>391</v>
      </c>
      <c r="O52">
        <v>2025</v>
      </c>
      <c r="P52">
        <v>16691</v>
      </c>
      <c r="R52" t="s">
        <v>1636</v>
      </c>
      <c r="S52" t="s">
        <v>2472</v>
      </c>
      <c r="T52" t="s">
        <v>1637</v>
      </c>
      <c r="X52">
        <v>12</v>
      </c>
      <c r="Y52" t="s">
        <v>54</v>
      </c>
      <c r="Z52">
        <v>11000</v>
      </c>
      <c r="AA52">
        <v>0</v>
      </c>
      <c r="AB52">
        <v>0</v>
      </c>
      <c r="AC52">
        <v>0</v>
      </c>
      <c r="AD52">
        <v>11000</v>
      </c>
      <c r="AE52">
        <v>916.66666666666663</v>
      </c>
      <c r="AF52">
        <v>11000</v>
      </c>
      <c r="AG52">
        <v>11000</v>
      </c>
      <c r="AH52">
        <v>916.66666666666663</v>
      </c>
      <c r="AI52">
        <v>11000</v>
      </c>
      <c r="AJ52">
        <v>11000</v>
      </c>
      <c r="AK52">
        <v>0</v>
      </c>
      <c r="AL52">
        <v>11000</v>
      </c>
      <c r="AM52">
        <v>0</v>
      </c>
      <c r="AN52">
        <v>0</v>
      </c>
      <c r="AO52" t="s">
        <v>55</v>
      </c>
      <c r="AP52" t="s">
        <v>1638</v>
      </c>
      <c r="AQ52">
        <v>1</v>
      </c>
    </row>
    <row r="53" spans="1:43" x14ac:dyDescent="0.25">
      <c r="A53" t="s">
        <v>42</v>
      </c>
      <c r="B53" t="s">
        <v>1322</v>
      </c>
      <c r="C53" t="s">
        <v>1323</v>
      </c>
      <c r="D53" t="s">
        <v>45</v>
      </c>
      <c r="E53">
        <v>14</v>
      </c>
      <c r="F53">
        <v>422</v>
      </c>
      <c r="G53">
        <v>3018</v>
      </c>
      <c r="H53">
        <v>4326</v>
      </c>
      <c r="I53" t="s">
        <v>57</v>
      </c>
      <c r="J53" t="s">
        <v>1600</v>
      </c>
      <c r="K53" t="s">
        <v>65</v>
      </c>
      <c r="L53" t="s">
        <v>66</v>
      </c>
      <c r="M53">
        <v>7</v>
      </c>
      <c r="N53" t="s">
        <v>391</v>
      </c>
      <c r="O53">
        <v>2025</v>
      </c>
      <c r="P53">
        <v>16544</v>
      </c>
      <c r="R53" t="s">
        <v>1629</v>
      </c>
      <c r="S53" t="s">
        <v>2472</v>
      </c>
      <c r="T53" s="12" t="s">
        <v>1630</v>
      </c>
      <c r="X53">
        <v>12</v>
      </c>
      <c r="Y53" t="s">
        <v>54</v>
      </c>
      <c r="Z53">
        <v>11000</v>
      </c>
      <c r="AA53">
        <v>0</v>
      </c>
      <c r="AB53">
        <v>0</v>
      </c>
      <c r="AC53">
        <v>0</v>
      </c>
      <c r="AD53">
        <v>11000</v>
      </c>
      <c r="AE53">
        <v>916.66666666666663</v>
      </c>
      <c r="AF53">
        <v>11000</v>
      </c>
      <c r="AG53">
        <v>11000</v>
      </c>
      <c r="AH53">
        <v>916.66666666666663</v>
      </c>
      <c r="AI53">
        <v>11000</v>
      </c>
      <c r="AJ53">
        <v>11000</v>
      </c>
      <c r="AK53">
        <v>0</v>
      </c>
      <c r="AL53">
        <v>11000</v>
      </c>
      <c r="AM53">
        <v>0</v>
      </c>
      <c r="AN53">
        <v>0</v>
      </c>
      <c r="AO53" t="s">
        <v>55</v>
      </c>
      <c r="AP53" t="s">
        <v>1631</v>
      </c>
      <c r="AQ53">
        <v>1</v>
      </c>
    </row>
    <row r="54" spans="1:43" x14ac:dyDescent="0.25">
      <c r="A54" t="s">
        <v>42</v>
      </c>
      <c r="B54" t="s">
        <v>43</v>
      </c>
      <c r="C54" t="s">
        <v>44</v>
      </c>
      <c r="D54" t="s">
        <v>45</v>
      </c>
      <c r="E54">
        <v>14</v>
      </c>
      <c r="F54">
        <v>422</v>
      </c>
      <c r="G54">
        <v>3018</v>
      </c>
      <c r="H54">
        <v>4318</v>
      </c>
      <c r="I54" t="s">
        <v>57</v>
      </c>
      <c r="J54" t="s">
        <v>1600</v>
      </c>
      <c r="K54" t="s">
        <v>58</v>
      </c>
      <c r="L54" t="s">
        <v>59</v>
      </c>
      <c r="M54">
        <v>12</v>
      </c>
      <c r="N54" t="s">
        <v>60</v>
      </c>
      <c r="O54">
        <v>2025</v>
      </c>
      <c r="P54">
        <v>16284</v>
      </c>
      <c r="R54" t="s">
        <v>1626</v>
      </c>
      <c r="S54" t="s">
        <v>2472</v>
      </c>
      <c r="T54" t="s">
        <v>1627</v>
      </c>
      <c r="W54" t="s">
        <v>1434</v>
      </c>
      <c r="X54">
        <v>12</v>
      </c>
      <c r="Y54" t="s">
        <v>54</v>
      </c>
      <c r="Z54">
        <v>5702.24</v>
      </c>
      <c r="AA54">
        <v>0</v>
      </c>
      <c r="AB54">
        <v>0</v>
      </c>
      <c r="AC54">
        <v>0</v>
      </c>
      <c r="AD54">
        <v>5702.24</v>
      </c>
      <c r="AE54">
        <v>475.18666666666672</v>
      </c>
      <c r="AF54">
        <v>5702.24</v>
      </c>
      <c r="AG54">
        <v>5702.24</v>
      </c>
      <c r="AH54">
        <v>475.18666666666672</v>
      </c>
      <c r="AI54">
        <v>5702.24</v>
      </c>
      <c r="AJ54">
        <v>5702.24</v>
      </c>
      <c r="AK54">
        <v>0</v>
      </c>
      <c r="AL54">
        <v>5702.24</v>
      </c>
      <c r="AM54">
        <v>5702.24</v>
      </c>
      <c r="AN54">
        <v>0</v>
      </c>
      <c r="AO54" t="s">
        <v>55</v>
      </c>
      <c r="AP54" t="s">
        <v>1628</v>
      </c>
      <c r="AQ54">
        <v>1</v>
      </c>
    </row>
    <row r="55" spans="1:43" x14ac:dyDescent="0.25">
      <c r="A55" t="s">
        <v>42</v>
      </c>
      <c r="B55" t="s">
        <v>43</v>
      </c>
      <c r="C55" t="s">
        <v>44</v>
      </c>
      <c r="D55" t="s">
        <v>45</v>
      </c>
      <c r="E55">
        <v>14</v>
      </c>
      <c r="F55">
        <v>422</v>
      </c>
      <c r="G55">
        <v>3013</v>
      </c>
      <c r="H55">
        <v>2431</v>
      </c>
      <c r="I55" t="s">
        <v>57</v>
      </c>
      <c r="J55" t="s">
        <v>1600</v>
      </c>
      <c r="K55" t="s">
        <v>65</v>
      </c>
      <c r="L55" t="s">
        <v>66</v>
      </c>
      <c r="M55">
        <v>12</v>
      </c>
      <c r="N55" t="s">
        <v>60</v>
      </c>
      <c r="O55">
        <v>2025</v>
      </c>
      <c r="P55">
        <v>16189</v>
      </c>
      <c r="R55" t="s">
        <v>1623</v>
      </c>
      <c r="S55" t="s">
        <v>2472</v>
      </c>
      <c r="T55" t="s">
        <v>1624</v>
      </c>
      <c r="X55">
        <v>12</v>
      </c>
      <c r="Y55" t="s">
        <v>54</v>
      </c>
      <c r="Z55">
        <v>8545.36</v>
      </c>
      <c r="AA55">
        <v>0</v>
      </c>
      <c r="AB55">
        <v>0</v>
      </c>
      <c r="AC55">
        <v>0</v>
      </c>
      <c r="AD55">
        <v>8545.36</v>
      </c>
      <c r="AE55">
        <v>712.11333333333334</v>
      </c>
      <c r="AF55">
        <v>8545.36</v>
      </c>
      <c r="AG55">
        <v>8545.36</v>
      </c>
      <c r="AH55">
        <v>712.11333333333334</v>
      </c>
      <c r="AI55">
        <v>8545.36</v>
      </c>
      <c r="AJ55">
        <v>8545.36</v>
      </c>
      <c r="AK55">
        <v>0</v>
      </c>
      <c r="AL55">
        <v>8545.36</v>
      </c>
      <c r="AM55">
        <v>0</v>
      </c>
      <c r="AN55">
        <v>0</v>
      </c>
      <c r="AO55" t="s">
        <v>55</v>
      </c>
      <c r="AP55" t="s">
        <v>1625</v>
      </c>
      <c r="AQ55">
        <v>1</v>
      </c>
    </row>
    <row r="56" spans="1:43" x14ac:dyDescent="0.25">
      <c r="A56" t="s">
        <v>42</v>
      </c>
      <c r="B56" t="s">
        <v>43</v>
      </c>
      <c r="C56" t="s">
        <v>44</v>
      </c>
      <c r="D56" t="s">
        <v>45</v>
      </c>
      <c r="E56">
        <v>8</v>
      </c>
      <c r="F56">
        <v>605</v>
      </c>
      <c r="G56">
        <v>3016</v>
      </c>
      <c r="H56">
        <v>4470</v>
      </c>
      <c r="I56" t="s">
        <v>1050</v>
      </c>
      <c r="J56" t="s">
        <v>1600</v>
      </c>
      <c r="K56" t="s">
        <v>208</v>
      </c>
      <c r="L56" t="s">
        <v>209</v>
      </c>
      <c r="M56">
        <v>7</v>
      </c>
      <c r="N56" t="s">
        <v>391</v>
      </c>
      <c r="O56">
        <v>2025</v>
      </c>
      <c r="P56">
        <v>16192</v>
      </c>
      <c r="R56" t="s">
        <v>1619</v>
      </c>
      <c r="S56" t="s">
        <v>2472</v>
      </c>
      <c r="T56" s="12" t="s">
        <v>1620</v>
      </c>
      <c r="W56" t="s">
        <v>1621</v>
      </c>
      <c r="X56">
        <v>12</v>
      </c>
      <c r="Y56" t="s">
        <v>54</v>
      </c>
      <c r="Z56">
        <v>3433.58</v>
      </c>
      <c r="AA56">
        <v>0</v>
      </c>
      <c r="AB56">
        <v>0</v>
      </c>
      <c r="AC56">
        <v>0</v>
      </c>
      <c r="AD56">
        <v>3433.58</v>
      </c>
      <c r="AE56">
        <v>286.13166666666672</v>
      </c>
      <c r="AF56">
        <v>3433.58</v>
      </c>
      <c r="AG56">
        <v>3433.58</v>
      </c>
      <c r="AH56">
        <v>286.13166666666672</v>
      </c>
      <c r="AI56">
        <v>3433.58</v>
      </c>
      <c r="AJ56">
        <v>1781.02</v>
      </c>
      <c r="AK56">
        <v>0</v>
      </c>
      <c r="AL56">
        <v>1781.02</v>
      </c>
      <c r="AM56">
        <v>1781.02</v>
      </c>
      <c r="AN56">
        <v>0</v>
      </c>
      <c r="AO56" t="s">
        <v>55</v>
      </c>
      <c r="AP56" t="s">
        <v>1622</v>
      </c>
      <c r="AQ56">
        <v>1</v>
      </c>
    </row>
    <row r="57" spans="1:43" x14ac:dyDescent="0.25">
      <c r="A57" t="s">
        <v>42</v>
      </c>
      <c r="B57" t="s">
        <v>43</v>
      </c>
      <c r="C57" t="s">
        <v>44</v>
      </c>
      <c r="D57" t="s">
        <v>45</v>
      </c>
      <c r="E57">
        <v>14</v>
      </c>
      <c r="F57">
        <v>122</v>
      </c>
      <c r="G57">
        <v>3024</v>
      </c>
      <c r="H57">
        <v>2100</v>
      </c>
      <c r="I57" t="s">
        <v>57</v>
      </c>
      <c r="J57" t="s">
        <v>1600</v>
      </c>
      <c r="K57" t="s">
        <v>58</v>
      </c>
      <c r="L57" t="s">
        <v>59</v>
      </c>
      <c r="M57">
        <v>12</v>
      </c>
      <c r="N57" t="s">
        <v>60</v>
      </c>
      <c r="O57">
        <v>2025</v>
      </c>
      <c r="P57">
        <v>16032</v>
      </c>
      <c r="R57" t="s">
        <v>1616</v>
      </c>
      <c r="S57" t="s">
        <v>2472</v>
      </c>
      <c r="T57" t="s">
        <v>1617</v>
      </c>
      <c r="W57" t="s">
        <v>1613</v>
      </c>
      <c r="X57">
        <v>12</v>
      </c>
      <c r="Y57" t="s">
        <v>54</v>
      </c>
      <c r="Z57">
        <v>2308.6</v>
      </c>
      <c r="AA57">
        <v>0</v>
      </c>
      <c r="AB57">
        <v>0</v>
      </c>
      <c r="AC57">
        <v>0</v>
      </c>
      <c r="AD57">
        <v>2308.6</v>
      </c>
      <c r="AE57">
        <v>192.3833333333333</v>
      </c>
      <c r="AF57">
        <v>2308.6</v>
      </c>
      <c r="AG57">
        <v>2308.6</v>
      </c>
      <c r="AH57">
        <v>192.3833333333333</v>
      </c>
      <c r="AI57">
        <v>2308.6</v>
      </c>
      <c r="AJ57">
        <v>2308.6</v>
      </c>
      <c r="AK57">
        <v>0</v>
      </c>
      <c r="AL57">
        <v>2308.6</v>
      </c>
      <c r="AM57">
        <v>2308.6</v>
      </c>
      <c r="AN57">
        <v>0</v>
      </c>
      <c r="AO57" t="s">
        <v>55</v>
      </c>
      <c r="AP57" t="s">
        <v>1618</v>
      </c>
      <c r="AQ57">
        <v>1</v>
      </c>
    </row>
    <row r="58" spans="1:43" x14ac:dyDescent="0.25">
      <c r="A58" t="s">
        <v>42</v>
      </c>
      <c r="B58" t="s">
        <v>43</v>
      </c>
      <c r="C58" t="s">
        <v>44</v>
      </c>
      <c r="D58" t="s">
        <v>45</v>
      </c>
      <c r="E58">
        <v>14</v>
      </c>
      <c r="F58">
        <v>422</v>
      </c>
      <c r="G58">
        <v>3013</v>
      </c>
      <c r="H58">
        <v>2053</v>
      </c>
      <c r="I58" t="s">
        <v>186</v>
      </c>
      <c r="J58" t="s">
        <v>1600</v>
      </c>
      <c r="K58" t="s">
        <v>491</v>
      </c>
      <c r="L58" t="s">
        <v>492</v>
      </c>
      <c r="M58">
        <v>6</v>
      </c>
      <c r="N58" t="s">
        <v>115</v>
      </c>
      <c r="O58">
        <v>2025</v>
      </c>
      <c r="P58">
        <v>15829</v>
      </c>
      <c r="R58" t="s">
        <v>1601</v>
      </c>
      <c r="S58" t="s">
        <v>2472</v>
      </c>
      <c r="T58" t="s">
        <v>1602</v>
      </c>
      <c r="X58">
        <v>12</v>
      </c>
      <c r="Y58" t="s">
        <v>54</v>
      </c>
      <c r="Z58">
        <v>26199.65</v>
      </c>
      <c r="AA58">
        <v>0</v>
      </c>
      <c r="AB58">
        <v>0</v>
      </c>
      <c r="AC58">
        <v>0</v>
      </c>
      <c r="AD58">
        <v>26199.65</v>
      </c>
      <c r="AE58">
        <v>2183.3041666666668</v>
      </c>
      <c r="AF58">
        <v>26199.65</v>
      </c>
      <c r="AG58">
        <v>26199.65</v>
      </c>
      <c r="AH58">
        <v>2183.3041666666668</v>
      </c>
      <c r="AI58">
        <v>26199.65</v>
      </c>
      <c r="AJ58">
        <v>26199.65</v>
      </c>
      <c r="AK58">
        <v>0</v>
      </c>
      <c r="AL58">
        <v>26199.65</v>
      </c>
      <c r="AM58">
        <v>0</v>
      </c>
      <c r="AN58">
        <v>0</v>
      </c>
      <c r="AO58" t="s">
        <v>55</v>
      </c>
      <c r="AP58" t="s">
        <v>1603</v>
      </c>
      <c r="AQ58">
        <v>1</v>
      </c>
    </row>
    <row r="59" spans="1:43" x14ac:dyDescent="0.25">
      <c r="A59" t="s">
        <v>42</v>
      </c>
      <c r="B59" t="s">
        <v>43</v>
      </c>
      <c r="C59" t="s">
        <v>44</v>
      </c>
      <c r="D59" t="s">
        <v>45</v>
      </c>
      <c r="E59">
        <v>14</v>
      </c>
      <c r="F59">
        <v>243</v>
      </c>
      <c r="G59">
        <v>3013</v>
      </c>
      <c r="H59">
        <v>2157</v>
      </c>
      <c r="I59" t="s">
        <v>1050</v>
      </c>
      <c r="J59" t="s">
        <v>1566</v>
      </c>
      <c r="K59" t="s">
        <v>1138</v>
      </c>
      <c r="L59" t="s">
        <v>1139</v>
      </c>
      <c r="M59">
        <v>8</v>
      </c>
      <c r="N59" t="s">
        <v>50</v>
      </c>
      <c r="O59">
        <v>2025</v>
      </c>
      <c r="P59">
        <v>15804</v>
      </c>
      <c r="R59" t="s">
        <v>1596</v>
      </c>
      <c r="S59" t="s">
        <v>2472</v>
      </c>
      <c r="T59" t="s">
        <v>1597</v>
      </c>
      <c r="W59" t="s">
        <v>1598</v>
      </c>
      <c r="X59">
        <v>12</v>
      </c>
      <c r="Y59" t="s">
        <v>54</v>
      </c>
      <c r="Z59">
        <v>5000</v>
      </c>
      <c r="AA59">
        <v>0</v>
      </c>
      <c r="AB59">
        <v>0</v>
      </c>
      <c r="AC59">
        <v>0</v>
      </c>
      <c r="AD59">
        <v>5000</v>
      </c>
      <c r="AE59">
        <v>416.66666666666669</v>
      </c>
      <c r="AF59">
        <v>5000</v>
      </c>
      <c r="AG59">
        <v>5000</v>
      </c>
      <c r="AH59">
        <v>416.66666666666669</v>
      </c>
      <c r="AI59">
        <v>5000</v>
      </c>
      <c r="AJ59">
        <v>3941.89</v>
      </c>
      <c r="AK59">
        <v>0</v>
      </c>
      <c r="AL59">
        <v>3941.89</v>
      </c>
      <c r="AM59">
        <v>3941.89</v>
      </c>
      <c r="AN59">
        <v>3941.89</v>
      </c>
      <c r="AO59" t="s">
        <v>55</v>
      </c>
      <c r="AP59" t="s">
        <v>1599</v>
      </c>
      <c r="AQ59">
        <v>1</v>
      </c>
    </row>
    <row r="60" spans="1:43" x14ac:dyDescent="0.25">
      <c r="A60" t="s">
        <v>42</v>
      </c>
      <c r="B60" t="s">
        <v>43</v>
      </c>
      <c r="C60" t="s">
        <v>44</v>
      </c>
      <c r="D60" t="s">
        <v>45</v>
      </c>
      <c r="E60">
        <v>14</v>
      </c>
      <c r="F60">
        <v>122</v>
      </c>
      <c r="G60">
        <v>3024</v>
      </c>
      <c r="H60">
        <v>2100</v>
      </c>
      <c r="I60" t="s">
        <v>186</v>
      </c>
      <c r="J60" t="s">
        <v>1566</v>
      </c>
      <c r="K60" t="s">
        <v>247</v>
      </c>
      <c r="L60" t="s">
        <v>248</v>
      </c>
      <c r="M60">
        <v>6</v>
      </c>
      <c r="N60" t="s">
        <v>115</v>
      </c>
      <c r="O60">
        <v>2025</v>
      </c>
      <c r="P60">
        <v>15706</v>
      </c>
      <c r="R60" t="s">
        <v>1593</v>
      </c>
      <c r="S60" t="s">
        <v>2472</v>
      </c>
      <c r="T60" t="s">
        <v>1594</v>
      </c>
      <c r="X60">
        <v>12</v>
      </c>
      <c r="Y60" t="s">
        <v>54</v>
      </c>
      <c r="Z60">
        <v>9999.6</v>
      </c>
      <c r="AA60">
        <v>0</v>
      </c>
      <c r="AB60">
        <v>0</v>
      </c>
      <c r="AC60">
        <v>0</v>
      </c>
      <c r="AD60">
        <v>9999.6</v>
      </c>
      <c r="AE60">
        <v>833.30000000000007</v>
      </c>
      <c r="AF60">
        <v>9999.6</v>
      </c>
      <c r="AG60">
        <v>9999.6</v>
      </c>
      <c r="AH60">
        <v>833.30000000000007</v>
      </c>
      <c r="AI60">
        <v>9999.6</v>
      </c>
      <c r="AJ60">
        <v>9999.6</v>
      </c>
      <c r="AK60">
        <v>0</v>
      </c>
      <c r="AL60">
        <v>9999.6</v>
      </c>
      <c r="AM60">
        <v>0</v>
      </c>
      <c r="AN60">
        <v>0</v>
      </c>
      <c r="AO60" t="s">
        <v>55</v>
      </c>
      <c r="AP60" t="s">
        <v>1595</v>
      </c>
      <c r="AQ60">
        <v>1</v>
      </c>
    </row>
    <row r="61" spans="1:43" x14ac:dyDescent="0.25">
      <c r="A61" t="s">
        <v>42</v>
      </c>
      <c r="B61" t="s">
        <v>43</v>
      </c>
      <c r="C61" t="s">
        <v>44</v>
      </c>
      <c r="D61" t="s">
        <v>45</v>
      </c>
      <c r="E61">
        <v>14</v>
      </c>
      <c r="F61">
        <v>422</v>
      </c>
      <c r="G61">
        <v>3013</v>
      </c>
      <c r="H61">
        <v>2431</v>
      </c>
      <c r="I61" t="s">
        <v>57</v>
      </c>
      <c r="J61" t="s">
        <v>1566</v>
      </c>
      <c r="K61" t="s">
        <v>65</v>
      </c>
      <c r="L61" t="s">
        <v>66</v>
      </c>
      <c r="M61">
        <v>12</v>
      </c>
      <c r="N61" t="s">
        <v>60</v>
      </c>
      <c r="O61">
        <v>2025</v>
      </c>
      <c r="P61">
        <v>15700</v>
      </c>
      <c r="R61" t="s">
        <v>1585</v>
      </c>
      <c r="S61" t="s">
        <v>2472</v>
      </c>
      <c r="T61" t="s">
        <v>1586</v>
      </c>
      <c r="X61">
        <v>12</v>
      </c>
      <c r="Y61" t="s">
        <v>54</v>
      </c>
      <c r="Z61">
        <v>1833.76</v>
      </c>
      <c r="AA61">
        <v>0</v>
      </c>
      <c r="AB61">
        <v>0</v>
      </c>
      <c r="AC61">
        <v>0</v>
      </c>
      <c r="AD61">
        <v>1833.76</v>
      </c>
      <c r="AE61">
        <v>152.8133333333333</v>
      </c>
      <c r="AF61">
        <v>1833.76</v>
      </c>
      <c r="AG61">
        <v>1833.76</v>
      </c>
      <c r="AH61">
        <v>152.8133333333333</v>
      </c>
      <c r="AI61">
        <v>1833.76</v>
      </c>
      <c r="AJ61">
        <v>1833.76</v>
      </c>
      <c r="AK61">
        <v>0</v>
      </c>
      <c r="AL61">
        <v>1833.76</v>
      </c>
      <c r="AM61">
        <v>0</v>
      </c>
      <c r="AN61">
        <v>0</v>
      </c>
      <c r="AO61" t="s">
        <v>55</v>
      </c>
      <c r="AP61" t="s">
        <v>1587</v>
      </c>
      <c r="AQ61">
        <v>1</v>
      </c>
    </row>
    <row r="62" spans="1:43" x14ac:dyDescent="0.25">
      <c r="A62" t="s">
        <v>42</v>
      </c>
      <c r="B62" t="s">
        <v>43</v>
      </c>
      <c r="C62" t="s">
        <v>44</v>
      </c>
      <c r="D62" t="s">
        <v>45</v>
      </c>
      <c r="E62">
        <v>8</v>
      </c>
      <c r="F62">
        <v>605</v>
      </c>
      <c r="G62">
        <v>3016</v>
      </c>
      <c r="H62">
        <v>4470</v>
      </c>
      <c r="I62" t="s">
        <v>186</v>
      </c>
      <c r="J62" t="s">
        <v>1566</v>
      </c>
      <c r="K62" t="s">
        <v>247</v>
      </c>
      <c r="L62" t="s">
        <v>248</v>
      </c>
      <c r="M62">
        <v>6</v>
      </c>
      <c r="N62" t="s">
        <v>115</v>
      </c>
      <c r="O62">
        <v>2025</v>
      </c>
      <c r="P62">
        <v>15506</v>
      </c>
      <c r="R62" t="s">
        <v>1577</v>
      </c>
      <c r="S62" t="s">
        <v>2472</v>
      </c>
      <c r="T62" t="s">
        <v>1578</v>
      </c>
      <c r="W62" t="s">
        <v>1500</v>
      </c>
      <c r="X62">
        <v>12</v>
      </c>
      <c r="Y62" t="s">
        <v>54</v>
      </c>
      <c r="Z62">
        <v>3250</v>
      </c>
      <c r="AA62">
        <v>0</v>
      </c>
      <c r="AB62">
        <v>0</v>
      </c>
      <c r="AC62">
        <v>0</v>
      </c>
      <c r="AD62">
        <v>3250</v>
      </c>
      <c r="AE62">
        <v>270.83333333333331</v>
      </c>
      <c r="AF62">
        <v>3250</v>
      </c>
      <c r="AG62">
        <v>3250</v>
      </c>
      <c r="AH62">
        <v>270.83333333333331</v>
      </c>
      <c r="AI62">
        <v>3250</v>
      </c>
      <c r="AJ62">
        <v>3250</v>
      </c>
      <c r="AK62">
        <v>0</v>
      </c>
      <c r="AL62">
        <v>3250</v>
      </c>
      <c r="AM62">
        <v>3250</v>
      </c>
      <c r="AN62">
        <v>0</v>
      </c>
      <c r="AO62" t="s">
        <v>55</v>
      </c>
      <c r="AP62" t="s">
        <v>1579</v>
      </c>
      <c r="AQ62">
        <v>1</v>
      </c>
    </row>
    <row r="63" spans="1:43" x14ac:dyDescent="0.25">
      <c r="A63" t="s">
        <v>42</v>
      </c>
      <c r="B63" t="s">
        <v>43</v>
      </c>
      <c r="C63" t="s">
        <v>44</v>
      </c>
      <c r="D63" t="s">
        <v>45</v>
      </c>
      <c r="E63">
        <v>14</v>
      </c>
      <c r="F63">
        <v>122</v>
      </c>
      <c r="G63">
        <v>3024</v>
      </c>
      <c r="H63">
        <v>2100</v>
      </c>
      <c r="I63" t="s">
        <v>186</v>
      </c>
      <c r="J63" t="s">
        <v>405</v>
      </c>
      <c r="K63" t="s">
        <v>247</v>
      </c>
      <c r="L63" t="s">
        <v>248</v>
      </c>
      <c r="M63">
        <v>6</v>
      </c>
      <c r="N63" t="s">
        <v>115</v>
      </c>
      <c r="O63">
        <v>2025</v>
      </c>
      <c r="P63">
        <v>2408</v>
      </c>
      <c r="R63" t="s">
        <v>413</v>
      </c>
      <c r="S63" t="s">
        <v>2472</v>
      </c>
      <c r="T63" t="s">
        <v>414</v>
      </c>
      <c r="W63" t="s">
        <v>415</v>
      </c>
      <c r="X63">
        <v>12</v>
      </c>
      <c r="Y63" t="s">
        <v>54</v>
      </c>
      <c r="Z63">
        <v>3690</v>
      </c>
      <c r="AA63">
        <v>0</v>
      </c>
      <c r="AB63">
        <v>0</v>
      </c>
      <c r="AC63">
        <v>0</v>
      </c>
      <c r="AD63">
        <v>3690</v>
      </c>
      <c r="AE63">
        <v>307.5</v>
      </c>
      <c r="AF63">
        <v>3690</v>
      </c>
      <c r="AG63">
        <v>3690</v>
      </c>
      <c r="AH63">
        <v>307.5</v>
      </c>
      <c r="AI63">
        <v>3690</v>
      </c>
      <c r="AJ63">
        <v>3690</v>
      </c>
      <c r="AK63">
        <v>0</v>
      </c>
      <c r="AL63">
        <v>3690</v>
      </c>
      <c r="AM63">
        <v>3690</v>
      </c>
      <c r="AN63">
        <v>3690</v>
      </c>
      <c r="AO63" t="s">
        <v>55</v>
      </c>
      <c r="AP63" t="s">
        <v>416</v>
      </c>
      <c r="AQ63">
        <v>1</v>
      </c>
    </row>
    <row r="64" spans="1:43" x14ac:dyDescent="0.25">
      <c r="A64" t="s">
        <v>42</v>
      </c>
      <c r="B64" t="s">
        <v>43</v>
      </c>
      <c r="C64" t="s">
        <v>44</v>
      </c>
      <c r="D64" t="s">
        <v>45</v>
      </c>
      <c r="E64">
        <v>14</v>
      </c>
      <c r="F64">
        <v>422</v>
      </c>
      <c r="G64">
        <v>3018</v>
      </c>
      <c r="H64">
        <v>4334</v>
      </c>
      <c r="I64" t="s">
        <v>390</v>
      </c>
      <c r="J64" t="s">
        <v>405</v>
      </c>
      <c r="K64" t="s">
        <v>65</v>
      </c>
      <c r="L64" t="s">
        <v>66</v>
      </c>
      <c r="M64">
        <v>12</v>
      </c>
      <c r="N64" t="s">
        <v>60</v>
      </c>
      <c r="O64">
        <v>2022</v>
      </c>
      <c r="P64">
        <v>31010</v>
      </c>
      <c r="R64" t="s">
        <v>417</v>
      </c>
      <c r="S64" t="s">
        <v>2471</v>
      </c>
      <c r="T64" t="s">
        <v>418</v>
      </c>
      <c r="W64" t="s">
        <v>419</v>
      </c>
      <c r="X64">
        <v>12</v>
      </c>
      <c r="Y64" t="s">
        <v>54</v>
      </c>
      <c r="Z64">
        <v>747999.84</v>
      </c>
      <c r="AA64">
        <v>0</v>
      </c>
      <c r="AB64">
        <v>0</v>
      </c>
      <c r="AC64">
        <v>0</v>
      </c>
      <c r="AD64">
        <v>747999.84</v>
      </c>
      <c r="AE64">
        <v>62333.32</v>
      </c>
      <c r="AF64">
        <v>747999.84</v>
      </c>
      <c r="AG64">
        <v>613359.86879999994</v>
      </c>
      <c r="AH64">
        <v>51113.322399999997</v>
      </c>
      <c r="AI64">
        <v>613359.86879999994</v>
      </c>
      <c r="AJ64">
        <v>124666.64</v>
      </c>
      <c r="AK64">
        <v>124666.64</v>
      </c>
      <c r="AL64">
        <v>0</v>
      </c>
      <c r="AM64">
        <v>0</v>
      </c>
      <c r="AN64">
        <v>0</v>
      </c>
      <c r="AO64" t="s">
        <v>55</v>
      </c>
      <c r="AP64" t="s">
        <v>420</v>
      </c>
      <c r="AQ64">
        <v>0.82</v>
      </c>
    </row>
    <row r="65" spans="1:43" x14ac:dyDescent="0.25">
      <c r="A65" t="s">
        <v>42</v>
      </c>
      <c r="B65" t="s">
        <v>43</v>
      </c>
      <c r="C65" t="s">
        <v>44</v>
      </c>
      <c r="D65" t="s">
        <v>45</v>
      </c>
      <c r="E65">
        <v>14</v>
      </c>
      <c r="F65">
        <v>422</v>
      </c>
      <c r="G65">
        <v>3018</v>
      </c>
      <c r="H65">
        <v>4334</v>
      </c>
      <c r="I65" t="s">
        <v>390</v>
      </c>
      <c r="J65" t="s">
        <v>405</v>
      </c>
      <c r="K65" t="s">
        <v>65</v>
      </c>
      <c r="L65" t="s">
        <v>66</v>
      </c>
      <c r="M65">
        <v>12</v>
      </c>
      <c r="N65" t="s">
        <v>60</v>
      </c>
      <c r="O65">
        <v>2022</v>
      </c>
      <c r="P65">
        <v>31014</v>
      </c>
      <c r="Q65" t="s">
        <v>421</v>
      </c>
      <c r="R65" t="s">
        <v>417</v>
      </c>
      <c r="S65" t="s">
        <v>2471</v>
      </c>
      <c r="T65" t="s">
        <v>418</v>
      </c>
      <c r="U65" t="s">
        <v>422</v>
      </c>
      <c r="V65" t="s">
        <v>423</v>
      </c>
      <c r="W65" t="s">
        <v>424</v>
      </c>
      <c r="X65">
        <v>12</v>
      </c>
      <c r="Y65" t="s">
        <v>54</v>
      </c>
      <c r="Z65">
        <v>317999.88</v>
      </c>
      <c r="AA65">
        <v>33911.279999999999</v>
      </c>
      <c r="AB65">
        <v>635999.86</v>
      </c>
      <c r="AC65">
        <v>0</v>
      </c>
      <c r="AD65">
        <v>987911.02</v>
      </c>
      <c r="AE65">
        <v>82325.918333333335</v>
      </c>
      <c r="AF65">
        <v>987911.02</v>
      </c>
      <c r="AG65">
        <v>810087.03639999998</v>
      </c>
      <c r="AH65">
        <v>67507.253033333327</v>
      </c>
      <c r="AI65">
        <v>810087.03639999998</v>
      </c>
      <c r="AJ65">
        <v>1377134.79</v>
      </c>
      <c r="AK65">
        <v>392168.58</v>
      </c>
      <c r="AL65">
        <v>984966.21</v>
      </c>
      <c r="AM65">
        <v>780207.94</v>
      </c>
      <c r="AN65">
        <v>780207.94</v>
      </c>
      <c r="AO65" t="s">
        <v>55</v>
      </c>
      <c r="AP65" t="s">
        <v>420</v>
      </c>
      <c r="AQ65">
        <v>0.82</v>
      </c>
    </row>
    <row r="66" spans="1:43" x14ac:dyDescent="0.25">
      <c r="A66" t="s">
        <v>42</v>
      </c>
      <c r="B66" t="s">
        <v>43</v>
      </c>
      <c r="C66" t="s">
        <v>44</v>
      </c>
      <c r="D66" t="s">
        <v>45</v>
      </c>
      <c r="E66">
        <v>14</v>
      </c>
      <c r="F66">
        <v>422</v>
      </c>
      <c r="G66">
        <v>3018</v>
      </c>
      <c r="H66">
        <v>4318</v>
      </c>
      <c r="I66" t="s">
        <v>57</v>
      </c>
      <c r="J66" t="s">
        <v>1566</v>
      </c>
      <c r="K66" t="s">
        <v>58</v>
      </c>
      <c r="L66" t="s">
        <v>59</v>
      </c>
      <c r="M66">
        <v>12</v>
      </c>
      <c r="N66" t="s">
        <v>60</v>
      </c>
      <c r="O66">
        <v>2025</v>
      </c>
      <c r="P66">
        <v>15460</v>
      </c>
      <c r="R66" t="s">
        <v>1574</v>
      </c>
      <c r="S66" t="s">
        <v>2472</v>
      </c>
      <c r="T66" t="s">
        <v>1575</v>
      </c>
      <c r="X66">
        <v>12</v>
      </c>
      <c r="Y66" t="s">
        <v>54</v>
      </c>
      <c r="Z66">
        <v>9894</v>
      </c>
      <c r="AA66">
        <v>0</v>
      </c>
      <c r="AB66">
        <v>0</v>
      </c>
      <c r="AC66">
        <v>0</v>
      </c>
      <c r="AD66">
        <v>9894</v>
      </c>
      <c r="AE66">
        <v>824.5</v>
      </c>
      <c r="AF66">
        <v>9894</v>
      </c>
      <c r="AG66">
        <v>9894</v>
      </c>
      <c r="AH66">
        <v>824.5</v>
      </c>
      <c r="AI66">
        <v>9894</v>
      </c>
      <c r="AJ66">
        <v>9894</v>
      </c>
      <c r="AK66">
        <v>0</v>
      </c>
      <c r="AL66">
        <v>9894</v>
      </c>
      <c r="AM66">
        <v>0</v>
      </c>
      <c r="AN66">
        <v>0</v>
      </c>
      <c r="AO66" t="s">
        <v>55</v>
      </c>
      <c r="AP66" t="s">
        <v>1576</v>
      </c>
      <c r="AQ66">
        <v>1</v>
      </c>
    </row>
    <row r="67" spans="1:43" x14ac:dyDescent="0.25">
      <c r="A67" t="s">
        <v>42</v>
      </c>
      <c r="B67" t="s">
        <v>43</v>
      </c>
      <c r="C67" t="s">
        <v>44</v>
      </c>
      <c r="D67" t="s">
        <v>45</v>
      </c>
      <c r="E67">
        <v>14</v>
      </c>
      <c r="F67">
        <v>422</v>
      </c>
      <c r="G67">
        <v>3013</v>
      </c>
      <c r="H67">
        <v>2431</v>
      </c>
      <c r="I67" t="s">
        <v>57</v>
      </c>
      <c r="J67" t="s">
        <v>1566</v>
      </c>
      <c r="K67" t="s">
        <v>58</v>
      </c>
      <c r="L67" t="s">
        <v>59</v>
      </c>
      <c r="M67">
        <v>12</v>
      </c>
      <c r="N67" t="s">
        <v>60</v>
      </c>
      <c r="O67">
        <v>2025</v>
      </c>
      <c r="P67">
        <v>15439</v>
      </c>
      <c r="R67" t="s">
        <v>1571</v>
      </c>
      <c r="S67" t="s">
        <v>2472</v>
      </c>
      <c r="T67" t="s">
        <v>1572</v>
      </c>
      <c r="W67" t="s">
        <v>1460</v>
      </c>
      <c r="X67">
        <v>12</v>
      </c>
      <c r="Y67" t="s">
        <v>54</v>
      </c>
      <c r="Z67">
        <v>4287.3999999999996</v>
      </c>
      <c r="AA67">
        <v>0</v>
      </c>
      <c r="AB67">
        <v>0</v>
      </c>
      <c r="AC67">
        <v>0</v>
      </c>
      <c r="AD67">
        <v>4287.3999999999996</v>
      </c>
      <c r="AE67">
        <v>357.2833333333333</v>
      </c>
      <c r="AF67">
        <v>4287.3999999999996</v>
      </c>
      <c r="AG67">
        <v>4287.3999999999996</v>
      </c>
      <c r="AH67">
        <v>357.2833333333333</v>
      </c>
      <c r="AI67">
        <v>4287.3999999999996</v>
      </c>
      <c r="AJ67">
        <v>4287.3999999999996</v>
      </c>
      <c r="AK67">
        <v>0</v>
      </c>
      <c r="AL67">
        <v>4287.3999999999996</v>
      </c>
      <c r="AM67">
        <v>4287.3999999999996</v>
      </c>
      <c r="AN67">
        <v>0</v>
      </c>
      <c r="AO67" t="s">
        <v>55</v>
      </c>
      <c r="AP67" t="s">
        <v>1573</v>
      </c>
      <c r="AQ67">
        <v>1</v>
      </c>
    </row>
    <row r="68" spans="1:43" x14ac:dyDescent="0.25">
      <c r="A68" t="s">
        <v>42</v>
      </c>
      <c r="B68" t="s">
        <v>43</v>
      </c>
      <c r="C68" t="s">
        <v>44</v>
      </c>
      <c r="D68" t="s">
        <v>45</v>
      </c>
      <c r="E68">
        <v>14</v>
      </c>
      <c r="F68">
        <v>422</v>
      </c>
      <c r="G68">
        <v>3023</v>
      </c>
      <c r="H68">
        <v>4321</v>
      </c>
      <c r="I68" t="s">
        <v>57</v>
      </c>
      <c r="J68" t="s">
        <v>439</v>
      </c>
      <c r="K68" t="s">
        <v>58</v>
      </c>
      <c r="L68" t="s">
        <v>59</v>
      </c>
      <c r="M68">
        <v>12</v>
      </c>
      <c r="N68" t="s">
        <v>60</v>
      </c>
      <c r="O68">
        <v>2025</v>
      </c>
      <c r="P68">
        <v>2482</v>
      </c>
      <c r="R68" t="s">
        <v>440</v>
      </c>
      <c r="S68" t="s">
        <v>2472</v>
      </c>
      <c r="T68" t="s">
        <v>441</v>
      </c>
      <c r="W68" t="s">
        <v>442</v>
      </c>
      <c r="X68">
        <v>12</v>
      </c>
      <c r="Y68" t="s">
        <v>54</v>
      </c>
      <c r="Z68">
        <v>2009.6</v>
      </c>
      <c r="AA68">
        <v>0</v>
      </c>
      <c r="AB68">
        <v>0</v>
      </c>
      <c r="AC68">
        <v>0</v>
      </c>
      <c r="AD68">
        <v>2009.6</v>
      </c>
      <c r="AE68">
        <v>167.4666666666667</v>
      </c>
      <c r="AF68">
        <v>2009.6</v>
      </c>
      <c r="AG68">
        <v>2009.6</v>
      </c>
      <c r="AH68">
        <v>167.4666666666667</v>
      </c>
      <c r="AI68">
        <v>2009.6</v>
      </c>
      <c r="AJ68">
        <v>2009.6</v>
      </c>
      <c r="AK68">
        <v>0</v>
      </c>
      <c r="AL68">
        <v>2009.6</v>
      </c>
      <c r="AM68">
        <v>2009.6</v>
      </c>
      <c r="AN68">
        <v>2009.6</v>
      </c>
      <c r="AO68" t="s">
        <v>55</v>
      </c>
      <c r="AP68" t="s">
        <v>443</v>
      </c>
      <c r="AQ68">
        <v>1</v>
      </c>
    </row>
    <row r="69" spans="1:43" x14ac:dyDescent="0.25">
      <c r="A69" t="s">
        <v>42</v>
      </c>
      <c r="B69" t="s">
        <v>43</v>
      </c>
      <c r="C69" t="s">
        <v>44</v>
      </c>
      <c r="D69" t="s">
        <v>45</v>
      </c>
      <c r="E69">
        <v>14</v>
      </c>
      <c r="F69">
        <v>122</v>
      </c>
      <c r="G69">
        <v>3024</v>
      </c>
      <c r="H69">
        <v>2100</v>
      </c>
      <c r="I69" t="s">
        <v>186</v>
      </c>
      <c r="J69" t="s">
        <v>1566</v>
      </c>
      <c r="K69" t="s">
        <v>247</v>
      </c>
      <c r="L69" t="s">
        <v>248</v>
      </c>
      <c r="M69">
        <v>12</v>
      </c>
      <c r="N69" t="s">
        <v>60</v>
      </c>
      <c r="O69">
        <v>2025</v>
      </c>
      <c r="P69">
        <v>15272</v>
      </c>
      <c r="R69" t="s">
        <v>1567</v>
      </c>
      <c r="S69" t="s">
        <v>2472</v>
      </c>
      <c r="T69" t="s">
        <v>1568</v>
      </c>
      <c r="W69" t="s">
        <v>1569</v>
      </c>
      <c r="X69">
        <v>12</v>
      </c>
      <c r="Y69" t="s">
        <v>54</v>
      </c>
      <c r="Z69">
        <v>10000.120000000001</v>
      </c>
      <c r="AA69">
        <v>0</v>
      </c>
      <c r="AB69">
        <v>0</v>
      </c>
      <c r="AC69">
        <v>0</v>
      </c>
      <c r="AD69">
        <v>10000.120000000001</v>
      </c>
      <c r="AE69">
        <v>833.34333333333336</v>
      </c>
      <c r="AF69">
        <v>10000.120000000001</v>
      </c>
      <c r="AG69">
        <v>10000.120000000001</v>
      </c>
      <c r="AH69">
        <v>833.34333333333336</v>
      </c>
      <c r="AI69">
        <v>10000.120000000001</v>
      </c>
      <c r="AJ69">
        <v>10000.120000000001</v>
      </c>
      <c r="AK69">
        <v>0</v>
      </c>
      <c r="AL69">
        <v>10000.120000000001</v>
      </c>
      <c r="AM69">
        <v>10000.120000000001</v>
      </c>
      <c r="AN69">
        <v>0</v>
      </c>
      <c r="AO69" t="s">
        <v>55</v>
      </c>
      <c r="AP69" t="s">
        <v>1570</v>
      </c>
      <c r="AQ69">
        <v>1</v>
      </c>
    </row>
    <row r="70" spans="1:43" x14ac:dyDescent="0.25">
      <c r="A70" t="s">
        <v>42</v>
      </c>
      <c r="B70" t="s">
        <v>43</v>
      </c>
      <c r="C70" t="s">
        <v>44</v>
      </c>
      <c r="D70" t="s">
        <v>45</v>
      </c>
      <c r="E70">
        <v>14</v>
      </c>
      <c r="F70">
        <v>122</v>
      </c>
      <c r="G70">
        <v>3024</v>
      </c>
      <c r="H70">
        <v>2100</v>
      </c>
      <c r="I70" t="s">
        <v>186</v>
      </c>
      <c r="J70" t="s">
        <v>439</v>
      </c>
      <c r="K70" t="s">
        <v>247</v>
      </c>
      <c r="L70" t="s">
        <v>248</v>
      </c>
      <c r="M70">
        <v>6</v>
      </c>
      <c r="N70" t="s">
        <v>115</v>
      </c>
      <c r="O70">
        <v>2025</v>
      </c>
      <c r="P70">
        <v>2475</v>
      </c>
      <c r="R70" t="s">
        <v>450</v>
      </c>
      <c r="S70" t="s">
        <v>2472</v>
      </c>
      <c r="T70" t="s">
        <v>451</v>
      </c>
      <c r="W70" t="s">
        <v>452</v>
      </c>
      <c r="X70">
        <v>12</v>
      </c>
      <c r="Y70" t="s">
        <v>54</v>
      </c>
      <c r="Z70">
        <v>1451.28</v>
      </c>
      <c r="AA70">
        <v>0</v>
      </c>
      <c r="AB70">
        <v>0</v>
      </c>
      <c r="AC70">
        <v>0</v>
      </c>
      <c r="AD70">
        <v>1451.28</v>
      </c>
      <c r="AE70">
        <v>120.94</v>
      </c>
      <c r="AF70">
        <v>1451.28</v>
      </c>
      <c r="AG70">
        <v>1451.28</v>
      </c>
      <c r="AH70">
        <v>120.94</v>
      </c>
      <c r="AI70">
        <v>1451.28</v>
      </c>
      <c r="AJ70">
        <v>1451.28</v>
      </c>
      <c r="AK70">
        <v>0</v>
      </c>
      <c r="AL70">
        <v>1451.28</v>
      </c>
      <c r="AM70">
        <v>1451.28</v>
      </c>
      <c r="AN70">
        <v>1451.28</v>
      </c>
      <c r="AO70" t="s">
        <v>55</v>
      </c>
      <c r="AP70" t="s">
        <v>453</v>
      </c>
      <c r="AQ70">
        <v>1</v>
      </c>
    </row>
    <row r="71" spans="1:43" x14ac:dyDescent="0.25">
      <c r="A71" t="s">
        <v>42</v>
      </c>
      <c r="B71" t="s">
        <v>43</v>
      </c>
      <c r="C71" t="s">
        <v>44</v>
      </c>
      <c r="D71" t="s">
        <v>45</v>
      </c>
      <c r="E71">
        <v>14</v>
      </c>
      <c r="F71">
        <v>122</v>
      </c>
      <c r="G71">
        <v>3024</v>
      </c>
      <c r="H71">
        <v>2100</v>
      </c>
      <c r="I71" t="s">
        <v>186</v>
      </c>
      <c r="J71" t="s">
        <v>439</v>
      </c>
      <c r="K71" t="s">
        <v>247</v>
      </c>
      <c r="L71" t="s">
        <v>248</v>
      </c>
      <c r="M71">
        <v>6</v>
      </c>
      <c r="N71" t="s">
        <v>115</v>
      </c>
      <c r="O71">
        <v>2025</v>
      </c>
      <c r="P71">
        <v>2477</v>
      </c>
      <c r="R71" t="s">
        <v>450</v>
      </c>
      <c r="S71" t="s">
        <v>2472</v>
      </c>
      <c r="T71" s="12" t="s">
        <v>454</v>
      </c>
      <c r="W71" t="s">
        <v>455</v>
      </c>
      <c r="X71">
        <v>12</v>
      </c>
      <c r="Y71" t="s">
        <v>54</v>
      </c>
      <c r="Z71">
        <v>3389.95</v>
      </c>
      <c r="AA71">
        <v>0</v>
      </c>
      <c r="AB71">
        <v>0</v>
      </c>
      <c r="AC71">
        <v>0</v>
      </c>
      <c r="AD71">
        <v>3389.95</v>
      </c>
      <c r="AE71">
        <v>282.49583333333328</v>
      </c>
      <c r="AF71">
        <v>3389.95</v>
      </c>
      <c r="AG71">
        <v>3389.95</v>
      </c>
      <c r="AH71">
        <v>282.49583333333328</v>
      </c>
      <c r="AI71">
        <v>3389.95</v>
      </c>
      <c r="AJ71">
        <v>4841.2299999999996</v>
      </c>
      <c r="AK71">
        <v>1451.28</v>
      </c>
      <c r="AL71">
        <v>3389.95</v>
      </c>
      <c r="AM71">
        <v>3389.95</v>
      </c>
      <c r="AN71">
        <v>3389.95</v>
      </c>
      <c r="AO71" t="s">
        <v>55</v>
      </c>
      <c r="AP71" t="s">
        <v>453</v>
      </c>
      <c r="AQ71">
        <v>1</v>
      </c>
    </row>
    <row r="72" spans="1:43" x14ac:dyDescent="0.25">
      <c r="A72" t="s">
        <v>42</v>
      </c>
      <c r="B72" t="s">
        <v>43</v>
      </c>
      <c r="C72" t="s">
        <v>44</v>
      </c>
      <c r="D72" t="s">
        <v>45</v>
      </c>
      <c r="E72">
        <v>14</v>
      </c>
      <c r="F72">
        <v>122</v>
      </c>
      <c r="G72">
        <v>3024</v>
      </c>
      <c r="H72">
        <v>2100</v>
      </c>
      <c r="I72" t="s">
        <v>186</v>
      </c>
      <c r="J72" t="s">
        <v>361</v>
      </c>
      <c r="K72" t="s">
        <v>247</v>
      </c>
      <c r="L72" t="s">
        <v>248</v>
      </c>
      <c r="M72">
        <v>6</v>
      </c>
      <c r="N72" t="s">
        <v>115</v>
      </c>
      <c r="O72">
        <v>2025</v>
      </c>
      <c r="P72">
        <v>14805</v>
      </c>
      <c r="R72" t="s">
        <v>1563</v>
      </c>
      <c r="S72" t="s">
        <v>2472</v>
      </c>
      <c r="T72" t="s">
        <v>1564</v>
      </c>
      <c r="X72">
        <v>12</v>
      </c>
      <c r="Y72" t="s">
        <v>54</v>
      </c>
      <c r="Z72">
        <v>930</v>
      </c>
      <c r="AA72">
        <v>0</v>
      </c>
      <c r="AB72">
        <v>0</v>
      </c>
      <c r="AC72">
        <v>0</v>
      </c>
      <c r="AD72">
        <v>930</v>
      </c>
      <c r="AE72">
        <v>77.5</v>
      </c>
      <c r="AF72">
        <v>930</v>
      </c>
      <c r="AG72">
        <v>930</v>
      </c>
      <c r="AH72">
        <v>77.5</v>
      </c>
      <c r="AI72">
        <v>930</v>
      </c>
      <c r="AJ72">
        <v>930</v>
      </c>
      <c r="AK72">
        <v>0</v>
      </c>
      <c r="AL72">
        <v>930</v>
      </c>
      <c r="AM72">
        <v>0</v>
      </c>
      <c r="AN72">
        <v>0</v>
      </c>
      <c r="AO72" t="s">
        <v>55</v>
      </c>
      <c r="AP72" t="s">
        <v>1565</v>
      </c>
      <c r="AQ72">
        <v>1</v>
      </c>
    </row>
    <row r="73" spans="1:43" x14ac:dyDescent="0.25">
      <c r="A73" t="s">
        <v>42</v>
      </c>
      <c r="B73" t="s">
        <v>43</v>
      </c>
      <c r="C73" t="s">
        <v>44</v>
      </c>
      <c r="D73" t="s">
        <v>45</v>
      </c>
      <c r="E73">
        <v>14</v>
      </c>
      <c r="F73">
        <v>122</v>
      </c>
      <c r="G73">
        <v>3024</v>
      </c>
      <c r="H73">
        <v>2100</v>
      </c>
      <c r="I73" t="s">
        <v>57</v>
      </c>
      <c r="J73" t="s">
        <v>361</v>
      </c>
      <c r="K73" t="s">
        <v>247</v>
      </c>
      <c r="L73" t="s">
        <v>248</v>
      </c>
      <c r="M73">
        <v>12</v>
      </c>
      <c r="N73" t="s">
        <v>60</v>
      </c>
      <c r="O73">
        <v>2025</v>
      </c>
      <c r="P73">
        <v>14695</v>
      </c>
      <c r="R73" t="s">
        <v>1561</v>
      </c>
      <c r="S73" t="s">
        <v>2472</v>
      </c>
      <c r="T73" t="s">
        <v>1484</v>
      </c>
      <c r="W73" t="s">
        <v>879</v>
      </c>
      <c r="X73">
        <v>12</v>
      </c>
      <c r="Y73" t="s">
        <v>54</v>
      </c>
      <c r="Z73">
        <v>1758.4</v>
      </c>
      <c r="AA73">
        <v>0</v>
      </c>
      <c r="AB73">
        <v>0</v>
      </c>
      <c r="AC73">
        <v>0</v>
      </c>
      <c r="AD73">
        <v>1758.4</v>
      </c>
      <c r="AE73">
        <v>146.5333333333333</v>
      </c>
      <c r="AF73">
        <v>1758.4</v>
      </c>
      <c r="AG73">
        <v>1758.4</v>
      </c>
      <c r="AH73">
        <v>146.5333333333333</v>
      </c>
      <c r="AI73">
        <v>1758.4</v>
      </c>
      <c r="AJ73">
        <v>1758.4</v>
      </c>
      <c r="AK73">
        <v>0</v>
      </c>
      <c r="AL73">
        <v>1758.4</v>
      </c>
      <c r="AM73">
        <v>1758.4</v>
      </c>
      <c r="AN73">
        <v>1758.4</v>
      </c>
      <c r="AO73" t="s">
        <v>55</v>
      </c>
      <c r="AP73" t="s">
        <v>1562</v>
      </c>
      <c r="AQ73">
        <v>1</v>
      </c>
    </row>
    <row r="74" spans="1:43" x14ac:dyDescent="0.25">
      <c r="A74" t="s">
        <v>42</v>
      </c>
      <c r="B74" t="s">
        <v>43</v>
      </c>
      <c r="C74" t="s">
        <v>44</v>
      </c>
      <c r="D74" t="s">
        <v>45</v>
      </c>
      <c r="E74">
        <v>14</v>
      </c>
      <c r="F74">
        <v>422</v>
      </c>
      <c r="G74">
        <v>3013</v>
      </c>
      <c r="H74">
        <v>6178</v>
      </c>
      <c r="I74" t="s">
        <v>186</v>
      </c>
      <c r="J74" t="s">
        <v>439</v>
      </c>
      <c r="K74" t="s">
        <v>491</v>
      </c>
      <c r="L74" t="s">
        <v>492</v>
      </c>
      <c r="M74">
        <v>12</v>
      </c>
      <c r="N74" t="s">
        <v>60</v>
      </c>
      <c r="O74">
        <v>2025</v>
      </c>
      <c r="P74">
        <v>14553</v>
      </c>
      <c r="R74" t="s">
        <v>1553</v>
      </c>
      <c r="S74" t="s">
        <v>2472</v>
      </c>
      <c r="T74" t="s">
        <v>1554</v>
      </c>
      <c r="X74">
        <v>12</v>
      </c>
      <c r="Y74" t="s">
        <v>54</v>
      </c>
      <c r="Z74">
        <v>123280</v>
      </c>
      <c r="AA74">
        <v>0</v>
      </c>
      <c r="AB74">
        <v>0</v>
      </c>
      <c r="AC74">
        <v>0</v>
      </c>
      <c r="AD74">
        <v>123280</v>
      </c>
      <c r="AE74">
        <v>10273.33333333333</v>
      </c>
      <c r="AF74">
        <v>123280</v>
      </c>
      <c r="AG74">
        <v>123280</v>
      </c>
      <c r="AH74">
        <v>10273.33333333333</v>
      </c>
      <c r="AI74">
        <v>123280</v>
      </c>
      <c r="AJ74">
        <v>30000</v>
      </c>
      <c r="AK74">
        <v>0</v>
      </c>
      <c r="AL74">
        <v>30000</v>
      </c>
      <c r="AM74">
        <v>0</v>
      </c>
      <c r="AN74">
        <v>0</v>
      </c>
      <c r="AO74" t="s">
        <v>55</v>
      </c>
      <c r="AP74" t="s">
        <v>1555</v>
      </c>
      <c r="AQ74">
        <v>1</v>
      </c>
    </row>
    <row r="75" spans="1:43" x14ac:dyDescent="0.25">
      <c r="A75" t="s">
        <v>42</v>
      </c>
      <c r="B75" t="s">
        <v>43</v>
      </c>
      <c r="C75" t="s">
        <v>44</v>
      </c>
      <c r="D75" t="s">
        <v>45</v>
      </c>
      <c r="E75">
        <v>14</v>
      </c>
      <c r="F75">
        <v>422</v>
      </c>
      <c r="G75">
        <v>3013</v>
      </c>
      <c r="H75">
        <v>6178</v>
      </c>
      <c r="I75" t="s">
        <v>186</v>
      </c>
      <c r="J75" t="s">
        <v>439</v>
      </c>
      <c r="K75" t="s">
        <v>491</v>
      </c>
      <c r="L75" t="s">
        <v>492</v>
      </c>
      <c r="M75">
        <v>12</v>
      </c>
      <c r="N75" t="s">
        <v>60</v>
      </c>
      <c r="O75">
        <v>2025</v>
      </c>
      <c r="P75">
        <v>14552</v>
      </c>
      <c r="R75" t="s">
        <v>1550</v>
      </c>
      <c r="S75" t="s">
        <v>2472</v>
      </c>
      <c r="T75" t="s">
        <v>1551</v>
      </c>
      <c r="X75">
        <v>12</v>
      </c>
      <c r="Y75" t="s">
        <v>54</v>
      </c>
      <c r="Z75">
        <v>52000</v>
      </c>
      <c r="AA75">
        <v>0</v>
      </c>
      <c r="AB75">
        <v>0</v>
      </c>
      <c r="AC75">
        <v>0</v>
      </c>
      <c r="AD75">
        <v>52000</v>
      </c>
      <c r="AE75">
        <v>4333.333333333333</v>
      </c>
      <c r="AF75">
        <v>52000</v>
      </c>
      <c r="AG75">
        <v>52000</v>
      </c>
      <c r="AH75">
        <v>4333.333333333333</v>
      </c>
      <c r="AI75">
        <v>52000</v>
      </c>
      <c r="AJ75">
        <v>10000</v>
      </c>
      <c r="AK75">
        <v>0</v>
      </c>
      <c r="AL75">
        <v>10000</v>
      </c>
      <c r="AM75">
        <v>0</v>
      </c>
      <c r="AN75">
        <v>0</v>
      </c>
      <c r="AO75" t="s">
        <v>55</v>
      </c>
      <c r="AP75" t="s">
        <v>1552</v>
      </c>
      <c r="AQ75">
        <v>1</v>
      </c>
    </row>
    <row r="76" spans="1:43" x14ac:dyDescent="0.25">
      <c r="A76" t="s">
        <v>42</v>
      </c>
      <c r="B76" t="s">
        <v>43</v>
      </c>
      <c r="C76" t="s">
        <v>44</v>
      </c>
      <c r="D76" t="s">
        <v>45</v>
      </c>
      <c r="E76">
        <v>14</v>
      </c>
      <c r="F76">
        <v>422</v>
      </c>
      <c r="G76">
        <v>3013</v>
      </c>
      <c r="H76">
        <v>6178</v>
      </c>
      <c r="I76" t="s">
        <v>186</v>
      </c>
      <c r="J76" t="s">
        <v>439</v>
      </c>
      <c r="K76" t="s">
        <v>491</v>
      </c>
      <c r="L76" t="s">
        <v>492</v>
      </c>
      <c r="M76">
        <v>12</v>
      </c>
      <c r="N76" t="s">
        <v>60</v>
      </c>
      <c r="O76">
        <v>2025</v>
      </c>
      <c r="P76">
        <v>14554</v>
      </c>
      <c r="R76" t="s">
        <v>1547</v>
      </c>
      <c r="S76" t="s">
        <v>2472</v>
      </c>
      <c r="T76" t="s">
        <v>1548</v>
      </c>
      <c r="X76">
        <v>12</v>
      </c>
      <c r="Y76" t="s">
        <v>54</v>
      </c>
      <c r="Z76">
        <v>1054300</v>
      </c>
      <c r="AA76">
        <v>0</v>
      </c>
      <c r="AB76">
        <v>0</v>
      </c>
      <c r="AC76">
        <v>0</v>
      </c>
      <c r="AD76">
        <v>1054300</v>
      </c>
      <c r="AE76">
        <v>87858.333333333328</v>
      </c>
      <c r="AF76">
        <v>1054300</v>
      </c>
      <c r="AG76">
        <v>1054300</v>
      </c>
      <c r="AH76">
        <v>87858.333333333328</v>
      </c>
      <c r="AI76">
        <v>1054300</v>
      </c>
      <c r="AJ76">
        <v>120000</v>
      </c>
      <c r="AK76">
        <v>0</v>
      </c>
      <c r="AL76">
        <v>120000</v>
      </c>
      <c r="AM76">
        <v>0</v>
      </c>
      <c r="AN76">
        <v>0</v>
      </c>
      <c r="AO76" t="s">
        <v>55</v>
      </c>
      <c r="AP76" t="s">
        <v>1549</v>
      </c>
      <c r="AQ76">
        <v>1</v>
      </c>
    </row>
    <row r="77" spans="1:43" x14ac:dyDescent="0.25">
      <c r="A77" t="s">
        <v>42</v>
      </c>
      <c r="B77" t="s">
        <v>43</v>
      </c>
      <c r="C77" t="s">
        <v>44</v>
      </c>
      <c r="D77" t="s">
        <v>45</v>
      </c>
      <c r="E77">
        <v>14</v>
      </c>
      <c r="F77">
        <v>122</v>
      </c>
      <c r="G77">
        <v>3024</v>
      </c>
      <c r="H77">
        <v>2100</v>
      </c>
      <c r="I77" t="s">
        <v>186</v>
      </c>
      <c r="J77" t="s">
        <v>439</v>
      </c>
      <c r="K77" t="s">
        <v>247</v>
      </c>
      <c r="L77" t="s">
        <v>248</v>
      </c>
      <c r="M77">
        <v>12</v>
      </c>
      <c r="N77" t="s">
        <v>60</v>
      </c>
      <c r="O77">
        <v>2025</v>
      </c>
      <c r="P77">
        <v>14447</v>
      </c>
      <c r="R77" t="s">
        <v>1539</v>
      </c>
      <c r="S77" t="s">
        <v>2472</v>
      </c>
      <c r="T77" t="s">
        <v>1540</v>
      </c>
      <c r="W77" t="s">
        <v>1490</v>
      </c>
      <c r="X77">
        <v>12</v>
      </c>
      <c r="Y77" t="s">
        <v>54</v>
      </c>
      <c r="Z77">
        <v>10550</v>
      </c>
      <c r="AA77">
        <v>0</v>
      </c>
      <c r="AB77">
        <v>0</v>
      </c>
      <c r="AC77">
        <v>0</v>
      </c>
      <c r="AD77">
        <v>10550</v>
      </c>
      <c r="AE77">
        <v>879.16666666666663</v>
      </c>
      <c r="AF77">
        <v>10550</v>
      </c>
      <c r="AG77">
        <v>10550</v>
      </c>
      <c r="AH77">
        <v>879.16666666666663</v>
      </c>
      <c r="AI77">
        <v>10550</v>
      </c>
      <c r="AJ77">
        <v>10550</v>
      </c>
      <c r="AK77">
        <v>0</v>
      </c>
      <c r="AL77">
        <v>10550</v>
      </c>
      <c r="AM77">
        <v>10550</v>
      </c>
      <c r="AN77">
        <v>10550</v>
      </c>
      <c r="AO77" t="s">
        <v>55</v>
      </c>
      <c r="AP77" t="s">
        <v>1541</v>
      </c>
      <c r="AQ77">
        <v>1</v>
      </c>
    </row>
    <row r="78" spans="1:43" x14ac:dyDescent="0.25">
      <c r="A78" t="s">
        <v>42</v>
      </c>
      <c r="B78" t="s">
        <v>43</v>
      </c>
      <c r="C78" t="s">
        <v>44</v>
      </c>
      <c r="D78" t="s">
        <v>45</v>
      </c>
      <c r="E78">
        <v>14</v>
      </c>
      <c r="F78">
        <v>422</v>
      </c>
      <c r="G78">
        <v>3013</v>
      </c>
      <c r="H78">
        <v>2431</v>
      </c>
      <c r="I78" t="s">
        <v>57</v>
      </c>
      <c r="J78" t="s">
        <v>439</v>
      </c>
      <c r="K78" t="s">
        <v>247</v>
      </c>
      <c r="L78" t="s">
        <v>248</v>
      </c>
      <c r="M78">
        <v>12</v>
      </c>
      <c r="N78" t="s">
        <v>60</v>
      </c>
      <c r="O78">
        <v>2025</v>
      </c>
      <c r="P78">
        <v>14393</v>
      </c>
      <c r="R78" t="s">
        <v>1533</v>
      </c>
      <c r="S78" t="s">
        <v>2472</v>
      </c>
      <c r="T78" t="s">
        <v>1534</v>
      </c>
      <c r="X78">
        <v>12</v>
      </c>
      <c r="Y78" t="s">
        <v>54</v>
      </c>
      <c r="Z78">
        <v>2009.6</v>
      </c>
      <c r="AA78">
        <v>0</v>
      </c>
      <c r="AB78">
        <v>0</v>
      </c>
      <c r="AC78">
        <v>0</v>
      </c>
      <c r="AD78">
        <v>2009.6</v>
      </c>
      <c r="AE78">
        <v>167.4666666666667</v>
      </c>
      <c r="AF78">
        <v>2009.6</v>
      </c>
      <c r="AG78">
        <v>2009.6</v>
      </c>
      <c r="AH78">
        <v>167.4666666666667</v>
      </c>
      <c r="AI78">
        <v>2009.6</v>
      </c>
      <c r="AJ78">
        <v>2009.6</v>
      </c>
      <c r="AK78">
        <v>0</v>
      </c>
      <c r="AL78">
        <v>2009.6</v>
      </c>
      <c r="AM78">
        <v>0</v>
      </c>
      <c r="AN78">
        <v>0</v>
      </c>
      <c r="AO78" t="s">
        <v>55</v>
      </c>
      <c r="AP78" t="s">
        <v>1535</v>
      </c>
      <c r="AQ78">
        <v>1</v>
      </c>
    </row>
    <row r="79" spans="1:43" x14ac:dyDescent="0.25">
      <c r="A79" t="s">
        <v>42</v>
      </c>
      <c r="B79" t="s">
        <v>43</v>
      </c>
      <c r="C79" t="s">
        <v>44</v>
      </c>
      <c r="D79" t="s">
        <v>45</v>
      </c>
      <c r="E79">
        <v>14</v>
      </c>
      <c r="F79">
        <v>422</v>
      </c>
      <c r="G79">
        <v>3013</v>
      </c>
      <c r="H79">
        <v>4322</v>
      </c>
      <c r="I79" t="s">
        <v>1220</v>
      </c>
      <c r="J79" t="s">
        <v>439</v>
      </c>
      <c r="K79" t="s">
        <v>65</v>
      </c>
      <c r="L79" t="s">
        <v>66</v>
      </c>
      <c r="M79">
        <v>7</v>
      </c>
      <c r="N79" t="s">
        <v>391</v>
      </c>
      <c r="O79">
        <v>2025</v>
      </c>
      <c r="P79">
        <v>14360</v>
      </c>
      <c r="Q79" t="s">
        <v>1521</v>
      </c>
      <c r="R79" t="s">
        <v>1519</v>
      </c>
      <c r="S79" t="s">
        <v>2472</v>
      </c>
      <c r="T79" t="s">
        <v>1517</v>
      </c>
      <c r="U79" t="s">
        <v>1340</v>
      </c>
      <c r="V79" t="s">
        <v>1429</v>
      </c>
      <c r="W79" t="s">
        <v>1495</v>
      </c>
      <c r="X79">
        <v>12</v>
      </c>
      <c r="Y79" t="s">
        <v>54</v>
      </c>
      <c r="Z79">
        <v>500</v>
      </c>
      <c r="AA79">
        <v>0</v>
      </c>
      <c r="AB79">
        <v>0</v>
      </c>
      <c r="AC79">
        <v>0</v>
      </c>
      <c r="AD79">
        <v>500</v>
      </c>
      <c r="AE79">
        <v>41.666666666666657</v>
      </c>
      <c r="AF79">
        <v>500</v>
      </c>
      <c r="AG79">
        <v>500</v>
      </c>
      <c r="AH79">
        <v>41.666666666666657</v>
      </c>
      <c r="AI79">
        <v>500</v>
      </c>
      <c r="AJ79">
        <v>500</v>
      </c>
      <c r="AK79">
        <v>0</v>
      </c>
      <c r="AL79">
        <v>500</v>
      </c>
      <c r="AM79">
        <v>500</v>
      </c>
      <c r="AN79">
        <v>500</v>
      </c>
      <c r="AO79" t="s">
        <v>55</v>
      </c>
      <c r="AP79" t="s">
        <v>1520</v>
      </c>
      <c r="AQ79">
        <v>1</v>
      </c>
    </row>
    <row r="80" spans="1:43" x14ac:dyDescent="0.25">
      <c r="A80" t="s">
        <v>42</v>
      </c>
      <c r="B80" t="s">
        <v>43</v>
      </c>
      <c r="C80" t="s">
        <v>44</v>
      </c>
      <c r="D80" t="s">
        <v>45</v>
      </c>
      <c r="E80">
        <v>14</v>
      </c>
      <c r="F80">
        <v>122</v>
      </c>
      <c r="G80">
        <v>3024</v>
      </c>
      <c r="H80">
        <v>2100</v>
      </c>
      <c r="I80" t="s">
        <v>57</v>
      </c>
      <c r="J80" t="s">
        <v>483</v>
      </c>
      <c r="K80" t="s">
        <v>58</v>
      </c>
      <c r="L80" t="s">
        <v>59</v>
      </c>
      <c r="M80">
        <v>12</v>
      </c>
      <c r="N80" t="s">
        <v>60</v>
      </c>
      <c r="O80">
        <v>2025</v>
      </c>
      <c r="P80">
        <v>2738</v>
      </c>
      <c r="R80" t="s">
        <v>514</v>
      </c>
      <c r="S80" t="s">
        <v>2472</v>
      </c>
      <c r="T80" t="s">
        <v>515</v>
      </c>
      <c r="W80" t="s">
        <v>251</v>
      </c>
      <c r="X80">
        <v>12</v>
      </c>
      <c r="Y80" t="s">
        <v>54</v>
      </c>
      <c r="Z80">
        <v>4501</v>
      </c>
      <c r="AA80">
        <v>0</v>
      </c>
      <c r="AB80">
        <v>0</v>
      </c>
      <c r="AC80">
        <v>0</v>
      </c>
      <c r="AD80">
        <v>4501</v>
      </c>
      <c r="AE80">
        <v>375.08333333333331</v>
      </c>
      <c r="AF80">
        <v>4501</v>
      </c>
      <c r="AG80">
        <v>4501</v>
      </c>
      <c r="AH80">
        <v>375.08333333333331</v>
      </c>
      <c r="AI80">
        <v>4501</v>
      </c>
      <c r="AJ80">
        <v>4501</v>
      </c>
      <c r="AK80">
        <v>0</v>
      </c>
      <c r="AL80">
        <v>4501</v>
      </c>
      <c r="AM80">
        <v>4501</v>
      </c>
      <c r="AN80">
        <v>4501</v>
      </c>
      <c r="AO80" t="s">
        <v>55</v>
      </c>
      <c r="AP80" t="s">
        <v>516</v>
      </c>
      <c r="AQ80">
        <v>1</v>
      </c>
    </row>
    <row r="81" spans="1:43" x14ac:dyDescent="0.25">
      <c r="A81" t="s">
        <v>42</v>
      </c>
      <c r="B81" t="s">
        <v>43</v>
      </c>
      <c r="C81" t="s">
        <v>44</v>
      </c>
      <c r="D81" t="s">
        <v>45</v>
      </c>
      <c r="E81">
        <v>14</v>
      </c>
      <c r="F81">
        <v>422</v>
      </c>
      <c r="G81">
        <v>3013</v>
      </c>
      <c r="H81">
        <v>4322</v>
      </c>
      <c r="I81" t="s">
        <v>1220</v>
      </c>
      <c r="J81" t="s">
        <v>439</v>
      </c>
      <c r="K81" t="s">
        <v>65</v>
      </c>
      <c r="L81" t="s">
        <v>66</v>
      </c>
      <c r="M81">
        <v>6</v>
      </c>
      <c r="N81" t="s">
        <v>115</v>
      </c>
      <c r="O81">
        <v>2025</v>
      </c>
      <c r="P81">
        <v>14341</v>
      </c>
      <c r="R81" t="s">
        <v>1519</v>
      </c>
      <c r="S81" t="s">
        <v>2472</v>
      </c>
      <c r="T81" t="s">
        <v>1517</v>
      </c>
      <c r="X81">
        <v>12</v>
      </c>
      <c r="Y81" t="s">
        <v>54</v>
      </c>
      <c r="Z81">
        <v>500</v>
      </c>
      <c r="AA81">
        <v>0</v>
      </c>
      <c r="AB81">
        <v>0</v>
      </c>
      <c r="AC81">
        <v>0</v>
      </c>
      <c r="AD81">
        <v>500</v>
      </c>
      <c r="AE81">
        <v>41.666666666666657</v>
      </c>
      <c r="AF81">
        <v>500</v>
      </c>
      <c r="AG81">
        <v>500</v>
      </c>
      <c r="AH81">
        <v>41.666666666666657</v>
      </c>
      <c r="AI81">
        <v>500</v>
      </c>
      <c r="AJ81">
        <v>500</v>
      </c>
      <c r="AK81">
        <v>500</v>
      </c>
      <c r="AL81">
        <v>0</v>
      </c>
      <c r="AM81">
        <v>0</v>
      </c>
      <c r="AN81">
        <v>0</v>
      </c>
      <c r="AO81" t="s">
        <v>55</v>
      </c>
      <c r="AP81" t="s">
        <v>1520</v>
      </c>
      <c r="AQ81">
        <v>1</v>
      </c>
    </row>
    <row r="82" spans="1:43" x14ac:dyDescent="0.25">
      <c r="A82" t="s">
        <v>42</v>
      </c>
      <c r="B82" t="s">
        <v>43</v>
      </c>
      <c r="C82" t="s">
        <v>44</v>
      </c>
      <c r="D82" t="s">
        <v>45</v>
      </c>
      <c r="E82">
        <v>14</v>
      </c>
      <c r="F82">
        <v>122</v>
      </c>
      <c r="G82">
        <v>3024</v>
      </c>
      <c r="H82">
        <v>2100</v>
      </c>
      <c r="I82" t="s">
        <v>57</v>
      </c>
      <c r="J82" t="s">
        <v>439</v>
      </c>
      <c r="K82" t="s">
        <v>247</v>
      </c>
      <c r="L82" t="s">
        <v>248</v>
      </c>
      <c r="M82">
        <v>12</v>
      </c>
      <c r="N82" t="s">
        <v>60</v>
      </c>
      <c r="O82">
        <v>2025</v>
      </c>
      <c r="P82">
        <v>14003</v>
      </c>
      <c r="R82" t="s">
        <v>1483</v>
      </c>
      <c r="S82" t="s">
        <v>2472</v>
      </c>
      <c r="T82" t="s">
        <v>1484</v>
      </c>
      <c r="W82" t="s">
        <v>1409</v>
      </c>
      <c r="X82">
        <v>12</v>
      </c>
      <c r="Y82" t="s">
        <v>54</v>
      </c>
      <c r="Z82">
        <v>2512</v>
      </c>
      <c r="AA82">
        <v>0</v>
      </c>
      <c r="AB82">
        <v>0</v>
      </c>
      <c r="AC82">
        <v>0</v>
      </c>
      <c r="AD82">
        <v>2512</v>
      </c>
      <c r="AE82">
        <v>209.33333333333329</v>
      </c>
      <c r="AF82">
        <v>2512</v>
      </c>
      <c r="AG82">
        <v>2512</v>
      </c>
      <c r="AH82">
        <v>209.33333333333329</v>
      </c>
      <c r="AI82">
        <v>2512</v>
      </c>
      <c r="AJ82">
        <v>2512</v>
      </c>
      <c r="AK82">
        <v>0</v>
      </c>
      <c r="AL82">
        <v>2512</v>
      </c>
      <c r="AM82">
        <v>2512</v>
      </c>
      <c r="AN82">
        <v>2512</v>
      </c>
      <c r="AO82" t="s">
        <v>55</v>
      </c>
      <c r="AP82" t="s">
        <v>1485</v>
      </c>
      <c r="AQ82">
        <v>1</v>
      </c>
    </row>
    <row r="83" spans="1:43" x14ac:dyDescent="0.25">
      <c r="A83" t="s">
        <v>42</v>
      </c>
      <c r="B83" t="s">
        <v>43</v>
      </c>
      <c r="C83" t="s">
        <v>44</v>
      </c>
      <c r="D83" t="s">
        <v>45</v>
      </c>
      <c r="E83">
        <v>14</v>
      </c>
      <c r="F83">
        <v>122</v>
      </c>
      <c r="G83">
        <v>3024</v>
      </c>
      <c r="H83">
        <v>2100</v>
      </c>
      <c r="I83" t="s">
        <v>57</v>
      </c>
      <c r="J83" t="s">
        <v>439</v>
      </c>
      <c r="K83" t="s">
        <v>247</v>
      </c>
      <c r="L83" t="s">
        <v>248</v>
      </c>
      <c r="M83">
        <v>12</v>
      </c>
      <c r="N83" t="s">
        <v>60</v>
      </c>
      <c r="O83">
        <v>2025</v>
      </c>
      <c r="P83">
        <v>13993</v>
      </c>
      <c r="R83" t="s">
        <v>1480</v>
      </c>
      <c r="S83" t="s">
        <v>2472</v>
      </c>
      <c r="T83" t="s">
        <v>1481</v>
      </c>
      <c r="W83" t="s">
        <v>1429</v>
      </c>
      <c r="X83">
        <v>12</v>
      </c>
      <c r="Y83" t="s">
        <v>54</v>
      </c>
      <c r="Z83">
        <v>2512</v>
      </c>
      <c r="AA83">
        <v>0</v>
      </c>
      <c r="AB83">
        <v>0</v>
      </c>
      <c r="AC83">
        <v>0</v>
      </c>
      <c r="AD83">
        <v>2512</v>
      </c>
      <c r="AE83">
        <v>209.33333333333329</v>
      </c>
      <c r="AF83">
        <v>2512</v>
      </c>
      <c r="AG83">
        <v>2512</v>
      </c>
      <c r="AH83">
        <v>209.33333333333329</v>
      </c>
      <c r="AI83">
        <v>2512</v>
      </c>
      <c r="AJ83">
        <v>2512</v>
      </c>
      <c r="AK83">
        <v>0</v>
      </c>
      <c r="AL83">
        <v>2512</v>
      </c>
      <c r="AM83">
        <v>2512</v>
      </c>
      <c r="AN83">
        <v>2512</v>
      </c>
      <c r="AO83" t="s">
        <v>55</v>
      </c>
      <c r="AP83" t="s">
        <v>1482</v>
      </c>
      <c r="AQ83">
        <v>1</v>
      </c>
    </row>
    <row r="84" spans="1:43" x14ac:dyDescent="0.25">
      <c r="A84" t="s">
        <v>42</v>
      </c>
      <c r="B84" t="s">
        <v>43</v>
      </c>
      <c r="C84" t="s">
        <v>44</v>
      </c>
      <c r="D84" t="s">
        <v>45</v>
      </c>
      <c r="E84">
        <v>14</v>
      </c>
      <c r="F84">
        <v>422</v>
      </c>
      <c r="G84">
        <v>3023</v>
      </c>
      <c r="H84">
        <v>4321</v>
      </c>
      <c r="I84" t="s">
        <v>57</v>
      </c>
      <c r="J84" t="s">
        <v>439</v>
      </c>
      <c r="K84" t="s">
        <v>65</v>
      </c>
      <c r="L84" t="s">
        <v>66</v>
      </c>
      <c r="M84">
        <v>6</v>
      </c>
      <c r="N84" t="s">
        <v>115</v>
      </c>
      <c r="O84">
        <v>2025</v>
      </c>
      <c r="P84">
        <v>13644</v>
      </c>
      <c r="R84" t="s">
        <v>1477</v>
      </c>
      <c r="S84" t="s">
        <v>2472</v>
      </c>
      <c r="T84" s="12" t="s">
        <v>1478</v>
      </c>
      <c r="X84">
        <v>12</v>
      </c>
      <c r="Y84" t="s">
        <v>54</v>
      </c>
      <c r="Z84">
        <v>1789215.04</v>
      </c>
      <c r="AA84">
        <v>0</v>
      </c>
      <c r="AB84">
        <v>0</v>
      </c>
      <c r="AC84">
        <v>0</v>
      </c>
      <c r="AD84">
        <v>1789215.04</v>
      </c>
      <c r="AE84">
        <v>149101.2533333333</v>
      </c>
      <c r="AF84">
        <v>1789215.04</v>
      </c>
      <c r="AG84">
        <v>1789215.04</v>
      </c>
      <c r="AH84">
        <v>149101.2533333333</v>
      </c>
      <c r="AI84">
        <v>1789215.04</v>
      </c>
      <c r="AJ84">
        <v>900000</v>
      </c>
      <c r="AK84">
        <v>450000</v>
      </c>
      <c r="AL84">
        <v>450000</v>
      </c>
      <c r="AM84">
        <v>0</v>
      </c>
      <c r="AN84">
        <v>0</v>
      </c>
      <c r="AO84" t="s">
        <v>55</v>
      </c>
      <c r="AP84" t="s">
        <v>1479</v>
      </c>
      <c r="AQ84">
        <v>1</v>
      </c>
    </row>
    <row r="85" spans="1:43" x14ac:dyDescent="0.25">
      <c r="A85" t="s">
        <v>42</v>
      </c>
      <c r="B85" t="s">
        <v>43</v>
      </c>
      <c r="C85" t="s">
        <v>44</v>
      </c>
      <c r="D85" t="s">
        <v>45</v>
      </c>
      <c r="E85">
        <v>14</v>
      </c>
      <c r="F85">
        <v>122</v>
      </c>
      <c r="G85">
        <v>3024</v>
      </c>
      <c r="H85">
        <v>2100</v>
      </c>
      <c r="I85" t="s">
        <v>186</v>
      </c>
      <c r="J85" t="s">
        <v>517</v>
      </c>
      <c r="K85" t="s">
        <v>247</v>
      </c>
      <c r="L85" t="s">
        <v>248</v>
      </c>
      <c r="M85">
        <v>6</v>
      </c>
      <c r="N85" t="s">
        <v>115</v>
      </c>
      <c r="O85">
        <v>2025</v>
      </c>
      <c r="P85">
        <v>2772</v>
      </c>
      <c r="R85" t="s">
        <v>542</v>
      </c>
      <c r="S85" t="s">
        <v>2472</v>
      </c>
      <c r="T85" t="s">
        <v>543</v>
      </c>
      <c r="W85" t="s">
        <v>544</v>
      </c>
      <c r="X85">
        <v>12</v>
      </c>
      <c r="Y85" t="s">
        <v>54</v>
      </c>
      <c r="Z85">
        <v>9995.2000000000007</v>
      </c>
      <c r="AA85">
        <v>0</v>
      </c>
      <c r="AB85">
        <v>0</v>
      </c>
      <c r="AC85">
        <v>0</v>
      </c>
      <c r="AD85">
        <v>9995.2000000000007</v>
      </c>
      <c r="AE85">
        <v>832.93333333333339</v>
      </c>
      <c r="AF85">
        <v>9995.2000000000007</v>
      </c>
      <c r="AG85">
        <v>9995.2000000000007</v>
      </c>
      <c r="AH85">
        <v>832.93333333333339</v>
      </c>
      <c r="AI85">
        <v>9995.2000000000007</v>
      </c>
      <c r="AJ85">
        <v>9995.2000000000007</v>
      </c>
      <c r="AK85">
        <v>0</v>
      </c>
      <c r="AL85">
        <v>9995.2000000000007</v>
      </c>
      <c r="AM85">
        <v>9995.2000000000007</v>
      </c>
      <c r="AN85">
        <v>9995.2000000000007</v>
      </c>
      <c r="AO85" t="s">
        <v>55</v>
      </c>
      <c r="AP85" t="s">
        <v>545</v>
      </c>
      <c r="AQ85">
        <v>1</v>
      </c>
    </row>
    <row r="86" spans="1:43" x14ac:dyDescent="0.25">
      <c r="A86" t="s">
        <v>42</v>
      </c>
      <c r="B86" t="s">
        <v>43</v>
      </c>
      <c r="C86" t="s">
        <v>44</v>
      </c>
      <c r="D86" t="s">
        <v>45</v>
      </c>
      <c r="E86">
        <v>14</v>
      </c>
      <c r="F86">
        <v>122</v>
      </c>
      <c r="G86">
        <v>3024</v>
      </c>
      <c r="H86">
        <v>2100</v>
      </c>
      <c r="I86" t="s">
        <v>186</v>
      </c>
      <c r="J86" t="s">
        <v>483</v>
      </c>
      <c r="K86" t="s">
        <v>247</v>
      </c>
      <c r="L86" t="s">
        <v>248</v>
      </c>
      <c r="M86">
        <v>6</v>
      </c>
      <c r="N86" t="s">
        <v>115</v>
      </c>
      <c r="O86">
        <v>2025</v>
      </c>
      <c r="P86">
        <v>13978</v>
      </c>
      <c r="R86" t="s">
        <v>1474</v>
      </c>
      <c r="S86" t="s">
        <v>2472</v>
      </c>
      <c r="T86" t="s">
        <v>1475</v>
      </c>
      <c r="W86" t="s">
        <v>1429</v>
      </c>
      <c r="X86">
        <v>12</v>
      </c>
      <c r="Y86" t="s">
        <v>54</v>
      </c>
      <c r="Z86">
        <v>6800</v>
      </c>
      <c r="AA86">
        <v>0</v>
      </c>
      <c r="AB86">
        <v>0</v>
      </c>
      <c r="AC86">
        <v>0</v>
      </c>
      <c r="AD86">
        <v>6800</v>
      </c>
      <c r="AE86">
        <v>566.66666666666663</v>
      </c>
      <c r="AF86">
        <v>6800</v>
      </c>
      <c r="AG86">
        <v>6800</v>
      </c>
      <c r="AH86">
        <v>566.66666666666663</v>
      </c>
      <c r="AI86">
        <v>6800</v>
      </c>
      <c r="AJ86">
        <v>6800</v>
      </c>
      <c r="AK86">
        <v>0</v>
      </c>
      <c r="AL86">
        <v>6800</v>
      </c>
      <c r="AM86">
        <v>6800</v>
      </c>
      <c r="AN86">
        <v>6800</v>
      </c>
      <c r="AO86" t="s">
        <v>55</v>
      </c>
      <c r="AP86" t="s">
        <v>1476</v>
      </c>
      <c r="AQ86">
        <v>1</v>
      </c>
    </row>
    <row r="87" spans="1:43" x14ac:dyDescent="0.25">
      <c r="A87" t="s">
        <v>42</v>
      </c>
      <c r="B87" t="s">
        <v>43</v>
      </c>
      <c r="C87" t="s">
        <v>44</v>
      </c>
      <c r="D87" t="s">
        <v>45</v>
      </c>
      <c r="E87">
        <v>14</v>
      </c>
      <c r="F87">
        <v>122</v>
      </c>
      <c r="G87">
        <v>3024</v>
      </c>
      <c r="H87">
        <v>2100</v>
      </c>
      <c r="I87" t="s">
        <v>186</v>
      </c>
      <c r="J87" t="s">
        <v>483</v>
      </c>
      <c r="K87" t="s">
        <v>65</v>
      </c>
      <c r="L87" t="s">
        <v>66</v>
      </c>
      <c r="M87">
        <v>6</v>
      </c>
      <c r="N87" t="s">
        <v>115</v>
      </c>
      <c r="O87">
        <v>2025</v>
      </c>
      <c r="P87">
        <v>13749</v>
      </c>
      <c r="R87" t="s">
        <v>1471</v>
      </c>
      <c r="S87" t="s">
        <v>2472</v>
      </c>
      <c r="T87" t="s">
        <v>1472</v>
      </c>
      <c r="X87">
        <v>12</v>
      </c>
      <c r="Y87" t="s">
        <v>54</v>
      </c>
      <c r="Z87">
        <v>10000</v>
      </c>
      <c r="AA87">
        <v>0</v>
      </c>
      <c r="AB87">
        <v>0</v>
      </c>
      <c r="AC87">
        <v>0</v>
      </c>
      <c r="AD87">
        <v>10000</v>
      </c>
      <c r="AE87">
        <v>833.33333333333337</v>
      </c>
      <c r="AF87">
        <v>10000</v>
      </c>
      <c r="AG87">
        <v>10000</v>
      </c>
      <c r="AH87">
        <v>833.33333333333337</v>
      </c>
      <c r="AI87">
        <v>10000</v>
      </c>
      <c r="AJ87">
        <v>10000</v>
      </c>
      <c r="AK87">
        <v>0</v>
      </c>
      <c r="AL87">
        <v>10000</v>
      </c>
      <c r="AM87">
        <v>0</v>
      </c>
      <c r="AN87">
        <v>0</v>
      </c>
      <c r="AO87" t="s">
        <v>55</v>
      </c>
      <c r="AP87" t="s">
        <v>1473</v>
      </c>
      <c r="AQ87">
        <v>1</v>
      </c>
    </row>
    <row r="88" spans="1:43" x14ac:dyDescent="0.25">
      <c r="A88" t="s">
        <v>42</v>
      </c>
      <c r="B88" t="s">
        <v>43</v>
      </c>
      <c r="C88" t="s">
        <v>44</v>
      </c>
      <c r="D88" t="s">
        <v>45</v>
      </c>
      <c r="E88">
        <v>8</v>
      </c>
      <c r="F88">
        <v>605</v>
      </c>
      <c r="G88">
        <v>3016</v>
      </c>
      <c r="H88">
        <v>4470</v>
      </c>
      <c r="I88" t="s">
        <v>57</v>
      </c>
      <c r="J88" t="s">
        <v>483</v>
      </c>
      <c r="K88" t="s">
        <v>65</v>
      </c>
      <c r="L88" t="s">
        <v>66</v>
      </c>
      <c r="M88">
        <v>12</v>
      </c>
      <c r="N88" t="s">
        <v>60</v>
      </c>
      <c r="O88">
        <v>2025</v>
      </c>
      <c r="P88">
        <v>13641</v>
      </c>
      <c r="R88" t="s">
        <v>1468</v>
      </c>
      <c r="S88" t="s">
        <v>2472</v>
      </c>
      <c r="T88" t="s">
        <v>1469</v>
      </c>
      <c r="X88">
        <v>12</v>
      </c>
      <c r="Y88" t="s">
        <v>54</v>
      </c>
      <c r="Z88">
        <v>63258</v>
      </c>
      <c r="AA88">
        <v>0</v>
      </c>
      <c r="AB88">
        <v>0</v>
      </c>
      <c r="AC88">
        <v>0</v>
      </c>
      <c r="AD88">
        <v>63258</v>
      </c>
      <c r="AE88">
        <v>5271.5</v>
      </c>
      <c r="AF88">
        <v>63258</v>
      </c>
      <c r="AG88">
        <v>63258</v>
      </c>
      <c r="AH88">
        <v>5271.5</v>
      </c>
      <c r="AI88">
        <v>63258</v>
      </c>
      <c r="AJ88">
        <v>63258</v>
      </c>
      <c r="AK88">
        <v>0</v>
      </c>
      <c r="AL88">
        <v>63258</v>
      </c>
      <c r="AM88">
        <v>0</v>
      </c>
      <c r="AN88">
        <v>0</v>
      </c>
      <c r="AO88" t="s">
        <v>55</v>
      </c>
      <c r="AP88" t="s">
        <v>1470</v>
      </c>
      <c r="AQ88">
        <v>1</v>
      </c>
    </row>
    <row r="89" spans="1:43" x14ac:dyDescent="0.25">
      <c r="A89" t="s">
        <v>42</v>
      </c>
      <c r="B89" t="s">
        <v>43</v>
      </c>
      <c r="C89" t="s">
        <v>44</v>
      </c>
      <c r="D89" t="s">
        <v>45</v>
      </c>
      <c r="E89">
        <v>8</v>
      </c>
      <c r="F89">
        <v>605</v>
      </c>
      <c r="G89">
        <v>3016</v>
      </c>
      <c r="H89">
        <v>4470</v>
      </c>
      <c r="I89" t="s">
        <v>186</v>
      </c>
      <c r="J89" t="s">
        <v>517</v>
      </c>
      <c r="K89" t="s">
        <v>247</v>
      </c>
      <c r="L89" t="s">
        <v>248</v>
      </c>
      <c r="M89">
        <v>6</v>
      </c>
      <c r="N89" t="s">
        <v>115</v>
      </c>
      <c r="O89">
        <v>2025</v>
      </c>
      <c r="P89">
        <v>2823</v>
      </c>
      <c r="R89" t="s">
        <v>563</v>
      </c>
      <c r="S89" t="s">
        <v>2472</v>
      </c>
      <c r="T89" t="s">
        <v>564</v>
      </c>
      <c r="W89" t="s">
        <v>565</v>
      </c>
      <c r="X89">
        <v>12</v>
      </c>
      <c r="Y89" t="s">
        <v>54</v>
      </c>
      <c r="Z89">
        <v>15000</v>
      </c>
      <c r="AA89">
        <v>0</v>
      </c>
      <c r="AB89">
        <v>0</v>
      </c>
      <c r="AC89">
        <v>0</v>
      </c>
      <c r="AD89">
        <v>15000</v>
      </c>
      <c r="AE89">
        <v>1250</v>
      </c>
      <c r="AF89">
        <v>15000</v>
      </c>
      <c r="AG89">
        <v>15000</v>
      </c>
      <c r="AH89">
        <v>1250</v>
      </c>
      <c r="AI89">
        <v>15000</v>
      </c>
      <c r="AJ89">
        <v>15000</v>
      </c>
      <c r="AK89">
        <v>0</v>
      </c>
      <c r="AL89">
        <v>15000</v>
      </c>
      <c r="AM89">
        <v>15000</v>
      </c>
      <c r="AN89">
        <v>15000</v>
      </c>
      <c r="AO89" t="s">
        <v>55</v>
      </c>
      <c r="AP89" t="s">
        <v>566</v>
      </c>
      <c r="AQ89">
        <v>1</v>
      </c>
    </row>
    <row r="90" spans="1:43" x14ac:dyDescent="0.25">
      <c r="A90" t="s">
        <v>42</v>
      </c>
      <c r="B90" t="s">
        <v>43</v>
      </c>
      <c r="C90" t="s">
        <v>44</v>
      </c>
      <c r="D90" t="s">
        <v>45</v>
      </c>
      <c r="E90">
        <v>14</v>
      </c>
      <c r="F90">
        <v>422</v>
      </c>
      <c r="G90">
        <v>3013</v>
      </c>
      <c r="H90">
        <v>2053</v>
      </c>
      <c r="I90" t="s">
        <v>186</v>
      </c>
      <c r="J90" t="s">
        <v>483</v>
      </c>
      <c r="K90" t="s">
        <v>491</v>
      </c>
      <c r="L90" t="s">
        <v>492</v>
      </c>
      <c r="M90">
        <v>12</v>
      </c>
      <c r="N90" t="s">
        <v>60</v>
      </c>
      <c r="O90">
        <v>2025</v>
      </c>
      <c r="P90">
        <v>13502</v>
      </c>
      <c r="R90" t="s">
        <v>1465</v>
      </c>
      <c r="S90" t="s">
        <v>2471</v>
      </c>
      <c r="T90" t="s">
        <v>1466</v>
      </c>
      <c r="X90">
        <v>12</v>
      </c>
      <c r="Y90" t="s">
        <v>54</v>
      </c>
      <c r="Z90">
        <v>16727</v>
      </c>
      <c r="AA90">
        <v>0</v>
      </c>
      <c r="AB90">
        <v>0</v>
      </c>
      <c r="AC90">
        <v>0</v>
      </c>
      <c r="AD90">
        <v>16727</v>
      </c>
      <c r="AE90">
        <v>1393.916666666667</v>
      </c>
      <c r="AF90">
        <v>16727</v>
      </c>
      <c r="AG90">
        <v>16727</v>
      </c>
      <c r="AH90">
        <v>1393.916666666667</v>
      </c>
      <c r="AI90">
        <v>16727</v>
      </c>
      <c r="AJ90">
        <v>16727</v>
      </c>
      <c r="AK90">
        <v>0</v>
      </c>
      <c r="AL90">
        <v>16727</v>
      </c>
      <c r="AM90">
        <v>0</v>
      </c>
      <c r="AN90">
        <v>0</v>
      </c>
      <c r="AO90" t="s">
        <v>55</v>
      </c>
      <c r="AP90" t="s">
        <v>1467</v>
      </c>
      <c r="AQ90">
        <v>1</v>
      </c>
    </row>
    <row r="91" spans="1:43" x14ac:dyDescent="0.25">
      <c r="A91" t="s">
        <v>42</v>
      </c>
      <c r="B91" t="s">
        <v>43</v>
      </c>
      <c r="C91" t="s">
        <v>44</v>
      </c>
      <c r="D91" t="s">
        <v>45</v>
      </c>
      <c r="E91">
        <v>8</v>
      </c>
      <c r="F91">
        <v>605</v>
      </c>
      <c r="G91">
        <v>3016</v>
      </c>
      <c r="H91">
        <v>4470</v>
      </c>
      <c r="I91" t="s">
        <v>186</v>
      </c>
      <c r="J91" t="s">
        <v>483</v>
      </c>
      <c r="K91" t="s">
        <v>247</v>
      </c>
      <c r="L91" t="s">
        <v>248</v>
      </c>
      <c r="M91">
        <v>6</v>
      </c>
      <c r="N91" t="s">
        <v>115</v>
      </c>
      <c r="O91">
        <v>2025</v>
      </c>
      <c r="P91">
        <v>13470</v>
      </c>
      <c r="R91" t="s">
        <v>1462</v>
      </c>
      <c r="S91" t="s">
        <v>2472</v>
      </c>
      <c r="T91" t="s">
        <v>1463</v>
      </c>
      <c r="X91">
        <v>12</v>
      </c>
      <c r="Y91" t="s">
        <v>54</v>
      </c>
      <c r="Z91">
        <v>31900</v>
      </c>
      <c r="AA91">
        <v>0</v>
      </c>
      <c r="AB91">
        <v>0</v>
      </c>
      <c r="AC91">
        <v>0</v>
      </c>
      <c r="AD91">
        <v>31900</v>
      </c>
      <c r="AE91">
        <v>2658.333333333333</v>
      </c>
      <c r="AF91">
        <v>31900</v>
      </c>
      <c r="AG91">
        <v>31900</v>
      </c>
      <c r="AH91">
        <v>2658.333333333333</v>
      </c>
      <c r="AI91">
        <v>31900</v>
      </c>
      <c r="AJ91">
        <v>31900</v>
      </c>
      <c r="AK91">
        <v>0</v>
      </c>
      <c r="AL91">
        <v>31900</v>
      </c>
      <c r="AM91">
        <v>0</v>
      </c>
      <c r="AN91">
        <v>0</v>
      </c>
      <c r="AO91" t="s">
        <v>55</v>
      </c>
      <c r="AP91" t="s">
        <v>1464</v>
      </c>
      <c r="AQ91">
        <v>1</v>
      </c>
    </row>
    <row r="92" spans="1:43" x14ac:dyDescent="0.25">
      <c r="A92" t="s">
        <v>42</v>
      </c>
      <c r="B92" t="s">
        <v>43</v>
      </c>
      <c r="C92" t="s">
        <v>44</v>
      </c>
      <c r="D92" t="s">
        <v>45</v>
      </c>
      <c r="E92">
        <v>14</v>
      </c>
      <c r="F92">
        <v>122</v>
      </c>
      <c r="G92">
        <v>3024</v>
      </c>
      <c r="H92">
        <v>2100</v>
      </c>
      <c r="I92" t="s">
        <v>186</v>
      </c>
      <c r="J92" t="s">
        <v>483</v>
      </c>
      <c r="K92" t="s">
        <v>247</v>
      </c>
      <c r="L92" t="s">
        <v>248</v>
      </c>
      <c r="M92">
        <v>6</v>
      </c>
      <c r="N92" t="s">
        <v>115</v>
      </c>
      <c r="O92">
        <v>2025</v>
      </c>
      <c r="P92">
        <v>13479</v>
      </c>
      <c r="R92" t="s">
        <v>1458</v>
      </c>
      <c r="S92" t="s">
        <v>2472</v>
      </c>
      <c r="T92" t="s">
        <v>1459</v>
      </c>
      <c r="W92" t="s">
        <v>1460</v>
      </c>
      <c r="X92">
        <v>12</v>
      </c>
      <c r="Y92" t="s">
        <v>54</v>
      </c>
      <c r="Z92">
        <v>3099</v>
      </c>
      <c r="AA92">
        <v>0</v>
      </c>
      <c r="AB92">
        <v>0</v>
      </c>
      <c r="AC92">
        <v>0</v>
      </c>
      <c r="AD92">
        <v>3099</v>
      </c>
      <c r="AE92">
        <v>258.25</v>
      </c>
      <c r="AF92">
        <v>3099</v>
      </c>
      <c r="AG92">
        <v>3099</v>
      </c>
      <c r="AH92">
        <v>258.25</v>
      </c>
      <c r="AI92">
        <v>3099</v>
      </c>
      <c r="AJ92">
        <v>3099</v>
      </c>
      <c r="AK92">
        <v>0</v>
      </c>
      <c r="AL92">
        <v>3099</v>
      </c>
      <c r="AM92">
        <v>3099</v>
      </c>
      <c r="AN92">
        <v>0</v>
      </c>
      <c r="AO92" t="s">
        <v>55</v>
      </c>
      <c r="AP92" t="s">
        <v>1461</v>
      </c>
      <c r="AQ92">
        <v>1</v>
      </c>
    </row>
    <row r="93" spans="1:43" x14ac:dyDescent="0.25">
      <c r="A93" t="s">
        <v>42</v>
      </c>
      <c r="B93" t="s">
        <v>43</v>
      </c>
      <c r="C93" t="s">
        <v>44</v>
      </c>
      <c r="D93" t="s">
        <v>45</v>
      </c>
      <c r="E93">
        <v>14</v>
      </c>
      <c r="F93">
        <v>422</v>
      </c>
      <c r="G93">
        <v>3013</v>
      </c>
      <c r="H93">
        <v>2053</v>
      </c>
      <c r="I93" t="s">
        <v>390</v>
      </c>
      <c r="J93" t="s">
        <v>483</v>
      </c>
      <c r="K93" t="s">
        <v>65</v>
      </c>
      <c r="L93" t="s">
        <v>66</v>
      </c>
      <c r="M93">
        <v>12</v>
      </c>
      <c r="N93" t="s">
        <v>60</v>
      </c>
      <c r="O93">
        <v>2025</v>
      </c>
      <c r="P93">
        <v>13466</v>
      </c>
      <c r="R93" t="s">
        <v>393</v>
      </c>
      <c r="S93" t="s">
        <v>2471</v>
      </c>
      <c r="T93" t="s">
        <v>394</v>
      </c>
      <c r="X93">
        <v>12</v>
      </c>
      <c r="Y93" t="s">
        <v>54</v>
      </c>
      <c r="Z93">
        <v>3089645.4</v>
      </c>
      <c r="AA93">
        <v>0</v>
      </c>
      <c r="AB93">
        <v>0</v>
      </c>
      <c r="AC93">
        <v>0</v>
      </c>
      <c r="AD93">
        <v>3089645.4</v>
      </c>
      <c r="AE93">
        <v>257470.45</v>
      </c>
      <c r="AF93">
        <v>3089645.4</v>
      </c>
      <c r="AG93">
        <v>1699304.97</v>
      </c>
      <c r="AH93">
        <v>141608.7475</v>
      </c>
      <c r="AI93">
        <v>1699304.97</v>
      </c>
      <c r="AJ93">
        <v>607720.41</v>
      </c>
      <c r="AK93">
        <v>24991</v>
      </c>
      <c r="AL93">
        <v>582729.41</v>
      </c>
      <c r="AM93">
        <v>0</v>
      </c>
      <c r="AN93">
        <v>0</v>
      </c>
      <c r="AO93" t="s">
        <v>55</v>
      </c>
      <c r="AP93" t="s">
        <v>1446</v>
      </c>
      <c r="AQ93">
        <v>0.55000000000000004</v>
      </c>
    </row>
    <row r="94" spans="1:43" x14ac:dyDescent="0.25">
      <c r="A94" t="s">
        <v>42</v>
      </c>
      <c r="B94" t="s">
        <v>43</v>
      </c>
      <c r="C94" t="s">
        <v>44</v>
      </c>
      <c r="D94" t="s">
        <v>45</v>
      </c>
      <c r="E94">
        <v>8</v>
      </c>
      <c r="F94">
        <v>605</v>
      </c>
      <c r="G94">
        <v>3016</v>
      </c>
      <c r="H94">
        <v>4470</v>
      </c>
      <c r="I94" t="s">
        <v>246</v>
      </c>
      <c r="J94" t="s">
        <v>517</v>
      </c>
      <c r="K94" t="s">
        <v>247</v>
      </c>
      <c r="L94" t="s">
        <v>248</v>
      </c>
      <c r="M94">
        <v>6</v>
      </c>
      <c r="N94" t="s">
        <v>115</v>
      </c>
      <c r="O94">
        <v>2025</v>
      </c>
      <c r="P94">
        <v>2987</v>
      </c>
      <c r="R94" t="s">
        <v>593</v>
      </c>
      <c r="S94" t="s">
        <v>2472</v>
      </c>
      <c r="T94" t="s">
        <v>594</v>
      </c>
      <c r="W94" t="s">
        <v>595</v>
      </c>
      <c r="X94">
        <v>12</v>
      </c>
      <c r="Y94" t="s">
        <v>54</v>
      </c>
      <c r="Z94">
        <v>20000</v>
      </c>
      <c r="AA94">
        <v>0</v>
      </c>
      <c r="AB94">
        <v>0</v>
      </c>
      <c r="AC94">
        <v>0</v>
      </c>
      <c r="AD94">
        <v>20000</v>
      </c>
      <c r="AE94">
        <v>1666.666666666667</v>
      </c>
      <c r="AF94">
        <v>20000</v>
      </c>
      <c r="AG94">
        <v>20000</v>
      </c>
      <c r="AH94">
        <v>1666.666666666667</v>
      </c>
      <c r="AI94">
        <v>20000</v>
      </c>
      <c r="AJ94">
        <v>20000</v>
      </c>
      <c r="AK94">
        <v>0</v>
      </c>
      <c r="AL94">
        <v>20000</v>
      </c>
      <c r="AM94">
        <v>20000</v>
      </c>
      <c r="AN94">
        <v>20000</v>
      </c>
      <c r="AO94" t="s">
        <v>55</v>
      </c>
      <c r="AP94" t="s">
        <v>596</v>
      </c>
      <c r="AQ94">
        <v>1</v>
      </c>
    </row>
    <row r="95" spans="1:43" x14ac:dyDescent="0.25">
      <c r="A95" t="s">
        <v>42</v>
      </c>
      <c r="B95" t="s">
        <v>43</v>
      </c>
      <c r="C95" t="s">
        <v>44</v>
      </c>
      <c r="D95" t="s">
        <v>45</v>
      </c>
      <c r="E95">
        <v>14</v>
      </c>
      <c r="F95">
        <v>122</v>
      </c>
      <c r="G95">
        <v>3024</v>
      </c>
      <c r="H95">
        <v>2100</v>
      </c>
      <c r="I95" t="s">
        <v>186</v>
      </c>
      <c r="J95" t="s">
        <v>483</v>
      </c>
      <c r="K95" t="s">
        <v>58</v>
      </c>
      <c r="L95" t="s">
        <v>59</v>
      </c>
      <c r="M95">
        <v>12</v>
      </c>
      <c r="N95" t="s">
        <v>60</v>
      </c>
      <c r="O95">
        <v>2025</v>
      </c>
      <c r="P95">
        <v>13295</v>
      </c>
      <c r="R95" t="s">
        <v>1443</v>
      </c>
      <c r="S95" t="s">
        <v>2472</v>
      </c>
      <c r="T95" t="s">
        <v>1444</v>
      </c>
      <c r="W95" t="s">
        <v>1238</v>
      </c>
      <c r="X95">
        <v>12</v>
      </c>
      <c r="Y95" t="s">
        <v>54</v>
      </c>
      <c r="Z95">
        <v>12002.5</v>
      </c>
      <c r="AA95">
        <v>0</v>
      </c>
      <c r="AB95">
        <v>0</v>
      </c>
      <c r="AC95">
        <v>0</v>
      </c>
      <c r="AD95">
        <v>12002.5</v>
      </c>
      <c r="AE95">
        <v>1000.208333333333</v>
      </c>
      <c r="AF95">
        <v>12002.5</v>
      </c>
      <c r="AG95">
        <v>12002.5</v>
      </c>
      <c r="AH95">
        <v>1000.208333333333</v>
      </c>
      <c r="AI95">
        <v>12002.5</v>
      </c>
      <c r="AJ95">
        <v>12002.5</v>
      </c>
      <c r="AK95">
        <v>0</v>
      </c>
      <c r="AL95">
        <v>12002.5</v>
      </c>
      <c r="AM95">
        <v>0</v>
      </c>
      <c r="AN95">
        <v>0</v>
      </c>
      <c r="AO95" t="s">
        <v>55</v>
      </c>
      <c r="AP95" t="s">
        <v>1445</v>
      </c>
      <c r="AQ95">
        <v>1</v>
      </c>
    </row>
    <row r="96" spans="1:43" x14ac:dyDescent="0.25">
      <c r="A96" t="s">
        <v>42</v>
      </c>
      <c r="B96" t="s">
        <v>43</v>
      </c>
      <c r="C96" t="s">
        <v>44</v>
      </c>
      <c r="D96" t="s">
        <v>45</v>
      </c>
      <c r="E96">
        <v>14</v>
      </c>
      <c r="F96">
        <v>122</v>
      </c>
      <c r="G96">
        <v>3024</v>
      </c>
      <c r="H96">
        <v>2100</v>
      </c>
      <c r="I96" t="s">
        <v>57</v>
      </c>
      <c r="J96" t="s">
        <v>483</v>
      </c>
      <c r="K96" t="s">
        <v>690</v>
      </c>
      <c r="L96" t="s">
        <v>691</v>
      </c>
      <c r="M96">
        <v>6</v>
      </c>
      <c r="N96" t="s">
        <v>115</v>
      </c>
      <c r="O96">
        <v>2025</v>
      </c>
      <c r="P96">
        <v>13251</v>
      </c>
      <c r="R96" t="s">
        <v>1440</v>
      </c>
      <c r="S96" t="s">
        <v>2472</v>
      </c>
      <c r="T96" t="s">
        <v>1441</v>
      </c>
      <c r="X96">
        <v>12</v>
      </c>
      <c r="Y96" t="s">
        <v>54</v>
      </c>
      <c r="Z96">
        <v>1425.75</v>
      </c>
      <c r="AA96">
        <v>0</v>
      </c>
      <c r="AB96">
        <v>0</v>
      </c>
      <c r="AC96">
        <v>0</v>
      </c>
      <c r="AD96">
        <v>1425.75</v>
      </c>
      <c r="AE96">
        <v>118.8125</v>
      </c>
      <c r="AF96">
        <v>1425.75</v>
      </c>
      <c r="AG96">
        <v>1425.75</v>
      </c>
      <c r="AH96">
        <v>118.8125</v>
      </c>
      <c r="AI96">
        <v>1425.75</v>
      </c>
      <c r="AJ96">
        <v>1425.75</v>
      </c>
      <c r="AK96">
        <v>0</v>
      </c>
      <c r="AL96">
        <v>1425.75</v>
      </c>
      <c r="AM96">
        <v>0</v>
      </c>
      <c r="AN96">
        <v>0</v>
      </c>
      <c r="AO96" t="s">
        <v>55</v>
      </c>
      <c r="AP96" t="s">
        <v>1442</v>
      </c>
      <c r="AQ96">
        <v>1</v>
      </c>
    </row>
    <row r="97" spans="1:43" x14ac:dyDescent="0.25">
      <c r="A97" t="s">
        <v>42</v>
      </c>
      <c r="B97" t="s">
        <v>43</v>
      </c>
      <c r="C97" t="s">
        <v>44</v>
      </c>
      <c r="D97" t="s">
        <v>45</v>
      </c>
      <c r="E97">
        <v>14</v>
      </c>
      <c r="F97">
        <v>122</v>
      </c>
      <c r="G97">
        <v>3024</v>
      </c>
      <c r="H97">
        <v>2100</v>
      </c>
      <c r="I97" t="s">
        <v>186</v>
      </c>
      <c r="J97" t="s">
        <v>483</v>
      </c>
      <c r="K97" t="s">
        <v>58</v>
      </c>
      <c r="L97" t="s">
        <v>59</v>
      </c>
      <c r="M97">
        <v>12</v>
      </c>
      <c r="N97" t="s">
        <v>60</v>
      </c>
      <c r="O97">
        <v>2025</v>
      </c>
      <c r="P97">
        <v>13073</v>
      </c>
      <c r="R97" t="s">
        <v>1436</v>
      </c>
      <c r="S97" t="s">
        <v>2472</v>
      </c>
      <c r="T97" t="s">
        <v>1437</v>
      </c>
      <c r="W97" t="s">
        <v>1438</v>
      </c>
      <c r="X97">
        <v>12</v>
      </c>
      <c r="Y97" t="s">
        <v>54</v>
      </c>
      <c r="Z97">
        <v>28000</v>
      </c>
      <c r="AA97">
        <v>0</v>
      </c>
      <c r="AB97">
        <v>0</v>
      </c>
      <c r="AC97">
        <v>0</v>
      </c>
      <c r="AD97">
        <v>28000</v>
      </c>
      <c r="AE97">
        <v>2333.333333333333</v>
      </c>
      <c r="AF97">
        <v>28000</v>
      </c>
      <c r="AG97">
        <v>28000</v>
      </c>
      <c r="AH97">
        <v>2333.333333333333</v>
      </c>
      <c r="AI97">
        <v>28000</v>
      </c>
      <c r="AJ97">
        <v>28000</v>
      </c>
      <c r="AK97">
        <v>0</v>
      </c>
      <c r="AL97">
        <v>28000</v>
      </c>
      <c r="AM97">
        <v>28000</v>
      </c>
      <c r="AN97">
        <v>28000</v>
      </c>
      <c r="AO97" t="s">
        <v>55</v>
      </c>
      <c r="AP97" t="s">
        <v>1439</v>
      </c>
      <c r="AQ97">
        <v>1</v>
      </c>
    </row>
    <row r="98" spans="1:43" x14ac:dyDescent="0.25">
      <c r="A98" t="s">
        <v>42</v>
      </c>
      <c r="B98" t="s">
        <v>43</v>
      </c>
      <c r="C98" t="s">
        <v>44</v>
      </c>
      <c r="D98" t="s">
        <v>45</v>
      </c>
      <c r="E98">
        <v>14</v>
      </c>
      <c r="F98">
        <v>122</v>
      </c>
      <c r="G98">
        <v>3024</v>
      </c>
      <c r="H98">
        <v>2100</v>
      </c>
      <c r="I98" t="s">
        <v>186</v>
      </c>
      <c r="J98" t="s">
        <v>517</v>
      </c>
      <c r="K98" t="s">
        <v>491</v>
      </c>
      <c r="L98" t="s">
        <v>492</v>
      </c>
      <c r="M98">
        <v>12</v>
      </c>
      <c r="N98" t="s">
        <v>60</v>
      </c>
      <c r="O98">
        <v>2025</v>
      </c>
      <c r="P98">
        <v>3121</v>
      </c>
      <c r="R98" t="s">
        <v>618</v>
      </c>
      <c r="S98" t="s">
        <v>2472</v>
      </c>
      <c r="T98" s="12" t="s">
        <v>619</v>
      </c>
      <c r="X98">
        <v>12</v>
      </c>
      <c r="Y98" t="s">
        <v>54</v>
      </c>
      <c r="Z98">
        <v>680</v>
      </c>
      <c r="AA98">
        <v>0</v>
      </c>
      <c r="AB98">
        <v>0</v>
      </c>
      <c r="AC98">
        <v>0</v>
      </c>
      <c r="AD98">
        <v>680</v>
      </c>
      <c r="AE98">
        <v>56.666666666666657</v>
      </c>
      <c r="AF98">
        <v>680</v>
      </c>
      <c r="AG98">
        <v>163.19999999999999</v>
      </c>
      <c r="AH98">
        <v>13.6</v>
      </c>
      <c r="AI98">
        <v>163.19999999999999</v>
      </c>
      <c r="AJ98">
        <v>680</v>
      </c>
      <c r="AK98">
        <v>0</v>
      </c>
      <c r="AL98">
        <v>680</v>
      </c>
      <c r="AM98">
        <v>0</v>
      </c>
      <c r="AN98">
        <v>0</v>
      </c>
      <c r="AO98" t="s">
        <v>55</v>
      </c>
      <c r="AP98" t="s">
        <v>620</v>
      </c>
      <c r="AQ98">
        <v>0.24</v>
      </c>
    </row>
    <row r="99" spans="1:43" x14ac:dyDescent="0.25">
      <c r="A99" t="s">
        <v>42</v>
      </c>
      <c r="B99" t="s">
        <v>43</v>
      </c>
      <c r="C99" t="s">
        <v>44</v>
      </c>
      <c r="D99" t="s">
        <v>45</v>
      </c>
      <c r="E99">
        <v>14</v>
      </c>
      <c r="F99">
        <v>122</v>
      </c>
      <c r="G99">
        <v>3024</v>
      </c>
      <c r="H99">
        <v>2100</v>
      </c>
      <c r="I99" t="s">
        <v>186</v>
      </c>
      <c r="J99" t="s">
        <v>517</v>
      </c>
      <c r="K99" t="s">
        <v>491</v>
      </c>
      <c r="L99" t="s">
        <v>492</v>
      </c>
      <c r="M99">
        <v>12</v>
      </c>
      <c r="N99" t="s">
        <v>60</v>
      </c>
      <c r="O99">
        <v>2025</v>
      </c>
      <c r="P99">
        <v>5047</v>
      </c>
      <c r="R99" t="s">
        <v>618</v>
      </c>
      <c r="S99" t="s">
        <v>2472</v>
      </c>
      <c r="T99" t="s">
        <v>621</v>
      </c>
      <c r="X99">
        <v>12</v>
      </c>
      <c r="Y99" t="s">
        <v>54</v>
      </c>
      <c r="Z99">
        <v>2140</v>
      </c>
      <c r="AA99">
        <v>0</v>
      </c>
      <c r="AB99">
        <v>0</v>
      </c>
      <c r="AC99">
        <v>0</v>
      </c>
      <c r="AD99">
        <v>2140</v>
      </c>
      <c r="AE99">
        <v>178.33333333333329</v>
      </c>
      <c r="AF99">
        <v>2140</v>
      </c>
      <c r="AG99">
        <v>513.6</v>
      </c>
      <c r="AH99">
        <v>42.8</v>
      </c>
      <c r="AI99">
        <v>513.6</v>
      </c>
      <c r="AJ99">
        <v>2140</v>
      </c>
      <c r="AK99">
        <v>0</v>
      </c>
      <c r="AL99">
        <v>2140</v>
      </c>
      <c r="AM99">
        <v>0</v>
      </c>
      <c r="AN99">
        <v>0</v>
      </c>
      <c r="AO99" t="s">
        <v>55</v>
      </c>
      <c r="AP99" t="s">
        <v>620</v>
      </c>
      <c r="AQ99">
        <v>0.24</v>
      </c>
    </row>
    <row r="100" spans="1:43" x14ac:dyDescent="0.25">
      <c r="A100" t="s">
        <v>42</v>
      </c>
      <c r="B100" t="s">
        <v>43</v>
      </c>
      <c r="C100" t="s">
        <v>44</v>
      </c>
      <c r="D100" t="s">
        <v>45</v>
      </c>
      <c r="E100">
        <v>14</v>
      </c>
      <c r="F100">
        <v>122</v>
      </c>
      <c r="G100">
        <v>3024</v>
      </c>
      <c r="H100">
        <v>2100</v>
      </c>
      <c r="I100" t="s">
        <v>186</v>
      </c>
      <c r="J100" t="s">
        <v>483</v>
      </c>
      <c r="K100" t="s">
        <v>58</v>
      </c>
      <c r="L100" t="s">
        <v>59</v>
      </c>
      <c r="M100">
        <v>12</v>
      </c>
      <c r="N100" t="s">
        <v>60</v>
      </c>
      <c r="O100">
        <v>2025</v>
      </c>
      <c r="P100">
        <v>13009</v>
      </c>
      <c r="R100" t="s">
        <v>1432</v>
      </c>
      <c r="S100" t="s">
        <v>2472</v>
      </c>
      <c r="T100" t="s">
        <v>1433</v>
      </c>
      <c r="W100" t="s">
        <v>1434</v>
      </c>
      <c r="X100">
        <v>12</v>
      </c>
      <c r="Y100" t="s">
        <v>54</v>
      </c>
      <c r="Z100">
        <v>600</v>
      </c>
      <c r="AA100">
        <v>0</v>
      </c>
      <c r="AB100">
        <v>0</v>
      </c>
      <c r="AC100">
        <v>0</v>
      </c>
      <c r="AD100">
        <v>600</v>
      </c>
      <c r="AE100">
        <v>50</v>
      </c>
      <c r="AF100">
        <v>600</v>
      </c>
      <c r="AG100">
        <v>600</v>
      </c>
      <c r="AH100">
        <v>50</v>
      </c>
      <c r="AI100">
        <v>600</v>
      </c>
      <c r="AJ100">
        <v>600</v>
      </c>
      <c r="AK100">
        <v>0</v>
      </c>
      <c r="AL100">
        <v>600</v>
      </c>
      <c r="AM100">
        <v>600</v>
      </c>
      <c r="AN100">
        <v>0</v>
      </c>
      <c r="AO100" t="s">
        <v>55</v>
      </c>
      <c r="AP100" t="s">
        <v>1435</v>
      </c>
      <c r="AQ100">
        <v>1</v>
      </c>
    </row>
    <row r="101" spans="1:43" x14ac:dyDescent="0.25">
      <c r="A101" t="s">
        <v>42</v>
      </c>
      <c r="B101" t="s">
        <v>43</v>
      </c>
      <c r="C101" t="s">
        <v>44</v>
      </c>
      <c r="D101" t="s">
        <v>45</v>
      </c>
      <c r="E101">
        <v>14</v>
      </c>
      <c r="F101">
        <v>244</v>
      </c>
      <c r="G101">
        <v>3013</v>
      </c>
      <c r="H101">
        <v>4329</v>
      </c>
      <c r="I101" t="s">
        <v>46</v>
      </c>
      <c r="J101" t="s">
        <v>517</v>
      </c>
      <c r="K101" t="s">
        <v>48</v>
      </c>
      <c r="L101" t="s">
        <v>49</v>
      </c>
      <c r="M101">
        <v>8</v>
      </c>
      <c r="N101" t="s">
        <v>50</v>
      </c>
      <c r="O101">
        <v>2025</v>
      </c>
      <c r="P101">
        <v>1650</v>
      </c>
      <c r="R101" t="s">
        <v>630</v>
      </c>
      <c r="S101" t="s">
        <v>2471</v>
      </c>
      <c r="T101" s="12" t="s">
        <v>631</v>
      </c>
      <c r="W101" t="s">
        <v>53</v>
      </c>
      <c r="X101">
        <v>12</v>
      </c>
      <c r="Y101" t="s">
        <v>54</v>
      </c>
      <c r="Z101">
        <v>695200</v>
      </c>
      <c r="AA101">
        <v>0</v>
      </c>
      <c r="AB101">
        <v>3572800</v>
      </c>
      <c r="AC101">
        <v>0</v>
      </c>
      <c r="AD101">
        <v>4268000</v>
      </c>
      <c r="AE101">
        <v>355666.66666666669</v>
      </c>
      <c r="AF101">
        <v>4268000</v>
      </c>
      <c r="AG101">
        <v>682880</v>
      </c>
      <c r="AH101">
        <v>56906.666666666672</v>
      </c>
      <c r="AI101">
        <v>682880</v>
      </c>
      <c r="AJ101">
        <v>4268000</v>
      </c>
      <c r="AK101">
        <v>0</v>
      </c>
      <c r="AL101">
        <v>4268000</v>
      </c>
      <c r="AM101">
        <v>4202400</v>
      </c>
      <c r="AN101">
        <v>3473200</v>
      </c>
      <c r="AO101" t="s">
        <v>55</v>
      </c>
      <c r="AP101" t="s">
        <v>632</v>
      </c>
      <c r="AQ101">
        <v>0.16</v>
      </c>
    </row>
    <row r="102" spans="1:43" x14ac:dyDescent="0.25">
      <c r="A102" t="s">
        <v>42</v>
      </c>
      <c r="B102" t="s">
        <v>43</v>
      </c>
      <c r="C102" t="s">
        <v>44</v>
      </c>
      <c r="D102" t="s">
        <v>45</v>
      </c>
      <c r="E102">
        <v>14</v>
      </c>
      <c r="F102">
        <v>422</v>
      </c>
      <c r="G102">
        <v>3018</v>
      </c>
      <c r="H102">
        <v>4319</v>
      </c>
      <c r="I102" t="s">
        <v>1411</v>
      </c>
      <c r="J102" t="s">
        <v>483</v>
      </c>
      <c r="K102" t="s">
        <v>1153</v>
      </c>
      <c r="L102" t="s">
        <v>1154</v>
      </c>
      <c r="M102">
        <v>8</v>
      </c>
      <c r="N102" t="s">
        <v>50</v>
      </c>
      <c r="O102">
        <v>2025</v>
      </c>
      <c r="P102">
        <v>12899</v>
      </c>
      <c r="R102" t="s">
        <v>1412</v>
      </c>
      <c r="S102" t="s">
        <v>2472</v>
      </c>
      <c r="T102" t="s">
        <v>1413</v>
      </c>
      <c r="W102" t="s">
        <v>498</v>
      </c>
      <c r="X102">
        <v>12</v>
      </c>
      <c r="Y102" t="s">
        <v>54</v>
      </c>
      <c r="Z102">
        <v>15000</v>
      </c>
      <c r="AA102">
        <v>0</v>
      </c>
      <c r="AB102">
        <v>0</v>
      </c>
      <c r="AC102">
        <v>4680</v>
      </c>
      <c r="AD102">
        <v>10320</v>
      </c>
      <c r="AE102">
        <v>860</v>
      </c>
      <c r="AF102">
        <v>10320</v>
      </c>
      <c r="AG102">
        <v>10320</v>
      </c>
      <c r="AH102">
        <v>860</v>
      </c>
      <c r="AI102">
        <v>10320</v>
      </c>
      <c r="AJ102">
        <v>15000</v>
      </c>
      <c r="AK102">
        <v>4680</v>
      </c>
      <c r="AL102">
        <v>10320</v>
      </c>
      <c r="AM102">
        <v>10320</v>
      </c>
      <c r="AN102">
        <v>10320</v>
      </c>
      <c r="AO102" t="s">
        <v>55</v>
      </c>
      <c r="AP102" t="s">
        <v>1414</v>
      </c>
      <c r="AQ102">
        <v>1</v>
      </c>
    </row>
    <row r="103" spans="1:43" x14ac:dyDescent="0.25">
      <c r="A103" t="s">
        <v>42</v>
      </c>
      <c r="B103" t="s">
        <v>43</v>
      </c>
      <c r="C103" t="s">
        <v>44</v>
      </c>
      <c r="D103" t="s">
        <v>45</v>
      </c>
      <c r="E103">
        <v>14</v>
      </c>
      <c r="F103">
        <v>422</v>
      </c>
      <c r="G103">
        <v>3013</v>
      </c>
      <c r="H103">
        <v>4322</v>
      </c>
      <c r="I103" t="s">
        <v>57</v>
      </c>
      <c r="J103" t="s">
        <v>361</v>
      </c>
      <c r="K103" t="s">
        <v>58</v>
      </c>
      <c r="L103" t="s">
        <v>59</v>
      </c>
      <c r="M103">
        <v>12</v>
      </c>
      <c r="N103" t="s">
        <v>60</v>
      </c>
      <c r="O103">
        <v>2025</v>
      </c>
      <c r="P103">
        <v>12748</v>
      </c>
      <c r="R103" t="s">
        <v>1402</v>
      </c>
      <c r="S103" t="s">
        <v>2472</v>
      </c>
      <c r="T103" t="s">
        <v>1403</v>
      </c>
      <c r="W103" t="s">
        <v>1404</v>
      </c>
      <c r="X103">
        <v>12</v>
      </c>
      <c r="Y103" t="s">
        <v>54</v>
      </c>
      <c r="Z103">
        <v>6596</v>
      </c>
      <c r="AA103">
        <v>0</v>
      </c>
      <c r="AB103">
        <v>0</v>
      </c>
      <c r="AC103">
        <v>0</v>
      </c>
      <c r="AD103">
        <v>6596</v>
      </c>
      <c r="AE103">
        <v>549.66666666666663</v>
      </c>
      <c r="AF103">
        <v>6596</v>
      </c>
      <c r="AG103">
        <v>6596</v>
      </c>
      <c r="AH103">
        <v>549.66666666666663</v>
      </c>
      <c r="AI103">
        <v>6596</v>
      </c>
      <c r="AJ103">
        <v>6596</v>
      </c>
      <c r="AK103">
        <v>0</v>
      </c>
      <c r="AL103">
        <v>6596</v>
      </c>
      <c r="AM103">
        <v>6596</v>
      </c>
      <c r="AN103">
        <v>0</v>
      </c>
      <c r="AO103" t="s">
        <v>55</v>
      </c>
      <c r="AP103" t="s">
        <v>1405</v>
      </c>
      <c r="AQ103">
        <v>1</v>
      </c>
    </row>
    <row r="104" spans="1:43" x14ac:dyDescent="0.25">
      <c r="A104" t="s">
        <v>42</v>
      </c>
      <c r="B104" t="s">
        <v>43</v>
      </c>
      <c r="C104" t="s">
        <v>44</v>
      </c>
      <c r="D104" t="s">
        <v>45</v>
      </c>
      <c r="E104">
        <v>14</v>
      </c>
      <c r="F104">
        <v>422</v>
      </c>
      <c r="G104">
        <v>3013</v>
      </c>
      <c r="H104">
        <v>4322</v>
      </c>
      <c r="I104" t="s">
        <v>57</v>
      </c>
      <c r="J104" t="s">
        <v>361</v>
      </c>
      <c r="K104" t="s">
        <v>58</v>
      </c>
      <c r="L104" t="s">
        <v>59</v>
      </c>
      <c r="M104">
        <v>12</v>
      </c>
      <c r="N104" t="s">
        <v>60</v>
      </c>
      <c r="O104">
        <v>2025</v>
      </c>
      <c r="P104">
        <v>12657</v>
      </c>
      <c r="R104" t="s">
        <v>1399</v>
      </c>
      <c r="S104" t="s">
        <v>2472</v>
      </c>
      <c r="T104" t="s">
        <v>1400</v>
      </c>
      <c r="W104" t="s">
        <v>1336</v>
      </c>
      <c r="X104">
        <v>12</v>
      </c>
      <c r="Y104" t="s">
        <v>54</v>
      </c>
      <c r="Z104">
        <v>1632.8</v>
      </c>
      <c r="AA104">
        <v>0</v>
      </c>
      <c r="AB104">
        <v>0</v>
      </c>
      <c r="AC104">
        <v>0</v>
      </c>
      <c r="AD104">
        <v>1632.8</v>
      </c>
      <c r="AE104">
        <v>136.06666666666669</v>
      </c>
      <c r="AF104">
        <v>1632.8</v>
      </c>
      <c r="AG104">
        <v>1632.8</v>
      </c>
      <c r="AH104">
        <v>136.06666666666669</v>
      </c>
      <c r="AI104">
        <v>1632.8</v>
      </c>
      <c r="AJ104">
        <v>1632.8</v>
      </c>
      <c r="AK104">
        <v>0</v>
      </c>
      <c r="AL104">
        <v>1632.8</v>
      </c>
      <c r="AM104">
        <v>1632.8</v>
      </c>
      <c r="AN104">
        <v>1632.8</v>
      </c>
      <c r="AO104" t="s">
        <v>55</v>
      </c>
      <c r="AP104" t="s">
        <v>1401</v>
      </c>
      <c r="AQ104">
        <v>1</v>
      </c>
    </row>
    <row r="105" spans="1:43" x14ac:dyDescent="0.25">
      <c r="A105" t="s">
        <v>42</v>
      </c>
      <c r="B105" t="s">
        <v>43</v>
      </c>
      <c r="C105" t="s">
        <v>44</v>
      </c>
      <c r="D105" t="s">
        <v>45</v>
      </c>
      <c r="E105">
        <v>14</v>
      </c>
      <c r="F105">
        <v>422</v>
      </c>
      <c r="G105">
        <v>3013</v>
      </c>
      <c r="H105">
        <v>2053</v>
      </c>
      <c r="I105" t="s">
        <v>186</v>
      </c>
      <c r="J105" t="s">
        <v>361</v>
      </c>
      <c r="K105" t="s">
        <v>247</v>
      </c>
      <c r="L105" t="s">
        <v>248</v>
      </c>
      <c r="M105">
        <v>6</v>
      </c>
      <c r="N105" t="s">
        <v>115</v>
      </c>
      <c r="O105">
        <v>2025</v>
      </c>
      <c r="P105">
        <v>12500</v>
      </c>
      <c r="R105" t="s">
        <v>1395</v>
      </c>
      <c r="S105" t="s">
        <v>2472</v>
      </c>
      <c r="T105" t="s">
        <v>1396</v>
      </c>
      <c r="W105" t="s">
        <v>1397</v>
      </c>
      <c r="X105">
        <v>12</v>
      </c>
      <c r="Y105" t="s">
        <v>54</v>
      </c>
      <c r="Z105">
        <v>10998.9</v>
      </c>
      <c r="AA105">
        <v>0</v>
      </c>
      <c r="AB105">
        <v>0</v>
      </c>
      <c r="AC105">
        <v>0</v>
      </c>
      <c r="AD105">
        <v>10998.9</v>
      </c>
      <c r="AE105">
        <v>916.57499999999993</v>
      </c>
      <c r="AF105">
        <v>10998.9</v>
      </c>
      <c r="AG105">
        <v>10998.9</v>
      </c>
      <c r="AH105">
        <v>916.57499999999993</v>
      </c>
      <c r="AI105">
        <v>10998.9</v>
      </c>
      <c r="AJ105">
        <v>10998.9</v>
      </c>
      <c r="AK105">
        <v>0</v>
      </c>
      <c r="AL105">
        <v>10998.9</v>
      </c>
      <c r="AM105">
        <v>10998.9</v>
      </c>
      <c r="AN105">
        <v>0</v>
      </c>
      <c r="AO105" t="s">
        <v>55</v>
      </c>
      <c r="AP105" t="s">
        <v>1398</v>
      </c>
      <c r="AQ105">
        <v>1</v>
      </c>
    </row>
    <row r="106" spans="1:43" x14ac:dyDescent="0.25">
      <c r="A106" t="s">
        <v>42</v>
      </c>
      <c r="B106" t="s">
        <v>43</v>
      </c>
      <c r="C106" t="s">
        <v>44</v>
      </c>
      <c r="D106" t="s">
        <v>45</v>
      </c>
      <c r="E106">
        <v>14</v>
      </c>
      <c r="F106">
        <v>422</v>
      </c>
      <c r="G106">
        <v>3013</v>
      </c>
      <c r="H106">
        <v>2053</v>
      </c>
      <c r="I106" t="s">
        <v>57</v>
      </c>
      <c r="J106" t="s">
        <v>361</v>
      </c>
      <c r="K106" t="s">
        <v>65</v>
      </c>
      <c r="L106" t="s">
        <v>66</v>
      </c>
      <c r="M106">
        <v>6</v>
      </c>
      <c r="N106" t="s">
        <v>115</v>
      </c>
      <c r="O106">
        <v>2025</v>
      </c>
      <c r="P106">
        <v>12366</v>
      </c>
      <c r="R106" t="s">
        <v>1392</v>
      </c>
      <c r="S106" t="s">
        <v>2471</v>
      </c>
      <c r="T106" t="s">
        <v>1393</v>
      </c>
      <c r="X106">
        <v>12</v>
      </c>
      <c r="Y106" t="s">
        <v>54</v>
      </c>
      <c r="Z106">
        <v>2997</v>
      </c>
      <c r="AA106">
        <v>0</v>
      </c>
      <c r="AB106">
        <v>0</v>
      </c>
      <c r="AC106">
        <v>0</v>
      </c>
      <c r="AD106">
        <v>2997</v>
      </c>
      <c r="AE106">
        <v>249.75</v>
      </c>
      <c r="AF106">
        <v>2997</v>
      </c>
      <c r="AG106">
        <v>2997</v>
      </c>
      <c r="AH106">
        <v>249.75</v>
      </c>
      <c r="AI106">
        <v>2997</v>
      </c>
      <c r="AJ106">
        <v>2997</v>
      </c>
      <c r="AK106">
        <v>0</v>
      </c>
      <c r="AL106">
        <v>2997</v>
      </c>
      <c r="AM106">
        <v>0</v>
      </c>
      <c r="AN106">
        <v>0</v>
      </c>
      <c r="AO106" t="s">
        <v>55</v>
      </c>
      <c r="AP106" t="s">
        <v>1394</v>
      </c>
      <c r="AQ106">
        <v>1</v>
      </c>
    </row>
    <row r="107" spans="1:43" x14ac:dyDescent="0.25">
      <c r="A107" t="s">
        <v>42</v>
      </c>
      <c r="B107" t="s">
        <v>43</v>
      </c>
      <c r="C107" t="s">
        <v>44</v>
      </c>
      <c r="D107" t="s">
        <v>45</v>
      </c>
      <c r="E107">
        <v>14</v>
      </c>
      <c r="F107">
        <v>422</v>
      </c>
      <c r="G107">
        <v>3013</v>
      </c>
      <c r="H107">
        <v>2053</v>
      </c>
      <c r="I107" t="s">
        <v>186</v>
      </c>
      <c r="J107" t="s">
        <v>361</v>
      </c>
      <c r="K107" t="s">
        <v>247</v>
      </c>
      <c r="L107" t="s">
        <v>248</v>
      </c>
      <c r="M107">
        <v>6</v>
      </c>
      <c r="N107" t="s">
        <v>115</v>
      </c>
      <c r="O107">
        <v>2025</v>
      </c>
      <c r="P107">
        <v>11743</v>
      </c>
      <c r="R107" t="s">
        <v>1354</v>
      </c>
      <c r="S107" t="s">
        <v>2472</v>
      </c>
      <c r="T107" t="s">
        <v>1355</v>
      </c>
      <c r="W107" t="s">
        <v>1352</v>
      </c>
      <c r="X107">
        <v>12</v>
      </c>
      <c r="Y107" t="s">
        <v>54</v>
      </c>
      <c r="Z107">
        <v>30000</v>
      </c>
      <c r="AA107">
        <v>0</v>
      </c>
      <c r="AB107">
        <v>0</v>
      </c>
      <c r="AC107">
        <v>0</v>
      </c>
      <c r="AD107">
        <v>30000</v>
      </c>
      <c r="AE107">
        <v>2500</v>
      </c>
      <c r="AF107">
        <v>30000</v>
      </c>
      <c r="AG107">
        <v>30000</v>
      </c>
      <c r="AH107">
        <v>2500</v>
      </c>
      <c r="AI107">
        <v>30000</v>
      </c>
      <c r="AJ107">
        <v>30000</v>
      </c>
      <c r="AK107">
        <v>0</v>
      </c>
      <c r="AL107">
        <v>30000</v>
      </c>
      <c r="AM107">
        <v>30000</v>
      </c>
      <c r="AN107">
        <v>30000</v>
      </c>
      <c r="AO107" t="s">
        <v>55</v>
      </c>
      <c r="AP107" t="s">
        <v>1356</v>
      </c>
      <c r="AQ107">
        <v>1</v>
      </c>
    </row>
    <row r="108" spans="1:43" x14ac:dyDescent="0.25">
      <c r="A108" t="s">
        <v>42</v>
      </c>
      <c r="B108" t="s">
        <v>43</v>
      </c>
      <c r="C108" t="s">
        <v>44</v>
      </c>
      <c r="D108" t="s">
        <v>45</v>
      </c>
      <c r="E108">
        <v>14</v>
      </c>
      <c r="F108">
        <v>422</v>
      </c>
      <c r="G108">
        <v>3013</v>
      </c>
      <c r="H108">
        <v>2053</v>
      </c>
      <c r="I108" t="s">
        <v>186</v>
      </c>
      <c r="J108" t="s">
        <v>361</v>
      </c>
      <c r="K108" t="s">
        <v>247</v>
      </c>
      <c r="L108" t="s">
        <v>248</v>
      </c>
      <c r="M108">
        <v>6</v>
      </c>
      <c r="N108" t="s">
        <v>115</v>
      </c>
      <c r="O108">
        <v>2025</v>
      </c>
      <c r="P108">
        <v>11667</v>
      </c>
      <c r="R108" t="s">
        <v>1350</v>
      </c>
      <c r="S108" t="s">
        <v>2472</v>
      </c>
      <c r="T108" s="12" t="s">
        <v>1351</v>
      </c>
      <c r="W108" t="s">
        <v>1352</v>
      </c>
      <c r="X108">
        <v>12</v>
      </c>
      <c r="Y108" t="s">
        <v>54</v>
      </c>
      <c r="Z108">
        <v>1499.85</v>
      </c>
      <c r="AA108">
        <v>0</v>
      </c>
      <c r="AB108">
        <v>0</v>
      </c>
      <c r="AC108">
        <v>0</v>
      </c>
      <c r="AD108">
        <v>1499.85</v>
      </c>
      <c r="AE108">
        <v>124.9875</v>
      </c>
      <c r="AF108">
        <v>1499.85</v>
      </c>
      <c r="AG108">
        <v>1499.85</v>
      </c>
      <c r="AH108">
        <v>124.9875</v>
      </c>
      <c r="AI108">
        <v>1499.85</v>
      </c>
      <c r="AJ108">
        <v>1499.85</v>
      </c>
      <c r="AK108">
        <v>0</v>
      </c>
      <c r="AL108">
        <v>1499.85</v>
      </c>
      <c r="AM108">
        <v>1499.85</v>
      </c>
      <c r="AN108">
        <v>1499.85</v>
      </c>
      <c r="AO108" t="s">
        <v>55</v>
      </c>
      <c r="AP108" t="s">
        <v>1353</v>
      </c>
      <c r="AQ108">
        <v>1</v>
      </c>
    </row>
    <row r="109" spans="1:43" x14ac:dyDescent="0.25">
      <c r="A109" t="s">
        <v>42</v>
      </c>
      <c r="B109" t="s">
        <v>43</v>
      </c>
      <c r="C109" t="s">
        <v>44</v>
      </c>
      <c r="D109" t="s">
        <v>45</v>
      </c>
      <c r="E109">
        <v>14</v>
      </c>
      <c r="F109">
        <v>122</v>
      </c>
      <c r="G109">
        <v>3024</v>
      </c>
      <c r="H109">
        <v>2100</v>
      </c>
      <c r="I109" t="s">
        <v>186</v>
      </c>
      <c r="J109" t="s">
        <v>1240</v>
      </c>
      <c r="K109" t="s">
        <v>58</v>
      </c>
      <c r="L109" t="s">
        <v>59</v>
      </c>
      <c r="M109">
        <v>12</v>
      </c>
      <c r="N109" t="s">
        <v>60</v>
      </c>
      <c r="O109">
        <v>2025</v>
      </c>
      <c r="P109">
        <v>11683</v>
      </c>
      <c r="R109" t="s">
        <v>1346</v>
      </c>
      <c r="S109" t="s">
        <v>2472</v>
      </c>
      <c r="T109" t="s">
        <v>1347</v>
      </c>
      <c r="W109" t="s">
        <v>1348</v>
      </c>
      <c r="X109">
        <v>12</v>
      </c>
      <c r="Y109" t="s">
        <v>54</v>
      </c>
      <c r="Z109">
        <v>100</v>
      </c>
      <c r="AA109">
        <v>0</v>
      </c>
      <c r="AB109">
        <v>0</v>
      </c>
      <c r="AC109">
        <v>0</v>
      </c>
      <c r="AD109">
        <v>100</v>
      </c>
      <c r="AE109">
        <v>8.3333333333333339</v>
      </c>
      <c r="AF109">
        <v>100</v>
      </c>
      <c r="AG109">
        <v>0</v>
      </c>
      <c r="AH109">
        <v>0</v>
      </c>
      <c r="AI109">
        <v>0</v>
      </c>
      <c r="AJ109">
        <v>100</v>
      </c>
      <c r="AK109">
        <v>0</v>
      </c>
      <c r="AL109">
        <v>100</v>
      </c>
      <c r="AM109">
        <v>100</v>
      </c>
      <c r="AN109">
        <v>100</v>
      </c>
      <c r="AO109" t="s">
        <v>55</v>
      </c>
      <c r="AP109" t="s">
        <v>1349</v>
      </c>
      <c r="AQ109">
        <v>0</v>
      </c>
    </row>
    <row r="110" spans="1:43" x14ac:dyDescent="0.25">
      <c r="A110" t="s">
        <v>42</v>
      </c>
      <c r="B110" t="s">
        <v>43</v>
      </c>
      <c r="C110" t="s">
        <v>44</v>
      </c>
      <c r="D110" t="s">
        <v>45</v>
      </c>
      <c r="E110">
        <v>14</v>
      </c>
      <c r="F110">
        <v>122</v>
      </c>
      <c r="G110">
        <v>3024</v>
      </c>
      <c r="H110">
        <v>2100</v>
      </c>
      <c r="I110" t="s">
        <v>57</v>
      </c>
      <c r="J110" t="s">
        <v>483</v>
      </c>
      <c r="K110" t="s">
        <v>65</v>
      </c>
      <c r="L110" t="s">
        <v>66</v>
      </c>
      <c r="M110">
        <v>12</v>
      </c>
      <c r="N110" t="s">
        <v>60</v>
      </c>
      <c r="O110">
        <v>2024</v>
      </c>
      <c r="P110">
        <v>39239</v>
      </c>
      <c r="R110" t="s">
        <v>683</v>
      </c>
      <c r="S110" t="s">
        <v>2471</v>
      </c>
      <c r="T110" t="s">
        <v>684</v>
      </c>
      <c r="X110">
        <v>12</v>
      </c>
      <c r="Y110" t="s">
        <v>54</v>
      </c>
      <c r="Z110">
        <v>144540</v>
      </c>
      <c r="AA110">
        <v>0</v>
      </c>
      <c r="AB110">
        <v>0</v>
      </c>
      <c r="AC110">
        <v>0</v>
      </c>
      <c r="AD110">
        <v>144540</v>
      </c>
      <c r="AE110">
        <v>12045</v>
      </c>
      <c r="AF110">
        <v>144540</v>
      </c>
      <c r="AG110">
        <v>144540</v>
      </c>
      <c r="AH110">
        <v>12045</v>
      </c>
      <c r="AI110">
        <v>144540</v>
      </c>
      <c r="AJ110">
        <v>47109.33</v>
      </c>
      <c r="AK110">
        <v>2944.33</v>
      </c>
      <c r="AL110">
        <v>44165</v>
      </c>
      <c r="AM110">
        <v>0</v>
      </c>
      <c r="AN110">
        <v>0</v>
      </c>
      <c r="AO110" t="s">
        <v>55</v>
      </c>
      <c r="AP110" t="s">
        <v>685</v>
      </c>
      <c r="AQ110">
        <v>1</v>
      </c>
    </row>
    <row r="111" spans="1:43" x14ac:dyDescent="0.25">
      <c r="A111" t="s">
        <v>42</v>
      </c>
      <c r="B111" t="s">
        <v>43</v>
      </c>
      <c r="C111" t="s">
        <v>44</v>
      </c>
      <c r="D111" t="s">
        <v>45</v>
      </c>
      <c r="E111">
        <v>14</v>
      </c>
      <c r="F111">
        <v>122</v>
      </c>
      <c r="G111">
        <v>3024</v>
      </c>
      <c r="H111">
        <v>2100</v>
      </c>
      <c r="I111" t="s">
        <v>186</v>
      </c>
      <c r="J111" t="s">
        <v>483</v>
      </c>
      <c r="K111" t="s">
        <v>247</v>
      </c>
      <c r="L111" t="s">
        <v>248</v>
      </c>
      <c r="M111">
        <v>6</v>
      </c>
      <c r="N111" t="s">
        <v>115</v>
      </c>
      <c r="O111">
        <v>2025</v>
      </c>
      <c r="P111">
        <v>3324</v>
      </c>
      <c r="R111" t="s">
        <v>686</v>
      </c>
      <c r="S111" t="s">
        <v>2472</v>
      </c>
      <c r="T111" t="s">
        <v>687</v>
      </c>
      <c r="W111" t="s">
        <v>688</v>
      </c>
      <c r="X111">
        <v>12</v>
      </c>
      <c r="Y111" t="s">
        <v>54</v>
      </c>
      <c r="Z111">
        <v>14563.8</v>
      </c>
      <c r="AA111">
        <v>0</v>
      </c>
      <c r="AB111">
        <v>0</v>
      </c>
      <c r="AC111">
        <v>0</v>
      </c>
      <c r="AD111">
        <v>14563.8</v>
      </c>
      <c r="AE111">
        <v>1213.6500000000001</v>
      </c>
      <c r="AF111">
        <v>14563.8</v>
      </c>
      <c r="AG111">
        <v>14563.8</v>
      </c>
      <c r="AH111">
        <v>1213.6500000000001</v>
      </c>
      <c r="AI111">
        <v>14563.8</v>
      </c>
      <c r="AJ111">
        <v>14563.8</v>
      </c>
      <c r="AK111">
        <v>0</v>
      </c>
      <c r="AL111">
        <v>14563.8</v>
      </c>
      <c r="AM111">
        <v>14563.8</v>
      </c>
      <c r="AN111">
        <v>14563.8</v>
      </c>
      <c r="AO111" t="s">
        <v>55</v>
      </c>
      <c r="AP111" t="s">
        <v>689</v>
      </c>
      <c r="AQ111">
        <v>1</v>
      </c>
    </row>
    <row r="112" spans="1:43" x14ac:dyDescent="0.25">
      <c r="A112" t="s">
        <v>42</v>
      </c>
      <c r="B112" t="s">
        <v>43</v>
      </c>
      <c r="C112" t="s">
        <v>44</v>
      </c>
      <c r="D112" t="s">
        <v>45</v>
      </c>
      <c r="E112">
        <v>14</v>
      </c>
      <c r="F112">
        <v>122</v>
      </c>
      <c r="G112">
        <v>3024</v>
      </c>
      <c r="H112">
        <v>2100</v>
      </c>
      <c r="I112" t="s">
        <v>57</v>
      </c>
      <c r="J112" t="s">
        <v>483</v>
      </c>
      <c r="K112" t="s">
        <v>690</v>
      </c>
      <c r="L112" t="s">
        <v>691</v>
      </c>
      <c r="M112">
        <v>6</v>
      </c>
      <c r="N112" t="s">
        <v>115</v>
      </c>
      <c r="O112">
        <v>2025</v>
      </c>
      <c r="P112">
        <v>3373</v>
      </c>
      <c r="R112" t="s">
        <v>692</v>
      </c>
      <c r="S112" t="s">
        <v>2471</v>
      </c>
      <c r="T112" s="12" t="s">
        <v>693</v>
      </c>
      <c r="W112" t="s">
        <v>53</v>
      </c>
      <c r="X112">
        <v>12</v>
      </c>
      <c r="Y112" t="s">
        <v>54</v>
      </c>
      <c r="Z112">
        <v>25000</v>
      </c>
      <c r="AA112">
        <v>0</v>
      </c>
      <c r="AB112">
        <v>0</v>
      </c>
      <c r="AC112">
        <v>0</v>
      </c>
      <c r="AD112">
        <v>25000</v>
      </c>
      <c r="AE112">
        <v>2083.333333333333</v>
      </c>
      <c r="AF112">
        <v>25000</v>
      </c>
      <c r="AG112">
        <v>25000</v>
      </c>
      <c r="AH112">
        <v>2083.333333333333</v>
      </c>
      <c r="AI112">
        <v>25000</v>
      </c>
      <c r="AJ112">
        <v>25000</v>
      </c>
      <c r="AK112">
        <v>668.66</v>
      </c>
      <c r="AL112">
        <v>24331.34</v>
      </c>
      <c r="AM112">
        <v>1271.6199999999999</v>
      </c>
      <c r="AN112">
        <v>1271.6199999999999</v>
      </c>
      <c r="AO112" t="s">
        <v>55</v>
      </c>
      <c r="AP112" t="s">
        <v>694</v>
      </c>
      <c r="AQ112">
        <v>1</v>
      </c>
    </row>
    <row r="113" spans="1:43" x14ac:dyDescent="0.25">
      <c r="A113" t="s">
        <v>42</v>
      </c>
      <c r="B113" t="s">
        <v>43</v>
      </c>
      <c r="C113" t="s">
        <v>44</v>
      </c>
      <c r="D113" t="s">
        <v>45</v>
      </c>
      <c r="E113">
        <v>14</v>
      </c>
      <c r="F113">
        <v>422</v>
      </c>
      <c r="G113">
        <v>3013</v>
      </c>
      <c r="H113">
        <v>2053</v>
      </c>
      <c r="I113" t="s">
        <v>186</v>
      </c>
      <c r="J113" t="s">
        <v>1240</v>
      </c>
      <c r="K113" t="s">
        <v>58</v>
      </c>
      <c r="L113" t="s">
        <v>59</v>
      </c>
      <c r="M113">
        <v>6</v>
      </c>
      <c r="N113" t="s">
        <v>115</v>
      </c>
      <c r="O113">
        <v>2025</v>
      </c>
      <c r="P113">
        <v>11576</v>
      </c>
      <c r="R113" t="s">
        <v>1338</v>
      </c>
      <c r="S113" t="s">
        <v>2472</v>
      </c>
      <c r="T113" t="s">
        <v>1339</v>
      </c>
      <c r="W113" t="s">
        <v>1340</v>
      </c>
      <c r="X113">
        <v>12</v>
      </c>
      <c r="Y113" t="s">
        <v>54</v>
      </c>
      <c r="Z113">
        <v>4757.5</v>
      </c>
      <c r="AA113">
        <v>0</v>
      </c>
      <c r="AB113">
        <v>0</v>
      </c>
      <c r="AC113">
        <v>0</v>
      </c>
      <c r="AD113">
        <v>4757.5</v>
      </c>
      <c r="AE113">
        <v>396.45833333333331</v>
      </c>
      <c r="AF113">
        <v>4757.5</v>
      </c>
      <c r="AG113">
        <v>4757.5</v>
      </c>
      <c r="AH113">
        <v>396.45833333333331</v>
      </c>
      <c r="AI113">
        <v>4757.5</v>
      </c>
      <c r="AJ113">
        <v>4757.5</v>
      </c>
      <c r="AK113">
        <v>0</v>
      </c>
      <c r="AL113">
        <v>4757.5</v>
      </c>
      <c r="AM113">
        <v>4757.5</v>
      </c>
      <c r="AN113">
        <v>4757.5</v>
      </c>
      <c r="AO113" t="s">
        <v>55</v>
      </c>
      <c r="AP113" t="s">
        <v>1341</v>
      </c>
      <c r="AQ113">
        <v>1</v>
      </c>
    </row>
    <row r="114" spans="1:43" x14ac:dyDescent="0.25">
      <c r="A114" t="s">
        <v>42</v>
      </c>
      <c r="B114" t="s">
        <v>43</v>
      </c>
      <c r="C114" t="s">
        <v>44</v>
      </c>
      <c r="D114" t="s">
        <v>45</v>
      </c>
      <c r="E114">
        <v>14</v>
      </c>
      <c r="F114">
        <v>122</v>
      </c>
      <c r="G114">
        <v>3024</v>
      </c>
      <c r="H114">
        <v>2100</v>
      </c>
      <c r="I114" t="s">
        <v>246</v>
      </c>
      <c r="J114" t="s">
        <v>1240</v>
      </c>
      <c r="K114" t="s">
        <v>247</v>
      </c>
      <c r="L114" t="s">
        <v>248</v>
      </c>
      <c r="M114">
        <v>6</v>
      </c>
      <c r="N114" t="s">
        <v>115</v>
      </c>
      <c r="O114">
        <v>2025</v>
      </c>
      <c r="P114">
        <v>11543</v>
      </c>
      <c r="R114" t="s">
        <v>1334</v>
      </c>
      <c r="S114" t="s">
        <v>2472</v>
      </c>
      <c r="T114" t="s">
        <v>1335</v>
      </c>
      <c r="W114" t="s">
        <v>1336</v>
      </c>
      <c r="X114">
        <v>12</v>
      </c>
      <c r="Y114" t="s">
        <v>54</v>
      </c>
      <c r="Z114">
        <v>808</v>
      </c>
      <c r="AA114">
        <v>0</v>
      </c>
      <c r="AB114">
        <v>0</v>
      </c>
      <c r="AC114">
        <v>0</v>
      </c>
      <c r="AD114">
        <v>808</v>
      </c>
      <c r="AE114">
        <v>67.333333333333329</v>
      </c>
      <c r="AF114">
        <v>808</v>
      </c>
      <c r="AG114">
        <v>808</v>
      </c>
      <c r="AH114">
        <v>67.333333333333329</v>
      </c>
      <c r="AI114">
        <v>808</v>
      </c>
      <c r="AJ114">
        <v>808</v>
      </c>
      <c r="AK114">
        <v>0</v>
      </c>
      <c r="AL114">
        <v>808</v>
      </c>
      <c r="AM114">
        <v>808</v>
      </c>
      <c r="AN114">
        <v>808</v>
      </c>
      <c r="AO114" t="s">
        <v>55</v>
      </c>
      <c r="AP114" t="s">
        <v>1337</v>
      </c>
      <c r="AQ114">
        <v>1</v>
      </c>
    </row>
    <row r="115" spans="1:43" x14ac:dyDescent="0.25">
      <c r="A115" t="s">
        <v>42</v>
      </c>
      <c r="B115" t="s">
        <v>43</v>
      </c>
      <c r="C115" t="s">
        <v>44</v>
      </c>
      <c r="D115" t="s">
        <v>45</v>
      </c>
      <c r="E115">
        <v>14</v>
      </c>
      <c r="F115">
        <v>122</v>
      </c>
      <c r="G115">
        <v>3024</v>
      </c>
      <c r="H115">
        <v>2100</v>
      </c>
      <c r="I115" t="s">
        <v>186</v>
      </c>
      <c r="J115" t="s">
        <v>1240</v>
      </c>
      <c r="K115" t="s">
        <v>690</v>
      </c>
      <c r="L115" t="s">
        <v>691</v>
      </c>
      <c r="M115">
        <v>12</v>
      </c>
      <c r="N115" t="s">
        <v>60</v>
      </c>
      <c r="O115">
        <v>2025</v>
      </c>
      <c r="P115">
        <v>11287</v>
      </c>
      <c r="R115" t="s">
        <v>1319</v>
      </c>
      <c r="S115" t="s">
        <v>2472</v>
      </c>
      <c r="T115" t="s">
        <v>1320</v>
      </c>
      <c r="X115">
        <v>12</v>
      </c>
      <c r="Y115" t="s">
        <v>54</v>
      </c>
      <c r="Z115">
        <v>2475</v>
      </c>
      <c r="AA115">
        <v>0</v>
      </c>
      <c r="AB115">
        <v>0</v>
      </c>
      <c r="AC115">
        <v>0</v>
      </c>
      <c r="AD115">
        <v>2475</v>
      </c>
      <c r="AE115">
        <v>206.25</v>
      </c>
      <c r="AF115">
        <v>2475</v>
      </c>
      <c r="AG115">
        <v>2475</v>
      </c>
      <c r="AH115">
        <v>206.25</v>
      </c>
      <c r="AI115">
        <v>2475</v>
      </c>
      <c r="AJ115">
        <v>2475</v>
      </c>
      <c r="AK115">
        <v>0</v>
      </c>
      <c r="AL115">
        <v>2475</v>
      </c>
      <c r="AM115">
        <v>0</v>
      </c>
      <c r="AN115">
        <v>0</v>
      </c>
      <c r="AO115" t="s">
        <v>55</v>
      </c>
      <c r="AP115" t="s">
        <v>1321</v>
      </c>
      <c r="AQ115">
        <v>1</v>
      </c>
    </row>
    <row r="116" spans="1:43" x14ac:dyDescent="0.25">
      <c r="A116" t="s">
        <v>42</v>
      </c>
      <c r="B116" t="s">
        <v>43</v>
      </c>
      <c r="C116" t="s">
        <v>44</v>
      </c>
      <c r="D116" t="s">
        <v>45</v>
      </c>
      <c r="E116">
        <v>14</v>
      </c>
      <c r="F116">
        <v>122</v>
      </c>
      <c r="G116">
        <v>3024</v>
      </c>
      <c r="H116">
        <v>2100</v>
      </c>
      <c r="I116" t="s">
        <v>186</v>
      </c>
      <c r="J116" t="s">
        <v>1240</v>
      </c>
      <c r="K116" t="s">
        <v>247</v>
      </c>
      <c r="L116" t="s">
        <v>248</v>
      </c>
      <c r="M116">
        <v>12</v>
      </c>
      <c r="N116" t="s">
        <v>60</v>
      </c>
      <c r="O116">
        <v>2025</v>
      </c>
      <c r="P116">
        <v>11280</v>
      </c>
      <c r="R116" t="s">
        <v>1316</v>
      </c>
      <c r="S116" t="s">
        <v>2472</v>
      </c>
      <c r="T116" t="s">
        <v>1317</v>
      </c>
      <c r="W116" t="s">
        <v>1101</v>
      </c>
      <c r="X116">
        <v>12</v>
      </c>
      <c r="Y116" t="s">
        <v>54</v>
      </c>
      <c r="Z116">
        <v>13200</v>
      </c>
      <c r="AA116">
        <v>0</v>
      </c>
      <c r="AB116">
        <v>0</v>
      </c>
      <c r="AC116">
        <v>0</v>
      </c>
      <c r="AD116">
        <v>13200</v>
      </c>
      <c r="AE116">
        <v>1100</v>
      </c>
      <c r="AF116">
        <v>13200</v>
      </c>
      <c r="AG116">
        <v>13200</v>
      </c>
      <c r="AH116">
        <v>1100</v>
      </c>
      <c r="AI116">
        <v>13200</v>
      </c>
      <c r="AJ116">
        <v>13200</v>
      </c>
      <c r="AK116">
        <v>0</v>
      </c>
      <c r="AL116">
        <v>13200</v>
      </c>
      <c r="AM116">
        <v>13200</v>
      </c>
      <c r="AN116">
        <v>13200</v>
      </c>
      <c r="AO116" t="s">
        <v>55</v>
      </c>
      <c r="AP116" t="s">
        <v>1318</v>
      </c>
      <c r="AQ116">
        <v>1</v>
      </c>
    </row>
    <row r="117" spans="1:43" x14ac:dyDescent="0.25">
      <c r="A117" t="s">
        <v>42</v>
      </c>
      <c r="B117" t="s">
        <v>43</v>
      </c>
      <c r="C117" t="s">
        <v>44</v>
      </c>
      <c r="D117" t="s">
        <v>45</v>
      </c>
      <c r="E117">
        <v>14</v>
      </c>
      <c r="F117">
        <v>422</v>
      </c>
      <c r="G117">
        <v>3013</v>
      </c>
      <c r="H117">
        <v>4322</v>
      </c>
      <c r="I117" t="s">
        <v>57</v>
      </c>
      <c r="J117" t="s">
        <v>1240</v>
      </c>
      <c r="K117" t="s">
        <v>690</v>
      </c>
      <c r="L117" t="s">
        <v>691</v>
      </c>
      <c r="M117">
        <v>12</v>
      </c>
      <c r="N117" t="s">
        <v>60</v>
      </c>
      <c r="O117">
        <v>2025</v>
      </c>
      <c r="P117">
        <v>11265</v>
      </c>
      <c r="R117" t="s">
        <v>1308</v>
      </c>
      <c r="S117" t="s">
        <v>2472</v>
      </c>
      <c r="T117" t="s">
        <v>1309</v>
      </c>
      <c r="W117" t="s">
        <v>892</v>
      </c>
      <c r="X117">
        <v>12</v>
      </c>
      <c r="Y117" t="s">
        <v>54</v>
      </c>
      <c r="Z117">
        <v>1004.8</v>
      </c>
      <c r="AA117">
        <v>0</v>
      </c>
      <c r="AB117">
        <v>0</v>
      </c>
      <c r="AC117">
        <v>0</v>
      </c>
      <c r="AD117">
        <v>1004.8</v>
      </c>
      <c r="AE117">
        <v>83.733333333333334</v>
      </c>
      <c r="AF117">
        <v>1004.8</v>
      </c>
      <c r="AG117">
        <v>1004.8</v>
      </c>
      <c r="AH117">
        <v>83.733333333333334</v>
      </c>
      <c r="AI117">
        <v>1004.8</v>
      </c>
      <c r="AJ117">
        <v>1004.8</v>
      </c>
      <c r="AK117">
        <v>0</v>
      </c>
      <c r="AL117">
        <v>1004.8</v>
      </c>
      <c r="AM117">
        <v>1004.8</v>
      </c>
      <c r="AN117">
        <v>1004.8</v>
      </c>
      <c r="AO117" t="s">
        <v>55</v>
      </c>
      <c r="AP117" t="s">
        <v>1310</v>
      </c>
      <c r="AQ117">
        <v>1</v>
      </c>
    </row>
    <row r="118" spans="1:43" x14ac:dyDescent="0.25">
      <c r="A118" t="s">
        <v>42</v>
      </c>
      <c r="B118" t="s">
        <v>43</v>
      </c>
      <c r="C118" t="s">
        <v>44</v>
      </c>
      <c r="D118" t="s">
        <v>45</v>
      </c>
      <c r="E118">
        <v>14</v>
      </c>
      <c r="F118">
        <v>422</v>
      </c>
      <c r="G118">
        <v>3013</v>
      </c>
      <c r="H118">
        <v>2431</v>
      </c>
      <c r="I118" t="s">
        <v>57</v>
      </c>
      <c r="J118" t="s">
        <v>1240</v>
      </c>
      <c r="K118" t="s">
        <v>58</v>
      </c>
      <c r="L118" t="s">
        <v>59</v>
      </c>
      <c r="M118">
        <v>12</v>
      </c>
      <c r="N118" t="s">
        <v>60</v>
      </c>
      <c r="O118">
        <v>2025</v>
      </c>
      <c r="P118">
        <v>11161</v>
      </c>
      <c r="R118" t="s">
        <v>1305</v>
      </c>
      <c r="S118" t="s">
        <v>2472</v>
      </c>
      <c r="T118" t="s">
        <v>1306</v>
      </c>
      <c r="W118" t="s">
        <v>1280</v>
      </c>
      <c r="X118">
        <v>12</v>
      </c>
      <c r="Y118" t="s">
        <v>54</v>
      </c>
      <c r="Z118">
        <v>2009.6</v>
      </c>
      <c r="AA118">
        <v>0</v>
      </c>
      <c r="AB118">
        <v>0</v>
      </c>
      <c r="AC118">
        <v>0</v>
      </c>
      <c r="AD118">
        <v>2009.6</v>
      </c>
      <c r="AE118">
        <v>167.4666666666667</v>
      </c>
      <c r="AF118">
        <v>2009.6</v>
      </c>
      <c r="AG118">
        <v>2009.6</v>
      </c>
      <c r="AH118">
        <v>167.4666666666667</v>
      </c>
      <c r="AI118">
        <v>2009.6</v>
      </c>
      <c r="AJ118">
        <v>2009.6</v>
      </c>
      <c r="AK118">
        <v>0</v>
      </c>
      <c r="AL118">
        <v>2009.6</v>
      </c>
      <c r="AM118">
        <v>2009.6</v>
      </c>
      <c r="AN118">
        <v>2009.6</v>
      </c>
      <c r="AO118" t="s">
        <v>55</v>
      </c>
      <c r="AP118" t="s">
        <v>1307</v>
      </c>
      <c r="AQ118">
        <v>1</v>
      </c>
    </row>
    <row r="119" spans="1:43" x14ac:dyDescent="0.25">
      <c r="A119" t="s">
        <v>42</v>
      </c>
      <c r="B119" t="s">
        <v>43</v>
      </c>
      <c r="C119" t="s">
        <v>44</v>
      </c>
      <c r="D119" t="s">
        <v>45</v>
      </c>
      <c r="E119">
        <v>14</v>
      </c>
      <c r="F119">
        <v>422</v>
      </c>
      <c r="G119">
        <v>3013</v>
      </c>
      <c r="H119">
        <v>4322</v>
      </c>
      <c r="I119" t="s">
        <v>57</v>
      </c>
      <c r="J119" t="s">
        <v>1240</v>
      </c>
      <c r="K119" t="s">
        <v>58</v>
      </c>
      <c r="L119" t="s">
        <v>59</v>
      </c>
      <c r="M119">
        <v>12</v>
      </c>
      <c r="N119" t="s">
        <v>60</v>
      </c>
      <c r="O119">
        <v>2025</v>
      </c>
      <c r="P119">
        <v>10996</v>
      </c>
      <c r="R119" t="s">
        <v>1299</v>
      </c>
      <c r="S119" t="s">
        <v>2472</v>
      </c>
      <c r="T119" s="12" t="s">
        <v>1300</v>
      </c>
      <c r="W119" t="s">
        <v>1190</v>
      </c>
      <c r="X119">
        <v>12</v>
      </c>
      <c r="Y119" t="s">
        <v>54</v>
      </c>
      <c r="Z119">
        <v>989.4</v>
      </c>
      <c r="AA119">
        <v>0</v>
      </c>
      <c r="AB119">
        <v>0</v>
      </c>
      <c r="AC119">
        <v>0</v>
      </c>
      <c r="AD119">
        <v>989.4</v>
      </c>
      <c r="AE119">
        <v>82.45</v>
      </c>
      <c r="AF119">
        <v>989.40000000000009</v>
      </c>
      <c r="AG119">
        <v>989.4</v>
      </c>
      <c r="AH119">
        <v>82.45</v>
      </c>
      <c r="AI119">
        <v>989.40000000000009</v>
      </c>
      <c r="AJ119">
        <v>989.4</v>
      </c>
      <c r="AK119">
        <v>0</v>
      </c>
      <c r="AL119">
        <v>989.4</v>
      </c>
      <c r="AM119">
        <v>989.4</v>
      </c>
      <c r="AN119">
        <v>989.4</v>
      </c>
      <c r="AO119" t="s">
        <v>55</v>
      </c>
      <c r="AP119" t="s">
        <v>1301</v>
      </c>
      <c r="AQ119">
        <v>1</v>
      </c>
    </row>
    <row r="120" spans="1:43" x14ac:dyDescent="0.25">
      <c r="A120" t="s">
        <v>42</v>
      </c>
      <c r="B120" t="s">
        <v>43</v>
      </c>
      <c r="C120" t="s">
        <v>44</v>
      </c>
      <c r="D120" t="s">
        <v>45</v>
      </c>
      <c r="E120">
        <v>8</v>
      </c>
      <c r="F120">
        <v>605</v>
      </c>
      <c r="G120">
        <v>3016</v>
      </c>
      <c r="H120">
        <v>4470</v>
      </c>
      <c r="I120" t="s">
        <v>57</v>
      </c>
      <c r="J120" t="s">
        <v>1240</v>
      </c>
      <c r="K120" t="s">
        <v>65</v>
      </c>
      <c r="L120" t="s">
        <v>66</v>
      </c>
      <c r="M120">
        <v>6</v>
      </c>
      <c r="N120" t="s">
        <v>115</v>
      </c>
      <c r="O120">
        <v>2025</v>
      </c>
      <c r="P120">
        <v>10786</v>
      </c>
      <c r="R120" t="s">
        <v>1296</v>
      </c>
      <c r="S120" t="s">
        <v>2472</v>
      </c>
      <c r="T120" t="s">
        <v>1297</v>
      </c>
      <c r="X120">
        <v>12</v>
      </c>
      <c r="Y120" t="s">
        <v>54</v>
      </c>
      <c r="Z120">
        <v>7500</v>
      </c>
      <c r="AA120">
        <v>0</v>
      </c>
      <c r="AB120">
        <v>0</v>
      </c>
      <c r="AC120">
        <v>0</v>
      </c>
      <c r="AD120">
        <v>7500</v>
      </c>
      <c r="AE120">
        <v>625</v>
      </c>
      <c r="AF120">
        <v>7500</v>
      </c>
      <c r="AG120">
        <v>7500</v>
      </c>
      <c r="AH120">
        <v>625</v>
      </c>
      <c r="AI120">
        <v>7500</v>
      </c>
      <c r="AJ120">
        <v>7500</v>
      </c>
      <c r="AK120">
        <v>0</v>
      </c>
      <c r="AL120">
        <v>7500</v>
      </c>
      <c r="AM120">
        <v>0</v>
      </c>
      <c r="AN120">
        <v>0</v>
      </c>
      <c r="AO120" t="s">
        <v>55</v>
      </c>
      <c r="AP120" t="s">
        <v>1298</v>
      </c>
      <c r="AQ120">
        <v>1</v>
      </c>
    </row>
    <row r="121" spans="1:43" x14ac:dyDescent="0.25">
      <c r="A121" t="s">
        <v>42</v>
      </c>
      <c r="B121" t="s">
        <v>43</v>
      </c>
      <c r="C121" t="s">
        <v>44</v>
      </c>
      <c r="D121" t="s">
        <v>45</v>
      </c>
      <c r="E121">
        <v>14</v>
      </c>
      <c r="F121">
        <v>122</v>
      </c>
      <c r="G121">
        <v>3024</v>
      </c>
      <c r="H121">
        <v>2100</v>
      </c>
      <c r="I121" t="s">
        <v>186</v>
      </c>
      <c r="J121" t="s">
        <v>483</v>
      </c>
      <c r="K121" t="s">
        <v>247</v>
      </c>
      <c r="L121" t="s">
        <v>248</v>
      </c>
      <c r="M121">
        <v>6</v>
      </c>
      <c r="N121" t="s">
        <v>115</v>
      </c>
      <c r="O121">
        <v>2025</v>
      </c>
      <c r="P121">
        <v>3528</v>
      </c>
      <c r="R121" t="s">
        <v>737</v>
      </c>
      <c r="S121" t="s">
        <v>2472</v>
      </c>
      <c r="T121" t="s">
        <v>738</v>
      </c>
      <c r="W121" t="s">
        <v>739</v>
      </c>
      <c r="X121">
        <v>12</v>
      </c>
      <c r="Y121" t="s">
        <v>54</v>
      </c>
      <c r="Z121">
        <v>14877.9</v>
      </c>
      <c r="AA121">
        <v>0</v>
      </c>
      <c r="AB121">
        <v>0</v>
      </c>
      <c r="AC121">
        <v>0</v>
      </c>
      <c r="AD121">
        <v>14877.9</v>
      </c>
      <c r="AE121">
        <v>1239.825</v>
      </c>
      <c r="AF121">
        <v>14877.9</v>
      </c>
      <c r="AG121">
        <v>14877.9</v>
      </c>
      <c r="AH121">
        <v>1239.825</v>
      </c>
      <c r="AI121">
        <v>14877.9</v>
      </c>
      <c r="AJ121">
        <v>14877.9</v>
      </c>
      <c r="AK121">
        <v>0</v>
      </c>
      <c r="AL121">
        <v>14877.9</v>
      </c>
      <c r="AM121">
        <v>14877.9</v>
      </c>
      <c r="AN121">
        <v>14877.9</v>
      </c>
      <c r="AO121" t="s">
        <v>55</v>
      </c>
      <c r="AP121" t="s">
        <v>740</v>
      </c>
      <c r="AQ121">
        <v>1</v>
      </c>
    </row>
    <row r="122" spans="1:43" x14ac:dyDescent="0.25">
      <c r="A122" t="s">
        <v>42</v>
      </c>
      <c r="B122" t="s">
        <v>43</v>
      </c>
      <c r="C122" t="s">
        <v>44</v>
      </c>
      <c r="D122" t="s">
        <v>45</v>
      </c>
      <c r="E122">
        <v>14</v>
      </c>
      <c r="F122">
        <v>122</v>
      </c>
      <c r="G122">
        <v>3024</v>
      </c>
      <c r="H122">
        <v>2100</v>
      </c>
      <c r="I122" t="s">
        <v>186</v>
      </c>
      <c r="J122" t="s">
        <v>483</v>
      </c>
      <c r="K122" t="s">
        <v>247</v>
      </c>
      <c r="L122" t="s">
        <v>248</v>
      </c>
      <c r="M122">
        <v>6</v>
      </c>
      <c r="N122" t="s">
        <v>115</v>
      </c>
      <c r="O122">
        <v>2025</v>
      </c>
      <c r="P122">
        <v>3530</v>
      </c>
      <c r="R122" t="s">
        <v>737</v>
      </c>
      <c r="S122" t="s">
        <v>2472</v>
      </c>
      <c r="T122" t="s">
        <v>738</v>
      </c>
      <c r="W122" t="s">
        <v>741</v>
      </c>
      <c r="X122">
        <v>12</v>
      </c>
      <c r="Y122" t="s">
        <v>54</v>
      </c>
      <c r="Z122">
        <v>8167.3</v>
      </c>
      <c r="AA122">
        <v>0</v>
      </c>
      <c r="AB122">
        <v>0</v>
      </c>
      <c r="AC122">
        <v>0</v>
      </c>
      <c r="AD122">
        <v>8167.3</v>
      </c>
      <c r="AE122">
        <v>680.60833333333335</v>
      </c>
      <c r="AF122">
        <v>8167.3</v>
      </c>
      <c r="AG122">
        <v>8167.3</v>
      </c>
      <c r="AH122">
        <v>680.60833333333335</v>
      </c>
      <c r="AI122">
        <v>8167.3</v>
      </c>
      <c r="AJ122">
        <v>8167.3</v>
      </c>
      <c r="AK122">
        <v>0</v>
      </c>
      <c r="AL122">
        <v>8167.3</v>
      </c>
      <c r="AM122">
        <v>8167.3</v>
      </c>
      <c r="AN122">
        <v>8167.3</v>
      </c>
      <c r="AO122" t="s">
        <v>55</v>
      </c>
      <c r="AP122" t="s">
        <v>740</v>
      </c>
      <c r="AQ122">
        <v>1</v>
      </c>
    </row>
    <row r="123" spans="1:43" x14ac:dyDescent="0.25">
      <c r="A123" t="s">
        <v>42</v>
      </c>
      <c r="B123" t="s">
        <v>43</v>
      </c>
      <c r="C123" t="s">
        <v>44</v>
      </c>
      <c r="D123" t="s">
        <v>45</v>
      </c>
      <c r="E123">
        <v>14</v>
      </c>
      <c r="F123">
        <v>122</v>
      </c>
      <c r="G123">
        <v>3024</v>
      </c>
      <c r="H123">
        <v>2100</v>
      </c>
      <c r="I123" t="s">
        <v>186</v>
      </c>
      <c r="J123" t="s">
        <v>483</v>
      </c>
      <c r="K123" t="s">
        <v>247</v>
      </c>
      <c r="L123" t="s">
        <v>248</v>
      </c>
      <c r="M123">
        <v>6</v>
      </c>
      <c r="N123" t="s">
        <v>115</v>
      </c>
      <c r="O123">
        <v>2025</v>
      </c>
      <c r="P123">
        <v>3533</v>
      </c>
      <c r="R123" t="s">
        <v>737</v>
      </c>
      <c r="S123" t="s">
        <v>2472</v>
      </c>
      <c r="T123" t="s">
        <v>738</v>
      </c>
      <c r="W123" t="s">
        <v>741</v>
      </c>
      <c r="X123">
        <v>12</v>
      </c>
      <c r="Y123" t="s">
        <v>54</v>
      </c>
      <c r="Z123">
        <v>8000</v>
      </c>
      <c r="AA123">
        <v>0</v>
      </c>
      <c r="AB123">
        <v>0</v>
      </c>
      <c r="AC123">
        <v>0</v>
      </c>
      <c r="AD123">
        <v>8000</v>
      </c>
      <c r="AE123">
        <v>666.66666666666663</v>
      </c>
      <c r="AF123">
        <v>8000</v>
      </c>
      <c r="AG123">
        <v>8000</v>
      </c>
      <c r="AH123">
        <v>666.66666666666663</v>
      </c>
      <c r="AI123">
        <v>8000</v>
      </c>
      <c r="AJ123">
        <v>8000</v>
      </c>
      <c r="AK123">
        <v>0</v>
      </c>
      <c r="AL123">
        <v>8000</v>
      </c>
      <c r="AM123">
        <v>8000</v>
      </c>
      <c r="AN123">
        <v>8000</v>
      </c>
      <c r="AO123" t="s">
        <v>55</v>
      </c>
      <c r="AP123" t="s">
        <v>740</v>
      </c>
      <c r="AQ123">
        <v>1</v>
      </c>
    </row>
    <row r="124" spans="1:43" x14ac:dyDescent="0.25">
      <c r="A124" t="s">
        <v>42</v>
      </c>
      <c r="B124" t="s">
        <v>43</v>
      </c>
      <c r="C124" t="s">
        <v>44</v>
      </c>
      <c r="D124" t="s">
        <v>45</v>
      </c>
      <c r="E124">
        <v>8</v>
      </c>
      <c r="F124">
        <v>605</v>
      </c>
      <c r="G124">
        <v>3016</v>
      </c>
      <c r="H124">
        <v>4470</v>
      </c>
      <c r="I124" t="s">
        <v>57</v>
      </c>
      <c r="J124" t="s">
        <v>1240</v>
      </c>
      <c r="K124" t="s">
        <v>65</v>
      </c>
      <c r="L124" t="s">
        <v>66</v>
      </c>
      <c r="M124">
        <v>6</v>
      </c>
      <c r="N124" t="s">
        <v>115</v>
      </c>
      <c r="O124">
        <v>2025</v>
      </c>
      <c r="P124">
        <v>10757</v>
      </c>
      <c r="R124" t="s">
        <v>1274</v>
      </c>
      <c r="S124" t="s">
        <v>2471</v>
      </c>
      <c r="T124" t="s">
        <v>1275</v>
      </c>
      <c r="X124">
        <v>12</v>
      </c>
      <c r="Y124" t="s">
        <v>54</v>
      </c>
      <c r="Z124">
        <v>4216</v>
      </c>
      <c r="AA124">
        <v>0</v>
      </c>
      <c r="AB124">
        <v>0</v>
      </c>
      <c r="AC124">
        <v>0</v>
      </c>
      <c r="AD124">
        <v>4216</v>
      </c>
      <c r="AE124">
        <v>351.33333333333331</v>
      </c>
      <c r="AF124">
        <v>4216</v>
      </c>
      <c r="AG124">
        <v>4216</v>
      </c>
      <c r="AH124">
        <v>351.33333333333331</v>
      </c>
      <c r="AI124">
        <v>4216</v>
      </c>
      <c r="AJ124">
        <v>4216</v>
      </c>
      <c r="AK124">
        <v>0</v>
      </c>
      <c r="AL124">
        <v>4216</v>
      </c>
      <c r="AM124">
        <v>0</v>
      </c>
      <c r="AN124">
        <v>0</v>
      </c>
      <c r="AO124" t="s">
        <v>55</v>
      </c>
      <c r="AP124" t="s">
        <v>1276</v>
      </c>
      <c r="AQ124">
        <v>1</v>
      </c>
    </row>
    <row r="125" spans="1:43" x14ac:dyDescent="0.25">
      <c r="A125" t="s">
        <v>42</v>
      </c>
      <c r="B125" t="s">
        <v>43</v>
      </c>
      <c r="C125" t="s">
        <v>44</v>
      </c>
      <c r="D125" t="s">
        <v>45</v>
      </c>
      <c r="E125">
        <v>14</v>
      </c>
      <c r="F125">
        <v>422</v>
      </c>
      <c r="G125">
        <v>3013</v>
      </c>
      <c r="H125">
        <v>6178</v>
      </c>
      <c r="I125" t="s">
        <v>57</v>
      </c>
      <c r="J125" t="s">
        <v>1177</v>
      </c>
      <c r="K125" t="s">
        <v>58</v>
      </c>
      <c r="L125" t="s">
        <v>59</v>
      </c>
      <c r="M125">
        <v>12</v>
      </c>
      <c r="N125" t="s">
        <v>60</v>
      </c>
      <c r="O125">
        <v>2025</v>
      </c>
      <c r="P125">
        <v>10197</v>
      </c>
      <c r="R125" t="s">
        <v>1210</v>
      </c>
      <c r="S125" t="s">
        <v>2472</v>
      </c>
      <c r="T125" t="s">
        <v>1211</v>
      </c>
      <c r="X125">
        <v>12</v>
      </c>
      <c r="Y125" t="s">
        <v>54</v>
      </c>
      <c r="Z125">
        <v>1649</v>
      </c>
      <c r="AA125">
        <v>0</v>
      </c>
      <c r="AB125">
        <v>0</v>
      </c>
      <c r="AC125">
        <v>0</v>
      </c>
      <c r="AD125">
        <v>1649</v>
      </c>
      <c r="AE125">
        <v>137.41666666666671</v>
      </c>
      <c r="AF125">
        <v>1649</v>
      </c>
      <c r="AG125">
        <v>1649</v>
      </c>
      <c r="AH125">
        <v>137.41666666666671</v>
      </c>
      <c r="AI125">
        <v>1649</v>
      </c>
      <c r="AJ125">
        <v>1649</v>
      </c>
      <c r="AK125">
        <v>0</v>
      </c>
      <c r="AL125">
        <v>1649</v>
      </c>
      <c r="AM125">
        <v>0</v>
      </c>
      <c r="AN125">
        <v>0</v>
      </c>
      <c r="AO125" t="s">
        <v>55</v>
      </c>
      <c r="AP125" t="s">
        <v>1212</v>
      </c>
      <c r="AQ125">
        <v>1</v>
      </c>
    </row>
    <row r="126" spans="1:43" x14ac:dyDescent="0.25">
      <c r="A126" t="s">
        <v>42</v>
      </c>
      <c r="B126" t="s">
        <v>43</v>
      </c>
      <c r="C126" t="s">
        <v>44</v>
      </c>
      <c r="D126" t="s">
        <v>45</v>
      </c>
      <c r="E126">
        <v>8</v>
      </c>
      <c r="F126">
        <v>605</v>
      </c>
      <c r="G126">
        <v>3016</v>
      </c>
      <c r="H126">
        <v>4470</v>
      </c>
      <c r="I126" t="s">
        <v>186</v>
      </c>
      <c r="J126" t="s">
        <v>1177</v>
      </c>
      <c r="K126" t="s">
        <v>247</v>
      </c>
      <c r="L126" t="s">
        <v>248</v>
      </c>
      <c r="M126">
        <v>6</v>
      </c>
      <c r="N126" t="s">
        <v>115</v>
      </c>
      <c r="O126">
        <v>2025</v>
      </c>
      <c r="P126">
        <v>10117</v>
      </c>
      <c r="R126" t="s">
        <v>1206</v>
      </c>
      <c r="S126" t="s">
        <v>2472</v>
      </c>
      <c r="T126" t="s">
        <v>1207</v>
      </c>
      <c r="W126" t="s">
        <v>1208</v>
      </c>
      <c r="X126">
        <v>12</v>
      </c>
      <c r="Y126" t="s">
        <v>54</v>
      </c>
      <c r="Z126">
        <v>13800</v>
      </c>
      <c r="AA126">
        <v>0</v>
      </c>
      <c r="AB126">
        <v>0</v>
      </c>
      <c r="AC126">
        <v>0</v>
      </c>
      <c r="AD126">
        <v>13800</v>
      </c>
      <c r="AE126">
        <v>1150</v>
      </c>
      <c r="AF126">
        <v>13800</v>
      </c>
      <c r="AG126">
        <v>13800</v>
      </c>
      <c r="AH126">
        <v>1150</v>
      </c>
      <c r="AI126">
        <v>13800</v>
      </c>
      <c r="AJ126">
        <v>13800</v>
      </c>
      <c r="AK126">
        <v>0</v>
      </c>
      <c r="AL126">
        <v>13800</v>
      </c>
      <c r="AM126">
        <v>13800</v>
      </c>
      <c r="AN126">
        <v>13800</v>
      </c>
      <c r="AO126" t="s">
        <v>55</v>
      </c>
      <c r="AP126" t="s">
        <v>1209</v>
      </c>
      <c r="AQ126">
        <v>1</v>
      </c>
    </row>
    <row r="127" spans="1:43" x14ac:dyDescent="0.25">
      <c r="A127" t="s">
        <v>42</v>
      </c>
      <c r="B127" t="s">
        <v>43</v>
      </c>
      <c r="C127" t="s">
        <v>44</v>
      </c>
      <c r="D127" t="s">
        <v>45</v>
      </c>
      <c r="E127">
        <v>8</v>
      </c>
      <c r="F127">
        <v>605</v>
      </c>
      <c r="G127">
        <v>3016</v>
      </c>
      <c r="H127">
        <v>4470</v>
      </c>
      <c r="I127" t="s">
        <v>186</v>
      </c>
      <c r="J127" t="s">
        <v>1177</v>
      </c>
      <c r="K127" t="s">
        <v>247</v>
      </c>
      <c r="L127" t="s">
        <v>248</v>
      </c>
      <c r="M127">
        <v>6</v>
      </c>
      <c r="N127" t="s">
        <v>115</v>
      </c>
      <c r="O127">
        <v>2025</v>
      </c>
      <c r="P127">
        <v>10030</v>
      </c>
      <c r="R127" t="s">
        <v>1203</v>
      </c>
      <c r="S127" t="s">
        <v>2472</v>
      </c>
      <c r="T127" t="s">
        <v>1204</v>
      </c>
      <c r="X127">
        <v>12</v>
      </c>
      <c r="Y127" t="s">
        <v>54</v>
      </c>
      <c r="Z127">
        <v>2579.9</v>
      </c>
      <c r="AA127">
        <v>0</v>
      </c>
      <c r="AB127">
        <v>0</v>
      </c>
      <c r="AC127">
        <v>0</v>
      </c>
      <c r="AD127">
        <v>2579.9</v>
      </c>
      <c r="AE127">
        <v>214.9916666666667</v>
      </c>
      <c r="AF127">
        <v>2579.9</v>
      </c>
      <c r="AG127">
        <v>2579.9</v>
      </c>
      <c r="AH127">
        <v>214.9916666666667</v>
      </c>
      <c r="AI127">
        <v>2579.9</v>
      </c>
      <c r="AJ127">
        <v>2579.9</v>
      </c>
      <c r="AK127">
        <v>0</v>
      </c>
      <c r="AL127">
        <v>2579.9</v>
      </c>
      <c r="AM127">
        <v>0</v>
      </c>
      <c r="AN127">
        <v>0</v>
      </c>
      <c r="AO127" t="s">
        <v>55</v>
      </c>
      <c r="AP127" t="s">
        <v>1205</v>
      </c>
      <c r="AQ127">
        <v>1</v>
      </c>
    </row>
    <row r="128" spans="1:43" x14ac:dyDescent="0.25">
      <c r="A128" t="s">
        <v>42</v>
      </c>
      <c r="B128" t="s">
        <v>43</v>
      </c>
      <c r="C128" t="s">
        <v>44</v>
      </c>
      <c r="D128" t="s">
        <v>45</v>
      </c>
      <c r="E128">
        <v>8</v>
      </c>
      <c r="F128">
        <v>605</v>
      </c>
      <c r="G128">
        <v>3016</v>
      </c>
      <c r="H128">
        <v>4470</v>
      </c>
      <c r="I128" t="s">
        <v>186</v>
      </c>
      <c r="J128" t="s">
        <v>1177</v>
      </c>
      <c r="K128" t="s">
        <v>247</v>
      </c>
      <c r="L128" t="s">
        <v>248</v>
      </c>
      <c r="M128">
        <v>6</v>
      </c>
      <c r="N128" t="s">
        <v>115</v>
      </c>
      <c r="O128">
        <v>2025</v>
      </c>
      <c r="P128">
        <v>9997</v>
      </c>
      <c r="R128" t="s">
        <v>1200</v>
      </c>
      <c r="S128" t="s">
        <v>2472</v>
      </c>
      <c r="T128" s="12" t="s">
        <v>1201</v>
      </c>
      <c r="W128" t="s">
        <v>1190</v>
      </c>
      <c r="X128">
        <v>12</v>
      </c>
      <c r="Y128" t="s">
        <v>54</v>
      </c>
      <c r="Z128">
        <v>3729.7</v>
      </c>
      <c r="AA128">
        <v>0</v>
      </c>
      <c r="AB128">
        <v>0</v>
      </c>
      <c r="AC128">
        <v>0</v>
      </c>
      <c r="AD128">
        <v>3729.7</v>
      </c>
      <c r="AE128">
        <v>310.80833333333328</v>
      </c>
      <c r="AF128">
        <v>3729.7</v>
      </c>
      <c r="AG128">
        <v>3729.7</v>
      </c>
      <c r="AH128">
        <v>310.80833333333328</v>
      </c>
      <c r="AI128">
        <v>3729.7</v>
      </c>
      <c r="AJ128">
        <v>3729.7</v>
      </c>
      <c r="AK128">
        <v>0</v>
      </c>
      <c r="AL128">
        <v>3729.7</v>
      </c>
      <c r="AM128">
        <v>3729.7</v>
      </c>
      <c r="AN128">
        <v>3729.7</v>
      </c>
      <c r="AO128" t="s">
        <v>55</v>
      </c>
      <c r="AP128" t="s">
        <v>1202</v>
      </c>
      <c r="AQ128">
        <v>1</v>
      </c>
    </row>
    <row r="129" spans="1:43" x14ac:dyDescent="0.25">
      <c r="A129" t="s">
        <v>42</v>
      </c>
      <c r="B129" t="s">
        <v>43</v>
      </c>
      <c r="C129" t="s">
        <v>44</v>
      </c>
      <c r="D129" t="s">
        <v>45</v>
      </c>
      <c r="E129">
        <v>14</v>
      </c>
      <c r="F129">
        <v>422</v>
      </c>
      <c r="G129">
        <v>3013</v>
      </c>
      <c r="H129">
        <v>6178</v>
      </c>
      <c r="I129" t="s">
        <v>186</v>
      </c>
      <c r="J129" t="s">
        <v>749</v>
      </c>
      <c r="K129" t="s">
        <v>247</v>
      </c>
      <c r="L129" t="s">
        <v>248</v>
      </c>
      <c r="M129">
        <v>6</v>
      </c>
      <c r="N129" t="s">
        <v>115</v>
      </c>
      <c r="O129">
        <v>2025</v>
      </c>
      <c r="P129">
        <v>3637</v>
      </c>
      <c r="R129" t="s">
        <v>775</v>
      </c>
      <c r="S129" t="s">
        <v>2472</v>
      </c>
      <c r="T129" t="s">
        <v>776</v>
      </c>
      <c r="W129" t="s">
        <v>777</v>
      </c>
      <c r="X129">
        <v>12</v>
      </c>
      <c r="Y129" t="s">
        <v>54</v>
      </c>
      <c r="Z129">
        <v>20000</v>
      </c>
      <c r="AA129">
        <v>0</v>
      </c>
      <c r="AB129">
        <v>0</v>
      </c>
      <c r="AC129">
        <v>0</v>
      </c>
      <c r="AD129">
        <v>20000</v>
      </c>
      <c r="AE129">
        <v>1666.666666666667</v>
      </c>
      <c r="AF129">
        <v>20000</v>
      </c>
      <c r="AG129">
        <v>20000</v>
      </c>
      <c r="AH129">
        <v>1666.666666666667</v>
      </c>
      <c r="AI129">
        <v>20000</v>
      </c>
      <c r="AJ129">
        <v>20000</v>
      </c>
      <c r="AK129">
        <v>0</v>
      </c>
      <c r="AL129">
        <v>20000</v>
      </c>
      <c r="AM129">
        <v>20000</v>
      </c>
      <c r="AN129">
        <v>20000</v>
      </c>
      <c r="AO129" t="s">
        <v>55</v>
      </c>
      <c r="AP129" t="s">
        <v>778</v>
      </c>
      <c r="AQ129">
        <v>1</v>
      </c>
    </row>
    <row r="130" spans="1:43" x14ac:dyDescent="0.25">
      <c r="A130" t="s">
        <v>42</v>
      </c>
      <c r="B130" t="s">
        <v>43</v>
      </c>
      <c r="C130" t="s">
        <v>44</v>
      </c>
      <c r="D130" t="s">
        <v>45</v>
      </c>
      <c r="E130">
        <v>14</v>
      </c>
      <c r="F130">
        <v>122</v>
      </c>
      <c r="G130">
        <v>3024</v>
      </c>
      <c r="H130">
        <v>2100</v>
      </c>
      <c r="I130" t="s">
        <v>186</v>
      </c>
      <c r="J130" t="s">
        <v>749</v>
      </c>
      <c r="K130" t="s">
        <v>247</v>
      </c>
      <c r="L130" t="s">
        <v>248</v>
      </c>
      <c r="M130">
        <v>6</v>
      </c>
      <c r="N130" t="s">
        <v>115</v>
      </c>
      <c r="O130">
        <v>2025</v>
      </c>
      <c r="P130">
        <v>3639</v>
      </c>
      <c r="R130" t="s">
        <v>779</v>
      </c>
      <c r="S130" t="s">
        <v>2472</v>
      </c>
      <c r="T130" t="s">
        <v>780</v>
      </c>
      <c r="W130" t="s">
        <v>590</v>
      </c>
      <c r="X130">
        <v>12</v>
      </c>
      <c r="Y130" t="s">
        <v>54</v>
      </c>
      <c r="Z130">
        <v>3500</v>
      </c>
      <c r="AA130">
        <v>0</v>
      </c>
      <c r="AB130">
        <v>0</v>
      </c>
      <c r="AC130">
        <v>0</v>
      </c>
      <c r="AD130">
        <v>3500</v>
      </c>
      <c r="AE130">
        <v>291.66666666666669</v>
      </c>
      <c r="AF130">
        <v>3500</v>
      </c>
      <c r="AG130">
        <v>3500</v>
      </c>
      <c r="AH130">
        <v>291.66666666666669</v>
      </c>
      <c r="AI130">
        <v>3500</v>
      </c>
      <c r="AJ130">
        <v>3500</v>
      </c>
      <c r="AK130">
        <v>0</v>
      </c>
      <c r="AL130">
        <v>3500</v>
      </c>
      <c r="AM130">
        <v>3500</v>
      </c>
      <c r="AN130">
        <v>3500</v>
      </c>
      <c r="AO130" t="s">
        <v>55</v>
      </c>
      <c r="AP130" t="s">
        <v>781</v>
      </c>
      <c r="AQ130">
        <v>1</v>
      </c>
    </row>
    <row r="131" spans="1:43" x14ac:dyDescent="0.25">
      <c r="A131" t="s">
        <v>42</v>
      </c>
      <c r="B131" t="s">
        <v>43</v>
      </c>
      <c r="C131" t="s">
        <v>44</v>
      </c>
      <c r="D131" t="s">
        <v>45</v>
      </c>
      <c r="E131">
        <v>14</v>
      </c>
      <c r="F131">
        <v>122</v>
      </c>
      <c r="G131">
        <v>3024</v>
      </c>
      <c r="H131">
        <v>2100</v>
      </c>
      <c r="I131" t="s">
        <v>186</v>
      </c>
      <c r="J131" t="s">
        <v>749</v>
      </c>
      <c r="K131" t="s">
        <v>247</v>
      </c>
      <c r="L131" t="s">
        <v>248</v>
      </c>
      <c r="M131">
        <v>6</v>
      </c>
      <c r="N131" t="s">
        <v>115</v>
      </c>
      <c r="O131">
        <v>2025</v>
      </c>
      <c r="P131">
        <v>3656</v>
      </c>
      <c r="R131" t="s">
        <v>782</v>
      </c>
      <c r="S131" t="s">
        <v>2472</v>
      </c>
      <c r="T131" t="s">
        <v>783</v>
      </c>
      <c r="W131" t="s">
        <v>455</v>
      </c>
      <c r="X131">
        <v>12</v>
      </c>
      <c r="Y131" t="s">
        <v>54</v>
      </c>
      <c r="Z131">
        <v>6900</v>
      </c>
      <c r="AA131">
        <v>0</v>
      </c>
      <c r="AB131">
        <v>0</v>
      </c>
      <c r="AC131">
        <v>0</v>
      </c>
      <c r="AD131">
        <v>6900</v>
      </c>
      <c r="AE131">
        <v>575</v>
      </c>
      <c r="AF131">
        <v>6900</v>
      </c>
      <c r="AG131">
        <v>6900</v>
      </c>
      <c r="AH131">
        <v>575</v>
      </c>
      <c r="AI131">
        <v>6900</v>
      </c>
      <c r="AJ131">
        <v>6900</v>
      </c>
      <c r="AK131">
        <v>0</v>
      </c>
      <c r="AL131">
        <v>6900</v>
      </c>
      <c r="AM131">
        <v>6900</v>
      </c>
      <c r="AN131">
        <v>6900</v>
      </c>
      <c r="AO131" t="s">
        <v>55</v>
      </c>
      <c r="AP131" t="s">
        <v>784</v>
      </c>
      <c r="AQ131">
        <v>1</v>
      </c>
    </row>
    <row r="132" spans="1:43" x14ac:dyDescent="0.25">
      <c r="A132" t="s">
        <v>42</v>
      </c>
      <c r="B132" t="s">
        <v>43</v>
      </c>
      <c r="C132" t="s">
        <v>44</v>
      </c>
      <c r="D132" t="s">
        <v>45</v>
      </c>
      <c r="E132">
        <v>14</v>
      </c>
      <c r="F132">
        <v>122</v>
      </c>
      <c r="G132">
        <v>3024</v>
      </c>
      <c r="H132">
        <v>2100</v>
      </c>
      <c r="I132" t="s">
        <v>186</v>
      </c>
      <c r="J132" t="s">
        <v>749</v>
      </c>
      <c r="K132" t="s">
        <v>247</v>
      </c>
      <c r="L132" t="s">
        <v>248</v>
      </c>
      <c r="M132">
        <v>6</v>
      </c>
      <c r="N132" t="s">
        <v>115</v>
      </c>
      <c r="O132">
        <v>2025</v>
      </c>
      <c r="P132">
        <v>3670</v>
      </c>
      <c r="R132" t="s">
        <v>782</v>
      </c>
      <c r="S132" t="s">
        <v>2472</v>
      </c>
      <c r="T132" s="12" t="s">
        <v>785</v>
      </c>
      <c r="W132" t="s">
        <v>455</v>
      </c>
      <c r="X132">
        <v>12</v>
      </c>
      <c r="Y132" t="s">
        <v>54</v>
      </c>
      <c r="Z132">
        <v>5916.75</v>
      </c>
      <c r="AA132">
        <v>0</v>
      </c>
      <c r="AB132">
        <v>0</v>
      </c>
      <c r="AC132">
        <v>0</v>
      </c>
      <c r="AD132">
        <v>5916.75</v>
      </c>
      <c r="AE132">
        <v>493.0625</v>
      </c>
      <c r="AF132">
        <v>5916.75</v>
      </c>
      <c r="AG132">
        <v>5916.75</v>
      </c>
      <c r="AH132">
        <v>493.0625</v>
      </c>
      <c r="AI132">
        <v>5916.75</v>
      </c>
      <c r="AJ132">
        <v>5916.75</v>
      </c>
      <c r="AK132">
        <v>0</v>
      </c>
      <c r="AL132">
        <v>5916.75</v>
      </c>
      <c r="AM132">
        <v>5916.75</v>
      </c>
      <c r="AN132">
        <v>5916.75</v>
      </c>
      <c r="AO132" t="s">
        <v>55</v>
      </c>
      <c r="AP132" t="s">
        <v>784</v>
      </c>
      <c r="AQ132">
        <v>1</v>
      </c>
    </row>
    <row r="133" spans="1:43" x14ac:dyDescent="0.25">
      <c r="A133" t="s">
        <v>42</v>
      </c>
      <c r="B133" t="s">
        <v>43</v>
      </c>
      <c r="C133" t="s">
        <v>44</v>
      </c>
      <c r="D133" t="s">
        <v>45</v>
      </c>
      <c r="E133">
        <v>14</v>
      </c>
      <c r="F133">
        <v>122</v>
      </c>
      <c r="G133">
        <v>3024</v>
      </c>
      <c r="H133">
        <v>2100</v>
      </c>
      <c r="I133" t="s">
        <v>57</v>
      </c>
      <c r="J133" t="s">
        <v>1177</v>
      </c>
      <c r="K133" t="s">
        <v>1153</v>
      </c>
      <c r="L133" t="s">
        <v>1154</v>
      </c>
      <c r="M133">
        <v>7</v>
      </c>
      <c r="N133" t="s">
        <v>391</v>
      </c>
      <c r="O133">
        <v>2025</v>
      </c>
      <c r="P133">
        <v>9945</v>
      </c>
      <c r="R133" t="s">
        <v>1197</v>
      </c>
      <c r="S133" t="s">
        <v>2472</v>
      </c>
      <c r="T133" t="s">
        <v>1198</v>
      </c>
      <c r="X133">
        <v>12</v>
      </c>
      <c r="Y133" t="s">
        <v>54</v>
      </c>
      <c r="Z133">
        <v>1558.8</v>
      </c>
      <c r="AA133">
        <v>0</v>
      </c>
      <c r="AB133">
        <v>0</v>
      </c>
      <c r="AC133">
        <v>0</v>
      </c>
      <c r="AD133">
        <v>1558.8</v>
      </c>
      <c r="AE133">
        <v>129.9</v>
      </c>
      <c r="AF133">
        <v>1558.8</v>
      </c>
      <c r="AG133">
        <v>1558.8</v>
      </c>
      <c r="AH133">
        <v>129.9</v>
      </c>
      <c r="AI133">
        <v>1558.8</v>
      </c>
      <c r="AJ133">
        <v>1558.8</v>
      </c>
      <c r="AK133">
        <v>0</v>
      </c>
      <c r="AL133">
        <v>1558.8</v>
      </c>
      <c r="AM133">
        <v>0</v>
      </c>
      <c r="AN133">
        <v>0</v>
      </c>
      <c r="AO133" t="s">
        <v>55</v>
      </c>
      <c r="AP133" t="s">
        <v>1199</v>
      </c>
      <c r="AQ133">
        <v>1</v>
      </c>
    </row>
    <row r="134" spans="1:43" x14ac:dyDescent="0.25">
      <c r="A134" t="s">
        <v>42</v>
      </c>
      <c r="B134" t="s">
        <v>43</v>
      </c>
      <c r="C134" t="s">
        <v>44</v>
      </c>
      <c r="D134" t="s">
        <v>45</v>
      </c>
      <c r="E134">
        <v>14</v>
      </c>
      <c r="F134">
        <v>122</v>
      </c>
      <c r="G134">
        <v>3024</v>
      </c>
      <c r="H134">
        <v>2100</v>
      </c>
      <c r="I134" t="s">
        <v>57</v>
      </c>
      <c r="J134" t="s">
        <v>1177</v>
      </c>
      <c r="K134" t="s">
        <v>1153</v>
      </c>
      <c r="L134" t="s">
        <v>1154</v>
      </c>
      <c r="M134">
        <v>7</v>
      </c>
      <c r="N134" t="s">
        <v>391</v>
      </c>
      <c r="O134">
        <v>2025</v>
      </c>
      <c r="P134">
        <v>9805</v>
      </c>
      <c r="R134" t="s">
        <v>1192</v>
      </c>
      <c r="S134" t="s">
        <v>2472</v>
      </c>
      <c r="T134" t="s">
        <v>1196</v>
      </c>
      <c r="W134" t="s">
        <v>1194</v>
      </c>
      <c r="X134">
        <v>12</v>
      </c>
      <c r="Y134" t="s">
        <v>54</v>
      </c>
      <c r="Z134">
        <v>418.8</v>
      </c>
      <c r="AA134">
        <v>0</v>
      </c>
      <c r="AB134">
        <v>0</v>
      </c>
      <c r="AC134">
        <v>0</v>
      </c>
      <c r="AD134">
        <v>418.8</v>
      </c>
      <c r="AE134">
        <v>34.9</v>
      </c>
      <c r="AF134">
        <v>418.8</v>
      </c>
      <c r="AG134">
        <v>418.8</v>
      </c>
      <c r="AH134">
        <v>34.9</v>
      </c>
      <c r="AI134">
        <v>418.8</v>
      </c>
      <c r="AJ134">
        <v>418.8</v>
      </c>
      <c r="AK134">
        <v>0</v>
      </c>
      <c r="AL134">
        <v>418.8</v>
      </c>
      <c r="AM134">
        <v>418.8</v>
      </c>
      <c r="AN134">
        <v>418.8</v>
      </c>
      <c r="AO134" t="s">
        <v>55</v>
      </c>
      <c r="AP134" t="s">
        <v>1195</v>
      </c>
      <c r="AQ134">
        <v>1</v>
      </c>
    </row>
    <row r="135" spans="1:43" x14ac:dyDescent="0.25">
      <c r="A135" t="s">
        <v>42</v>
      </c>
      <c r="B135" t="s">
        <v>43</v>
      </c>
      <c r="C135" t="s">
        <v>44</v>
      </c>
      <c r="D135" t="s">
        <v>45</v>
      </c>
      <c r="E135">
        <v>14</v>
      </c>
      <c r="F135">
        <v>122</v>
      </c>
      <c r="G135">
        <v>3024</v>
      </c>
      <c r="H135">
        <v>2100</v>
      </c>
      <c r="I135" t="s">
        <v>186</v>
      </c>
      <c r="J135" t="s">
        <v>749</v>
      </c>
      <c r="K135" t="s">
        <v>247</v>
      </c>
      <c r="L135" t="s">
        <v>248</v>
      </c>
      <c r="M135">
        <v>6</v>
      </c>
      <c r="N135" t="s">
        <v>115</v>
      </c>
      <c r="O135">
        <v>2025</v>
      </c>
      <c r="P135">
        <v>3800</v>
      </c>
      <c r="R135" t="s">
        <v>800</v>
      </c>
      <c r="S135" t="s">
        <v>2472</v>
      </c>
      <c r="T135" t="s">
        <v>801</v>
      </c>
      <c r="W135" t="s">
        <v>455</v>
      </c>
      <c r="X135">
        <v>12</v>
      </c>
      <c r="Y135" t="s">
        <v>54</v>
      </c>
      <c r="Z135">
        <v>8550</v>
      </c>
      <c r="AA135">
        <v>0</v>
      </c>
      <c r="AB135">
        <v>0</v>
      </c>
      <c r="AC135">
        <v>0</v>
      </c>
      <c r="AD135">
        <v>8550</v>
      </c>
      <c r="AE135">
        <v>712.5</v>
      </c>
      <c r="AF135">
        <v>8550</v>
      </c>
      <c r="AG135">
        <v>8550</v>
      </c>
      <c r="AH135">
        <v>712.5</v>
      </c>
      <c r="AI135">
        <v>8550</v>
      </c>
      <c r="AJ135">
        <v>8550</v>
      </c>
      <c r="AK135">
        <v>0</v>
      </c>
      <c r="AL135">
        <v>8550</v>
      </c>
      <c r="AM135">
        <v>8550</v>
      </c>
      <c r="AN135">
        <v>8550</v>
      </c>
      <c r="AO135" t="s">
        <v>55</v>
      </c>
      <c r="AP135" t="s">
        <v>802</v>
      </c>
      <c r="AQ135">
        <v>1</v>
      </c>
    </row>
    <row r="136" spans="1:43" x14ac:dyDescent="0.25">
      <c r="A136" t="s">
        <v>42</v>
      </c>
      <c r="B136" t="s">
        <v>43</v>
      </c>
      <c r="C136" t="s">
        <v>44</v>
      </c>
      <c r="D136" t="s">
        <v>45</v>
      </c>
      <c r="E136">
        <v>14</v>
      </c>
      <c r="F136">
        <v>122</v>
      </c>
      <c r="G136">
        <v>3024</v>
      </c>
      <c r="H136">
        <v>2100</v>
      </c>
      <c r="I136" t="s">
        <v>57</v>
      </c>
      <c r="J136" t="s">
        <v>1177</v>
      </c>
      <c r="K136" t="s">
        <v>1153</v>
      </c>
      <c r="L136" t="s">
        <v>1154</v>
      </c>
      <c r="M136">
        <v>7</v>
      </c>
      <c r="N136" t="s">
        <v>391</v>
      </c>
      <c r="O136">
        <v>2025</v>
      </c>
      <c r="P136">
        <v>9804</v>
      </c>
      <c r="R136" t="s">
        <v>1192</v>
      </c>
      <c r="S136" t="s">
        <v>2472</v>
      </c>
      <c r="T136" t="s">
        <v>1193</v>
      </c>
      <c r="W136" t="s">
        <v>1194</v>
      </c>
      <c r="X136">
        <v>12</v>
      </c>
      <c r="Y136" t="s">
        <v>54</v>
      </c>
      <c r="Z136">
        <v>1454.4</v>
      </c>
      <c r="AA136">
        <v>0</v>
      </c>
      <c r="AB136">
        <v>0</v>
      </c>
      <c r="AC136">
        <v>0</v>
      </c>
      <c r="AD136">
        <v>1454.4</v>
      </c>
      <c r="AE136">
        <v>121.2</v>
      </c>
      <c r="AF136">
        <v>1454.4</v>
      </c>
      <c r="AG136">
        <v>1454.4</v>
      </c>
      <c r="AH136">
        <v>121.2</v>
      </c>
      <c r="AI136">
        <v>1454.4</v>
      </c>
      <c r="AJ136">
        <v>1454.4</v>
      </c>
      <c r="AK136">
        <v>0</v>
      </c>
      <c r="AL136">
        <v>1454.4</v>
      </c>
      <c r="AM136">
        <v>1454.4</v>
      </c>
      <c r="AN136">
        <v>1454.4</v>
      </c>
      <c r="AO136" t="s">
        <v>55</v>
      </c>
      <c r="AP136" t="s">
        <v>1195</v>
      </c>
      <c r="AQ136">
        <v>1</v>
      </c>
    </row>
    <row r="137" spans="1:43" x14ac:dyDescent="0.25">
      <c r="A137" t="s">
        <v>42</v>
      </c>
      <c r="B137" t="s">
        <v>43</v>
      </c>
      <c r="C137" t="s">
        <v>44</v>
      </c>
      <c r="D137" t="s">
        <v>45</v>
      </c>
      <c r="E137">
        <v>14</v>
      </c>
      <c r="F137">
        <v>243</v>
      </c>
      <c r="G137">
        <v>3013</v>
      </c>
      <c r="H137">
        <v>2157</v>
      </c>
      <c r="I137" t="s">
        <v>186</v>
      </c>
      <c r="J137" t="s">
        <v>1177</v>
      </c>
      <c r="K137" t="s">
        <v>247</v>
      </c>
      <c r="L137" t="s">
        <v>248</v>
      </c>
      <c r="M137">
        <v>6</v>
      </c>
      <c r="N137" t="s">
        <v>115</v>
      </c>
      <c r="O137">
        <v>2025</v>
      </c>
      <c r="P137">
        <v>9773</v>
      </c>
      <c r="R137" t="s">
        <v>1188</v>
      </c>
      <c r="S137" t="s">
        <v>2472</v>
      </c>
      <c r="T137" t="s">
        <v>1189</v>
      </c>
      <c r="W137" t="s">
        <v>1190</v>
      </c>
      <c r="X137">
        <v>12</v>
      </c>
      <c r="Y137" t="s">
        <v>54</v>
      </c>
      <c r="Z137">
        <v>35412</v>
      </c>
      <c r="AA137">
        <v>0</v>
      </c>
      <c r="AB137">
        <v>0</v>
      </c>
      <c r="AC137">
        <v>0</v>
      </c>
      <c r="AD137">
        <v>35412</v>
      </c>
      <c r="AE137">
        <v>2951</v>
      </c>
      <c r="AF137">
        <v>35412</v>
      </c>
      <c r="AG137">
        <v>35412</v>
      </c>
      <c r="AH137">
        <v>2951</v>
      </c>
      <c r="AI137">
        <v>35412</v>
      </c>
      <c r="AJ137">
        <v>35412</v>
      </c>
      <c r="AK137">
        <v>0</v>
      </c>
      <c r="AL137">
        <v>35412</v>
      </c>
      <c r="AM137">
        <v>35412</v>
      </c>
      <c r="AN137">
        <v>35412</v>
      </c>
      <c r="AO137" t="s">
        <v>55</v>
      </c>
      <c r="AP137" t="s">
        <v>1191</v>
      </c>
      <c r="AQ137">
        <v>1</v>
      </c>
    </row>
    <row r="138" spans="1:43" x14ac:dyDescent="0.25">
      <c r="A138" t="s">
        <v>42</v>
      </c>
      <c r="B138" t="s">
        <v>43</v>
      </c>
      <c r="C138" t="s">
        <v>44</v>
      </c>
      <c r="D138" t="s">
        <v>45</v>
      </c>
      <c r="E138">
        <v>14</v>
      </c>
      <c r="F138">
        <v>422</v>
      </c>
      <c r="G138">
        <v>3013</v>
      </c>
      <c r="H138">
        <v>6178</v>
      </c>
      <c r="I138" t="s">
        <v>186</v>
      </c>
      <c r="J138" t="s">
        <v>1177</v>
      </c>
      <c r="K138" t="s">
        <v>491</v>
      </c>
      <c r="L138" t="s">
        <v>492</v>
      </c>
      <c r="M138">
        <v>12</v>
      </c>
      <c r="N138" t="s">
        <v>60</v>
      </c>
      <c r="O138">
        <v>2025</v>
      </c>
      <c r="P138">
        <v>9738</v>
      </c>
      <c r="R138" t="s">
        <v>1185</v>
      </c>
      <c r="S138" t="s">
        <v>2472</v>
      </c>
      <c r="T138" t="s">
        <v>1186</v>
      </c>
      <c r="X138">
        <v>12</v>
      </c>
      <c r="Y138" t="s">
        <v>54</v>
      </c>
      <c r="Z138">
        <v>38815.199999999997</v>
      </c>
      <c r="AA138">
        <v>0</v>
      </c>
      <c r="AB138">
        <v>0</v>
      </c>
      <c r="AC138">
        <v>0</v>
      </c>
      <c r="AD138">
        <v>38815.199999999997</v>
      </c>
      <c r="AE138">
        <v>3234.6</v>
      </c>
      <c r="AF138">
        <v>38815.199999999997</v>
      </c>
      <c r="AG138">
        <v>38815.199999999997</v>
      </c>
      <c r="AH138">
        <v>3234.6</v>
      </c>
      <c r="AI138">
        <v>38815.199999999997</v>
      </c>
      <c r="AJ138">
        <v>38815.199999999997</v>
      </c>
      <c r="AK138">
        <v>0</v>
      </c>
      <c r="AL138">
        <v>38815.199999999997</v>
      </c>
      <c r="AM138">
        <v>0</v>
      </c>
      <c r="AN138">
        <v>0</v>
      </c>
      <c r="AO138" t="s">
        <v>55</v>
      </c>
      <c r="AP138" t="s">
        <v>1187</v>
      </c>
      <c r="AQ138">
        <v>1</v>
      </c>
    </row>
    <row r="139" spans="1:43" x14ac:dyDescent="0.25">
      <c r="A139" t="s">
        <v>42</v>
      </c>
      <c r="B139" t="s">
        <v>43</v>
      </c>
      <c r="C139" t="s">
        <v>44</v>
      </c>
      <c r="D139" t="s">
        <v>45</v>
      </c>
      <c r="E139">
        <v>14</v>
      </c>
      <c r="F139">
        <v>122</v>
      </c>
      <c r="G139">
        <v>3024</v>
      </c>
      <c r="H139">
        <v>2100</v>
      </c>
      <c r="I139" t="s">
        <v>57</v>
      </c>
      <c r="J139" t="s">
        <v>1177</v>
      </c>
      <c r="K139" t="s">
        <v>58</v>
      </c>
      <c r="L139" t="s">
        <v>59</v>
      </c>
      <c r="M139">
        <v>12</v>
      </c>
      <c r="N139" t="s">
        <v>60</v>
      </c>
      <c r="O139">
        <v>2025</v>
      </c>
      <c r="P139">
        <v>9540</v>
      </c>
      <c r="R139" t="s">
        <v>1181</v>
      </c>
      <c r="S139" t="s">
        <v>2472</v>
      </c>
      <c r="T139" t="s">
        <v>1182</v>
      </c>
      <c r="W139" t="s">
        <v>1183</v>
      </c>
      <c r="X139">
        <v>12</v>
      </c>
      <c r="Y139" t="s">
        <v>54</v>
      </c>
      <c r="Z139">
        <v>1800.4</v>
      </c>
      <c r="AA139">
        <v>0</v>
      </c>
      <c r="AB139">
        <v>0</v>
      </c>
      <c r="AC139">
        <v>0</v>
      </c>
      <c r="AD139">
        <v>1800.4</v>
      </c>
      <c r="AE139">
        <v>150.0333333333333</v>
      </c>
      <c r="AF139">
        <v>1800.4</v>
      </c>
      <c r="AG139">
        <v>1800.4</v>
      </c>
      <c r="AH139">
        <v>150.0333333333333</v>
      </c>
      <c r="AI139">
        <v>1800.4</v>
      </c>
      <c r="AJ139">
        <v>1800.4</v>
      </c>
      <c r="AK139">
        <v>0</v>
      </c>
      <c r="AL139">
        <v>1800.4</v>
      </c>
      <c r="AM139">
        <v>1800.4</v>
      </c>
      <c r="AN139">
        <v>1800.4</v>
      </c>
      <c r="AO139" t="s">
        <v>55</v>
      </c>
      <c r="AP139" t="s">
        <v>1184</v>
      </c>
      <c r="AQ139">
        <v>1</v>
      </c>
    </row>
    <row r="140" spans="1:43" x14ac:dyDescent="0.25">
      <c r="A140" t="s">
        <v>42</v>
      </c>
      <c r="B140" t="s">
        <v>43</v>
      </c>
      <c r="C140" t="s">
        <v>44</v>
      </c>
      <c r="D140" t="s">
        <v>45</v>
      </c>
      <c r="E140">
        <v>14</v>
      </c>
      <c r="F140">
        <v>422</v>
      </c>
      <c r="G140">
        <v>3013</v>
      </c>
      <c r="H140">
        <v>6178</v>
      </c>
      <c r="I140" t="s">
        <v>186</v>
      </c>
      <c r="J140" t="s">
        <v>1177</v>
      </c>
      <c r="K140" t="s">
        <v>491</v>
      </c>
      <c r="L140" t="s">
        <v>492</v>
      </c>
      <c r="M140">
        <v>12</v>
      </c>
      <c r="N140" t="s">
        <v>60</v>
      </c>
      <c r="O140">
        <v>2025</v>
      </c>
      <c r="P140">
        <v>9492</v>
      </c>
      <c r="R140" t="s">
        <v>1178</v>
      </c>
      <c r="S140" t="s">
        <v>2472</v>
      </c>
      <c r="T140" t="s">
        <v>1179</v>
      </c>
      <c r="X140">
        <v>12</v>
      </c>
      <c r="Y140" t="s">
        <v>54</v>
      </c>
      <c r="Z140">
        <v>22580</v>
      </c>
      <c r="AA140">
        <v>0</v>
      </c>
      <c r="AB140">
        <v>0</v>
      </c>
      <c r="AC140">
        <v>0</v>
      </c>
      <c r="AD140">
        <v>22580</v>
      </c>
      <c r="AE140">
        <v>1881.666666666667</v>
      </c>
      <c r="AF140">
        <v>22580</v>
      </c>
      <c r="AG140">
        <v>22580</v>
      </c>
      <c r="AH140">
        <v>1881.666666666667</v>
      </c>
      <c r="AI140">
        <v>22580</v>
      </c>
      <c r="AJ140">
        <v>22580</v>
      </c>
      <c r="AK140">
        <v>0</v>
      </c>
      <c r="AL140">
        <v>22580</v>
      </c>
      <c r="AM140">
        <v>0</v>
      </c>
      <c r="AN140">
        <v>0</v>
      </c>
      <c r="AO140" t="s">
        <v>55</v>
      </c>
      <c r="AP140" t="s">
        <v>1180</v>
      </c>
      <c r="AQ140">
        <v>1</v>
      </c>
    </row>
    <row r="141" spans="1:43" x14ac:dyDescent="0.25">
      <c r="A141" t="s">
        <v>42</v>
      </c>
      <c r="B141" t="s">
        <v>43</v>
      </c>
      <c r="C141" t="s">
        <v>44</v>
      </c>
      <c r="D141" t="s">
        <v>45</v>
      </c>
      <c r="E141">
        <v>14</v>
      </c>
      <c r="F141">
        <v>122</v>
      </c>
      <c r="G141">
        <v>3024</v>
      </c>
      <c r="H141">
        <v>2100</v>
      </c>
      <c r="I141" t="s">
        <v>57</v>
      </c>
      <c r="J141" t="s">
        <v>361</v>
      </c>
      <c r="K141" t="s">
        <v>58</v>
      </c>
      <c r="L141" t="s">
        <v>59</v>
      </c>
      <c r="M141">
        <v>12</v>
      </c>
      <c r="N141" t="s">
        <v>60</v>
      </c>
      <c r="O141">
        <v>2025</v>
      </c>
      <c r="P141">
        <v>9426</v>
      </c>
      <c r="R141" t="s">
        <v>1174</v>
      </c>
      <c r="S141" t="s">
        <v>2472</v>
      </c>
      <c r="T141" t="s">
        <v>1175</v>
      </c>
      <c r="W141" t="s">
        <v>1001</v>
      </c>
      <c r="X141">
        <v>12</v>
      </c>
      <c r="Y141" t="s">
        <v>54</v>
      </c>
      <c r="Z141">
        <v>2638.4</v>
      </c>
      <c r="AA141">
        <v>0</v>
      </c>
      <c r="AB141">
        <v>0</v>
      </c>
      <c r="AC141">
        <v>0</v>
      </c>
      <c r="AD141">
        <v>2638.4</v>
      </c>
      <c r="AE141">
        <v>219.8666666666667</v>
      </c>
      <c r="AF141">
        <v>2638.4</v>
      </c>
      <c r="AG141">
        <v>2638.4</v>
      </c>
      <c r="AH141">
        <v>219.8666666666667</v>
      </c>
      <c r="AI141">
        <v>2638.4</v>
      </c>
      <c r="AJ141">
        <v>2638.4</v>
      </c>
      <c r="AK141">
        <v>0</v>
      </c>
      <c r="AL141">
        <v>2638.4</v>
      </c>
      <c r="AM141">
        <v>2308.6</v>
      </c>
      <c r="AN141">
        <v>2308.6</v>
      </c>
      <c r="AO141" t="s">
        <v>55</v>
      </c>
      <c r="AP141" t="s">
        <v>1176</v>
      </c>
      <c r="AQ141">
        <v>1</v>
      </c>
    </row>
    <row r="142" spans="1:43" x14ac:dyDescent="0.25">
      <c r="A142" t="s">
        <v>42</v>
      </c>
      <c r="B142" t="s">
        <v>43</v>
      </c>
      <c r="C142" t="s">
        <v>44</v>
      </c>
      <c r="D142" t="s">
        <v>45</v>
      </c>
      <c r="E142">
        <v>14</v>
      </c>
      <c r="F142">
        <v>122</v>
      </c>
      <c r="G142">
        <v>3024</v>
      </c>
      <c r="H142">
        <v>2100</v>
      </c>
      <c r="I142" t="s">
        <v>57</v>
      </c>
      <c r="J142" t="s">
        <v>749</v>
      </c>
      <c r="K142" t="s">
        <v>58</v>
      </c>
      <c r="L142" t="s">
        <v>59</v>
      </c>
      <c r="M142">
        <v>12</v>
      </c>
      <c r="N142" t="s">
        <v>60</v>
      </c>
      <c r="O142">
        <v>2025</v>
      </c>
      <c r="P142">
        <v>9198</v>
      </c>
      <c r="R142" t="s">
        <v>1171</v>
      </c>
      <c r="S142" t="s">
        <v>2472</v>
      </c>
      <c r="T142" t="s">
        <v>1172</v>
      </c>
      <c r="W142" t="s">
        <v>415</v>
      </c>
      <c r="X142">
        <v>12</v>
      </c>
      <c r="Y142" t="s">
        <v>54</v>
      </c>
      <c r="Z142">
        <v>2009.6</v>
      </c>
      <c r="AA142">
        <v>0</v>
      </c>
      <c r="AB142">
        <v>0</v>
      </c>
      <c r="AC142">
        <v>0</v>
      </c>
      <c r="AD142">
        <v>2009.6</v>
      </c>
      <c r="AE142">
        <v>167.4666666666667</v>
      </c>
      <c r="AF142">
        <v>2009.6</v>
      </c>
      <c r="AG142">
        <v>2009.6</v>
      </c>
      <c r="AH142">
        <v>167.4666666666667</v>
      </c>
      <c r="AI142">
        <v>2009.6</v>
      </c>
      <c r="AJ142">
        <v>2009.6</v>
      </c>
      <c r="AK142">
        <v>0</v>
      </c>
      <c r="AL142">
        <v>2009.6</v>
      </c>
      <c r="AM142">
        <v>2009.6</v>
      </c>
      <c r="AN142">
        <v>2009.6</v>
      </c>
      <c r="AO142" t="s">
        <v>55</v>
      </c>
      <c r="AP142" t="s">
        <v>1173</v>
      </c>
      <c r="AQ142">
        <v>1</v>
      </c>
    </row>
    <row r="143" spans="1:43" x14ac:dyDescent="0.25">
      <c r="A143" t="s">
        <v>42</v>
      </c>
      <c r="B143" t="s">
        <v>43</v>
      </c>
      <c r="C143" t="s">
        <v>44</v>
      </c>
      <c r="D143" t="s">
        <v>45</v>
      </c>
      <c r="E143">
        <v>14</v>
      </c>
      <c r="F143">
        <v>422</v>
      </c>
      <c r="G143">
        <v>3013</v>
      </c>
      <c r="H143">
        <v>4322</v>
      </c>
      <c r="I143" t="s">
        <v>57</v>
      </c>
      <c r="J143" t="s">
        <v>749</v>
      </c>
      <c r="K143" t="s">
        <v>58</v>
      </c>
      <c r="L143" t="s">
        <v>59</v>
      </c>
      <c r="M143">
        <v>12</v>
      </c>
      <c r="N143" t="s">
        <v>60</v>
      </c>
      <c r="O143">
        <v>2025</v>
      </c>
      <c r="P143">
        <v>9197</v>
      </c>
      <c r="R143" t="s">
        <v>1168</v>
      </c>
      <c r="S143" t="s">
        <v>2472</v>
      </c>
      <c r="T143" t="s">
        <v>1169</v>
      </c>
      <c r="W143" t="s">
        <v>1116</v>
      </c>
      <c r="X143">
        <v>12</v>
      </c>
      <c r="Y143" t="s">
        <v>54</v>
      </c>
      <c r="Z143">
        <v>628</v>
      </c>
      <c r="AA143">
        <v>0</v>
      </c>
      <c r="AB143">
        <v>0</v>
      </c>
      <c r="AC143">
        <v>0</v>
      </c>
      <c r="AD143">
        <v>628</v>
      </c>
      <c r="AE143">
        <v>52.333333333333343</v>
      </c>
      <c r="AF143">
        <v>628</v>
      </c>
      <c r="AG143">
        <v>628</v>
      </c>
      <c r="AH143">
        <v>52.333333333333343</v>
      </c>
      <c r="AI143">
        <v>628</v>
      </c>
      <c r="AJ143">
        <v>628</v>
      </c>
      <c r="AK143">
        <v>0</v>
      </c>
      <c r="AL143">
        <v>628</v>
      </c>
      <c r="AM143">
        <v>628</v>
      </c>
      <c r="AN143">
        <v>628</v>
      </c>
      <c r="AO143" t="s">
        <v>55</v>
      </c>
      <c r="AP143" t="s">
        <v>1170</v>
      </c>
      <c r="AQ143">
        <v>1</v>
      </c>
    </row>
    <row r="144" spans="1:43" x14ac:dyDescent="0.25">
      <c r="A144" t="s">
        <v>42</v>
      </c>
      <c r="B144" t="s">
        <v>43</v>
      </c>
      <c r="C144" t="s">
        <v>44</v>
      </c>
      <c r="D144" t="s">
        <v>45</v>
      </c>
      <c r="E144">
        <v>14</v>
      </c>
      <c r="F144">
        <v>122</v>
      </c>
      <c r="G144">
        <v>3024</v>
      </c>
      <c r="H144">
        <v>2100</v>
      </c>
      <c r="I144" t="s">
        <v>57</v>
      </c>
      <c r="J144" t="s">
        <v>749</v>
      </c>
      <c r="K144" t="s">
        <v>1153</v>
      </c>
      <c r="L144" t="s">
        <v>1154</v>
      </c>
      <c r="M144">
        <v>7</v>
      </c>
      <c r="N144" t="s">
        <v>391</v>
      </c>
      <c r="O144">
        <v>2025</v>
      </c>
      <c r="P144">
        <v>9194</v>
      </c>
      <c r="R144" t="s">
        <v>1165</v>
      </c>
      <c r="S144" t="s">
        <v>2472</v>
      </c>
      <c r="T144" t="s">
        <v>1166</v>
      </c>
      <c r="W144" t="s">
        <v>1157</v>
      </c>
      <c r="X144">
        <v>12</v>
      </c>
      <c r="Y144" t="s">
        <v>54</v>
      </c>
      <c r="Z144">
        <v>2210.9</v>
      </c>
      <c r="AA144">
        <v>0</v>
      </c>
      <c r="AB144">
        <v>0</v>
      </c>
      <c r="AC144">
        <v>0</v>
      </c>
      <c r="AD144">
        <v>2210.9</v>
      </c>
      <c r="AE144">
        <v>184.2416666666667</v>
      </c>
      <c r="AF144">
        <v>2210.9</v>
      </c>
      <c r="AG144">
        <v>2210.9</v>
      </c>
      <c r="AH144">
        <v>184.2416666666667</v>
      </c>
      <c r="AI144">
        <v>2210.9</v>
      </c>
      <c r="AJ144">
        <v>2210.9</v>
      </c>
      <c r="AK144">
        <v>0</v>
      </c>
      <c r="AL144">
        <v>2210.9</v>
      </c>
      <c r="AM144">
        <v>2210.9</v>
      </c>
      <c r="AN144">
        <v>2210.9</v>
      </c>
      <c r="AO144" t="s">
        <v>55</v>
      </c>
      <c r="AP144" t="s">
        <v>1167</v>
      </c>
      <c r="AQ144">
        <v>1</v>
      </c>
    </row>
    <row r="145" spans="1:43" x14ac:dyDescent="0.25">
      <c r="A145" t="s">
        <v>42</v>
      </c>
      <c r="B145" t="s">
        <v>43</v>
      </c>
      <c r="C145" t="s">
        <v>44</v>
      </c>
      <c r="D145" t="s">
        <v>45</v>
      </c>
      <c r="E145">
        <v>14</v>
      </c>
      <c r="F145">
        <v>122</v>
      </c>
      <c r="G145">
        <v>3024</v>
      </c>
      <c r="H145">
        <v>2100</v>
      </c>
      <c r="I145" t="s">
        <v>57</v>
      </c>
      <c r="J145" t="s">
        <v>749</v>
      </c>
      <c r="K145" t="s">
        <v>1153</v>
      </c>
      <c r="L145" t="s">
        <v>1154</v>
      </c>
      <c r="M145">
        <v>7</v>
      </c>
      <c r="N145" t="s">
        <v>391</v>
      </c>
      <c r="O145">
        <v>2025</v>
      </c>
      <c r="P145">
        <v>8569</v>
      </c>
      <c r="R145" t="s">
        <v>1155</v>
      </c>
      <c r="S145" t="s">
        <v>2472</v>
      </c>
      <c r="T145" t="s">
        <v>1156</v>
      </c>
      <c r="W145" t="s">
        <v>1157</v>
      </c>
      <c r="X145">
        <v>12</v>
      </c>
      <c r="Y145" t="s">
        <v>54</v>
      </c>
      <c r="Z145">
        <v>1303.1199999999999</v>
      </c>
      <c r="AA145">
        <v>0</v>
      </c>
      <c r="AB145">
        <v>0</v>
      </c>
      <c r="AC145">
        <v>0</v>
      </c>
      <c r="AD145">
        <v>1303.1199999999999</v>
      </c>
      <c r="AE145">
        <v>108.59333333333331</v>
      </c>
      <c r="AF145">
        <v>1303.1199999999999</v>
      </c>
      <c r="AG145">
        <v>1303.1199999999999</v>
      </c>
      <c r="AH145">
        <v>108.59333333333331</v>
      </c>
      <c r="AI145">
        <v>1303.1199999999999</v>
      </c>
      <c r="AJ145">
        <v>1303.1199999999999</v>
      </c>
      <c r="AK145">
        <v>0</v>
      </c>
      <c r="AL145">
        <v>1303.1199999999999</v>
      </c>
      <c r="AM145">
        <v>1303.1199999999999</v>
      </c>
      <c r="AN145">
        <v>1303.1199999999999</v>
      </c>
      <c r="AO145" t="s">
        <v>55</v>
      </c>
      <c r="AP145" t="s">
        <v>1158</v>
      </c>
      <c r="AQ145">
        <v>1</v>
      </c>
    </row>
    <row r="146" spans="1:43" x14ac:dyDescent="0.25">
      <c r="A146" t="s">
        <v>42</v>
      </c>
      <c r="B146" t="s">
        <v>43</v>
      </c>
      <c r="C146" t="s">
        <v>44</v>
      </c>
      <c r="D146" t="s">
        <v>45</v>
      </c>
      <c r="E146">
        <v>14</v>
      </c>
      <c r="F146">
        <v>122</v>
      </c>
      <c r="G146">
        <v>3024</v>
      </c>
      <c r="H146">
        <v>2100</v>
      </c>
      <c r="I146" t="s">
        <v>57</v>
      </c>
      <c r="J146" t="s">
        <v>749</v>
      </c>
      <c r="K146" t="s">
        <v>58</v>
      </c>
      <c r="L146" t="s">
        <v>59</v>
      </c>
      <c r="M146">
        <v>12</v>
      </c>
      <c r="N146" t="s">
        <v>60</v>
      </c>
      <c r="O146">
        <v>2025</v>
      </c>
      <c r="P146">
        <v>8542</v>
      </c>
      <c r="R146" t="s">
        <v>1150</v>
      </c>
      <c r="S146" t="s">
        <v>2472</v>
      </c>
      <c r="T146" t="s">
        <v>1151</v>
      </c>
      <c r="W146" t="s">
        <v>962</v>
      </c>
      <c r="X146">
        <v>12</v>
      </c>
      <c r="Y146" t="s">
        <v>54</v>
      </c>
      <c r="Z146">
        <v>4501</v>
      </c>
      <c r="AA146">
        <v>0</v>
      </c>
      <c r="AB146">
        <v>0</v>
      </c>
      <c r="AC146">
        <v>0</v>
      </c>
      <c r="AD146">
        <v>4501</v>
      </c>
      <c r="AE146">
        <v>375.08333333333331</v>
      </c>
      <c r="AF146">
        <v>4501</v>
      </c>
      <c r="AG146">
        <v>4501</v>
      </c>
      <c r="AH146">
        <v>375.08333333333331</v>
      </c>
      <c r="AI146">
        <v>4501</v>
      </c>
      <c r="AJ146">
        <v>4501</v>
      </c>
      <c r="AK146">
        <v>0</v>
      </c>
      <c r="AL146">
        <v>4501</v>
      </c>
      <c r="AM146">
        <v>4501</v>
      </c>
      <c r="AN146">
        <v>4501</v>
      </c>
      <c r="AO146" t="s">
        <v>55</v>
      </c>
      <c r="AP146" t="s">
        <v>1152</v>
      </c>
      <c r="AQ146">
        <v>1</v>
      </c>
    </row>
    <row r="147" spans="1:43" x14ac:dyDescent="0.25">
      <c r="A147" t="s">
        <v>42</v>
      </c>
      <c r="B147" t="s">
        <v>43</v>
      </c>
      <c r="C147" t="s">
        <v>44</v>
      </c>
      <c r="D147" t="s">
        <v>45</v>
      </c>
      <c r="E147">
        <v>14</v>
      </c>
      <c r="F147">
        <v>122</v>
      </c>
      <c r="G147">
        <v>3024</v>
      </c>
      <c r="H147">
        <v>2100</v>
      </c>
      <c r="I147" t="s">
        <v>57</v>
      </c>
      <c r="J147" t="s">
        <v>749</v>
      </c>
      <c r="K147" t="s">
        <v>58</v>
      </c>
      <c r="L147" t="s">
        <v>59</v>
      </c>
      <c r="M147">
        <v>12</v>
      </c>
      <c r="N147" t="s">
        <v>60</v>
      </c>
      <c r="O147">
        <v>2025</v>
      </c>
      <c r="P147">
        <v>3985</v>
      </c>
      <c r="R147" t="s">
        <v>870</v>
      </c>
      <c r="S147" t="s">
        <v>2472</v>
      </c>
      <c r="T147" t="s">
        <v>871</v>
      </c>
      <c r="W147" t="s">
        <v>532</v>
      </c>
      <c r="X147">
        <v>12</v>
      </c>
      <c r="Y147" t="s">
        <v>54</v>
      </c>
      <c r="Z147">
        <v>3298</v>
      </c>
      <c r="AA147">
        <v>0</v>
      </c>
      <c r="AB147">
        <v>0</v>
      </c>
      <c r="AC147">
        <v>0</v>
      </c>
      <c r="AD147">
        <v>3298</v>
      </c>
      <c r="AE147">
        <v>274.83333333333331</v>
      </c>
      <c r="AF147">
        <v>3298</v>
      </c>
      <c r="AG147">
        <v>3298</v>
      </c>
      <c r="AH147">
        <v>274.83333333333331</v>
      </c>
      <c r="AI147">
        <v>3298</v>
      </c>
      <c r="AJ147">
        <v>3298</v>
      </c>
      <c r="AK147">
        <v>0</v>
      </c>
      <c r="AL147">
        <v>3298</v>
      </c>
      <c r="AM147">
        <v>3298</v>
      </c>
      <c r="AN147">
        <v>3298</v>
      </c>
      <c r="AO147" t="s">
        <v>55</v>
      </c>
      <c r="AP147" t="s">
        <v>872</v>
      </c>
      <c r="AQ147">
        <v>1</v>
      </c>
    </row>
    <row r="148" spans="1:43" x14ac:dyDescent="0.25">
      <c r="A148" t="s">
        <v>42</v>
      </c>
      <c r="B148" t="s">
        <v>43</v>
      </c>
      <c r="C148" t="s">
        <v>44</v>
      </c>
      <c r="D148" t="s">
        <v>45</v>
      </c>
      <c r="E148">
        <v>14</v>
      </c>
      <c r="F148">
        <v>122</v>
      </c>
      <c r="G148">
        <v>3024</v>
      </c>
      <c r="H148">
        <v>2100</v>
      </c>
      <c r="I148" t="s">
        <v>57</v>
      </c>
      <c r="J148" t="s">
        <v>749</v>
      </c>
      <c r="K148" t="s">
        <v>247</v>
      </c>
      <c r="L148" t="s">
        <v>248</v>
      </c>
      <c r="M148">
        <v>12</v>
      </c>
      <c r="N148" t="s">
        <v>60</v>
      </c>
      <c r="O148">
        <v>2025</v>
      </c>
      <c r="P148">
        <v>4037</v>
      </c>
      <c r="R148" t="s">
        <v>873</v>
      </c>
      <c r="S148" t="s">
        <v>2472</v>
      </c>
      <c r="T148" t="s">
        <v>874</v>
      </c>
      <c r="W148" t="s">
        <v>544</v>
      </c>
      <c r="X148">
        <v>12</v>
      </c>
      <c r="Y148" t="s">
        <v>54</v>
      </c>
      <c r="Z148">
        <v>10048</v>
      </c>
      <c r="AA148">
        <v>0</v>
      </c>
      <c r="AB148">
        <v>0</v>
      </c>
      <c r="AC148">
        <v>0</v>
      </c>
      <c r="AD148">
        <v>10048</v>
      </c>
      <c r="AE148">
        <v>837.33333333333337</v>
      </c>
      <c r="AF148">
        <v>10048</v>
      </c>
      <c r="AG148">
        <v>10048</v>
      </c>
      <c r="AH148">
        <v>837.33333333333337</v>
      </c>
      <c r="AI148">
        <v>10048</v>
      </c>
      <c r="AJ148">
        <v>10048</v>
      </c>
      <c r="AK148">
        <v>0</v>
      </c>
      <c r="AL148">
        <v>10048</v>
      </c>
      <c r="AM148">
        <v>10048</v>
      </c>
      <c r="AN148">
        <v>10048</v>
      </c>
      <c r="AO148" t="s">
        <v>55</v>
      </c>
      <c r="AP148" t="s">
        <v>875</v>
      </c>
      <c r="AQ148">
        <v>1</v>
      </c>
    </row>
    <row r="149" spans="1:43" x14ac:dyDescent="0.25">
      <c r="A149" t="s">
        <v>42</v>
      </c>
      <c r="B149" t="s">
        <v>43</v>
      </c>
      <c r="C149" t="s">
        <v>44</v>
      </c>
      <c r="D149" t="s">
        <v>45</v>
      </c>
      <c r="E149">
        <v>14</v>
      </c>
      <c r="F149">
        <v>126</v>
      </c>
      <c r="G149">
        <v>3011</v>
      </c>
      <c r="H149">
        <v>2818</v>
      </c>
      <c r="I149" t="s">
        <v>82</v>
      </c>
      <c r="J149" t="s">
        <v>749</v>
      </c>
      <c r="K149" t="s">
        <v>65</v>
      </c>
      <c r="L149" t="s">
        <v>66</v>
      </c>
      <c r="M149">
        <v>6</v>
      </c>
      <c r="N149" t="s">
        <v>115</v>
      </c>
      <c r="O149">
        <v>2025</v>
      </c>
      <c r="P149">
        <v>8078</v>
      </c>
      <c r="R149" t="s">
        <v>1147</v>
      </c>
      <c r="S149" t="s">
        <v>2472</v>
      </c>
      <c r="T149" t="s">
        <v>1148</v>
      </c>
      <c r="X149">
        <v>12</v>
      </c>
      <c r="Y149" t="s">
        <v>54</v>
      </c>
      <c r="Z149">
        <v>329.9</v>
      </c>
      <c r="AA149">
        <v>0</v>
      </c>
      <c r="AB149">
        <v>0</v>
      </c>
      <c r="AC149">
        <v>0</v>
      </c>
      <c r="AD149">
        <v>329.9</v>
      </c>
      <c r="AE149">
        <v>27.49166666666666</v>
      </c>
      <c r="AF149">
        <v>329.9</v>
      </c>
      <c r="AG149">
        <v>329.9</v>
      </c>
      <c r="AH149">
        <v>27.49166666666666</v>
      </c>
      <c r="AI149">
        <v>329.9</v>
      </c>
      <c r="AJ149">
        <v>329.9</v>
      </c>
      <c r="AK149">
        <v>0</v>
      </c>
      <c r="AL149">
        <v>329.9</v>
      </c>
      <c r="AM149">
        <v>0</v>
      </c>
      <c r="AN149">
        <v>0</v>
      </c>
      <c r="AO149" t="s">
        <v>55</v>
      </c>
      <c r="AP149" t="s">
        <v>1149</v>
      </c>
      <c r="AQ149">
        <v>1</v>
      </c>
    </row>
    <row r="150" spans="1:43" x14ac:dyDescent="0.25">
      <c r="A150" t="s">
        <v>42</v>
      </c>
      <c r="B150" t="s">
        <v>43</v>
      </c>
      <c r="C150" t="s">
        <v>44</v>
      </c>
      <c r="D150" t="s">
        <v>45</v>
      </c>
      <c r="E150">
        <v>14</v>
      </c>
      <c r="F150">
        <v>122</v>
      </c>
      <c r="G150">
        <v>3024</v>
      </c>
      <c r="H150">
        <v>2100</v>
      </c>
      <c r="I150" t="s">
        <v>186</v>
      </c>
      <c r="J150" t="s">
        <v>749</v>
      </c>
      <c r="K150" t="s">
        <v>247</v>
      </c>
      <c r="L150" t="s">
        <v>248</v>
      </c>
      <c r="M150">
        <v>12</v>
      </c>
      <c r="N150" t="s">
        <v>60</v>
      </c>
      <c r="O150">
        <v>2025</v>
      </c>
      <c r="P150">
        <v>7978</v>
      </c>
      <c r="R150" t="s">
        <v>1143</v>
      </c>
      <c r="S150" t="s">
        <v>2472</v>
      </c>
      <c r="T150" t="s">
        <v>1144</v>
      </c>
      <c r="W150" t="s">
        <v>1145</v>
      </c>
      <c r="X150">
        <v>12</v>
      </c>
      <c r="Y150" t="s">
        <v>54</v>
      </c>
      <c r="Z150">
        <v>732.5</v>
      </c>
      <c r="AA150">
        <v>0</v>
      </c>
      <c r="AB150">
        <v>0</v>
      </c>
      <c r="AC150">
        <v>0</v>
      </c>
      <c r="AD150">
        <v>732.5</v>
      </c>
      <c r="AE150">
        <v>61.041666666666657</v>
      </c>
      <c r="AF150">
        <v>732.5</v>
      </c>
      <c r="AG150">
        <v>732.5</v>
      </c>
      <c r="AH150">
        <v>61.041666666666657</v>
      </c>
      <c r="AI150">
        <v>732.5</v>
      </c>
      <c r="AJ150">
        <v>732.5</v>
      </c>
      <c r="AK150">
        <v>0</v>
      </c>
      <c r="AL150">
        <v>732.5</v>
      </c>
      <c r="AM150">
        <v>732.5</v>
      </c>
      <c r="AN150">
        <v>732.5</v>
      </c>
      <c r="AO150" t="s">
        <v>55</v>
      </c>
      <c r="AP150" t="s">
        <v>1146</v>
      </c>
      <c r="AQ150">
        <v>1</v>
      </c>
    </row>
    <row r="151" spans="1:43" x14ac:dyDescent="0.25">
      <c r="A151" t="s">
        <v>42</v>
      </c>
      <c r="B151" t="s">
        <v>43</v>
      </c>
      <c r="C151" t="s">
        <v>44</v>
      </c>
      <c r="D151" t="s">
        <v>45</v>
      </c>
      <c r="E151">
        <v>14</v>
      </c>
      <c r="F151">
        <v>422</v>
      </c>
      <c r="G151">
        <v>3013</v>
      </c>
      <c r="H151">
        <v>6178</v>
      </c>
      <c r="I151" t="s">
        <v>57</v>
      </c>
      <c r="J151" t="s">
        <v>749</v>
      </c>
      <c r="K151" t="s">
        <v>1138</v>
      </c>
      <c r="L151" t="s">
        <v>1139</v>
      </c>
      <c r="M151">
        <v>8</v>
      </c>
      <c r="N151" t="s">
        <v>50</v>
      </c>
      <c r="O151">
        <v>2025</v>
      </c>
      <c r="P151">
        <v>7976</v>
      </c>
      <c r="R151" t="s">
        <v>1140</v>
      </c>
      <c r="S151" t="s">
        <v>2472</v>
      </c>
      <c r="T151" t="s">
        <v>1141</v>
      </c>
      <c r="W151" t="s">
        <v>675</v>
      </c>
      <c r="X151">
        <v>12</v>
      </c>
      <c r="Y151" t="s">
        <v>54</v>
      </c>
      <c r="Z151">
        <v>130.16</v>
      </c>
      <c r="AA151">
        <v>0</v>
      </c>
      <c r="AB151">
        <v>69.84</v>
      </c>
      <c r="AC151">
        <v>47.51</v>
      </c>
      <c r="AD151">
        <v>152.49</v>
      </c>
      <c r="AE151">
        <v>12.7075</v>
      </c>
      <c r="AF151">
        <v>152.49</v>
      </c>
      <c r="AG151">
        <v>152.49</v>
      </c>
      <c r="AH151">
        <v>12.7075</v>
      </c>
      <c r="AI151">
        <v>152.49</v>
      </c>
      <c r="AJ151">
        <v>330.16</v>
      </c>
      <c r="AK151">
        <v>177.67</v>
      </c>
      <c r="AL151">
        <v>152.49</v>
      </c>
      <c r="AM151">
        <v>152.49</v>
      </c>
      <c r="AN151">
        <v>152.49</v>
      </c>
      <c r="AO151" t="s">
        <v>55</v>
      </c>
      <c r="AP151" t="s">
        <v>1142</v>
      </c>
      <c r="AQ151">
        <v>1</v>
      </c>
    </row>
    <row r="152" spans="1:43" x14ac:dyDescent="0.25">
      <c r="A152" t="s">
        <v>42</v>
      </c>
      <c r="B152" t="s">
        <v>43</v>
      </c>
      <c r="C152" t="s">
        <v>44</v>
      </c>
      <c r="D152" t="s">
        <v>45</v>
      </c>
      <c r="E152">
        <v>14</v>
      </c>
      <c r="F152">
        <v>122</v>
      </c>
      <c r="G152">
        <v>3024</v>
      </c>
      <c r="H152">
        <v>2100</v>
      </c>
      <c r="I152" t="s">
        <v>186</v>
      </c>
      <c r="J152" t="s">
        <v>749</v>
      </c>
      <c r="K152" t="s">
        <v>247</v>
      </c>
      <c r="L152" t="s">
        <v>248</v>
      </c>
      <c r="M152">
        <v>6</v>
      </c>
      <c r="N152" t="s">
        <v>115</v>
      </c>
      <c r="O152">
        <v>2025</v>
      </c>
      <c r="P152">
        <v>7652</v>
      </c>
      <c r="R152" t="s">
        <v>1130</v>
      </c>
      <c r="S152" t="s">
        <v>2472</v>
      </c>
      <c r="T152" t="s">
        <v>1131</v>
      </c>
      <c r="W152" t="s">
        <v>1001</v>
      </c>
      <c r="X152">
        <v>12</v>
      </c>
      <c r="Y152" t="s">
        <v>54</v>
      </c>
      <c r="Z152">
        <v>359.1</v>
      </c>
      <c r="AA152">
        <v>0</v>
      </c>
      <c r="AB152">
        <v>0</v>
      </c>
      <c r="AC152">
        <v>0</v>
      </c>
      <c r="AD152">
        <v>359.1</v>
      </c>
      <c r="AE152">
        <v>29.925000000000001</v>
      </c>
      <c r="AF152">
        <v>359.1</v>
      </c>
      <c r="AG152">
        <v>359.1</v>
      </c>
      <c r="AH152">
        <v>29.925000000000001</v>
      </c>
      <c r="AI152">
        <v>359.1</v>
      </c>
      <c r="AJ152">
        <v>359.1</v>
      </c>
      <c r="AK152">
        <v>0</v>
      </c>
      <c r="AL152">
        <v>359.1</v>
      </c>
      <c r="AM152">
        <v>359.1</v>
      </c>
      <c r="AN152">
        <v>359.1</v>
      </c>
      <c r="AO152" t="s">
        <v>55</v>
      </c>
      <c r="AP152" t="s">
        <v>1132</v>
      </c>
      <c r="AQ152">
        <v>1</v>
      </c>
    </row>
    <row r="153" spans="1:43" x14ac:dyDescent="0.25">
      <c r="A153" t="s">
        <v>42</v>
      </c>
      <c r="B153" t="s">
        <v>43</v>
      </c>
      <c r="C153" t="s">
        <v>44</v>
      </c>
      <c r="D153" t="s">
        <v>45</v>
      </c>
      <c r="E153">
        <v>14</v>
      </c>
      <c r="F153">
        <v>122</v>
      </c>
      <c r="G153">
        <v>3024</v>
      </c>
      <c r="H153">
        <v>2100</v>
      </c>
      <c r="I153" t="s">
        <v>186</v>
      </c>
      <c r="J153" t="s">
        <v>749</v>
      </c>
      <c r="K153" t="s">
        <v>247</v>
      </c>
      <c r="L153" t="s">
        <v>248</v>
      </c>
      <c r="M153">
        <v>6</v>
      </c>
      <c r="N153" t="s">
        <v>115</v>
      </c>
      <c r="O153">
        <v>2025</v>
      </c>
      <c r="P153">
        <v>7665</v>
      </c>
      <c r="R153" t="s">
        <v>1126</v>
      </c>
      <c r="S153" t="s">
        <v>2472</v>
      </c>
      <c r="T153" s="12" t="s">
        <v>1127</v>
      </c>
      <c r="W153" t="s">
        <v>1128</v>
      </c>
      <c r="X153">
        <v>12</v>
      </c>
      <c r="Y153" t="s">
        <v>54</v>
      </c>
      <c r="Z153">
        <v>583.79999999999995</v>
      </c>
      <c r="AA153">
        <v>0</v>
      </c>
      <c r="AB153">
        <v>0</v>
      </c>
      <c r="AC153">
        <v>0</v>
      </c>
      <c r="AD153">
        <v>583.79999999999995</v>
      </c>
      <c r="AE153">
        <v>48.65</v>
      </c>
      <c r="AF153">
        <v>583.79999999999995</v>
      </c>
      <c r="AG153">
        <v>583.79999999999995</v>
      </c>
      <c r="AH153">
        <v>48.65</v>
      </c>
      <c r="AI153">
        <v>583.79999999999995</v>
      </c>
      <c r="AJ153">
        <v>583.79999999999995</v>
      </c>
      <c r="AK153">
        <v>0</v>
      </c>
      <c r="AL153">
        <v>583.79999999999995</v>
      </c>
      <c r="AM153">
        <v>583.79999999999995</v>
      </c>
      <c r="AN153">
        <v>583.79999999999995</v>
      </c>
      <c r="AO153" t="s">
        <v>55</v>
      </c>
      <c r="AP153" t="s">
        <v>1129</v>
      </c>
      <c r="AQ153">
        <v>1</v>
      </c>
    </row>
    <row r="154" spans="1:43" x14ac:dyDescent="0.25">
      <c r="A154" t="s">
        <v>42</v>
      </c>
      <c r="B154" t="s">
        <v>43</v>
      </c>
      <c r="C154" t="s">
        <v>44</v>
      </c>
      <c r="D154" t="s">
        <v>45</v>
      </c>
      <c r="E154">
        <v>14</v>
      </c>
      <c r="F154">
        <v>122</v>
      </c>
      <c r="G154">
        <v>3024</v>
      </c>
      <c r="H154">
        <v>2100</v>
      </c>
      <c r="I154" t="s">
        <v>186</v>
      </c>
      <c r="J154" t="s">
        <v>749</v>
      </c>
      <c r="K154" t="s">
        <v>58</v>
      </c>
      <c r="L154" t="s">
        <v>59</v>
      </c>
      <c r="M154">
        <v>12</v>
      </c>
      <c r="N154" t="s">
        <v>60</v>
      </c>
      <c r="O154">
        <v>2025</v>
      </c>
      <c r="P154">
        <v>7267</v>
      </c>
      <c r="R154" t="s">
        <v>1118</v>
      </c>
      <c r="S154" t="s">
        <v>2472</v>
      </c>
      <c r="T154" t="s">
        <v>1119</v>
      </c>
      <c r="W154" t="s">
        <v>1116</v>
      </c>
      <c r="X154">
        <v>12</v>
      </c>
      <c r="Y154" t="s">
        <v>54</v>
      </c>
      <c r="Z154">
        <v>7000</v>
      </c>
      <c r="AA154">
        <v>0</v>
      </c>
      <c r="AB154">
        <v>0</v>
      </c>
      <c r="AC154">
        <v>0</v>
      </c>
      <c r="AD154">
        <v>7000</v>
      </c>
      <c r="AE154">
        <v>583.33333333333337</v>
      </c>
      <c r="AF154">
        <v>7000</v>
      </c>
      <c r="AG154">
        <v>7000</v>
      </c>
      <c r="AH154">
        <v>583.33333333333337</v>
      </c>
      <c r="AI154">
        <v>7000</v>
      </c>
      <c r="AJ154">
        <v>7000</v>
      </c>
      <c r="AK154">
        <v>0</v>
      </c>
      <c r="AL154">
        <v>7000</v>
      </c>
      <c r="AM154">
        <v>7000</v>
      </c>
      <c r="AN154">
        <v>7000</v>
      </c>
      <c r="AO154" t="s">
        <v>55</v>
      </c>
      <c r="AP154" t="s">
        <v>1120</v>
      </c>
      <c r="AQ154">
        <v>1</v>
      </c>
    </row>
    <row r="155" spans="1:43" x14ac:dyDescent="0.25">
      <c r="A155" t="s">
        <v>42</v>
      </c>
      <c r="B155" t="s">
        <v>43</v>
      </c>
      <c r="C155" t="s">
        <v>44</v>
      </c>
      <c r="D155" t="s">
        <v>45</v>
      </c>
      <c r="E155">
        <v>14</v>
      </c>
      <c r="F155">
        <v>122</v>
      </c>
      <c r="G155">
        <v>3024</v>
      </c>
      <c r="H155">
        <v>2100</v>
      </c>
      <c r="I155" t="s">
        <v>186</v>
      </c>
      <c r="J155" t="s">
        <v>749</v>
      </c>
      <c r="K155" t="s">
        <v>58</v>
      </c>
      <c r="L155" t="s">
        <v>59</v>
      </c>
      <c r="M155">
        <v>12</v>
      </c>
      <c r="N155" t="s">
        <v>60</v>
      </c>
      <c r="O155">
        <v>2025</v>
      </c>
      <c r="P155">
        <v>7306</v>
      </c>
      <c r="R155" t="s">
        <v>1114</v>
      </c>
      <c r="S155" t="s">
        <v>2472</v>
      </c>
      <c r="T155" s="12" t="s">
        <v>1115</v>
      </c>
      <c r="W155" t="s">
        <v>1116</v>
      </c>
      <c r="X155">
        <v>12</v>
      </c>
      <c r="Y155" t="s">
        <v>54</v>
      </c>
      <c r="Z155">
        <v>287</v>
      </c>
      <c r="AA155">
        <v>0</v>
      </c>
      <c r="AB155">
        <v>0</v>
      </c>
      <c r="AC155">
        <v>0</v>
      </c>
      <c r="AD155">
        <v>287</v>
      </c>
      <c r="AE155">
        <v>23.916666666666671</v>
      </c>
      <c r="AF155">
        <v>287</v>
      </c>
      <c r="AG155">
        <v>287</v>
      </c>
      <c r="AH155">
        <v>23.916666666666671</v>
      </c>
      <c r="AI155">
        <v>287</v>
      </c>
      <c r="AJ155">
        <v>287</v>
      </c>
      <c r="AK155">
        <v>0</v>
      </c>
      <c r="AL155">
        <v>287</v>
      </c>
      <c r="AM155">
        <v>287</v>
      </c>
      <c r="AN155">
        <v>287</v>
      </c>
      <c r="AO155" t="s">
        <v>55</v>
      </c>
      <c r="AP155" t="s">
        <v>1117</v>
      </c>
      <c r="AQ155">
        <v>1</v>
      </c>
    </row>
    <row r="156" spans="1:43" x14ac:dyDescent="0.25">
      <c r="A156" t="s">
        <v>42</v>
      </c>
      <c r="B156" t="s">
        <v>43</v>
      </c>
      <c r="C156" t="s">
        <v>44</v>
      </c>
      <c r="D156" t="s">
        <v>45</v>
      </c>
      <c r="E156">
        <v>14</v>
      </c>
      <c r="F156">
        <v>422</v>
      </c>
      <c r="G156">
        <v>3013</v>
      </c>
      <c r="H156">
        <v>2053</v>
      </c>
      <c r="I156" t="s">
        <v>57</v>
      </c>
      <c r="J156" t="s">
        <v>749</v>
      </c>
      <c r="K156" t="s">
        <v>58</v>
      </c>
      <c r="L156" t="s">
        <v>59</v>
      </c>
      <c r="M156">
        <v>12</v>
      </c>
      <c r="N156" t="s">
        <v>60</v>
      </c>
      <c r="O156">
        <v>2025</v>
      </c>
      <c r="P156">
        <v>7256</v>
      </c>
      <c r="R156" t="s">
        <v>1110</v>
      </c>
      <c r="S156" t="s">
        <v>2472</v>
      </c>
      <c r="T156" t="s">
        <v>1111</v>
      </c>
      <c r="W156" t="s">
        <v>1112</v>
      </c>
      <c r="X156">
        <v>12</v>
      </c>
      <c r="Y156" t="s">
        <v>54</v>
      </c>
      <c r="Z156">
        <v>3600.8</v>
      </c>
      <c r="AA156">
        <v>0</v>
      </c>
      <c r="AB156">
        <v>0</v>
      </c>
      <c r="AC156">
        <v>0</v>
      </c>
      <c r="AD156">
        <v>3600.8</v>
      </c>
      <c r="AE156">
        <v>300.06666666666672</v>
      </c>
      <c r="AF156">
        <v>3600.8</v>
      </c>
      <c r="AG156">
        <v>3600.8</v>
      </c>
      <c r="AH156">
        <v>300.06666666666672</v>
      </c>
      <c r="AI156">
        <v>3600.8</v>
      </c>
      <c r="AJ156">
        <v>3600.8</v>
      </c>
      <c r="AK156">
        <v>0</v>
      </c>
      <c r="AL156">
        <v>3600.8</v>
      </c>
      <c r="AM156">
        <v>3600.8</v>
      </c>
      <c r="AN156">
        <v>3600.8</v>
      </c>
      <c r="AO156" t="s">
        <v>55</v>
      </c>
      <c r="AP156" t="s">
        <v>1113</v>
      </c>
      <c r="AQ156">
        <v>1</v>
      </c>
    </row>
    <row r="157" spans="1:43" x14ac:dyDescent="0.25">
      <c r="A157" t="s">
        <v>42</v>
      </c>
      <c r="B157" t="s">
        <v>43</v>
      </c>
      <c r="C157" t="s">
        <v>44</v>
      </c>
      <c r="D157" t="s">
        <v>45</v>
      </c>
      <c r="E157">
        <v>14</v>
      </c>
      <c r="F157">
        <v>122</v>
      </c>
      <c r="G157">
        <v>3024</v>
      </c>
      <c r="H157">
        <v>2100</v>
      </c>
      <c r="I157" t="s">
        <v>186</v>
      </c>
      <c r="J157" t="s">
        <v>361</v>
      </c>
      <c r="K157" t="s">
        <v>58</v>
      </c>
      <c r="L157" t="s">
        <v>59</v>
      </c>
      <c r="M157">
        <v>12</v>
      </c>
      <c r="N157" t="s">
        <v>60</v>
      </c>
      <c r="O157">
        <v>2025</v>
      </c>
      <c r="P157">
        <v>7116</v>
      </c>
      <c r="R157" t="s">
        <v>1103</v>
      </c>
      <c r="S157" t="s">
        <v>2472</v>
      </c>
      <c r="T157" t="s">
        <v>1104</v>
      </c>
      <c r="W157" t="s">
        <v>1031</v>
      </c>
      <c r="X157">
        <v>12</v>
      </c>
      <c r="Y157" t="s">
        <v>54</v>
      </c>
      <c r="Z157">
        <v>300</v>
      </c>
      <c r="AA157">
        <v>0</v>
      </c>
      <c r="AB157">
        <v>0</v>
      </c>
      <c r="AC157">
        <v>0</v>
      </c>
      <c r="AD157">
        <v>300</v>
      </c>
      <c r="AE157">
        <v>25</v>
      </c>
      <c r="AF157">
        <v>300</v>
      </c>
      <c r="AG157">
        <v>300</v>
      </c>
      <c r="AH157">
        <v>25</v>
      </c>
      <c r="AI157">
        <v>300</v>
      </c>
      <c r="AJ157">
        <v>300</v>
      </c>
      <c r="AK157">
        <v>0</v>
      </c>
      <c r="AL157">
        <v>300</v>
      </c>
      <c r="AM157">
        <v>300</v>
      </c>
      <c r="AN157">
        <v>300</v>
      </c>
      <c r="AO157" t="s">
        <v>55</v>
      </c>
      <c r="AP157" t="s">
        <v>1105</v>
      </c>
      <c r="AQ157">
        <v>1</v>
      </c>
    </row>
    <row r="158" spans="1:43" x14ac:dyDescent="0.25">
      <c r="A158" t="s">
        <v>42</v>
      </c>
      <c r="B158" t="s">
        <v>43</v>
      </c>
      <c r="C158" t="s">
        <v>44</v>
      </c>
      <c r="D158" t="s">
        <v>45</v>
      </c>
      <c r="E158">
        <v>14</v>
      </c>
      <c r="F158">
        <v>122</v>
      </c>
      <c r="G158">
        <v>3024</v>
      </c>
      <c r="H158">
        <v>2100</v>
      </c>
      <c r="I158" t="s">
        <v>186</v>
      </c>
      <c r="J158" t="s">
        <v>361</v>
      </c>
      <c r="K158" t="s">
        <v>491</v>
      </c>
      <c r="L158" t="s">
        <v>492</v>
      </c>
      <c r="M158">
        <v>12</v>
      </c>
      <c r="N158" t="s">
        <v>60</v>
      </c>
      <c r="O158">
        <v>2025</v>
      </c>
      <c r="P158">
        <v>6992</v>
      </c>
      <c r="R158" t="s">
        <v>1088</v>
      </c>
      <c r="S158" t="s">
        <v>2472</v>
      </c>
      <c r="T158" t="s">
        <v>1089</v>
      </c>
      <c r="X158">
        <v>12</v>
      </c>
      <c r="Y158" t="s">
        <v>54</v>
      </c>
      <c r="Z158">
        <v>5810</v>
      </c>
      <c r="AA158">
        <v>0</v>
      </c>
      <c r="AB158">
        <v>0</v>
      </c>
      <c r="AC158">
        <v>0</v>
      </c>
      <c r="AD158">
        <v>5810</v>
      </c>
      <c r="AE158">
        <v>484.16666666666669</v>
      </c>
      <c r="AF158">
        <v>5810</v>
      </c>
      <c r="AG158">
        <v>5810</v>
      </c>
      <c r="AH158">
        <v>484.16666666666669</v>
      </c>
      <c r="AI158">
        <v>5810</v>
      </c>
      <c r="AJ158">
        <v>5810</v>
      </c>
      <c r="AK158">
        <v>0</v>
      </c>
      <c r="AL158">
        <v>5810</v>
      </c>
      <c r="AM158">
        <v>0</v>
      </c>
      <c r="AN158">
        <v>0</v>
      </c>
      <c r="AO158" t="s">
        <v>55</v>
      </c>
      <c r="AP158" t="s">
        <v>1090</v>
      </c>
      <c r="AQ158">
        <v>1</v>
      </c>
    </row>
    <row r="159" spans="1:43" x14ac:dyDescent="0.25">
      <c r="A159" t="s">
        <v>42</v>
      </c>
      <c r="B159" t="s">
        <v>43</v>
      </c>
      <c r="C159" t="s">
        <v>44</v>
      </c>
      <c r="D159" t="s">
        <v>45</v>
      </c>
      <c r="E159">
        <v>14</v>
      </c>
      <c r="F159">
        <v>122</v>
      </c>
      <c r="G159">
        <v>3024</v>
      </c>
      <c r="H159">
        <v>2100</v>
      </c>
      <c r="I159" t="s">
        <v>186</v>
      </c>
      <c r="J159" t="s">
        <v>881</v>
      </c>
      <c r="K159" t="s">
        <v>58</v>
      </c>
      <c r="L159" t="s">
        <v>59</v>
      </c>
      <c r="M159">
        <v>6</v>
      </c>
      <c r="N159" t="s">
        <v>115</v>
      </c>
      <c r="O159">
        <v>2025</v>
      </c>
      <c r="P159">
        <v>4307</v>
      </c>
      <c r="R159" t="s">
        <v>935</v>
      </c>
      <c r="S159" t="s">
        <v>2472</v>
      </c>
      <c r="T159" t="s">
        <v>936</v>
      </c>
      <c r="W159" t="s">
        <v>937</v>
      </c>
      <c r="X159">
        <v>12</v>
      </c>
      <c r="Y159" t="s">
        <v>54</v>
      </c>
      <c r="Z159">
        <v>1050</v>
      </c>
      <c r="AA159">
        <v>0</v>
      </c>
      <c r="AB159">
        <v>0</v>
      </c>
      <c r="AC159">
        <v>0</v>
      </c>
      <c r="AD159">
        <v>1050</v>
      </c>
      <c r="AE159">
        <v>87.5</v>
      </c>
      <c r="AF159">
        <v>1050</v>
      </c>
      <c r="AG159">
        <v>651</v>
      </c>
      <c r="AH159">
        <v>54.25</v>
      </c>
      <c r="AI159">
        <v>651</v>
      </c>
      <c r="AJ159">
        <v>1050</v>
      </c>
      <c r="AK159">
        <v>0</v>
      </c>
      <c r="AL159">
        <v>1050</v>
      </c>
      <c r="AM159">
        <v>1050</v>
      </c>
      <c r="AN159">
        <v>1050</v>
      </c>
      <c r="AO159" t="s">
        <v>55</v>
      </c>
      <c r="AP159" t="s">
        <v>938</v>
      </c>
      <c r="AQ159">
        <v>0.62</v>
      </c>
    </row>
    <row r="160" spans="1:43" x14ac:dyDescent="0.25">
      <c r="A160" t="s">
        <v>42</v>
      </c>
      <c r="B160" t="s">
        <v>43</v>
      </c>
      <c r="C160" t="s">
        <v>44</v>
      </c>
      <c r="D160" t="s">
        <v>45</v>
      </c>
      <c r="E160">
        <v>14</v>
      </c>
      <c r="F160">
        <v>122</v>
      </c>
      <c r="G160">
        <v>3024</v>
      </c>
      <c r="H160">
        <v>2100</v>
      </c>
      <c r="I160" t="s">
        <v>186</v>
      </c>
      <c r="J160" t="s">
        <v>881</v>
      </c>
      <c r="K160" t="s">
        <v>58</v>
      </c>
      <c r="L160" t="s">
        <v>59</v>
      </c>
      <c r="M160">
        <v>6</v>
      </c>
      <c r="N160" t="s">
        <v>115</v>
      </c>
      <c r="O160">
        <v>2025</v>
      </c>
      <c r="P160">
        <v>6371</v>
      </c>
      <c r="R160" t="s">
        <v>935</v>
      </c>
      <c r="S160" t="s">
        <v>2472</v>
      </c>
      <c r="T160" t="s">
        <v>936</v>
      </c>
      <c r="W160" t="s">
        <v>939</v>
      </c>
      <c r="X160">
        <v>12</v>
      </c>
      <c r="Y160" t="s">
        <v>54</v>
      </c>
      <c r="Z160">
        <v>640</v>
      </c>
      <c r="AA160">
        <v>0</v>
      </c>
      <c r="AB160">
        <v>0</v>
      </c>
      <c r="AC160">
        <v>0</v>
      </c>
      <c r="AD160">
        <v>640</v>
      </c>
      <c r="AE160">
        <v>53.333333333333343</v>
      </c>
      <c r="AF160">
        <v>640</v>
      </c>
      <c r="AG160">
        <v>396.8</v>
      </c>
      <c r="AH160">
        <v>33.06666666666667</v>
      </c>
      <c r="AI160">
        <v>396.8</v>
      </c>
      <c r="AJ160">
        <v>640</v>
      </c>
      <c r="AK160">
        <v>0</v>
      </c>
      <c r="AL160">
        <v>640</v>
      </c>
      <c r="AM160">
        <v>640</v>
      </c>
      <c r="AN160">
        <v>640</v>
      </c>
      <c r="AO160" t="s">
        <v>55</v>
      </c>
      <c r="AP160" t="s">
        <v>938</v>
      </c>
      <c r="AQ160">
        <v>0.62</v>
      </c>
    </row>
    <row r="161" spans="1:43" x14ac:dyDescent="0.25">
      <c r="A161" t="s">
        <v>42</v>
      </c>
      <c r="B161" t="s">
        <v>43</v>
      </c>
      <c r="C161" t="s">
        <v>44</v>
      </c>
      <c r="D161" t="s">
        <v>45</v>
      </c>
      <c r="E161">
        <v>14</v>
      </c>
      <c r="F161">
        <v>422</v>
      </c>
      <c r="G161">
        <v>3018</v>
      </c>
      <c r="H161">
        <v>2142</v>
      </c>
      <c r="I161" t="s">
        <v>940</v>
      </c>
      <c r="J161" t="s">
        <v>881</v>
      </c>
      <c r="K161" t="s">
        <v>58</v>
      </c>
      <c r="L161" t="s">
        <v>59</v>
      </c>
      <c r="M161">
        <v>6</v>
      </c>
      <c r="N161" t="s">
        <v>115</v>
      </c>
      <c r="O161">
        <v>2025</v>
      </c>
      <c r="P161">
        <v>4392</v>
      </c>
      <c r="R161" t="s">
        <v>941</v>
      </c>
      <c r="S161" t="s">
        <v>2472</v>
      </c>
      <c r="T161" t="s">
        <v>942</v>
      </c>
      <c r="X161">
        <v>12</v>
      </c>
      <c r="Y161" t="s">
        <v>54</v>
      </c>
      <c r="Z161">
        <v>4217.95</v>
      </c>
      <c r="AA161">
        <v>0</v>
      </c>
      <c r="AB161">
        <v>0</v>
      </c>
      <c r="AC161">
        <v>0</v>
      </c>
      <c r="AD161">
        <v>4217.95</v>
      </c>
      <c r="AE161">
        <v>351.49583333333328</v>
      </c>
      <c r="AF161">
        <v>4217.95</v>
      </c>
      <c r="AG161">
        <v>4217.95</v>
      </c>
      <c r="AH161">
        <v>351.49583333333328</v>
      </c>
      <c r="AI161">
        <v>4217.95</v>
      </c>
      <c r="AJ161">
        <v>4217.95</v>
      </c>
      <c r="AK161">
        <v>0</v>
      </c>
      <c r="AL161">
        <v>4217.95</v>
      </c>
      <c r="AM161">
        <v>0</v>
      </c>
      <c r="AN161">
        <v>0</v>
      </c>
      <c r="AO161" t="s">
        <v>55</v>
      </c>
      <c r="AP161" t="s">
        <v>943</v>
      </c>
      <c r="AQ161">
        <v>1</v>
      </c>
    </row>
    <row r="162" spans="1:43" x14ac:dyDescent="0.25">
      <c r="A162" t="s">
        <v>42</v>
      </c>
      <c r="B162" t="s">
        <v>43</v>
      </c>
      <c r="C162" t="s">
        <v>44</v>
      </c>
      <c r="D162" t="s">
        <v>45</v>
      </c>
      <c r="E162">
        <v>14</v>
      </c>
      <c r="F162">
        <v>422</v>
      </c>
      <c r="G162">
        <v>3013</v>
      </c>
      <c r="H162">
        <v>6178</v>
      </c>
      <c r="I162" t="s">
        <v>57</v>
      </c>
      <c r="J162" t="s">
        <v>361</v>
      </c>
      <c r="K162" t="s">
        <v>208</v>
      </c>
      <c r="L162" t="s">
        <v>209</v>
      </c>
      <c r="M162">
        <v>6</v>
      </c>
      <c r="N162" t="s">
        <v>115</v>
      </c>
      <c r="O162">
        <v>2025</v>
      </c>
      <c r="P162">
        <v>6881</v>
      </c>
      <c r="R162" t="s">
        <v>1081</v>
      </c>
      <c r="S162" t="s">
        <v>2471</v>
      </c>
      <c r="T162" t="s">
        <v>1082</v>
      </c>
      <c r="W162" t="s">
        <v>53</v>
      </c>
      <c r="X162">
        <v>12</v>
      </c>
      <c r="Y162" t="s">
        <v>54</v>
      </c>
      <c r="Z162">
        <v>54000</v>
      </c>
      <c r="AA162">
        <v>0</v>
      </c>
      <c r="AB162">
        <v>0</v>
      </c>
      <c r="AC162">
        <v>0</v>
      </c>
      <c r="AD162">
        <v>54000</v>
      </c>
      <c r="AE162">
        <v>4500</v>
      </c>
      <c r="AF162">
        <v>54000</v>
      </c>
      <c r="AG162">
        <v>54000</v>
      </c>
      <c r="AH162">
        <v>4500</v>
      </c>
      <c r="AI162">
        <v>54000</v>
      </c>
      <c r="AJ162">
        <v>54000</v>
      </c>
      <c r="AK162">
        <v>0</v>
      </c>
      <c r="AL162">
        <v>54000</v>
      </c>
      <c r="AM162">
        <v>15648.2</v>
      </c>
      <c r="AN162">
        <v>12857.93</v>
      </c>
      <c r="AO162" t="s">
        <v>55</v>
      </c>
      <c r="AP162" t="s">
        <v>1083</v>
      </c>
      <c r="AQ162">
        <v>1</v>
      </c>
    </row>
    <row r="163" spans="1:43" x14ac:dyDescent="0.25">
      <c r="A163" t="s">
        <v>42</v>
      </c>
      <c r="B163" t="s">
        <v>43</v>
      </c>
      <c r="C163" t="s">
        <v>44</v>
      </c>
      <c r="D163" t="s">
        <v>45</v>
      </c>
      <c r="E163">
        <v>14</v>
      </c>
      <c r="F163">
        <v>422</v>
      </c>
      <c r="G163">
        <v>3013</v>
      </c>
      <c r="H163">
        <v>2053</v>
      </c>
      <c r="I163" t="s">
        <v>57</v>
      </c>
      <c r="J163" t="s">
        <v>215</v>
      </c>
      <c r="K163" t="s">
        <v>208</v>
      </c>
      <c r="L163" t="s">
        <v>209</v>
      </c>
      <c r="M163">
        <v>7</v>
      </c>
      <c r="N163" t="s">
        <v>391</v>
      </c>
      <c r="O163">
        <v>2025</v>
      </c>
      <c r="P163">
        <v>5475</v>
      </c>
      <c r="R163" t="s">
        <v>1040</v>
      </c>
      <c r="S163" t="s">
        <v>2471</v>
      </c>
      <c r="T163" t="s">
        <v>1041</v>
      </c>
      <c r="W163" t="s">
        <v>53</v>
      </c>
      <c r="X163">
        <v>12</v>
      </c>
      <c r="Y163" t="s">
        <v>54</v>
      </c>
      <c r="Z163">
        <v>180000</v>
      </c>
      <c r="AA163">
        <v>0</v>
      </c>
      <c r="AB163">
        <v>0</v>
      </c>
      <c r="AC163">
        <v>0</v>
      </c>
      <c r="AD163">
        <v>180000</v>
      </c>
      <c r="AE163">
        <v>15000</v>
      </c>
      <c r="AF163">
        <v>180000</v>
      </c>
      <c r="AG163">
        <v>180000</v>
      </c>
      <c r="AH163">
        <v>15000</v>
      </c>
      <c r="AI163">
        <v>180000</v>
      </c>
      <c r="AJ163">
        <v>180000</v>
      </c>
      <c r="AK163">
        <v>0</v>
      </c>
      <c r="AL163">
        <v>180000</v>
      </c>
      <c r="AM163">
        <v>75758.73</v>
      </c>
      <c r="AN163">
        <v>62908.5</v>
      </c>
      <c r="AO163" t="s">
        <v>55</v>
      </c>
      <c r="AP163" t="s">
        <v>1042</v>
      </c>
      <c r="AQ163">
        <v>1</v>
      </c>
    </row>
    <row r="164" spans="1:43" x14ac:dyDescent="0.25">
      <c r="A164" t="s">
        <v>42</v>
      </c>
      <c r="B164" t="s">
        <v>43</v>
      </c>
      <c r="C164" t="s">
        <v>44</v>
      </c>
      <c r="D164" t="s">
        <v>45</v>
      </c>
      <c r="E164">
        <v>14</v>
      </c>
      <c r="F164">
        <v>122</v>
      </c>
      <c r="G164">
        <v>3024</v>
      </c>
      <c r="H164">
        <v>2100</v>
      </c>
      <c r="I164" t="s">
        <v>186</v>
      </c>
      <c r="J164" t="s">
        <v>215</v>
      </c>
      <c r="K164" t="s">
        <v>247</v>
      </c>
      <c r="L164" t="s">
        <v>248</v>
      </c>
      <c r="M164">
        <v>6</v>
      </c>
      <c r="N164" t="s">
        <v>115</v>
      </c>
      <c r="O164">
        <v>2025</v>
      </c>
      <c r="P164">
        <v>5035</v>
      </c>
      <c r="R164" t="s">
        <v>1029</v>
      </c>
      <c r="S164" t="s">
        <v>2472</v>
      </c>
      <c r="T164" t="s">
        <v>1030</v>
      </c>
      <c r="W164" t="s">
        <v>1031</v>
      </c>
      <c r="X164">
        <v>12</v>
      </c>
      <c r="Y164" t="s">
        <v>54</v>
      </c>
      <c r="Z164">
        <v>17499</v>
      </c>
      <c r="AA164">
        <v>0</v>
      </c>
      <c r="AB164">
        <v>0</v>
      </c>
      <c r="AC164">
        <v>0</v>
      </c>
      <c r="AD164">
        <v>17499</v>
      </c>
      <c r="AE164">
        <v>1458.25</v>
      </c>
      <c r="AF164">
        <v>17499</v>
      </c>
      <c r="AG164">
        <v>17499</v>
      </c>
      <c r="AH164">
        <v>1458.25</v>
      </c>
      <c r="AI164">
        <v>17499</v>
      </c>
      <c r="AJ164">
        <v>17499</v>
      </c>
      <c r="AK164">
        <v>0</v>
      </c>
      <c r="AL164">
        <v>17499</v>
      </c>
      <c r="AM164">
        <v>17499</v>
      </c>
      <c r="AN164">
        <v>17499</v>
      </c>
      <c r="AO164" t="s">
        <v>55</v>
      </c>
      <c r="AP164" t="s">
        <v>1032</v>
      </c>
      <c r="AQ164">
        <v>1</v>
      </c>
    </row>
    <row r="165" spans="1:43" x14ac:dyDescent="0.25">
      <c r="A165" t="s">
        <v>42</v>
      </c>
      <c r="B165" t="s">
        <v>43</v>
      </c>
      <c r="C165" t="s">
        <v>44</v>
      </c>
      <c r="D165" t="s">
        <v>45</v>
      </c>
      <c r="E165">
        <v>14</v>
      </c>
      <c r="F165">
        <v>122</v>
      </c>
      <c r="G165">
        <v>3024</v>
      </c>
      <c r="H165">
        <v>2100</v>
      </c>
      <c r="I165" t="s">
        <v>57</v>
      </c>
      <c r="J165" t="s">
        <v>215</v>
      </c>
      <c r="K165" t="s">
        <v>58</v>
      </c>
      <c r="L165" t="s">
        <v>59</v>
      </c>
      <c r="M165">
        <v>12</v>
      </c>
      <c r="N165" t="s">
        <v>60</v>
      </c>
      <c r="O165">
        <v>2025</v>
      </c>
      <c r="P165">
        <v>5322</v>
      </c>
      <c r="R165" t="s">
        <v>1026</v>
      </c>
      <c r="S165" t="s">
        <v>2472</v>
      </c>
      <c r="T165" t="s">
        <v>1027</v>
      </c>
      <c r="W165" t="s">
        <v>560</v>
      </c>
      <c r="X165">
        <v>12</v>
      </c>
      <c r="Y165" t="s">
        <v>54</v>
      </c>
      <c r="Z165">
        <v>6280</v>
      </c>
      <c r="AA165">
        <v>0</v>
      </c>
      <c r="AB165">
        <v>0</v>
      </c>
      <c r="AC165">
        <v>0</v>
      </c>
      <c r="AD165">
        <v>6280</v>
      </c>
      <c r="AE165">
        <v>523.33333333333337</v>
      </c>
      <c r="AF165">
        <v>6280</v>
      </c>
      <c r="AG165">
        <v>6280</v>
      </c>
      <c r="AH165">
        <v>523.33333333333337</v>
      </c>
      <c r="AI165">
        <v>6280</v>
      </c>
      <c r="AJ165">
        <v>6280</v>
      </c>
      <c r="AK165">
        <v>0</v>
      </c>
      <c r="AL165">
        <v>6280</v>
      </c>
      <c r="AM165">
        <v>6280</v>
      </c>
      <c r="AN165">
        <v>6280</v>
      </c>
      <c r="AO165" t="s">
        <v>55</v>
      </c>
      <c r="AP165" t="s">
        <v>1028</v>
      </c>
      <c r="AQ165">
        <v>1</v>
      </c>
    </row>
    <row r="166" spans="1:43" x14ac:dyDescent="0.25">
      <c r="A166" t="s">
        <v>42</v>
      </c>
      <c r="B166" t="s">
        <v>43</v>
      </c>
      <c r="C166" t="s">
        <v>44</v>
      </c>
      <c r="D166" t="s">
        <v>45</v>
      </c>
      <c r="E166">
        <v>14</v>
      </c>
      <c r="F166">
        <v>422</v>
      </c>
      <c r="G166">
        <v>3013</v>
      </c>
      <c r="H166">
        <v>6178</v>
      </c>
      <c r="I166" t="s">
        <v>57</v>
      </c>
      <c r="J166" t="s">
        <v>215</v>
      </c>
      <c r="K166" t="s">
        <v>65</v>
      </c>
      <c r="L166" t="s">
        <v>66</v>
      </c>
      <c r="M166">
        <v>12</v>
      </c>
      <c r="N166" t="s">
        <v>60</v>
      </c>
      <c r="O166">
        <v>2024</v>
      </c>
      <c r="P166">
        <v>42114</v>
      </c>
      <c r="R166" t="s">
        <v>995</v>
      </c>
      <c r="S166" t="s">
        <v>2471</v>
      </c>
      <c r="T166" t="s">
        <v>996</v>
      </c>
      <c r="X166">
        <v>12</v>
      </c>
      <c r="Y166" t="s">
        <v>54</v>
      </c>
      <c r="Z166">
        <v>343000</v>
      </c>
      <c r="AA166">
        <v>0</v>
      </c>
      <c r="AB166">
        <v>0</v>
      </c>
      <c r="AC166">
        <v>0</v>
      </c>
      <c r="AD166">
        <v>343000</v>
      </c>
      <c r="AE166">
        <v>28583.333333333328</v>
      </c>
      <c r="AF166">
        <v>343000</v>
      </c>
      <c r="AG166">
        <v>343000</v>
      </c>
      <c r="AH166">
        <v>28583.333333333328</v>
      </c>
      <c r="AI166">
        <v>343000</v>
      </c>
      <c r="AJ166">
        <v>337283.29</v>
      </c>
      <c r="AK166">
        <v>7622.22</v>
      </c>
      <c r="AL166">
        <v>329661.07</v>
      </c>
      <c r="AM166">
        <v>0</v>
      </c>
      <c r="AN166">
        <v>0</v>
      </c>
      <c r="AO166" t="s">
        <v>55</v>
      </c>
      <c r="AP166" t="s">
        <v>997</v>
      </c>
      <c r="AQ166">
        <v>1</v>
      </c>
    </row>
    <row r="167" spans="1:43" x14ac:dyDescent="0.25">
      <c r="A167" t="s">
        <v>42</v>
      </c>
      <c r="B167" t="s">
        <v>43</v>
      </c>
      <c r="C167" t="s">
        <v>44</v>
      </c>
      <c r="D167" t="s">
        <v>45</v>
      </c>
      <c r="E167">
        <v>14</v>
      </c>
      <c r="F167">
        <v>422</v>
      </c>
      <c r="G167">
        <v>3013</v>
      </c>
      <c r="H167">
        <v>6178</v>
      </c>
      <c r="I167" t="s">
        <v>57</v>
      </c>
      <c r="J167" t="s">
        <v>881</v>
      </c>
      <c r="K167" t="s">
        <v>208</v>
      </c>
      <c r="L167" t="s">
        <v>209</v>
      </c>
      <c r="M167">
        <v>6</v>
      </c>
      <c r="N167" t="s">
        <v>115</v>
      </c>
      <c r="O167">
        <v>2025</v>
      </c>
      <c r="P167">
        <v>4763</v>
      </c>
      <c r="R167" t="s">
        <v>978</v>
      </c>
      <c r="S167" t="s">
        <v>2471</v>
      </c>
      <c r="T167" s="12" t="s">
        <v>979</v>
      </c>
      <c r="W167" t="s">
        <v>498</v>
      </c>
      <c r="X167">
        <v>12</v>
      </c>
      <c r="Y167" t="s">
        <v>54</v>
      </c>
      <c r="Z167">
        <v>200000</v>
      </c>
      <c r="AA167">
        <v>0</v>
      </c>
      <c r="AB167">
        <v>0</v>
      </c>
      <c r="AC167">
        <v>0</v>
      </c>
      <c r="AD167">
        <v>200000</v>
      </c>
      <c r="AE167">
        <v>16666.666666666672</v>
      </c>
      <c r="AF167">
        <v>200000</v>
      </c>
      <c r="AG167">
        <v>200000</v>
      </c>
      <c r="AH167">
        <v>16666.666666666672</v>
      </c>
      <c r="AI167">
        <v>200000</v>
      </c>
      <c r="AJ167">
        <v>200000</v>
      </c>
      <c r="AK167">
        <v>0</v>
      </c>
      <c r="AL167">
        <v>200000</v>
      </c>
      <c r="AM167">
        <v>53704.36</v>
      </c>
      <c r="AN167">
        <v>53031.6</v>
      </c>
      <c r="AO167" t="s">
        <v>55</v>
      </c>
      <c r="AP167" t="s">
        <v>980</v>
      </c>
      <c r="AQ167">
        <v>1</v>
      </c>
    </row>
    <row r="168" spans="1:43" x14ac:dyDescent="0.25">
      <c r="A168" t="s">
        <v>42</v>
      </c>
      <c r="B168" t="s">
        <v>43</v>
      </c>
      <c r="C168" t="s">
        <v>44</v>
      </c>
      <c r="D168" t="s">
        <v>45</v>
      </c>
      <c r="E168">
        <v>14</v>
      </c>
      <c r="F168">
        <v>422</v>
      </c>
      <c r="G168">
        <v>3013</v>
      </c>
      <c r="H168">
        <v>2053</v>
      </c>
      <c r="I168" t="s">
        <v>57</v>
      </c>
      <c r="J168" t="s">
        <v>881</v>
      </c>
      <c r="K168" t="s">
        <v>208</v>
      </c>
      <c r="L168" t="s">
        <v>209</v>
      </c>
      <c r="M168">
        <v>7</v>
      </c>
      <c r="N168" t="s">
        <v>391</v>
      </c>
      <c r="O168">
        <v>2025</v>
      </c>
      <c r="P168">
        <v>4777</v>
      </c>
      <c r="R168" t="s">
        <v>981</v>
      </c>
      <c r="S168" t="s">
        <v>2471</v>
      </c>
      <c r="T168" t="s">
        <v>982</v>
      </c>
      <c r="W168" t="s">
        <v>53</v>
      </c>
      <c r="X168">
        <v>12</v>
      </c>
      <c r="Y168" t="s">
        <v>54</v>
      </c>
      <c r="Z168">
        <v>300000</v>
      </c>
      <c r="AA168">
        <v>0</v>
      </c>
      <c r="AB168">
        <v>0</v>
      </c>
      <c r="AC168">
        <v>0</v>
      </c>
      <c r="AD168">
        <v>300000</v>
      </c>
      <c r="AE168">
        <v>25000</v>
      </c>
      <c r="AF168">
        <v>300000</v>
      </c>
      <c r="AG168">
        <v>0</v>
      </c>
      <c r="AH168">
        <v>0</v>
      </c>
      <c r="AI168">
        <v>0</v>
      </c>
      <c r="AJ168">
        <v>600000</v>
      </c>
      <c r="AK168">
        <v>300000</v>
      </c>
      <c r="AL168">
        <v>300000</v>
      </c>
      <c r="AM168">
        <v>80248.740000000005</v>
      </c>
      <c r="AN168">
        <v>63914.57</v>
      </c>
      <c r="AO168" t="s">
        <v>55</v>
      </c>
      <c r="AP168" t="s">
        <v>983</v>
      </c>
      <c r="AQ168">
        <v>0</v>
      </c>
    </row>
    <row r="169" spans="1:43" x14ac:dyDescent="0.25">
      <c r="A169" t="s">
        <v>42</v>
      </c>
      <c r="B169" t="s">
        <v>43</v>
      </c>
      <c r="C169" t="s">
        <v>44</v>
      </c>
      <c r="D169" t="s">
        <v>45</v>
      </c>
      <c r="E169">
        <v>14</v>
      </c>
      <c r="F169">
        <v>422</v>
      </c>
      <c r="G169">
        <v>3013</v>
      </c>
      <c r="H169">
        <v>4322</v>
      </c>
      <c r="I169" t="s">
        <v>57</v>
      </c>
      <c r="J169" t="s">
        <v>881</v>
      </c>
      <c r="K169" t="s">
        <v>58</v>
      </c>
      <c r="L169" t="s">
        <v>59</v>
      </c>
      <c r="M169">
        <v>12</v>
      </c>
      <c r="N169" t="s">
        <v>60</v>
      </c>
      <c r="O169">
        <v>2025</v>
      </c>
      <c r="P169">
        <v>4772</v>
      </c>
      <c r="R169" t="s">
        <v>984</v>
      </c>
      <c r="S169" t="s">
        <v>2472</v>
      </c>
      <c r="T169" t="s">
        <v>985</v>
      </c>
      <c r="W169" t="s">
        <v>560</v>
      </c>
      <c r="X169">
        <v>12</v>
      </c>
      <c r="Y169" t="s">
        <v>54</v>
      </c>
      <c r="Z169">
        <v>628</v>
      </c>
      <c r="AA169">
        <v>0</v>
      </c>
      <c r="AB169">
        <v>0</v>
      </c>
      <c r="AC169">
        <v>0</v>
      </c>
      <c r="AD169">
        <v>628</v>
      </c>
      <c r="AE169">
        <v>52.333333333333343</v>
      </c>
      <c r="AF169">
        <v>628</v>
      </c>
      <c r="AG169">
        <v>628</v>
      </c>
      <c r="AH169">
        <v>52.333333333333343</v>
      </c>
      <c r="AI169">
        <v>628</v>
      </c>
      <c r="AJ169">
        <v>628</v>
      </c>
      <c r="AK169">
        <v>0</v>
      </c>
      <c r="AL169">
        <v>628</v>
      </c>
      <c r="AM169">
        <v>628</v>
      </c>
      <c r="AN169">
        <v>628</v>
      </c>
      <c r="AO169" t="s">
        <v>55</v>
      </c>
      <c r="AP169" t="s">
        <v>986</v>
      </c>
      <c r="AQ169">
        <v>1</v>
      </c>
    </row>
    <row r="170" spans="1:43" x14ac:dyDescent="0.25">
      <c r="A170" t="s">
        <v>42</v>
      </c>
      <c r="B170" t="s">
        <v>43</v>
      </c>
      <c r="C170" t="s">
        <v>44</v>
      </c>
      <c r="D170" t="s">
        <v>45</v>
      </c>
      <c r="E170">
        <v>14</v>
      </c>
      <c r="F170">
        <v>422</v>
      </c>
      <c r="G170">
        <v>3013</v>
      </c>
      <c r="H170">
        <v>2431</v>
      </c>
      <c r="I170" t="s">
        <v>57</v>
      </c>
      <c r="J170" t="s">
        <v>881</v>
      </c>
      <c r="K170" t="s">
        <v>58</v>
      </c>
      <c r="L170" t="s">
        <v>59</v>
      </c>
      <c r="M170">
        <v>12</v>
      </c>
      <c r="N170" t="s">
        <v>60</v>
      </c>
      <c r="O170">
        <v>2025</v>
      </c>
      <c r="P170">
        <v>4800</v>
      </c>
      <c r="R170" t="s">
        <v>991</v>
      </c>
      <c r="S170" t="s">
        <v>2472</v>
      </c>
      <c r="T170" t="s">
        <v>992</v>
      </c>
      <c r="W170" t="s">
        <v>993</v>
      </c>
      <c r="X170">
        <v>12</v>
      </c>
      <c r="Y170" t="s">
        <v>54</v>
      </c>
      <c r="Z170">
        <v>2009.6</v>
      </c>
      <c r="AA170">
        <v>0</v>
      </c>
      <c r="AB170">
        <v>0</v>
      </c>
      <c r="AC170">
        <v>0</v>
      </c>
      <c r="AD170">
        <v>2009.6</v>
      </c>
      <c r="AE170">
        <v>167.4666666666667</v>
      </c>
      <c r="AF170">
        <v>2009.6</v>
      </c>
      <c r="AG170">
        <v>2009.6</v>
      </c>
      <c r="AH170">
        <v>167.4666666666667</v>
      </c>
      <c r="AI170">
        <v>2009.6</v>
      </c>
      <c r="AJ170">
        <v>2009.6</v>
      </c>
      <c r="AK170">
        <v>0</v>
      </c>
      <c r="AL170">
        <v>2009.6</v>
      </c>
      <c r="AM170">
        <v>2009.6</v>
      </c>
      <c r="AN170">
        <v>2009.6</v>
      </c>
      <c r="AO170" t="s">
        <v>55</v>
      </c>
      <c r="AP170" t="s">
        <v>994</v>
      </c>
      <c r="AQ170">
        <v>1</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A3A1-2FD4-4DDD-BE71-B42A7F41BFA1}">
  <dimension ref="A3:B7"/>
  <sheetViews>
    <sheetView topLeftCell="A3" workbookViewId="0">
      <selection activeCell="B4" sqref="B4"/>
    </sheetView>
  </sheetViews>
  <sheetFormatPr defaultRowHeight="15" x14ac:dyDescent="0.25"/>
  <cols>
    <col min="1" max="1" width="18" bestFit="1" customWidth="1"/>
    <col min="2" max="2" width="16.85546875" bestFit="1" customWidth="1"/>
    <col min="3" max="3" width="24.5703125" bestFit="1" customWidth="1"/>
  </cols>
  <sheetData>
    <row r="3" spans="1:2" x14ac:dyDescent="0.25">
      <c r="A3" s="6" t="s">
        <v>2470</v>
      </c>
      <c r="B3" t="s">
        <v>2474</v>
      </c>
    </row>
    <row r="4" spans="1:2" x14ac:dyDescent="0.25">
      <c r="A4" s="7" t="s">
        <v>54</v>
      </c>
      <c r="B4" s="5">
        <v>17421185.070000004</v>
      </c>
    </row>
    <row r="5" spans="1:2" x14ac:dyDescent="0.25">
      <c r="A5" s="7" t="s">
        <v>98</v>
      </c>
      <c r="B5" s="5">
        <v>7756506.4104635464</v>
      </c>
    </row>
    <row r="6" spans="1:2" x14ac:dyDescent="0.25">
      <c r="A6" s="7" t="s">
        <v>73</v>
      </c>
      <c r="B6" s="5">
        <v>170955185.23362926</v>
      </c>
    </row>
    <row r="7" spans="1:2" x14ac:dyDescent="0.25">
      <c r="A7" s="7" t="s">
        <v>2473</v>
      </c>
      <c r="B7" s="5">
        <v>196132876.71409279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91"/>
  <sheetViews>
    <sheetView topLeftCell="Q1" workbookViewId="0">
      <selection activeCell="Z2" sqref="Z2"/>
    </sheetView>
  </sheetViews>
  <sheetFormatPr defaultRowHeight="15" x14ac:dyDescent="0.25"/>
  <cols>
    <col min="1" max="1" width="13.85546875" customWidth="1"/>
    <col min="2" max="2" width="19.28515625" customWidth="1"/>
    <col min="3" max="3" width="11.5703125" customWidth="1"/>
    <col min="5" max="5" width="9.42578125" customWidth="1"/>
    <col min="6" max="6" width="12.7109375" customWidth="1"/>
    <col min="7" max="7" width="11.5703125" customWidth="1"/>
    <col min="8" max="8" width="10.28515625" customWidth="1"/>
    <col min="9" max="9" width="10.5703125" customWidth="1"/>
    <col min="10" max="10" width="19.42578125" customWidth="1"/>
    <col min="11" max="11" width="20.7109375" customWidth="1"/>
    <col min="12" max="12" width="20" customWidth="1"/>
    <col min="13" max="13" width="17" customWidth="1"/>
    <col min="14" max="14" width="24.7109375" customWidth="1"/>
    <col min="15" max="15" width="14.140625" customWidth="1"/>
    <col min="16" max="16" width="14" customWidth="1"/>
    <col min="17" max="17" width="21.85546875" customWidth="1"/>
    <col min="18" max="19" width="14.140625" customWidth="1"/>
    <col min="20" max="20" width="19.42578125" customWidth="1"/>
    <col min="21" max="21" width="23" customWidth="1"/>
    <col min="22" max="22" width="23.140625" customWidth="1"/>
    <col min="23" max="23" width="13.5703125" customWidth="1"/>
    <col min="24" max="24" width="16.5703125" customWidth="1"/>
    <col min="25" max="25" width="18.140625" customWidth="1"/>
    <col min="26" max="26" width="15.85546875" bestFit="1" customWidth="1"/>
    <col min="27" max="27" width="14.28515625" customWidth="1"/>
    <col min="28" max="28" width="17.140625" customWidth="1"/>
    <col min="29" max="29" width="13.85546875" customWidth="1"/>
    <col min="30" max="30" width="10.140625" customWidth="1"/>
    <col min="31" max="31" width="12.28515625" customWidth="1"/>
    <col min="32" max="32" width="10.85546875" customWidth="1"/>
    <col min="33" max="33" width="22.42578125" customWidth="1"/>
    <col min="34" max="34" width="24.5703125" customWidth="1"/>
    <col min="35" max="35" width="23.140625" customWidth="1"/>
    <col min="36" max="36" width="20.7109375" customWidth="1"/>
    <col min="37" max="37" width="21.5703125" customWidth="1"/>
    <col min="38" max="38" width="22.85546875" customWidth="1"/>
    <col min="39" max="39" width="14.42578125" customWidth="1"/>
    <col min="40" max="40" width="10" customWidth="1"/>
    <col min="41" max="41" width="13.42578125" customWidth="1"/>
    <col min="43" max="43" width="18.28515625" customWidth="1"/>
  </cols>
  <sheetData>
    <row r="1" spans="1:4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1862</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x14ac:dyDescent="0.25">
      <c r="A2" t="s">
        <v>42</v>
      </c>
      <c r="B2" t="s">
        <v>43</v>
      </c>
      <c r="C2" t="s">
        <v>44</v>
      </c>
      <c r="D2" t="s">
        <v>45</v>
      </c>
      <c r="E2">
        <v>14</v>
      </c>
      <c r="F2">
        <v>122</v>
      </c>
      <c r="G2">
        <v>3024</v>
      </c>
      <c r="H2">
        <v>2100</v>
      </c>
      <c r="I2" t="s">
        <v>57</v>
      </c>
      <c r="J2" t="s">
        <v>517</v>
      </c>
      <c r="K2" t="s">
        <v>65</v>
      </c>
      <c r="L2" t="s">
        <v>66</v>
      </c>
      <c r="M2">
        <v>12</v>
      </c>
      <c r="N2" t="s">
        <v>60</v>
      </c>
      <c r="O2">
        <v>2024</v>
      </c>
      <c r="P2">
        <v>9352</v>
      </c>
      <c r="Q2" t="s">
        <v>646</v>
      </c>
      <c r="R2" t="s">
        <v>647</v>
      </c>
      <c r="S2" t="str">
        <f>IF(COUNTIF(Tabela2[PROCESSO],Tabela1[[#This Row],[codProcesso]])&gt;0,"Está","Não está")</f>
        <v>Está</v>
      </c>
      <c r="T2" t="s">
        <v>648</v>
      </c>
      <c r="U2" t="s">
        <v>436</v>
      </c>
      <c r="V2" t="s">
        <v>649</v>
      </c>
      <c r="W2" t="s">
        <v>650</v>
      </c>
      <c r="X2">
        <v>62</v>
      </c>
      <c r="Y2" t="s">
        <v>73</v>
      </c>
      <c r="Z2" s="5">
        <v>60551377.200000003</v>
      </c>
      <c r="AA2" s="5">
        <v>0</v>
      </c>
      <c r="AB2" s="5">
        <v>1621502.56</v>
      </c>
      <c r="AC2" s="5">
        <v>0</v>
      </c>
      <c r="AD2" s="5">
        <v>62172879.760000013</v>
      </c>
      <c r="AE2" s="5">
        <v>1002788.383225807</v>
      </c>
      <c r="AF2" s="5">
        <v>12033460.59870968</v>
      </c>
      <c r="AG2">
        <v>8704203.1664000023</v>
      </c>
      <c r="AH2">
        <v>140390.3736516129</v>
      </c>
      <c r="AI2">
        <v>1684684.483819355</v>
      </c>
      <c r="AJ2">
        <v>19664731.09</v>
      </c>
      <c r="AK2">
        <v>5393264.5800000001</v>
      </c>
      <c r="AL2">
        <v>14271466.51</v>
      </c>
      <c r="AM2">
        <v>10075765.460000001</v>
      </c>
      <c r="AN2">
        <v>10075765.460000001</v>
      </c>
      <c r="AO2" t="s">
        <v>55</v>
      </c>
      <c r="AP2" t="s">
        <v>651</v>
      </c>
      <c r="AQ2">
        <v>0.14000000000000001</v>
      </c>
    </row>
    <row r="3" spans="1:43" x14ac:dyDescent="0.25">
      <c r="A3" t="s">
        <v>42</v>
      </c>
      <c r="B3" t="s">
        <v>43</v>
      </c>
      <c r="C3" t="s">
        <v>44</v>
      </c>
      <c r="D3" t="s">
        <v>45</v>
      </c>
      <c r="E3">
        <v>14</v>
      </c>
      <c r="F3">
        <v>422</v>
      </c>
      <c r="G3">
        <v>3013</v>
      </c>
      <c r="H3">
        <v>2053</v>
      </c>
      <c r="I3" t="s">
        <v>122</v>
      </c>
      <c r="J3" t="s">
        <v>47</v>
      </c>
      <c r="K3" t="s">
        <v>123</v>
      </c>
      <c r="L3" t="s">
        <v>124</v>
      </c>
      <c r="M3">
        <v>8</v>
      </c>
      <c r="N3" t="s">
        <v>50</v>
      </c>
      <c r="O3">
        <v>2024</v>
      </c>
      <c r="P3">
        <v>35771</v>
      </c>
      <c r="Q3" t="s">
        <v>125</v>
      </c>
      <c r="R3" t="s">
        <v>126</v>
      </c>
      <c r="S3" t="str">
        <f>IF(COUNTIF(Tabela2[PROCESSO],Tabela1[[#This Row],[codProcesso]])&gt;0,"Está","Não está")</f>
        <v>Está</v>
      </c>
      <c r="T3" t="s">
        <v>127</v>
      </c>
      <c r="U3" t="s">
        <v>128</v>
      </c>
      <c r="V3" t="s">
        <v>129</v>
      </c>
      <c r="W3" t="s">
        <v>130</v>
      </c>
      <c r="X3">
        <v>60</v>
      </c>
      <c r="Y3" t="s">
        <v>73</v>
      </c>
      <c r="Z3" s="5">
        <v>29261923.18</v>
      </c>
      <c r="AA3" s="5">
        <v>0</v>
      </c>
      <c r="AB3" s="5">
        <v>0</v>
      </c>
      <c r="AC3" s="5">
        <v>0</v>
      </c>
      <c r="AD3" s="5">
        <v>29261923.18</v>
      </c>
      <c r="AE3" s="5">
        <v>487698.71966666658</v>
      </c>
      <c r="AF3" s="5">
        <v>5852384.6359999999</v>
      </c>
      <c r="AG3">
        <v>23702157.775800001</v>
      </c>
      <c r="AH3">
        <v>395035.96292999998</v>
      </c>
      <c r="AI3">
        <v>4740431.55516</v>
      </c>
      <c r="AJ3">
        <v>4081736.16</v>
      </c>
      <c r="AK3">
        <v>82650.899999999994</v>
      </c>
      <c r="AL3">
        <v>3999085.26</v>
      </c>
      <c r="AM3">
        <v>3901589.74</v>
      </c>
      <c r="AN3">
        <v>3901589.74</v>
      </c>
      <c r="AO3" t="s">
        <v>55</v>
      </c>
      <c r="AP3" t="s">
        <v>131</v>
      </c>
      <c r="AQ3">
        <v>0.81</v>
      </c>
    </row>
    <row r="4" spans="1:43" x14ac:dyDescent="0.25">
      <c r="A4" t="s">
        <v>42</v>
      </c>
      <c r="B4" t="s">
        <v>43</v>
      </c>
      <c r="C4" t="s">
        <v>44</v>
      </c>
      <c r="D4" t="s">
        <v>45</v>
      </c>
      <c r="E4">
        <v>8</v>
      </c>
      <c r="F4">
        <v>605</v>
      </c>
      <c r="G4">
        <v>3016</v>
      </c>
      <c r="H4">
        <v>4470</v>
      </c>
      <c r="I4" t="s">
        <v>57</v>
      </c>
      <c r="J4" t="s">
        <v>881</v>
      </c>
      <c r="K4" t="s">
        <v>65</v>
      </c>
      <c r="L4" t="s">
        <v>66</v>
      </c>
      <c r="M4">
        <v>12</v>
      </c>
      <c r="N4" t="s">
        <v>60</v>
      </c>
      <c r="O4">
        <v>2023</v>
      </c>
      <c r="P4">
        <v>33116</v>
      </c>
      <c r="Q4" t="s">
        <v>931</v>
      </c>
      <c r="R4" t="s">
        <v>932</v>
      </c>
      <c r="S4" t="str">
        <f>IF(COUNTIF(Tabela2[PROCESSO],Tabela1[[#This Row],[codProcesso]])&gt;0,"Está","Não está")</f>
        <v>Está</v>
      </c>
      <c r="T4" t="s">
        <v>933</v>
      </c>
      <c r="U4" t="s">
        <v>160</v>
      </c>
      <c r="V4" t="s">
        <v>228</v>
      </c>
      <c r="W4" t="s">
        <v>774</v>
      </c>
      <c r="X4">
        <v>24</v>
      </c>
      <c r="Y4" t="s">
        <v>73</v>
      </c>
      <c r="Z4" s="5">
        <v>18606900</v>
      </c>
      <c r="AA4" s="5">
        <v>0</v>
      </c>
      <c r="AB4" s="5">
        <v>18606900</v>
      </c>
      <c r="AC4" s="5">
        <v>0</v>
      </c>
      <c r="AD4" s="5">
        <v>37213800</v>
      </c>
      <c r="AE4" s="5">
        <v>1550575</v>
      </c>
      <c r="AF4" s="5">
        <v>18606900</v>
      </c>
      <c r="AG4">
        <v>30887454</v>
      </c>
      <c r="AH4">
        <v>1286977.25</v>
      </c>
      <c r="AI4">
        <v>15443727</v>
      </c>
      <c r="AJ4">
        <v>34406978.560000002</v>
      </c>
      <c r="AK4">
        <v>2130359.7400000002</v>
      </c>
      <c r="AL4">
        <v>32276618.82</v>
      </c>
      <c r="AM4">
        <v>27060552.899999999</v>
      </c>
      <c r="AN4">
        <v>25524850</v>
      </c>
      <c r="AO4" t="s">
        <v>55</v>
      </c>
      <c r="AP4" t="s">
        <v>934</v>
      </c>
      <c r="AQ4">
        <v>0.83</v>
      </c>
    </row>
    <row r="5" spans="1:43" x14ac:dyDescent="0.25">
      <c r="A5" t="s">
        <v>42</v>
      </c>
      <c r="B5" t="s">
        <v>43</v>
      </c>
      <c r="C5" t="s">
        <v>44</v>
      </c>
      <c r="D5" t="s">
        <v>45</v>
      </c>
      <c r="E5">
        <v>14</v>
      </c>
      <c r="F5">
        <v>422</v>
      </c>
      <c r="G5">
        <v>3013</v>
      </c>
      <c r="H5">
        <v>2431</v>
      </c>
      <c r="I5" t="s">
        <v>122</v>
      </c>
      <c r="J5" t="s">
        <v>439</v>
      </c>
      <c r="K5" t="s">
        <v>123</v>
      </c>
      <c r="L5" t="s">
        <v>124</v>
      </c>
      <c r="M5">
        <v>8</v>
      </c>
      <c r="N5" t="s">
        <v>50</v>
      </c>
      <c r="O5">
        <v>2024</v>
      </c>
      <c r="P5">
        <v>9176</v>
      </c>
      <c r="Q5" t="s">
        <v>456</v>
      </c>
      <c r="R5" t="s">
        <v>457</v>
      </c>
      <c r="S5" t="str">
        <f>IF(COUNTIF(Tabela2[PROCESSO],Tabela1[[#This Row],[codProcesso]])&gt;0,"Está","Não está")</f>
        <v>Está</v>
      </c>
      <c r="T5" t="s">
        <v>458</v>
      </c>
      <c r="U5" t="s">
        <v>459</v>
      </c>
      <c r="V5" t="s">
        <v>460</v>
      </c>
      <c r="W5" t="s">
        <v>461</v>
      </c>
      <c r="X5">
        <v>36</v>
      </c>
      <c r="Y5" t="s">
        <v>73</v>
      </c>
      <c r="Z5" s="5">
        <v>16304045.5</v>
      </c>
      <c r="AA5" s="5">
        <v>0</v>
      </c>
      <c r="AB5" s="5">
        <v>0</v>
      </c>
      <c r="AC5" s="5">
        <v>0</v>
      </c>
      <c r="AD5" s="5">
        <v>16304045.5</v>
      </c>
      <c r="AE5" s="5">
        <v>452890.15277777781</v>
      </c>
      <c r="AF5" s="5">
        <v>5434681.833333333</v>
      </c>
      <c r="AG5">
        <v>3749930.4649999999</v>
      </c>
      <c r="AH5">
        <v>104164.73513888889</v>
      </c>
      <c r="AI5">
        <v>1249976.821666667</v>
      </c>
      <c r="AJ5">
        <v>8547828.3100000005</v>
      </c>
      <c r="AK5">
        <v>769037.64</v>
      </c>
      <c r="AL5">
        <v>7778790.6699999999</v>
      </c>
      <c r="AM5">
        <v>6679123.2300000004</v>
      </c>
      <c r="AN5">
        <v>6679123.2300000004</v>
      </c>
      <c r="AO5" t="s">
        <v>55</v>
      </c>
      <c r="AP5" t="s">
        <v>462</v>
      </c>
      <c r="AQ5">
        <v>0.23</v>
      </c>
    </row>
    <row r="6" spans="1:43" x14ac:dyDescent="0.25">
      <c r="A6" t="s">
        <v>42</v>
      </c>
      <c r="B6" t="s">
        <v>43</v>
      </c>
      <c r="C6" t="s">
        <v>44</v>
      </c>
      <c r="D6" t="s">
        <v>45</v>
      </c>
      <c r="E6">
        <v>14</v>
      </c>
      <c r="F6">
        <v>422</v>
      </c>
      <c r="G6">
        <v>3013</v>
      </c>
      <c r="H6">
        <v>2431</v>
      </c>
      <c r="I6" t="s">
        <v>122</v>
      </c>
      <c r="J6" t="s">
        <v>405</v>
      </c>
      <c r="K6" t="s">
        <v>123</v>
      </c>
      <c r="L6" t="s">
        <v>124</v>
      </c>
      <c r="M6">
        <v>8</v>
      </c>
      <c r="N6" t="s">
        <v>50</v>
      </c>
      <c r="O6">
        <v>2024</v>
      </c>
      <c r="P6">
        <v>9156</v>
      </c>
      <c r="Q6" t="s">
        <v>432</v>
      </c>
      <c r="R6" t="s">
        <v>433</v>
      </c>
      <c r="S6" t="str">
        <f>IF(COUNTIF(Tabela2[PROCESSO],Tabela1[[#This Row],[codProcesso]])&gt;0,"Está","Não está")</f>
        <v>Está</v>
      </c>
      <c r="T6" t="s">
        <v>434</v>
      </c>
      <c r="U6" t="s">
        <v>435</v>
      </c>
      <c r="V6" t="s">
        <v>436</v>
      </c>
      <c r="W6" t="s">
        <v>437</v>
      </c>
      <c r="X6">
        <v>36</v>
      </c>
      <c r="Y6" t="s">
        <v>73</v>
      </c>
      <c r="Z6" s="5">
        <v>14272370.550000001</v>
      </c>
      <c r="AA6" s="5">
        <v>0</v>
      </c>
      <c r="AB6" s="5">
        <v>0</v>
      </c>
      <c r="AC6" s="5">
        <v>0</v>
      </c>
      <c r="AD6" s="5">
        <v>14272370.550000001</v>
      </c>
      <c r="AE6" s="5">
        <v>396454.73749999999</v>
      </c>
      <c r="AF6" s="5">
        <v>4757456.8500000006</v>
      </c>
      <c r="AG6">
        <v>0</v>
      </c>
      <c r="AH6">
        <v>0</v>
      </c>
      <c r="AI6">
        <v>0</v>
      </c>
      <c r="AJ6">
        <v>8428383.9800000004</v>
      </c>
      <c r="AK6">
        <v>4207217.51</v>
      </c>
      <c r="AL6">
        <v>4221166.47</v>
      </c>
      <c r="AM6">
        <v>3784884.6</v>
      </c>
      <c r="AN6">
        <v>3056500.29</v>
      </c>
      <c r="AO6" t="s">
        <v>55</v>
      </c>
      <c r="AP6" t="s">
        <v>438</v>
      </c>
      <c r="AQ6">
        <v>0</v>
      </c>
    </row>
    <row r="7" spans="1:43" x14ac:dyDescent="0.25">
      <c r="A7" t="s">
        <v>42</v>
      </c>
      <c r="B7" t="s">
        <v>43</v>
      </c>
      <c r="C7" t="s">
        <v>44</v>
      </c>
      <c r="D7" t="s">
        <v>45</v>
      </c>
      <c r="E7">
        <v>14</v>
      </c>
      <c r="F7">
        <v>422</v>
      </c>
      <c r="G7">
        <v>3018</v>
      </c>
      <c r="H7">
        <v>4318</v>
      </c>
      <c r="I7" t="s">
        <v>122</v>
      </c>
      <c r="J7" t="s">
        <v>439</v>
      </c>
      <c r="K7" t="s">
        <v>123</v>
      </c>
      <c r="L7" t="s">
        <v>124</v>
      </c>
      <c r="M7">
        <v>8</v>
      </c>
      <c r="N7" t="s">
        <v>50</v>
      </c>
      <c r="O7">
        <v>2022</v>
      </c>
      <c r="P7">
        <v>36535</v>
      </c>
      <c r="Q7" t="s">
        <v>470</v>
      </c>
      <c r="R7" t="s">
        <v>471</v>
      </c>
      <c r="S7" t="str">
        <f>IF(COUNTIF(Tabela2[PROCESSO],Tabela1[[#This Row],[codProcesso]])&gt;0,"Está","Não está")</f>
        <v>Está</v>
      </c>
      <c r="T7" t="s">
        <v>472</v>
      </c>
      <c r="U7" t="s">
        <v>473</v>
      </c>
      <c r="V7" t="s">
        <v>474</v>
      </c>
      <c r="W7" t="s">
        <v>475</v>
      </c>
      <c r="X7">
        <v>39</v>
      </c>
      <c r="Y7" t="s">
        <v>73</v>
      </c>
      <c r="Z7" s="5">
        <v>14027720</v>
      </c>
      <c r="AA7" s="5">
        <v>0</v>
      </c>
      <c r="AB7" s="5">
        <v>34428020</v>
      </c>
      <c r="AC7" s="5">
        <v>0</v>
      </c>
      <c r="AD7" s="5">
        <v>48455740</v>
      </c>
      <c r="AE7" s="5">
        <v>1242454.871794872</v>
      </c>
      <c r="AF7" s="5">
        <v>14909458.46153846</v>
      </c>
      <c r="AG7">
        <v>7268361</v>
      </c>
      <c r="AH7">
        <v>186368.23076923081</v>
      </c>
      <c r="AI7">
        <v>2236418.769230769</v>
      </c>
      <c r="AJ7">
        <v>39675591.399999999</v>
      </c>
      <c r="AK7">
        <v>8.4</v>
      </c>
      <c r="AL7">
        <v>39675583</v>
      </c>
      <c r="AM7">
        <v>39675583</v>
      </c>
      <c r="AN7">
        <v>39675583</v>
      </c>
      <c r="AO7" t="s">
        <v>55</v>
      </c>
      <c r="AP7" t="s">
        <v>476</v>
      </c>
      <c r="AQ7">
        <v>0.15</v>
      </c>
    </row>
    <row r="8" spans="1:43" x14ac:dyDescent="0.25">
      <c r="A8" t="s">
        <v>42</v>
      </c>
      <c r="B8" t="s">
        <v>43</v>
      </c>
      <c r="C8" t="s">
        <v>44</v>
      </c>
      <c r="D8" t="s">
        <v>45</v>
      </c>
      <c r="E8">
        <v>14</v>
      </c>
      <c r="F8">
        <v>422</v>
      </c>
      <c r="G8">
        <v>3013</v>
      </c>
      <c r="H8">
        <v>6178</v>
      </c>
      <c r="I8" t="s">
        <v>122</v>
      </c>
      <c r="J8" t="s">
        <v>312</v>
      </c>
      <c r="K8" t="s">
        <v>123</v>
      </c>
      <c r="L8" t="s">
        <v>124</v>
      </c>
      <c r="M8">
        <v>8</v>
      </c>
      <c r="N8" t="s">
        <v>50</v>
      </c>
      <c r="O8">
        <v>2024</v>
      </c>
      <c r="P8">
        <v>9969</v>
      </c>
      <c r="Q8" t="s">
        <v>319</v>
      </c>
      <c r="R8" t="s">
        <v>320</v>
      </c>
      <c r="S8" t="str">
        <f>IF(COUNTIF(Tabela2[PROCESSO],Tabela1[[#This Row],[codProcesso]])&gt;0,"Está","Não está")</f>
        <v>Está</v>
      </c>
      <c r="T8" t="s">
        <v>321</v>
      </c>
      <c r="U8" t="s">
        <v>322</v>
      </c>
      <c r="V8" t="s">
        <v>323</v>
      </c>
      <c r="W8" t="s">
        <v>324</v>
      </c>
      <c r="X8">
        <v>36</v>
      </c>
      <c r="Y8" t="s">
        <v>73</v>
      </c>
      <c r="Z8" s="5">
        <v>11313942.029999999</v>
      </c>
      <c r="AA8" s="5">
        <v>0</v>
      </c>
      <c r="AB8" s="5">
        <v>0</v>
      </c>
      <c r="AC8" s="5">
        <v>0</v>
      </c>
      <c r="AD8" s="5">
        <v>11313942.029999999</v>
      </c>
      <c r="AE8" s="5">
        <v>314276.16749999998</v>
      </c>
      <c r="AF8" s="5">
        <v>3771314.01</v>
      </c>
      <c r="AG8">
        <v>11313942.029999999</v>
      </c>
      <c r="AH8">
        <v>314276.16749999998</v>
      </c>
      <c r="AI8">
        <v>3771314.01</v>
      </c>
      <c r="AJ8">
        <v>5844042.0199999996</v>
      </c>
      <c r="AK8">
        <v>0.05</v>
      </c>
      <c r="AL8">
        <v>5844041.9699999997</v>
      </c>
      <c r="AM8">
        <v>5844041.9699999997</v>
      </c>
      <c r="AN8">
        <v>5844041.9699999997</v>
      </c>
      <c r="AO8" t="s">
        <v>55</v>
      </c>
      <c r="AP8" t="s">
        <v>325</v>
      </c>
      <c r="AQ8">
        <v>1</v>
      </c>
    </row>
    <row r="9" spans="1:43" x14ac:dyDescent="0.25">
      <c r="A9" t="s">
        <v>42</v>
      </c>
      <c r="B9" t="s">
        <v>43</v>
      </c>
      <c r="C9" t="s">
        <v>44</v>
      </c>
      <c r="D9" t="s">
        <v>45</v>
      </c>
      <c r="E9">
        <v>14</v>
      </c>
      <c r="F9">
        <v>422</v>
      </c>
      <c r="G9">
        <v>3018</v>
      </c>
      <c r="H9">
        <v>4326</v>
      </c>
      <c r="I9" t="s">
        <v>122</v>
      </c>
      <c r="J9" t="s">
        <v>361</v>
      </c>
      <c r="K9" t="s">
        <v>355</v>
      </c>
      <c r="L9" t="s">
        <v>356</v>
      </c>
      <c r="M9">
        <v>8</v>
      </c>
      <c r="N9" t="s">
        <v>50</v>
      </c>
      <c r="O9">
        <v>2024</v>
      </c>
      <c r="P9">
        <v>42334</v>
      </c>
      <c r="Q9" t="s">
        <v>1084</v>
      </c>
      <c r="R9" t="s">
        <v>1085</v>
      </c>
      <c r="S9" t="str">
        <f>IF(COUNTIF(Tabela2[PROCESSO],Tabela1[[#This Row],[codProcesso]])&gt;0,"Está","Não está")</f>
        <v>Está</v>
      </c>
      <c r="T9" t="s">
        <v>1086</v>
      </c>
      <c r="U9" t="s">
        <v>286</v>
      </c>
      <c r="V9" t="s">
        <v>280</v>
      </c>
      <c r="W9" t="s">
        <v>287</v>
      </c>
      <c r="X9">
        <v>60</v>
      </c>
      <c r="Y9" t="s">
        <v>73</v>
      </c>
      <c r="Z9" s="5">
        <v>10990283.77</v>
      </c>
      <c r="AA9" s="5">
        <v>0</v>
      </c>
      <c r="AB9" s="5">
        <v>0</v>
      </c>
      <c r="AC9" s="5">
        <v>0</v>
      </c>
      <c r="AD9" s="5">
        <v>10990283.77</v>
      </c>
      <c r="AE9" s="5">
        <v>183171.3961666667</v>
      </c>
      <c r="AF9" s="5">
        <v>2198056.7540000002</v>
      </c>
      <c r="AG9">
        <v>8902129.8537000008</v>
      </c>
      <c r="AH9">
        <v>148368.83089499999</v>
      </c>
      <c r="AI9">
        <v>1780425.97074</v>
      </c>
      <c r="AJ9">
        <v>1316244.44</v>
      </c>
      <c r="AK9">
        <v>0</v>
      </c>
      <c r="AL9">
        <v>1316244.44</v>
      </c>
      <c r="AM9">
        <v>1316244.44</v>
      </c>
      <c r="AN9">
        <v>1095174.27</v>
      </c>
      <c r="AO9" t="s">
        <v>55</v>
      </c>
      <c r="AP9" t="s">
        <v>1087</v>
      </c>
      <c r="AQ9">
        <v>0.81</v>
      </c>
    </row>
    <row r="10" spans="1:43" x14ac:dyDescent="0.25">
      <c r="A10" t="s">
        <v>42</v>
      </c>
      <c r="B10" t="s">
        <v>43</v>
      </c>
      <c r="C10" t="s">
        <v>44</v>
      </c>
      <c r="D10" t="s">
        <v>45</v>
      </c>
      <c r="E10">
        <v>14</v>
      </c>
      <c r="F10">
        <v>422</v>
      </c>
      <c r="G10">
        <v>3018</v>
      </c>
      <c r="H10">
        <v>4326</v>
      </c>
      <c r="I10" t="s">
        <v>122</v>
      </c>
      <c r="J10" t="s">
        <v>215</v>
      </c>
      <c r="K10" t="s">
        <v>123</v>
      </c>
      <c r="L10" t="s">
        <v>124</v>
      </c>
      <c r="M10">
        <v>8</v>
      </c>
      <c r="N10" t="s">
        <v>50</v>
      </c>
      <c r="O10">
        <v>2024</v>
      </c>
      <c r="P10">
        <v>40397</v>
      </c>
      <c r="Q10" t="s">
        <v>277</v>
      </c>
      <c r="R10" t="s">
        <v>278</v>
      </c>
      <c r="S10" t="str">
        <f>IF(COUNTIF(Tabela2[PROCESSO],Tabela1[[#This Row],[codProcesso]])&gt;0,"Está","Não está")</f>
        <v>Está</v>
      </c>
      <c r="T10" t="s">
        <v>279</v>
      </c>
      <c r="U10" t="s">
        <v>274</v>
      </c>
      <c r="V10" t="s">
        <v>280</v>
      </c>
      <c r="W10" t="s">
        <v>281</v>
      </c>
      <c r="X10">
        <v>60</v>
      </c>
      <c r="Y10" t="s">
        <v>73</v>
      </c>
      <c r="Z10" s="5">
        <v>10973446.390000001</v>
      </c>
      <c r="AA10" s="5">
        <v>0</v>
      </c>
      <c r="AB10" s="5">
        <v>0</v>
      </c>
      <c r="AC10" s="5">
        <v>0</v>
      </c>
      <c r="AD10" s="5">
        <v>10973446.390000001</v>
      </c>
      <c r="AE10" s="5">
        <v>182890.77316666671</v>
      </c>
      <c r="AF10" s="5">
        <v>2194689.2779999999</v>
      </c>
      <c r="AG10">
        <v>10973446.390000001</v>
      </c>
      <c r="AH10">
        <v>182890.77316666671</v>
      </c>
      <c r="AI10">
        <v>2194689.2779999999</v>
      </c>
      <c r="AJ10">
        <v>1552248.17</v>
      </c>
      <c r="AK10">
        <v>173029.58</v>
      </c>
      <c r="AL10">
        <v>1379218.59</v>
      </c>
      <c r="AM10">
        <v>1206189</v>
      </c>
      <c r="AN10">
        <v>1206189</v>
      </c>
      <c r="AO10" t="s">
        <v>55</v>
      </c>
      <c r="AP10" t="s">
        <v>282</v>
      </c>
      <c r="AQ10">
        <v>1</v>
      </c>
    </row>
    <row r="11" spans="1:43" x14ac:dyDescent="0.25">
      <c r="A11" t="s">
        <v>42</v>
      </c>
      <c r="B11" t="s">
        <v>43</v>
      </c>
      <c r="C11" t="s">
        <v>44</v>
      </c>
      <c r="D11" t="s">
        <v>45</v>
      </c>
      <c r="E11">
        <v>14</v>
      </c>
      <c r="F11">
        <v>422</v>
      </c>
      <c r="G11">
        <v>3018</v>
      </c>
      <c r="H11">
        <v>4326</v>
      </c>
      <c r="I11" t="s">
        <v>122</v>
      </c>
      <c r="J11" t="s">
        <v>215</v>
      </c>
      <c r="K11" t="s">
        <v>123</v>
      </c>
      <c r="L11" t="s">
        <v>124</v>
      </c>
      <c r="M11">
        <v>8</v>
      </c>
      <c r="N11" t="s">
        <v>50</v>
      </c>
      <c r="O11">
        <v>2024</v>
      </c>
      <c r="P11">
        <v>40416</v>
      </c>
      <c r="Q11" t="s">
        <v>270</v>
      </c>
      <c r="R11" t="s">
        <v>271</v>
      </c>
      <c r="S11" t="str">
        <f>IF(COUNTIF(Tabela2[PROCESSO],Tabela1[[#This Row],[codProcesso]])&gt;0,"Está","Não está")</f>
        <v>Está</v>
      </c>
      <c r="T11" t="s">
        <v>272</v>
      </c>
      <c r="U11" t="s">
        <v>273</v>
      </c>
      <c r="V11" t="s">
        <v>274</v>
      </c>
      <c r="W11" t="s">
        <v>275</v>
      </c>
      <c r="X11">
        <v>60</v>
      </c>
      <c r="Y11" t="s">
        <v>73</v>
      </c>
      <c r="Z11" s="5">
        <v>10734226.390000001</v>
      </c>
      <c r="AA11" s="5">
        <v>0</v>
      </c>
      <c r="AB11" s="5">
        <v>0</v>
      </c>
      <c r="AC11" s="5">
        <v>0</v>
      </c>
      <c r="AD11" s="5">
        <v>10734226.390000001</v>
      </c>
      <c r="AE11" s="5">
        <v>178903.77316666671</v>
      </c>
      <c r="AF11" s="5">
        <v>2146845.2779999999</v>
      </c>
      <c r="AG11">
        <v>10734226.390000001</v>
      </c>
      <c r="AH11">
        <v>178903.77316666671</v>
      </c>
      <c r="AI11">
        <v>2146845.2779999999</v>
      </c>
      <c r="AJ11">
        <v>1357574.09</v>
      </c>
      <c r="AK11">
        <v>160813.62</v>
      </c>
      <c r="AL11">
        <v>1196760.47</v>
      </c>
      <c r="AM11">
        <v>1035946.85</v>
      </c>
      <c r="AN11">
        <v>1035946.85</v>
      </c>
      <c r="AO11" t="s">
        <v>55</v>
      </c>
      <c r="AP11" t="s">
        <v>276</v>
      </c>
      <c r="AQ11">
        <v>1</v>
      </c>
    </row>
    <row r="12" spans="1:43" x14ac:dyDescent="0.25">
      <c r="A12" t="s">
        <v>42</v>
      </c>
      <c r="B12" t="s">
        <v>43</v>
      </c>
      <c r="C12" t="s">
        <v>44</v>
      </c>
      <c r="D12" t="s">
        <v>45</v>
      </c>
      <c r="E12">
        <v>14</v>
      </c>
      <c r="F12">
        <v>422</v>
      </c>
      <c r="G12">
        <v>3013</v>
      </c>
      <c r="H12">
        <v>6178</v>
      </c>
      <c r="I12" t="s">
        <v>122</v>
      </c>
      <c r="J12" t="s">
        <v>312</v>
      </c>
      <c r="K12" t="s">
        <v>123</v>
      </c>
      <c r="L12" t="s">
        <v>124</v>
      </c>
      <c r="M12">
        <v>8</v>
      </c>
      <c r="N12" t="s">
        <v>50</v>
      </c>
      <c r="O12">
        <v>2024</v>
      </c>
      <c r="P12">
        <v>9982</v>
      </c>
      <c r="Q12" t="s">
        <v>330</v>
      </c>
      <c r="R12" t="s">
        <v>331</v>
      </c>
      <c r="S12" t="str">
        <f>IF(COUNTIF(Tabela2[PROCESSO],Tabela1[[#This Row],[codProcesso]])&gt;0,"Está","Não está")</f>
        <v>Está</v>
      </c>
      <c r="T12" t="s">
        <v>332</v>
      </c>
      <c r="U12" t="s">
        <v>322</v>
      </c>
      <c r="V12" t="s">
        <v>333</v>
      </c>
      <c r="W12" t="s">
        <v>334</v>
      </c>
      <c r="X12">
        <v>36</v>
      </c>
      <c r="Y12" t="s">
        <v>73</v>
      </c>
      <c r="Z12" s="5">
        <v>10661243.34</v>
      </c>
      <c r="AA12" s="5">
        <v>0</v>
      </c>
      <c r="AB12" s="5">
        <v>0</v>
      </c>
      <c r="AC12" s="5">
        <v>0</v>
      </c>
      <c r="AD12" s="5">
        <v>10661243.34</v>
      </c>
      <c r="AE12" s="5">
        <v>296145.64833333332</v>
      </c>
      <c r="AF12" s="5">
        <v>3553747.78</v>
      </c>
      <c r="AG12">
        <v>10661243.34</v>
      </c>
      <c r="AH12">
        <v>296145.64833333332</v>
      </c>
      <c r="AI12">
        <v>3553747.78</v>
      </c>
      <c r="AJ12">
        <v>7699673.5199999996</v>
      </c>
      <c r="AK12">
        <v>1953884.81</v>
      </c>
      <c r="AL12">
        <v>5745788.71</v>
      </c>
      <c r="AM12">
        <v>5745788.71</v>
      </c>
      <c r="AN12">
        <v>5745788.71</v>
      </c>
      <c r="AO12" t="s">
        <v>55</v>
      </c>
      <c r="AP12" t="s">
        <v>335</v>
      </c>
      <c r="AQ12">
        <v>1</v>
      </c>
    </row>
    <row r="13" spans="1:43" x14ac:dyDescent="0.25">
      <c r="A13" t="s">
        <v>42</v>
      </c>
      <c r="B13" t="s">
        <v>43</v>
      </c>
      <c r="C13" t="s">
        <v>44</v>
      </c>
      <c r="D13" t="s">
        <v>45</v>
      </c>
      <c r="E13">
        <v>14</v>
      </c>
      <c r="F13">
        <v>422</v>
      </c>
      <c r="G13">
        <v>3013</v>
      </c>
      <c r="H13">
        <v>6178</v>
      </c>
      <c r="I13" t="s">
        <v>122</v>
      </c>
      <c r="J13" t="s">
        <v>312</v>
      </c>
      <c r="K13" t="s">
        <v>123</v>
      </c>
      <c r="L13" t="s">
        <v>124</v>
      </c>
      <c r="M13">
        <v>8</v>
      </c>
      <c r="N13" t="s">
        <v>50</v>
      </c>
      <c r="O13">
        <v>2024</v>
      </c>
      <c r="P13">
        <v>10136</v>
      </c>
      <c r="Q13" t="s">
        <v>336</v>
      </c>
      <c r="R13" t="s">
        <v>337</v>
      </c>
      <c r="S13" t="str">
        <f>IF(COUNTIF(Tabela2[PROCESSO],Tabela1[[#This Row],[codProcesso]])&gt;0,"Está","Não está")</f>
        <v>Está</v>
      </c>
      <c r="T13" t="s">
        <v>338</v>
      </c>
      <c r="U13" t="s">
        <v>322</v>
      </c>
      <c r="V13" t="s">
        <v>333</v>
      </c>
      <c r="W13" t="s">
        <v>324</v>
      </c>
      <c r="X13">
        <v>36</v>
      </c>
      <c r="Y13" t="s">
        <v>73</v>
      </c>
      <c r="Z13" s="5">
        <v>10661243.34</v>
      </c>
      <c r="AA13" s="5">
        <v>0</v>
      </c>
      <c r="AB13" s="5">
        <v>0</v>
      </c>
      <c r="AC13" s="5">
        <v>0</v>
      </c>
      <c r="AD13" s="5">
        <v>10661243.34</v>
      </c>
      <c r="AE13" s="5">
        <v>296145.64833333332</v>
      </c>
      <c r="AF13" s="5">
        <v>3553747.78</v>
      </c>
      <c r="AG13">
        <v>10661243.34</v>
      </c>
      <c r="AH13">
        <v>296145.64833333332</v>
      </c>
      <c r="AI13">
        <v>3553747.78</v>
      </c>
      <c r="AJ13">
        <v>5642023.2699999996</v>
      </c>
      <c r="AK13">
        <v>427625.04</v>
      </c>
      <c r="AL13">
        <v>5214398.2300000004</v>
      </c>
      <c r="AM13">
        <v>5214398.2300000004</v>
      </c>
      <c r="AN13">
        <v>5214398.2300000004</v>
      </c>
      <c r="AO13" t="s">
        <v>55</v>
      </c>
      <c r="AP13" t="s">
        <v>339</v>
      </c>
      <c r="AQ13">
        <v>1</v>
      </c>
    </row>
    <row r="14" spans="1:43" x14ac:dyDescent="0.25">
      <c r="A14" t="s">
        <v>42</v>
      </c>
      <c r="B14" t="s">
        <v>43</v>
      </c>
      <c r="C14" t="s">
        <v>44</v>
      </c>
      <c r="D14" t="s">
        <v>45</v>
      </c>
      <c r="E14">
        <v>14</v>
      </c>
      <c r="F14">
        <v>422</v>
      </c>
      <c r="G14">
        <v>3018</v>
      </c>
      <c r="H14">
        <v>4326</v>
      </c>
      <c r="I14" t="s">
        <v>122</v>
      </c>
      <c r="J14" t="s">
        <v>215</v>
      </c>
      <c r="K14" t="s">
        <v>123</v>
      </c>
      <c r="L14" t="s">
        <v>124</v>
      </c>
      <c r="M14">
        <v>8</v>
      </c>
      <c r="N14" t="s">
        <v>50</v>
      </c>
      <c r="O14">
        <v>2024</v>
      </c>
      <c r="P14">
        <v>40399</v>
      </c>
      <c r="Q14" t="s">
        <v>289</v>
      </c>
      <c r="R14" t="s">
        <v>290</v>
      </c>
      <c r="S14" t="str">
        <f>IF(COUNTIF(Tabela2[PROCESSO],Tabela1[[#This Row],[codProcesso]])&gt;0,"Está","Não está")</f>
        <v>Está</v>
      </c>
      <c r="T14" t="s">
        <v>291</v>
      </c>
      <c r="U14" t="s">
        <v>273</v>
      </c>
      <c r="V14" t="s">
        <v>274</v>
      </c>
      <c r="W14" t="s">
        <v>275</v>
      </c>
      <c r="X14">
        <v>60</v>
      </c>
      <c r="Y14" t="s">
        <v>73</v>
      </c>
      <c r="Z14" s="5">
        <v>10634446.390000001</v>
      </c>
      <c r="AA14" s="5">
        <v>0</v>
      </c>
      <c r="AB14" s="5">
        <v>0</v>
      </c>
      <c r="AC14" s="5">
        <v>0</v>
      </c>
      <c r="AD14" s="5">
        <v>10634446.390000001</v>
      </c>
      <c r="AE14" s="5">
        <v>177240.77316666671</v>
      </c>
      <c r="AF14" s="5">
        <v>2126889.2779999999</v>
      </c>
      <c r="AG14">
        <v>9039279.4315000009</v>
      </c>
      <c r="AH14">
        <v>150654.65719166669</v>
      </c>
      <c r="AI14">
        <v>1807855.8862999999</v>
      </c>
      <c r="AJ14">
        <v>1557633.79</v>
      </c>
      <c r="AK14">
        <v>272954.51</v>
      </c>
      <c r="AL14">
        <v>1284679.28</v>
      </c>
      <c r="AM14">
        <v>1116058.48</v>
      </c>
      <c r="AN14">
        <v>1116058.48</v>
      </c>
      <c r="AO14" t="s">
        <v>55</v>
      </c>
      <c r="AP14" t="s">
        <v>292</v>
      </c>
      <c r="AQ14">
        <v>0.85</v>
      </c>
    </row>
    <row r="15" spans="1:43" x14ac:dyDescent="0.25">
      <c r="A15" t="s">
        <v>42</v>
      </c>
      <c r="B15" t="s">
        <v>43</v>
      </c>
      <c r="C15" t="s">
        <v>44</v>
      </c>
      <c r="D15" t="s">
        <v>45</v>
      </c>
      <c r="E15">
        <v>14</v>
      </c>
      <c r="F15">
        <v>422</v>
      </c>
      <c r="G15">
        <v>3018</v>
      </c>
      <c r="H15">
        <v>4326</v>
      </c>
      <c r="I15" t="s">
        <v>122</v>
      </c>
      <c r="J15" t="s">
        <v>215</v>
      </c>
      <c r="K15" t="s">
        <v>123</v>
      </c>
      <c r="L15" t="s">
        <v>124</v>
      </c>
      <c r="M15">
        <v>8</v>
      </c>
      <c r="N15" t="s">
        <v>50</v>
      </c>
      <c r="O15">
        <v>2024</v>
      </c>
      <c r="P15">
        <v>40431</v>
      </c>
      <c r="Q15" t="s">
        <v>283</v>
      </c>
      <c r="R15" t="s">
        <v>284</v>
      </c>
      <c r="S15" t="str">
        <f>IF(COUNTIF(Tabela2[PROCESSO],Tabela1[[#This Row],[codProcesso]])&gt;0,"Está","Não está")</f>
        <v>Está</v>
      </c>
      <c r="T15" t="s">
        <v>285</v>
      </c>
      <c r="U15" t="s">
        <v>286</v>
      </c>
      <c r="V15" t="s">
        <v>280</v>
      </c>
      <c r="W15" t="s">
        <v>287</v>
      </c>
      <c r="X15">
        <v>60</v>
      </c>
      <c r="Y15" t="s">
        <v>73</v>
      </c>
      <c r="Z15" s="5">
        <v>10499746.390000001</v>
      </c>
      <c r="AA15" s="5">
        <v>0</v>
      </c>
      <c r="AB15" s="5">
        <v>0</v>
      </c>
      <c r="AC15" s="5">
        <v>0</v>
      </c>
      <c r="AD15" s="5">
        <v>10499746.390000001</v>
      </c>
      <c r="AE15" s="5">
        <v>174995.77316666671</v>
      </c>
      <c r="AF15" s="5">
        <v>2099949.2779999999</v>
      </c>
      <c r="AG15">
        <v>10499746.390000001</v>
      </c>
      <c r="AH15">
        <v>174995.77316666671</v>
      </c>
      <c r="AI15">
        <v>2099949.2779999999</v>
      </c>
      <c r="AJ15">
        <v>1400634.17</v>
      </c>
      <c r="AK15">
        <v>118486.96</v>
      </c>
      <c r="AL15">
        <v>1282147.21</v>
      </c>
      <c r="AM15">
        <v>1115910.03</v>
      </c>
      <c r="AN15">
        <v>1115910.03</v>
      </c>
      <c r="AO15" t="s">
        <v>55</v>
      </c>
      <c r="AP15" t="s">
        <v>288</v>
      </c>
      <c r="AQ15">
        <v>1</v>
      </c>
    </row>
    <row r="16" spans="1:43" x14ac:dyDescent="0.25">
      <c r="A16" t="s">
        <v>42</v>
      </c>
      <c r="B16" t="s">
        <v>43</v>
      </c>
      <c r="C16" t="s">
        <v>44</v>
      </c>
      <c r="D16" t="s">
        <v>45</v>
      </c>
      <c r="E16">
        <v>14</v>
      </c>
      <c r="F16">
        <v>422</v>
      </c>
      <c r="G16">
        <v>3023</v>
      </c>
      <c r="H16">
        <v>4321</v>
      </c>
      <c r="I16" t="s">
        <v>57</v>
      </c>
      <c r="J16" t="s">
        <v>215</v>
      </c>
      <c r="K16" t="s">
        <v>65</v>
      </c>
      <c r="L16" t="s">
        <v>66</v>
      </c>
      <c r="M16">
        <v>12</v>
      </c>
      <c r="N16" t="s">
        <v>60</v>
      </c>
      <c r="O16">
        <v>2025</v>
      </c>
      <c r="P16">
        <v>1139</v>
      </c>
      <c r="Q16" t="s">
        <v>218</v>
      </c>
      <c r="R16" t="s">
        <v>219</v>
      </c>
      <c r="S16" t="str">
        <f>IF(COUNTIF(Tabela2[PROCESSO],Tabela1[[#This Row],[codProcesso]])&gt;0,"Está","Não está")</f>
        <v>Está</v>
      </c>
      <c r="T16" t="s">
        <v>220</v>
      </c>
      <c r="U16" t="s">
        <v>70</v>
      </c>
      <c r="V16" t="s">
        <v>221</v>
      </c>
      <c r="W16" t="s">
        <v>222</v>
      </c>
      <c r="X16">
        <v>12</v>
      </c>
      <c r="Y16" t="s">
        <v>73</v>
      </c>
      <c r="Z16" s="5">
        <v>10374000</v>
      </c>
      <c r="AA16" s="5">
        <v>0</v>
      </c>
      <c r="AB16" s="5">
        <v>0</v>
      </c>
      <c r="AC16" s="5">
        <v>0</v>
      </c>
      <c r="AD16" s="5">
        <v>10374000</v>
      </c>
      <c r="AE16" s="5">
        <v>864500</v>
      </c>
      <c r="AF16" s="5">
        <v>10374000</v>
      </c>
      <c r="AG16">
        <v>6743100</v>
      </c>
      <c r="AH16">
        <v>561925</v>
      </c>
      <c r="AI16">
        <v>6743100</v>
      </c>
      <c r="AJ16">
        <v>10608767.35</v>
      </c>
      <c r="AK16">
        <v>7950406.8499999996</v>
      </c>
      <c r="AL16">
        <v>2658360.5</v>
      </c>
      <c r="AM16">
        <v>2057510</v>
      </c>
      <c r="AN16">
        <v>2057510</v>
      </c>
      <c r="AO16" t="s">
        <v>55</v>
      </c>
      <c r="AP16" t="s">
        <v>223</v>
      </c>
      <c r="AQ16">
        <v>0.65</v>
      </c>
    </row>
    <row r="17" spans="1:43" x14ac:dyDescent="0.25">
      <c r="A17" t="s">
        <v>42</v>
      </c>
      <c r="B17" t="s">
        <v>43</v>
      </c>
      <c r="C17" t="s">
        <v>44</v>
      </c>
      <c r="D17" t="s">
        <v>45</v>
      </c>
      <c r="E17">
        <v>14</v>
      </c>
      <c r="F17">
        <v>422</v>
      </c>
      <c r="G17">
        <v>3007</v>
      </c>
      <c r="H17">
        <v>4330</v>
      </c>
      <c r="I17" t="s">
        <v>122</v>
      </c>
      <c r="J17" t="s">
        <v>439</v>
      </c>
      <c r="K17" t="s">
        <v>123</v>
      </c>
      <c r="L17" t="s">
        <v>124</v>
      </c>
      <c r="M17">
        <v>8</v>
      </c>
      <c r="N17" t="s">
        <v>50</v>
      </c>
      <c r="O17">
        <v>2024</v>
      </c>
      <c r="P17">
        <v>34998</v>
      </c>
      <c r="Q17" t="s">
        <v>463</v>
      </c>
      <c r="R17" t="s">
        <v>464</v>
      </c>
      <c r="S17" t="str">
        <f>IF(COUNTIF(Tabela2[PROCESSO],Tabela1[[#This Row],[codProcesso]])&gt;0,"Está","Não está")</f>
        <v>Está</v>
      </c>
      <c r="T17" t="s">
        <v>465</v>
      </c>
      <c r="U17" t="s">
        <v>466</v>
      </c>
      <c r="V17" t="s">
        <v>467</v>
      </c>
      <c r="W17" t="s">
        <v>468</v>
      </c>
      <c r="X17">
        <v>60</v>
      </c>
      <c r="Y17" t="s">
        <v>73</v>
      </c>
      <c r="Z17" s="5">
        <v>9999124.3399999999</v>
      </c>
      <c r="AA17" s="5">
        <v>0</v>
      </c>
      <c r="AB17" s="5">
        <v>0</v>
      </c>
      <c r="AC17" s="5">
        <v>0</v>
      </c>
      <c r="AD17" s="5">
        <v>9999124.3399999999</v>
      </c>
      <c r="AE17" s="5">
        <v>166652.07233333329</v>
      </c>
      <c r="AF17" s="5">
        <v>1999824.868</v>
      </c>
      <c r="AG17">
        <v>4199632.2227999996</v>
      </c>
      <c r="AH17">
        <v>69993.870380000008</v>
      </c>
      <c r="AI17">
        <v>839926.44456000009</v>
      </c>
      <c r="AJ17">
        <v>1884124.57</v>
      </c>
      <c r="AK17">
        <v>0</v>
      </c>
      <c r="AL17">
        <v>1884124.57</v>
      </c>
      <c r="AM17">
        <v>1406771.65</v>
      </c>
      <c r="AN17">
        <v>1406771.65</v>
      </c>
      <c r="AO17" t="s">
        <v>55</v>
      </c>
      <c r="AP17" t="s">
        <v>469</v>
      </c>
      <c r="AQ17">
        <v>0.42</v>
      </c>
    </row>
    <row r="18" spans="1:43" x14ac:dyDescent="0.25">
      <c r="A18" t="s">
        <v>42</v>
      </c>
      <c r="B18" t="s">
        <v>43</v>
      </c>
      <c r="C18" t="s">
        <v>44</v>
      </c>
      <c r="D18" t="s">
        <v>45</v>
      </c>
      <c r="E18">
        <v>14</v>
      </c>
      <c r="F18">
        <v>422</v>
      </c>
      <c r="G18">
        <v>3013</v>
      </c>
      <c r="H18">
        <v>2053</v>
      </c>
      <c r="I18" t="s">
        <v>57</v>
      </c>
      <c r="J18" t="s">
        <v>749</v>
      </c>
      <c r="K18" t="s">
        <v>65</v>
      </c>
      <c r="L18" t="s">
        <v>66</v>
      </c>
      <c r="M18">
        <v>12</v>
      </c>
      <c r="N18" t="s">
        <v>60</v>
      </c>
      <c r="O18">
        <v>2024</v>
      </c>
      <c r="P18">
        <v>39287</v>
      </c>
      <c r="Q18" t="s">
        <v>817</v>
      </c>
      <c r="R18" t="s">
        <v>818</v>
      </c>
      <c r="S18" t="str">
        <f>IF(COUNTIF(Tabela2[PROCESSO],Tabela1[[#This Row],[codProcesso]])&gt;0,"Está","Não está")</f>
        <v>Está</v>
      </c>
      <c r="T18" t="s">
        <v>819</v>
      </c>
      <c r="U18" t="s">
        <v>820</v>
      </c>
      <c r="V18" t="s">
        <v>274</v>
      </c>
      <c r="W18" t="s">
        <v>821</v>
      </c>
      <c r="X18">
        <v>61</v>
      </c>
      <c r="Y18" t="s">
        <v>73</v>
      </c>
      <c r="Z18" s="5">
        <v>6840000</v>
      </c>
      <c r="AA18" s="5">
        <v>0</v>
      </c>
      <c r="AB18" s="5">
        <v>0</v>
      </c>
      <c r="AC18" s="5">
        <v>0</v>
      </c>
      <c r="AD18" s="5">
        <v>6840000</v>
      </c>
      <c r="AE18" s="5">
        <v>112131.1475409836</v>
      </c>
      <c r="AF18" s="5">
        <v>1345573.7704918031</v>
      </c>
      <c r="AG18">
        <v>6840000</v>
      </c>
      <c r="AH18">
        <v>112131.1475409836</v>
      </c>
      <c r="AI18">
        <v>1345573.7704918031</v>
      </c>
      <c r="AJ18">
        <v>927200</v>
      </c>
      <c r="AK18">
        <v>114000</v>
      </c>
      <c r="AL18">
        <v>813200</v>
      </c>
      <c r="AM18">
        <v>471200</v>
      </c>
      <c r="AN18">
        <v>471200</v>
      </c>
      <c r="AO18" t="s">
        <v>55</v>
      </c>
      <c r="AP18" t="s">
        <v>822</v>
      </c>
      <c r="AQ18">
        <v>1</v>
      </c>
    </row>
    <row r="19" spans="1:43" x14ac:dyDescent="0.25">
      <c r="A19" t="s">
        <v>42</v>
      </c>
      <c r="B19" t="s">
        <v>43</v>
      </c>
      <c r="C19" t="s">
        <v>44</v>
      </c>
      <c r="D19" t="s">
        <v>45</v>
      </c>
      <c r="E19">
        <v>14</v>
      </c>
      <c r="F19">
        <v>422</v>
      </c>
      <c r="G19">
        <v>3018</v>
      </c>
      <c r="H19">
        <v>4334</v>
      </c>
      <c r="I19" t="s">
        <v>122</v>
      </c>
      <c r="J19" t="s">
        <v>312</v>
      </c>
      <c r="K19" t="s">
        <v>355</v>
      </c>
      <c r="L19" t="s">
        <v>356</v>
      </c>
      <c r="M19">
        <v>8</v>
      </c>
      <c r="N19" t="s">
        <v>50</v>
      </c>
      <c r="O19">
        <v>2023</v>
      </c>
      <c r="P19">
        <v>37613</v>
      </c>
      <c r="Q19" t="s">
        <v>357</v>
      </c>
      <c r="R19" t="s">
        <v>358</v>
      </c>
      <c r="S19" t="str">
        <f>IF(COUNTIF(Tabela2[PROCESSO],Tabela1[[#This Row],[codProcesso]])&gt;0,"Está","Não está")</f>
        <v>Está</v>
      </c>
      <c r="T19" t="s">
        <v>359</v>
      </c>
      <c r="U19" t="s">
        <v>343</v>
      </c>
      <c r="V19" t="s">
        <v>344</v>
      </c>
      <c r="W19" t="s">
        <v>345</v>
      </c>
      <c r="X19">
        <v>36</v>
      </c>
      <c r="Y19" t="s">
        <v>73</v>
      </c>
      <c r="Z19" s="5">
        <v>6760192.3700000001</v>
      </c>
      <c r="AA19" s="5">
        <v>0</v>
      </c>
      <c r="AB19" s="5">
        <v>0</v>
      </c>
      <c r="AC19" s="5">
        <v>0</v>
      </c>
      <c r="AD19" s="5">
        <v>6760192.3700000001</v>
      </c>
      <c r="AE19" s="5">
        <v>187783.12138888889</v>
      </c>
      <c r="AF19" s="5">
        <v>2253397.456666667</v>
      </c>
      <c r="AG19">
        <v>6760192.3700000001</v>
      </c>
      <c r="AH19">
        <v>187783.12138888889</v>
      </c>
      <c r="AI19">
        <v>2253397.456666667</v>
      </c>
      <c r="AJ19">
        <v>4538290.38</v>
      </c>
      <c r="AK19">
        <v>594844.81000000006</v>
      </c>
      <c r="AL19">
        <v>3943445.57</v>
      </c>
      <c r="AM19">
        <v>3380096.2</v>
      </c>
      <c r="AN19">
        <v>3380096.2</v>
      </c>
      <c r="AO19" t="s">
        <v>55</v>
      </c>
      <c r="AP19" t="s">
        <v>360</v>
      </c>
      <c r="AQ19">
        <v>1</v>
      </c>
    </row>
    <row r="20" spans="1:43" x14ac:dyDescent="0.25">
      <c r="A20" t="s">
        <v>42</v>
      </c>
      <c r="B20" t="s">
        <v>43</v>
      </c>
      <c r="C20" t="s">
        <v>44</v>
      </c>
      <c r="D20" t="s">
        <v>45</v>
      </c>
      <c r="E20">
        <v>14</v>
      </c>
      <c r="F20">
        <v>122</v>
      </c>
      <c r="G20">
        <v>3018</v>
      </c>
      <c r="H20">
        <v>4332</v>
      </c>
      <c r="I20" t="s">
        <v>122</v>
      </c>
      <c r="J20" t="s">
        <v>47</v>
      </c>
      <c r="K20" t="s">
        <v>123</v>
      </c>
      <c r="L20" t="s">
        <v>124</v>
      </c>
      <c r="M20">
        <v>8</v>
      </c>
      <c r="N20" t="s">
        <v>50</v>
      </c>
      <c r="O20">
        <v>2023</v>
      </c>
      <c r="P20">
        <v>33095</v>
      </c>
      <c r="Q20" t="s">
        <v>156</v>
      </c>
      <c r="R20" t="s">
        <v>157</v>
      </c>
      <c r="S20" t="str">
        <f>IF(COUNTIF(Tabela2[PROCESSO],Tabela1[[#This Row],[codProcesso]])&gt;0,"Está","Não está")</f>
        <v>Está</v>
      </c>
      <c r="T20" t="s">
        <v>158</v>
      </c>
      <c r="U20" t="s">
        <v>159</v>
      </c>
      <c r="V20" t="s">
        <v>160</v>
      </c>
      <c r="W20" t="s">
        <v>161</v>
      </c>
      <c r="X20">
        <v>36</v>
      </c>
      <c r="Y20" t="s">
        <v>73</v>
      </c>
      <c r="Z20" s="5">
        <v>6726968.0499999998</v>
      </c>
      <c r="AA20" s="5">
        <v>0</v>
      </c>
      <c r="AB20" s="5">
        <v>0</v>
      </c>
      <c r="AC20" s="5">
        <v>0</v>
      </c>
      <c r="AD20" s="5">
        <v>6726968.0499999998</v>
      </c>
      <c r="AE20" s="5">
        <v>186860.22361111111</v>
      </c>
      <c r="AF20" s="5">
        <v>2242322.683333334</v>
      </c>
      <c r="AG20">
        <v>6726968.0499999998</v>
      </c>
      <c r="AH20">
        <v>186860.22361111111</v>
      </c>
      <c r="AI20">
        <v>2242322.683333334</v>
      </c>
      <c r="AJ20">
        <v>3958188.8</v>
      </c>
      <c r="AK20">
        <v>186575.42</v>
      </c>
      <c r="AL20">
        <v>3771613.38</v>
      </c>
      <c r="AM20">
        <v>3585037.97</v>
      </c>
      <c r="AN20">
        <v>3211887.13</v>
      </c>
      <c r="AO20" t="s">
        <v>55</v>
      </c>
      <c r="AP20" t="s">
        <v>162</v>
      </c>
      <c r="AQ20">
        <v>1</v>
      </c>
    </row>
    <row r="21" spans="1:43" x14ac:dyDescent="0.25">
      <c r="A21" t="s">
        <v>42</v>
      </c>
      <c r="B21" t="s">
        <v>43</v>
      </c>
      <c r="C21" t="s">
        <v>44</v>
      </c>
      <c r="D21" t="s">
        <v>45</v>
      </c>
      <c r="E21">
        <v>14</v>
      </c>
      <c r="F21">
        <v>122</v>
      </c>
      <c r="G21">
        <v>3018</v>
      </c>
      <c r="H21">
        <v>4332</v>
      </c>
      <c r="I21" t="s">
        <v>122</v>
      </c>
      <c r="J21" t="s">
        <v>47</v>
      </c>
      <c r="K21" t="s">
        <v>123</v>
      </c>
      <c r="L21" t="s">
        <v>124</v>
      </c>
      <c r="M21">
        <v>8</v>
      </c>
      <c r="N21" t="s">
        <v>50</v>
      </c>
      <c r="O21">
        <v>2023</v>
      </c>
      <c r="P21">
        <v>33101</v>
      </c>
      <c r="Q21" t="s">
        <v>169</v>
      </c>
      <c r="R21" t="s">
        <v>170</v>
      </c>
      <c r="S21" t="str">
        <f>IF(COUNTIF(Tabela2[PROCESSO],Tabela1[[#This Row],[codProcesso]])&gt;0,"Está","Não está")</f>
        <v>Está</v>
      </c>
      <c r="T21" t="s">
        <v>171</v>
      </c>
      <c r="U21" t="s">
        <v>159</v>
      </c>
      <c r="V21" t="s">
        <v>160</v>
      </c>
      <c r="W21" t="s">
        <v>161</v>
      </c>
      <c r="X21">
        <v>36</v>
      </c>
      <c r="Y21" t="s">
        <v>73</v>
      </c>
      <c r="Z21" s="5">
        <v>6726968.0499999998</v>
      </c>
      <c r="AA21" s="5">
        <v>0</v>
      </c>
      <c r="AB21" s="5">
        <v>0</v>
      </c>
      <c r="AC21" s="5">
        <v>0</v>
      </c>
      <c r="AD21" s="5">
        <v>6726968.0499999998</v>
      </c>
      <c r="AE21" s="5">
        <v>186860.22361111111</v>
      </c>
      <c r="AF21" s="5">
        <v>2242322.683333334</v>
      </c>
      <c r="AG21">
        <v>6726968.0499999998</v>
      </c>
      <c r="AH21">
        <v>186860.22361111111</v>
      </c>
      <c r="AI21">
        <v>2242322.683333334</v>
      </c>
      <c r="AJ21">
        <v>3958188.8</v>
      </c>
      <c r="AK21">
        <v>186575.42</v>
      </c>
      <c r="AL21">
        <v>3771613.38</v>
      </c>
      <c r="AM21">
        <v>3585037.97</v>
      </c>
      <c r="AN21">
        <v>3211887.13</v>
      </c>
      <c r="AO21" t="s">
        <v>55</v>
      </c>
      <c r="AP21" t="s">
        <v>172</v>
      </c>
      <c r="AQ21">
        <v>1</v>
      </c>
    </row>
    <row r="22" spans="1:43" x14ac:dyDescent="0.25">
      <c r="A22" t="s">
        <v>42</v>
      </c>
      <c r="B22" t="s">
        <v>43</v>
      </c>
      <c r="C22" t="s">
        <v>44</v>
      </c>
      <c r="D22" t="s">
        <v>45</v>
      </c>
      <c r="E22">
        <v>14</v>
      </c>
      <c r="F22">
        <v>422</v>
      </c>
      <c r="G22">
        <v>3018</v>
      </c>
      <c r="H22">
        <v>4334</v>
      </c>
      <c r="I22" t="s">
        <v>122</v>
      </c>
      <c r="J22" t="s">
        <v>312</v>
      </c>
      <c r="K22" t="s">
        <v>123</v>
      </c>
      <c r="L22" t="s">
        <v>124</v>
      </c>
      <c r="M22">
        <v>8</v>
      </c>
      <c r="N22" t="s">
        <v>50</v>
      </c>
      <c r="O22">
        <v>2023</v>
      </c>
      <c r="P22">
        <v>37790</v>
      </c>
      <c r="Q22" t="s">
        <v>351</v>
      </c>
      <c r="R22" t="s">
        <v>352</v>
      </c>
      <c r="S22" t="str">
        <f>IF(COUNTIF(Tabela2[PROCESSO],Tabela1[[#This Row],[codProcesso]])&gt;0,"Está","Não está")</f>
        <v>Está</v>
      </c>
      <c r="T22" t="s">
        <v>353</v>
      </c>
      <c r="U22" t="s">
        <v>343</v>
      </c>
      <c r="V22" t="s">
        <v>344</v>
      </c>
      <c r="W22" t="s">
        <v>345</v>
      </c>
      <c r="X22">
        <v>36</v>
      </c>
      <c r="Y22" t="s">
        <v>73</v>
      </c>
      <c r="Z22" s="5">
        <v>6597624.29</v>
      </c>
      <c r="AA22" s="5">
        <v>0</v>
      </c>
      <c r="AB22" s="5">
        <v>0</v>
      </c>
      <c r="AC22" s="5">
        <v>0</v>
      </c>
      <c r="AD22" s="5">
        <v>6597624.29</v>
      </c>
      <c r="AE22" s="5">
        <v>183267.34138888889</v>
      </c>
      <c r="AF22" s="5">
        <v>2199208.0966666671</v>
      </c>
      <c r="AG22">
        <v>6597624.29</v>
      </c>
      <c r="AH22">
        <v>183267.34138888889</v>
      </c>
      <c r="AI22">
        <v>2199208.0966666671</v>
      </c>
      <c r="AJ22">
        <v>4155457.01</v>
      </c>
      <c r="AK22">
        <v>306842.86</v>
      </c>
      <c r="AL22">
        <v>3848614.15</v>
      </c>
      <c r="AM22">
        <v>3298812.12</v>
      </c>
      <c r="AN22">
        <v>3298812.12</v>
      </c>
      <c r="AO22" t="s">
        <v>55</v>
      </c>
      <c r="AP22" t="s">
        <v>354</v>
      </c>
      <c r="AQ22">
        <v>1</v>
      </c>
    </row>
    <row r="23" spans="1:43" x14ac:dyDescent="0.25">
      <c r="A23" t="s">
        <v>42</v>
      </c>
      <c r="B23" t="s">
        <v>43</v>
      </c>
      <c r="C23" t="s">
        <v>44</v>
      </c>
      <c r="D23" t="s">
        <v>45</v>
      </c>
      <c r="E23">
        <v>14</v>
      </c>
      <c r="F23">
        <v>422</v>
      </c>
      <c r="G23">
        <v>3018</v>
      </c>
      <c r="H23">
        <v>4334</v>
      </c>
      <c r="I23" t="s">
        <v>122</v>
      </c>
      <c r="J23" t="s">
        <v>312</v>
      </c>
      <c r="K23" t="s">
        <v>123</v>
      </c>
      <c r="L23" t="s">
        <v>124</v>
      </c>
      <c r="M23">
        <v>8</v>
      </c>
      <c r="N23" t="s">
        <v>50</v>
      </c>
      <c r="O23">
        <v>2023</v>
      </c>
      <c r="P23">
        <v>37869</v>
      </c>
      <c r="Q23" t="s">
        <v>340</v>
      </c>
      <c r="R23" t="s">
        <v>341</v>
      </c>
      <c r="S23" t="str">
        <f>IF(COUNTIF(Tabela2[PROCESSO],Tabela1[[#This Row],[codProcesso]])&gt;0,"Está","Não está")</f>
        <v>Está</v>
      </c>
      <c r="T23" t="s">
        <v>342</v>
      </c>
      <c r="U23" t="s">
        <v>343</v>
      </c>
      <c r="V23" t="s">
        <v>344</v>
      </c>
      <c r="W23" t="s">
        <v>345</v>
      </c>
      <c r="X23">
        <v>36</v>
      </c>
      <c r="Y23" t="s">
        <v>73</v>
      </c>
      <c r="Z23" s="5">
        <v>6423004.4900000002</v>
      </c>
      <c r="AA23" s="5">
        <v>0</v>
      </c>
      <c r="AB23" s="5">
        <v>0</v>
      </c>
      <c r="AC23" s="5">
        <v>0</v>
      </c>
      <c r="AD23" s="5">
        <v>6423004.4900000002</v>
      </c>
      <c r="AE23" s="5">
        <v>178416.7913888889</v>
      </c>
      <c r="AF23" s="5">
        <v>2141001.4966666671</v>
      </c>
      <c r="AG23">
        <v>6423004.4900000002</v>
      </c>
      <c r="AH23">
        <v>178416.7913888889</v>
      </c>
      <c r="AI23">
        <v>2141001.4966666671</v>
      </c>
      <c r="AJ23">
        <v>4483232.7</v>
      </c>
      <c r="AK23">
        <v>914896.9</v>
      </c>
      <c r="AL23">
        <v>3568335.8</v>
      </c>
      <c r="AM23">
        <v>3211502.22</v>
      </c>
      <c r="AN23">
        <v>3211502.22</v>
      </c>
      <c r="AO23" t="s">
        <v>55</v>
      </c>
      <c r="AP23" t="s">
        <v>346</v>
      </c>
      <c r="AQ23">
        <v>1</v>
      </c>
    </row>
    <row r="24" spans="1:43" x14ac:dyDescent="0.25">
      <c r="A24" t="s">
        <v>42</v>
      </c>
      <c r="B24" t="s">
        <v>43</v>
      </c>
      <c r="C24" t="s">
        <v>44</v>
      </c>
      <c r="D24" t="s">
        <v>45</v>
      </c>
      <c r="E24">
        <v>14</v>
      </c>
      <c r="F24">
        <v>422</v>
      </c>
      <c r="G24">
        <v>3018</v>
      </c>
      <c r="H24">
        <v>4334</v>
      </c>
      <c r="I24" t="s">
        <v>122</v>
      </c>
      <c r="J24" t="s">
        <v>312</v>
      </c>
      <c r="K24" t="s">
        <v>123</v>
      </c>
      <c r="L24" t="s">
        <v>124</v>
      </c>
      <c r="M24">
        <v>8</v>
      </c>
      <c r="N24" t="s">
        <v>50</v>
      </c>
      <c r="O24">
        <v>2023</v>
      </c>
      <c r="P24">
        <v>37726</v>
      </c>
      <c r="Q24" t="s">
        <v>347</v>
      </c>
      <c r="R24" t="s">
        <v>348</v>
      </c>
      <c r="S24" t="str">
        <f>IF(COUNTIF(Tabela2[PROCESSO],Tabela1[[#This Row],[codProcesso]])&gt;0,"Está","Não está")</f>
        <v>Está</v>
      </c>
      <c r="T24" t="s">
        <v>349</v>
      </c>
      <c r="U24" t="s">
        <v>343</v>
      </c>
      <c r="V24" t="s">
        <v>344</v>
      </c>
      <c r="W24" t="s">
        <v>345</v>
      </c>
      <c r="X24">
        <v>36</v>
      </c>
      <c r="Y24" t="s">
        <v>73</v>
      </c>
      <c r="Z24" s="5">
        <v>6106129.8700000001</v>
      </c>
      <c r="AA24" s="5">
        <v>0</v>
      </c>
      <c r="AB24" s="5">
        <v>0</v>
      </c>
      <c r="AC24" s="5">
        <v>0</v>
      </c>
      <c r="AD24" s="5">
        <v>6106129.8700000001</v>
      </c>
      <c r="AE24" s="5">
        <v>169614.71861111111</v>
      </c>
      <c r="AF24" s="5">
        <v>2035376.6233333331</v>
      </c>
      <c r="AG24">
        <v>6106129.8700000001</v>
      </c>
      <c r="AH24">
        <v>169614.71861111111</v>
      </c>
      <c r="AI24">
        <v>2035376.6233333331</v>
      </c>
      <c r="AJ24">
        <v>3392294.39</v>
      </c>
      <c r="AK24">
        <v>0</v>
      </c>
      <c r="AL24">
        <v>3392294.39</v>
      </c>
      <c r="AM24">
        <v>3053064.95</v>
      </c>
      <c r="AN24">
        <v>3053064.95</v>
      </c>
      <c r="AO24" t="s">
        <v>55</v>
      </c>
      <c r="AP24" t="s">
        <v>350</v>
      </c>
      <c r="AQ24">
        <v>1</v>
      </c>
    </row>
    <row r="25" spans="1:43" x14ac:dyDescent="0.25">
      <c r="A25" t="s">
        <v>42</v>
      </c>
      <c r="B25" t="s">
        <v>43</v>
      </c>
      <c r="C25" t="s">
        <v>44</v>
      </c>
      <c r="D25" t="s">
        <v>45</v>
      </c>
      <c r="E25">
        <v>14</v>
      </c>
      <c r="F25">
        <v>422</v>
      </c>
      <c r="G25">
        <v>3013</v>
      </c>
      <c r="H25">
        <v>6178</v>
      </c>
      <c r="I25" t="s">
        <v>122</v>
      </c>
      <c r="J25" t="s">
        <v>215</v>
      </c>
      <c r="K25" t="s">
        <v>123</v>
      </c>
      <c r="L25" t="s">
        <v>124</v>
      </c>
      <c r="M25">
        <v>8</v>
      </c>
      <c r="N25" t="s">
        <v>50</v>
      </c>
      <c r="O25">
        <v>2023</v>
      </c>
      <c r="P25">
        <v>29695</v>
      </c>
      <c r="Q25" t="s">
        <v>293</v>
      </c>
      <c r="R25" t="s">
        <v>294</v>
      </c>
      <c r="S25" t="str">
        <f>IF(COUNTIF(Tabela2[PROCESSO],Tabela1[[#This Row],[codProcesso]])&gt;0,"Está","Não está")</f>
        <v>Está</v>
      </c>
      <c r="T25" t="s">
        <v>295</v>
      </c>
      <c r="U25" t="s">
        <v>296</v>
      </c>
      <c r="V25" t="s">
        <v>297</v>
      </c>
      <c r="W25" t="s">
        <v>298</v>
      </c>
      <c r="X25">
        <v>39</v>
      </c>
      <c r="Y25" t="s">
        <v>73</v>
      </c>
      <c r="Z25" s="5">
        <v>6012103.6500000004</v>
      </c>
      <c r="AA25" s="5">
        <v>0</v>
      </c>
      <c r="AB25" s="5">
        <v>0</v>
      </c>
      <c r="AC25" s="5">
        <v>0</v>
      </c>
      <c r="AD25" s="5">
        <v>6012103.6500000004</v>
      </c>
      <c r="AE25" s="5">
        <v>154156.50384615379</v>
      </c>
      <c r="AF25" s="5">
        <v>1849878.046153846</v>
      </c>
      <c r="AG25">
        <v>6012103.6500000004</v>
      </c>
      <c r="AH25">
        <v>154156.50384615379</v>
      </c>
      <c r="AI25">
        <v>1849878.046153846</v>
      </c>
      <c r="AJ25">
        <v>4051983.56</v>
      </c>
      <c r="AK25">
        <v>0.15</v>
      </c>
      <c r="AL25">
        <v>4051983.41</v>
      </c>
      <c r="AM25">
        <v>4051983.41</v>
      </c>
      <c r="AN25">
        <v>4051983.41</v>
      </c>
      <c r="AO25" t="s">
        <v>55</v>
      </c>
      <c r="AP25" t="s">
        <v>299</v>
      </c>
      <c r="AQ25">
        <v>1</v>
      </c>
    </row>
    <row r="26" spans="1:43" x14ac:dyDescent="0.25">
      <c r="A26" t="s">
        <v>42</v>
      </c>
      <c r="B26" t="s">
        <v>43</v>
      </c>
      <c r="C26" t="s">
        <v>44</v>
      </c>
      <c r="D26" t="s">
        <v>45</v>
      </c>
      <c r="E26">
        <v>14</v>
      </c>
      <c r="F26">
        <v>243</v>
      </c>
      <c r="G26">
        <v>3013</v>
      </c>
      <c r="H26">
        <v>2157</v>
      </c>
      <c r="I26" t="s">
        <v>57</v>
      </c>
      <c r="J26" t="s">
        <v>749</v>
      </c>
      <c r="K26" t="s">
        <v>65</v>
      </c>
      <c r="L26" t="s">
        <v>66</v>
      </c>
      <c r="M26">
        <v>12</v>
      </c>
      <c r="N26" t="s">
        <v>60</v>
      </c>
      <c r="O26">
        <v>2024</v>
      </c>
      <c r="P26">
        <v>16869</v>
      </c>
      <c r="Q26" t="s">
        <v>823</v>
      </c>
      <c r="R26" t="s">
        <v>824</v>
      </c>
      <c r="S26" t="str">
        <f>IF(COUNTIF(Tabela2[PROCESSO],Tabela1[[#This Row],[codProcesso]])&gt;0,"Está","Não está")</f>
        <v>Está</v>
      </c>
      <c r="T26" t="s">
        <v>825</v>
      </c>
      <c r="U26" t="s">
        <v>826</v>
      </c>
      <c r="V26" t="s">
        <v>827</v>
      </c>
      <c r="W26" t="s">
        <v>828</v>
      </c>
      <c r="X26">
        <v>31</v>
      </c>
      <c r="Y26" t="s">
        <v>73</v>
      </c>
      <c r="Z26" s="5">
        <v>5903248.5</v>
      </c>
      <c r="AA26" s="5">
        <v>0</v>
      </c>
      <c r="AB26" s="5">
        <v>0</v>
      </c>
      <c r="AC26" s="5">
        <v>0</v>
      </c>
      <c r="AD26" s="5">
        <v>5903248.5</v>
      </c>
      <c r="AE26" s="5">
        <v>190427.37096774191</v>
      </c>
      <c r="AF26" s="5">
        <v>2285128.4516129028</v>
      </c>
      <c r="AG26">
        <v>5253891.165</v>
      </c>
      <c r="AH26">
        <v>169480.3601612903</v>
      </c>
      <c r="AI26">
        <v>2033764.321935484</v>
      </c>
      <c r="AJ26">
        <v>1364306.32</v>
      </c>
      <c r="AK26">
        <v>973051.84</v>
      </c>
      <c r="AL26">
        <v>391254.48</v>
      </c>
      <c r="AM26">
        <v>391254.48</v>
      </c>
      <c r="AN26">
        <v>391254.48</v>
      </c>
      <c r="AO26" t="s">
        <v>55</v>
      </c>
      <c r="AP26" t="s">
        <v>829</v>
      </c>
      <c r="AQ26">
        <v>0.89</v>
      </c>
    </row>
    <row r="27" spans="1:43" x14ac:dyDescent="0.25">
      <c r="A27" t="s">
        <v>42</v>
      </c>
      <c r="B27" t="s">
        <v>43</v>
      </c>
      <c r="C27" t="s">
        <v>44</v>
      </c>
      <c r="D27" t="s">
        <v>45</v>
      </c>
      <c r="E27">
        <v>14</v>
      </c>
      <c r="F27">
        <v>243</v>
      </c>
      <c r="G27">
        <v>3013</v>
      </c>
      <c r="H27">
        <v>2157</v>
      </c>
      <c r="I27" t="s">
        <v>57</v>
      </c>
      <c r="J27" t="s">
        <v>749</v>
      </c>
      <c r="K27" t="s">
        <v>65</v>
      </c>
      <c r="L27" t="s">
        <v>66</v>
      </c>
      <c r="M27">
        <v>12</v>
      </c>
      <c r="N27" t="s">
        <v>60</v>
      </c>
      <c r="O27">
        <v>2024</v>
      </c>
      <c r="P27">
        <v>32863</v>
      </c>
      <c r="Q27" t="s">
        <v>830</v>
      </c>
      <c r="R27" t="s">
        <v>824</v>
      </c>
      <c r="S27" t="str">
        <f>IF(COUNTIF(Tabela2[PROCESSO],Tabela1[[#This Row],[codProcesso]])&gt;0,"Está","Não está")</f>
        <v>Está</v>
      </c>
      <c r="T27" t="s">
        <v>825</v>
      </c>
      <c r="U27" t="s">
        <v>396</v>
      </c>
      <c r="V27" t="s">
        <v>831</v>
      </c>
      <c r="W27" t="s">
        <v>832</v>
      </c>
      <c r="X27">
        <v>31</v>
      </c>
      <c r="Y27" t="s">
        <v>73</v>
      </c>
      <c r="Z27" s="5">
        <v>5903248.5</v>
      </c>
      <c r="AA27" s="5">
        <v>0</v>
      </c>
      <c r="AB27" s="5">
        <v>260066.76</v>
      </c>
      <c r="AC27" s="5">
        <v>0</v>
      </c>
      <c r="AD27" s="5">
        <v>6163315.2599999998</v>
      </c>
      <c r="AE27" s="5">
        <v>198816.6212903226</v>
      </c>
      <c r="AF27" s="5">
        <v>2385799.455483871</v>
      </c>
      <c r="AG27">
        <v>5485350.5813999996</v>
      </c>
      <c r="AH27">
        <v>176946.7929483871</v>
      </c>
      <c r="AI27">
        <v>2123361.5153806452</v>
      </c>
      <c r="AJ27">
        <v>2544133.5099999998</v>
      </c>
      <c r="AK27">
        <v>65591.649999999994</v>
      </c>
      <c r="AL27">
        <v>2478541.86</v>
      </c>
      <c r="AM27">
        <v>1539326.5</v>
      </c>
      <c r="AN27">
        <v>1539326.5</v>
      </c>
      <c r="AO27" t="s">
        <v>55</v>
      </c>
      <c r="AP27" t="s">
        <v>829</v>
      </c>
      <c r="AQ27">
        <v>0.89</v>
      </c>
    </row>
    <row r="28" spans="1:43" x14ac:dyDescent="0.25">
      <c r="A28" t="s">
        <v>42</v>
      </c>
      <c r="B28" t="s">
        <v>43</v>
      </c>
      <c r="C28" t="s">
        <v>44</v>
      </c>
      <c r="D28" t="s">
        <v>45</v>
      </c>
      <c r="E28">
        <v>14</v>
      </c>
      <c r="F28">
        <v>422</v>
      </c>
      <c r="G28">
        <v>3013</v>
      </c>
      <c r="H28">
        <v>6178</v>
      </c>
      <c r="I28" t="s">
        <v>122</v>
      </c>
      <c r="J28" t="s">
        <v>312</v>
      </c>
      <c r="K28" t="s">
        <v>123</v>
      </c>
      <c r="L28" t="s">
        <v>124</v>
      </c>
      <c r="M28">
        <v>8</v>
      </c>
      <c r="N28" t="s">
        <v>50</v>
      </c>
      <c r="O28">
        <v>2023</v>
      </c>
      <c r="P28">
        <v>29552</v>
      </c>
      <c r="Q28" t="s">
        <v>313</v>
      </c>
      <c r="R28" t="s">
        <v>314</v>
      </c>
      <c r="S28" t="str">
        <f>IF(COUNTIF(Tabela2[PROCESSO],Tabela1[[#This Row],[codProcesso]])&gt;0,"Está","Não está")</f>
        <v>Está</v>
      </c>
      <c r="T28" t="s">
        <v>315</v>
      </c>
      <c r="U28" t="s">
        <v>296</v>
      </c>
      <c r="V28" t="s">
        <v>316</v>
      </c>
      <c r="W28" t="s">
        <v>317</v>
      </c>
      <c r="X28">
        <v>36</v>
      </c>
      <c r="Y28" t="s">
        <v>73</v>
      </c>
      <c r="Z28" s="5">
        <v>5678779.6500000004</v>
      </c>
      <c r="AA28" s="5">
        <v>0</v>
      </c>
      <c r="AB28" s="5">
        <v>0</v>
      </c>
      <c r="AC28" s="5">
        <v>0</v>
      </c>
      <c r="AD28" s="5">
        <v>5678779.6500000004</v>
      </c>
      <c r="AE28" s="5">
        <v>157743.87916666671</v>
      </c>
      <c r="AF28" s="5">
        <v>1892926.55</v>
      </c>
      <c r="AG28">
        <v>5678779.6500000004</v>
      </c>
      <c r="AH28">
        <v>157743.87916666671</v>
      </c>
      <c r="AI28">
        <v>1892926.55</v>
      </c>
      <c r="AJ28">
        <v>3999324.24</v>
      </c>
      <c r="AK28">
        <v>383433.61</v>
      </c>
      <c r="AL28">
        <v>3615890.63</v>
      </c>
      <c r="AM28">
        <v>3615890.63</v>
      </c>
      <c r="AN28">
        <v>3615890.63</v>
      </c>
      <c r="AO28" t="s">
        <v>55</v>
      </c>
      <c r="AP28" t="s">
        <v>318</v>
      </c>
      <c r="AQ28">
        <v>1</v>
      </c>
    </row>
    <row r="29" spans="1:43" x14ac:dyDescent="0.25">
      <c r="A29" t="s">
        <v>42</v>
      </c>
      <c r="B29" t="s">
        <v>43</v>
      </c>
      <c r="C29" t="s">
        <v>44</v>
      </c>
      <c r="D29" t="s">
        <v>45</v>
      </c>
      <c r="E29">
        <v>14</v>
      </c>
      <c r="F29">
        <v>422</v>
      </c>
      <c r="G29">
        <v>3013</v>
      </c>
      <c r="H29">
        <v>6178</v>
      </c>
      <c r="I29" t="s">
        <v>122</v>
      </c>
      <c r="J29" t="s">
        <v>215</v>
      </c>
      <c r="K29" t="s">
        <v>123</v>
      </c>
      <c r="L29" t="s">
        <v>124</v>
      </c>
      <c r="M29">
        <v>8</v>
      </c>
      <c r="N29" t="s">
        <v>50</v>
      </c>
      <c r="O29">
        <v>2023</v>
      </c>
      <c r="P29">
        <v>29524</v>
      </c>
      <c r="Q29" t="s">
        <v>300</v>
      </c>
      <c r="R29" t="s">
        <v>301</v>
      </c>
      <c r="S29" t="str">
        <f>IF(COUNTIF(Tabela2[PROCESSO],Tabela1[[#This Row],[codProcesso]])&gt;0,"Está","Não está")</f>
        <v>Está</v>
      </c>
      <c r="T29" t="s">
        <v>302</v>
      </c>
      <c r="U29" t="s">
        <v>296</v>
      </c>
      <c r="V29" t="s">
        <v>297</v>
      </c>
      <c r="W29" t="s">
        <v>303</v>
      </c>
      <c r="X29">
        <v>36</v>
      </c>
      <c r="Y29" t="s">
        <v>73</v>
      </c>
      <c r="Z29" s="5">
        <v>5513779.7699999996</v>
      </c>
      <c r="AA29" s="5">
        <v>0</v>
      </c>
      <c r="AB29" s="5">
        <v>0</v>
      </c>
      <c r="AC29" s="5">
        <v>0</v>
      </c>
      <c r="AD29" s="5">
        <v>5513779.7699999996</v>
      </c>
      <c r="AE29" s="5">
        <v>153160.54916666669</v>
      </c>
      <c r="AF29" s="5">
        <v>1837926.59</v>
      </c>
      <c r="AG29">
        <v>5513779.7699999996</v>
      </c>
      <c r="AH29">
        <v>153160.54916666669</v>
      </c>
      <c r="AI29">
        <v>1837926.59</v>
      </c>
      <c r="AJ29">
        <v>3842316.3</v>
      </c>
      <c r="AK29">
        <v>119456.82</v>
      </c>
      <c r="AL29">
        <v>3722859.48</v>
      </c>
      <c r="AM29">
        <v>3722859.48</v>
      </c>
      <c r="AN29">
        <v>3722859.48</v>
      </c>
      <c r="AO29" t="s">
        <v>55</v>
      </c>
      <c r="AP29" t="s">
        <v>304</v>
      </c>
      <c r="AQ29">
        <v>1</v>
      </c>
    </row>
    <row r="30" spans="1:43" x14ac:dyDescent="0.25">
      <c r="A30" t="s">
        <v>42</v>
      </c>
      <c r="B30" t="s">
        <v>43</v>
      </c>
      <c r="C30" t="s">
        <v>44</v>
      </c>
      <c r="D30" t="s">
        <v>45</v>
      </c>
      <c r="E30">
        <v>14</v>
      </c>
      <c r="F30">
        <v>122</v>
      </c>
      <c r="G30">
        <v>3018</v>
      </c>
      <c r="H30">
        <v>4332</v>
      </c>
      <c r="I30" t="s">
        <v>122</v>
      </c>
      <c r="J30" t="s">
        <v>47</v>
      </c>
      <c r="K30" t="s">
        <v>123</v>
      </c>
      <c r="L30" t="s">
        <v>124</v>
      </c>
      <c r="M30">
        <v>8</v>
      </c>
      <c r="N30" t="s">
        <v>50</v>
      </c>
      <c r="O30">
        <v>2023</v>
      </c>
      <c r="P30">
        <v>33112</v>
      </c>
      <c r="Q30" t="s">
        <v>163</v>
      </c>
      <c r="R30" t="s">
        <v>164</v>
      </c>
      <c r="S30" t="str">
        <f>IF(COUNTIF(Tabela2[PROCESSO],Tabela1[[#This Row],[codProcesso]])&gt;0,"Está","Não está")</f>
        <v>Está</v>
      </c>
      <c r="T30" t="s">
        <v>165</v>
      </c>
      <c r="U30" t="s">
        <v>159</v>
      </c>
      <c r="V30" t="s">
        <v>166</v>
      </c>
      <c r="W30" t="s">
        <v>167</v>
      </c>
      <c r="X30">
        <v>33</v>
      </c>
      <c r="Y30" t="s">
        <v>73</v>
      </c>
      <c r="Z30" s="5">
        <v>5380551</v>
      </c>
      <c r="AA30" s="5">
        <v>0</v>
      </c>
      <c r="AB30" s="5">
        <v>0</v>
      </c>
      <c r="AC30" s="5">
        <v>0</v>
      </c>
      <c r="AD30" s="5">
        <v>5380551</v>
      </c>
      <c r="AE30" s="5">
        <v>163047</v>
      </c>
      <c r="AF30" s="5">
        <v>1956564</v>
      </c>
      <c r="AG30">
        <v>5380551</v>
      </c>
      <c r="AH30">
        <v>163047</v>
      </c>
      <c r="AI30">
        <v>1956564</v>
      </c>
      <c r="AJ30">
        <v>3865057.88</v>
      </c>
      <c r="AK30">
        <v>865181.93</v>
      </c>
      <c r="AL30">
        <v>2999875.95</v>
      </c>
      <c r="AM30">
        <v>2999875.95</v>
      </c>
      <c r="AN30">
        <v>2552380.65</v>
      </c>
      <c r="AO30" t="s">
        <v>55</v>
      </c>
      <c r="AP30" t="s">
        <v>168</v>
      </c>
      <c r="AQ30">
        <v>1</v>
      </c>
    </row>
    <row r="31" spans="1:43" x14ac:dyDescent="0.25">
      <c r="A31" t="s">
        <v>42</v>
      </c>
      <c r="B31" t="s">
        <v>43</v>
      </c>
      <c r="C31" t="s">
        <v>44</v>
      </c>
      <c r="D31" t="s">
        <v>45</v>
      </c>
      <c r="E31">
        <v>14</v>
      </c>
      <c r="F31">
        <v>422</v>
      </c>
      <c r="G31">
        <v>3013</v>
      </c>
      <c r="H31">
        <v>6178</v>
      </c>
      <c r="I31" t="s">
        <v>122</v>
      </c>
      <c r="J31" t="s">
        <v>312</v>
      </c>
      <c r="K31" t="s">
        <v>123</v>
      </c>
      <c r="L31" t="s">
        <v>124</v>
      </c>
      <c r="M31">
        <v>8</v>
      </c>
      <c r="N31" t="s">
        <v>50</v>
      </c>
      <c r="O31">
        <v>2024</v>
      </c>
      <c r="P31">
        <v>10115</v>
      </c>
      <c r="Q31" t="s">
        <v>326</v>
      </c>
      <c r="R31" t="s">
        <v>327</v>
      </c>
      <c r="S31" t="str">
        <f>IF(COUNTIF(Tabela2[PROCESSO],Tabela1[[#This Row],[codProcesso]])&gt;0,"Está","Não está")</f>
        <v>Está</v>
      </c>
      <c r="T31" t="s">
        <v>328</v>
      </c>
      <c r="U31" t="s">
        <v>322</v>
      </c>
      <c r="V31" t="s">
        <v>323</v>
      </c>
      <c r="W31" t="s">
        <v>324</v>
      </c>
      <c r="X31">
        <v>36</v>
      </c>
      <c r="Y31" t="s">
        <v>73</v>
      </c>
      <c r="Z31" s="5">
        <v>5330621.67</v>
      </c>
      <c r="AA31" s="5">
        <v>0</v>
      </c>
      <c r="AB31" s="5">
        <v>0</v>
      </c>
      <c r="AC31" s="5">
        <v>0</v>
      </c>
      <c r="AD31" s="5">
        <v>5330621.67</v>
      </c>
      <c r="AE31" s="5">
        <v>148072.82416666669</v>
      </c>
      <c r="AF31" s="5">
        <v>1776873.89</v>
      </c>
      <c r="AG31">
        <v>5330621.67</v>
      </c>
      <c r="AH31">
        <v>148072.82416666669</v>
      </c>
      <c r="AI31">
        <v>1776873.89</v>
      </c>
      <c r="AJ31">
        <v>2720760.5</v>
      </c>
      <c r="AK31">
        <v>0.02</v>
      </c>
      <c r="AL31">
        <v>2720760.48</v>
      </c>
      <c r="AM31">
        <v>2720760.48</v>
      </c>
      <c r="AN31">
        <v>2720760.48</v>
      </c>
      <c r="AO31" t="s">
        <v>55</v>
      </c>
      <c r="AP31" t="s">
        <v>329</v>
      </c>
      <c r="AQ31">
        <v>1</v>
      </c>
    </row>
    <row r="32" spans="1:43" x14ac:dyDescent="0.25">
      <c r="A32" t="s">
        <v>42</v>
      </c>
      <c r="B32" t="s">
        <v>43</v>
      </c>
      <c r="C32" t="s">
        <v>44</v>
      </c>
      <c r="D32" t="s">
        <v>45</v>
      </c>
      <c r="E32">
        <v>14</v>
      </c>
      <c r="F32">
        <v>243</v>
      </c>
      <c r="G32">
        <v>3013</v>
      </c>
      <c r="H32">
        <v>2157</v>
      </c>
      <c r="I32" t="s">
        <v>390</v>
      </c>
      <c r="J32" t="s">
        <v>369</v>
      </c>
      <c r="K32" t="s">
        <v>65</v>
      </c>
      <c r="L32" t="s">
        <v>66</v>
      </c>
      <c r="M32">
        <v>12</v>
      </c>
      <c r="N32" t="s">
        <v>60</v>
      </c>
      <c r="O32">
        <v>2020</v>
      </c>
      <c r="P32">
        <v>14453</v>
      </c>
      <c r="Q32" t="s">
        <v>399</v>
      </c>
      <c r="R32" t="s">
        <v>400</v>
      </c>
      <c r="S32" t="str">
        <f>IF(COUNTIF(Tabela2[PROCESSO],Tabela1[[#This Row],[codProcesso]])&gt;0,"Está","Não está")</f>
        <v>Não está</v>
      </c>
      <c r="T32" t="s">
        <v>401</v>
      </c>
      <c r="U32" t="s">
        <v>402</v>
      </c>
      <c r="V32" t="s">
        <v>403</v>
      </c>
      <c r="W32" t="s">
        <v>206</v>
      </c>
      <c r="X32">
        <v>60</v>
      </c>
      <c r="Y32" t="s">
        <v>73</v>
      </c>
      <c r="Z32" s="5">
        <v>4547566.08</v>
      </c>
      <c r="AA32" s="5">
        <v>4619318.18</v>
      </c>
      <c r="AB32" s="5">
        <v>23594128.710000001</v>
      </c>
      <c r="AC32" s="5">
        <v>0</v>
      </c>
      <c r="AD32" s="5">
        <v>32761012.969999999</v>
      </c>
      <c r="AE32" s="5">
        <v>546016.88283333334</v>
      </c>
      <c r="AF32" s="5">
        <v>6552202.5940000014</v>
      </c>
      <c r="AG32">
        <v>24570759.727499999</v>
      </c>
      <c r="AH32">
        <v>409512.66212499997</v>
      </c>
      <c r="AI32">
        <v>4914151.9455000004</v>
      </c>
      <c r="AJ32">
        <v>38550736.119999997</v>
      </c>
      <c r="AK32">
        <v>6021268.0899999999</v>
      </c>
      <c r="AL32">
        <v>32529468.030000001</v>
      </c>
      <c r="AM32">
        <v>31272068.93</v>
      </c>
      <c r="AN32">
        <v>30673064.559999999</v>
      </c>
      <c r="AO32" t="s">
        <v>55</v>
      </c>
      <c r="AP32" t="s">
        <v>404</v>
      </c>
      <c r="AQ32">
        <v>0.75</v>
      </c>
    </row>
    <row r="33" spans="1:43" x14ac:dyDescent="0.25">
      <c r="A33" t="s">
        <v>42</v>
      </c>
      <c r="B33" t="s">
        <v>43</v>
      </c>
      <c r="C33" t="s">
        <v>44</v>
      </c>
      <c r="D33" t="s">
        <v>45</v>
      </c>
      <c r="E33">
        <v>14</v>
      </c>
      <c r="F33">
        <v>126</v>
      </c>
      <c r="G33">
        <v>3024</v>
      </c>
      <c r="H33">
        <v>2171</v>
      </c>
      <c r="I33" t="s">
        <v>82</v>
      </c>
      <c r="J33" t="s">
        <v>215</v>
      </c>
      <c r="K33" t="s">
        <v>65</v>
      </c>
      <c r="L33" t="s">
        <v>66</v>
      </c>
      <c r="M33">
        <v>6</v>
      </c>
      <c r="N33" t="s">
        <v>115</v>
      </c>
      <c r="O33">
        <v>2023</v>
      </c>
      <c r="P33">
        <v>32745</v>
      </c>
      <c r="Q33" t="s">
        <v>224</v>
      </c>
      <c r="R33" t="s">
        <v>225</v>
      </c>
      <c r="S33" t="str">
        <f>IF(COUNTIF(Tabela2[PROCESSO],Tabela1[[#This Row],[codProcesso]])&gt;0,"Está","Não está")</f>
        <v>Está</v>
      </c>
      <c r="T33" t="s">
        <v>226</v>
      </c>
      <c r="U33" t="s">
        <v>227</v>
      </c>
      <c r="V33" t="s">
        <v>228</v>
      </c>
      <c r="W33" t="s">
        <v>229</v>
      </c>
      <c r="X33">
        <v>24</v>
      </c>
      <c r="Y33" t="s">
        <v>73</v>
      </c>
      <c r="Z33" s="5">
        <v>3973115.56</v>
      </c>
      <c r="AA33" s="5">
        <v>159622.9</v>
      </c>
      <c r="AB33" s="5">
        <v>4019685.56</v>
      </c>
      <c r="AC33" s="5">
        <v>0</v>
      </c>
      <c r="AD33" s="5">
        <v>8152424.0199999996</v>
      </c>
      <c r="AE33" s="5">
        <v>339684.33416666673</v>
      </c>
      <c r="AF33" s="5">
        <v>4076212.01</v>
      </c>
      <c r="AG33">
        <v>7907851.299399999</v>
      </c>
      <c r="AH33">
        <v>329493.80414166668</v>
      </c>
      <c r="AI33">
        <v>3953925.649699999</v>
      </c>
      <c r="AJ33">
        <v>6143113.2699999996</v>
      </c>
      <c r="AK33">
        <v>940140.47</v>
      </c>
      <c r="AL33">
        <v>5202972.8</v>
      </c>
      <c r="AM33">
        <v>4570080</v>
      </c>
      <c r="AN33">
        <v>4570080</v>
      </c>
      <c r="AO33" t="s">
        <v>55</v>
      </c>
      <c r="AP33" t="s">
        <v>230</v>
      </c>
      <c r="AQ33">
        <v>0.97</v>
      </c>
    </row>
    <row r="34" spans="1:43" x14ac:dyDescent="0.25">
      <c r="A34" t="s">
        <v>42</v>
      </c>
      <c r="B34" t="s">
        <v>43</v>
      </c>
      <c r="C34" t="s">
        <v>44</v>
      </c>
      <c r="D34" t="s">
        <v>45</v>
      </c>
      <c r="E34">
        <v>14</v>
      </c>
      <c r="F34">
        <v>422</v>
      </c>
      <c r="G34">
        <v>3013</v>
      </c>
      <c r="H34">
        <v>6178</v>
      </c>
      <c r="I34" t="s">
        <v>122</v>
      </c>
      <c r="J34" t="s">
        <v>215</v>
      </c>
      <c r="K34" t="s">
        <v>123</v>
      </c>
      <c r="L34" t="s">
        <v>124</v>
      </c>
      <c r="M34">
        <v>8</v>
      </c>
      <c r="N34" t="s">
        <v>50</v>
      </c>
      <c r="O34">
        <v>2023</v>
      </c>
      <c r="P34">
        <v>30130</v>
      </c>
      <c r="Q34" t="s">
        <v>305</v>
      </c>
      <c r="R34" t="s">
        <v>306</v>
      </c>
      <c r="S34" t="str">
        <f>IF(COUNTIF(Tabela2[PROCESSO],Tabela1[[#This Row],[codProcesso]])&gt;0,"Está","Não está")</f>
        <v>Está</v>
      </c>
      <c r="T34" t="s">
        <v>307</v>
      </c>
      <c r="U34" t="s">
        <v>308</v>
      </c>
      <c r="V34" t="s">
        <v>309</v>
      </c>
      <c r="W34" t="s">
        <v>310</v>
      </c>
      <c r="X34">
        <v>36</v>
      </c>
      <c r="Y34" t="s">
        <v>73</v>
      </c>
      <c r="Z34" s="5">
        <v>3907158.25</v>
      </c>
      <c r="AA34" s="5">
        <v>0</v>
      </c>
      <c r="AB34" s="5">
        <v>0</v>
      </c>
      <c r="AC34" s="5">
        <v>0</v>
      </c>
      <c r="AD34" s="5">
        <v>3907158.25</v>
      </c>
      <c r="AE34" s="5">
        <v>108532.17361111109</v>
      </c>
      <c r="AF34" s="5">
        <v>1302386.083333333</v>
      </c>
      <c r="AG34">
        <v>3907158.25</v>
      </c>
      <c r="AH34">
        <v>108532.17361111109</v>
      </c>
      <c r="AI34">
        <v>1302386.083333333</v>
      </c>
      <c r="AJ34">
        <v>2690897.17</v>
      </c>
      <c r="AK34">
        <v>119523.69</v>
      </c>
      <c r="AL34">
        <v>2571373.48</v>
      </c>
      <c r="AM34">
        <v>2571373.4700000002</v>
      </c>
      <c r="AN34">
        <v>2571373.4700000002</v>
      </c>
      <c r="AO34" t="s">
        <v>55</v>
      </c>
      <c r="AP34" t="s">
        <v>311</v>
      </c>
      <c r="AQ34">
        <v>1</v>
      </c>
    </row>
    <row r="35" spans="1:43" x14ac:dyDescent="0.25">
      <c r="A35" t="s">
        <v>42</v>
      </c>
      <c r="B35" t="s">
        <v>43</v>
      </c>
      <c r="C35" t="s">
        <v>44</v>
      </c>
      <c r="D35" t="s">
        <v>45</v>
      </c>
      <c r="E35">
        <v>14</v>
      </c>
      <c r="F35">
        <v>422</v>
      </c>
      <c r="G35">
        <v>3018</v>
      </c>
      <c r="H35">
        <v>2051</v>
      </c>
      <c r="I35" t="s">
        <v>122</v>
      </c>
      <c r="J35" t="s">
        <v>47</v>
      </c>
      <c r="K35" t="s">
        <v>123</v>
      </c>
      <c r="L35" t="s">
        <v>124</v>
      </c>
      <c r="M35">
        <v>8</v>
      </c>
      <c r="N35" t="s">
        <v>50</v>
      </c>
      <c r="O35">
        <v>2020</v>
      </c>
      <c r="P35">
        <v>8367</v>
      </c>
      <c r="Q35" t="s">
        <v>132</v>
      </c>
      <c r="R35" t="s">
        <v>133</v>
      </c>
      <c r="S35" t="str">
        <f>IF(COUNTIF(Tabela2[PROCESSO],Tabela1[[#This Row],[codProcesso]])&gt;0,"Está","Não está")</f>
        <v>Está</v>
      </c>
      <c r="T35" t="s">
        <v>134</v>
      </c>
      <c r="U35" t="s">
        <v>135</v>
      </c>
      <c r="V35" t="s">
        <v>136</v>
      </c>
      <c r="W35" t="s">
        <v>137</v>
      </c>
      <c r="X35">
        <v>73</v>
      </c>
      <c r="Y35" t="s">
        <v>73</v>
      </c>
      <c r="Z35" s="5">
        <v>3388569.69</v>
      </c>
      <c r="AA35" s="5">
        <v>0</v>
      </c>
      <c r="AB35" s="5">
        <v>6302425.54</v>
      </c>
      <c r="AC35" s="5">
        <v>0</v>
      </c>
      <c r="AD35" s="5">
        <v>9690995.2300000004</v>
      </c>
      <c r="AE35" s="5">
        <v>132753.35931506849</v>
      </c>
      <c r="AF35" s="5">
        <v>1593040.311780822</v>
      </c>
      <c r="AG35">
        <v>9690995.2300000004</v>
      </c>
      <c r="AH35">
        <v>132753.35931506849</v>
      </c>
      <c r="AI35">
        <v>1593040.311780822</v>
      </c>
      <c r="AJ35">
        <v>9058620.5800000001</v>
      </c>
      <c r="AK35">
        <v>471486.23</v>
      </c>
      <c r="AL35">
        <v>8587134.3499999996</v>
      </c>
      <c r="AM35">
        <v>8018336.1900000004</v>
      </c>
      <c r="AN35">
        <v>7848541.9100000001</v>
      </c>
      <c r="AO35" t="s">
        <v>55</v>
      </c>
      <c r="AP35" t="s">
        <v>138</v>
      </c>
      <c r="AQ35">
        <v>1</v>
      </c>
    </row>
    <row r="36" spans="1:43" x14ac:dyDescent="0.25">
      <c r="A36" t="s">
        <v>42</v>
      </c>
      <c r="B36" t="s">
        <v>43</v>
      </c>
      <c r="C36" t="s">
        <v>44</v>
      </c>
      <c r="D36" t="s">
        <v>45</v>
      </c>
      <c r="E36">
        <v>14</v>
      </c>
      <c r="F36">
        <v>422</v>
      </c>
      <c r="G36">
        <v>3007</v>
      </c>
      <c r="H36">
        <v>4330</v>
      </c>
      <c r="I36" t="s">
        <v>390</v>
      </c>
      <c r="J36" t="s">
        <v>369</v>
      </c>
      <c r="K36" t="s">
        <v>65</v>
      </c>
      <c r="L36" t="s">
        <v>66</v>
      </c>
      <c r="M36">
        <v>7</v>
      </c>
      <c r="N36" t="s">
        <v>391</v>
      </c>
      <c r="O36">
        <v>2024</v>
      </c>
      <c r="P36">
        <v>30342</v>
      </c>
      <c r="Q36" t="s">
        <v>392</v>
      </c>
      <c r="R36" t="s">
        <v>393</v>
      </c>
      <c r="S36" t="str">
        <f>IF(COUNTIF(Tabela2[PROCESSO],Tabela1[[#This Row],[codProcesso]])&gt;0,"Está","Não está")</f>
        <v>Está</v>
      </c>
      <c r="T36" t="s">
        <v>394</v>
      </c>
      <c r="U36" t="s">
        <v>395</v>
      </c>
      <c r="V36" t="s">
        <v>396</v>
      </c>
      <c r="W36" t="s">
        <v>397</v>
      </c>
      <c r="X36">
        <v>32</v>
      </c>
      <c r="Y36" t="s">
        <v>73</v>
      </c>
      <c r="Z36" s="5">
        <v>3089646</v>
      </c>
      <c r="AA36" s="5">
        <v>0</v>
      </c>
      <c r="AB36" s="5">
        <v>0</v>
      </c>
      <c r="AC36" s="5">
        <v>0</v>
      </c>
      <c r="AD36" s="5">
        <v>3089646</v>
      </c>
      <c r="AE36" s="5">
        <v>96551.4375</v>
      </c>
      <c r="AF36" s="5">
        <v>1158617.25</v>
      </c>
      <c r="AG36">
        <v>1204961.94</v>
      </c>
      <c r="AH36">
        <v>37655.060624999998</v>
      </c>
      <c r="AI36">
        <v>451860.72749999998</v>
      </c>
      <c r="AJ36">
        <v>1056547.44</v>
      </c>
      <c r="AK36">
        <v>454920.64</v>
      </c>
      <c r="AL36">
        <v>601626.80000000005</v>
      </c>
      <c r="AM36">
        <v>544544.68999999994</v>
      </c>
      <c r="AN36">
        <v>544544.68999999994</v>
      </c>
      <c r="AO36" t="s">
        <v>55</v>
      </c>
      <c r="AP36" t="s">
        <v>398</v>
      </c>
      <c r="AQ36">
        <v>0.39</v>
      </c>
    </row>
    <row r="37" spans="1:43" x14ac:dyDescent="0.25">
      <c r="A37" t="s">
        <v>42</v>
      </c>
      <c r="B37" t="s">
        <v>43</v>
      </c>
      <c r="C37" t="s">
        <v>44</v>
      </c>
      <c r="D37" t="s">
        <v>45</v>
      </c>
      <c r="E37">
        <v>14</v>
      </c>
      <c r="F37">
        <v>422</v>
      </c>
      <c r="G37">
        <v>3013</v>
      </c>
      <c r="H37">
        <v>2053</v>
      </c>
      <c r="I37" t="s">
        <v>390</v>
      </c>
      <c r="J37" t="s">
        <v>483</v>
      </c>
      <c r="K37" t="s">
        <v>65</v>
      </c>
      <c r="L37" t="s">
        <v>66</v>
      </c>
      <c r="M37">
        <v>12</v>
      </c>
      <c r="N37" t="s">
        <v>60</v>
      </c>
      <c r="O37">
        <v>2025</v>
      </c>
      <c r="P37">
        <v>13466</v>
      </c>
      <c r="R37" t="s">
        <v>393</v>
      </c>
      <c r="S37" t="str">
        <f>IF(COUNTIF(Tabela2[PROCESSO],Tabela1[[#This Row],[codProcesso]])&gt;0,"Está","Não está")</f>
        <v>Está</v>
      </c>
      <c r="T37" t="s">
        <v>394</v>
      </c>
      <c r="X37">
        <v>12</v>
      </c>
      <c r="Y37" t="s">
        <v>54</v>
      </c>
      <c r="Z37" s="5">
        <v>3089645.4</v>
      </c>
      <c r="AA37" s="5">
        <v>0</v>
      </c>
      <c r="AB37" s="5">
        <v>0</v>
      </c>
      <c r="AC37" s="5">
        <v>0</v>
      </c>
      <c r="AD37" s="5">
        <v>3089645.4</v>
      </c>
      <c r="AE37" s="5">
        <v>257470.45</v>
      </c>
      <c r="AF37" s="5">
        <v>3089645.4</v>
      </c>
      <c r="AG37">
        <v>1699304.97</v>
      </c>
      <c r="AH37">
        <v>141608.7475</v>
      </c>
      <c r="AI37">
        <v>1699304.97</v>
      </c>
      <c r="AJ37">
        <v>607720.41</v>
      </c>
      <c r="AK37">
        <v>24991</v>
      </c>
      <c r="AL37">
        <v>582729.41</v>
      </c>
      <c r="AM37">
        <v>0</v>
      </c>
      <c r="AN37">
        <v>0</v>
      </c>
      <c r="AO37" t="s">
        <v>55</v>
      </c>
      <c r="AP37" t="s">
        <v>1446</v>
      </c>
      <c r="AQ37">
        <v>0.55000000000000004</v>
      </c>
    </row>
    <row r="38" spans="1:43" x14ac:dyDescent="0.25">
      <c r="A38" t="s">
        <v>42</v>
      </c>
      <c r="B38" t="s">
        <v>43</v>
      </c>
      <c r="C38" t="s">
        <v>44</v>
      </c>
      <c r="D38" t="s">
        <v>45</v>
      </c>
      <c r="E38">
        <v>14</v>
      </c>
      <c r="F38">
        <v>243</v>
      </c>
      <c r="G38">
        <v>3013</v>
      </c>
      <c r="H38">
        <v>2157</v>
      </c>
      <c r="I38" t="s">
        <v>57</v>
      </c>
      <c r="J38" t="s">
        <v>881</v>
      </c>
      <c r="K38" t="s">
        <v>65</v>
      </c>
      <c r="L38" t="s">
        <v>66</v>
      </c>
      <c r="M38">
        <v>12</v>
      </c>
      <c r="N38" t="s">
        <v>60</v>
      </c>
      <c r="O38">
        <v>2021</v>
      </c>
      <c r="P38">
        <v>21847</v>
      </c>
      <c r="Q38" t="s">
        <v>906</v>
      </c>
      <c r="R38" t="s">
        <v>907</v>
      </c>
      <c r="S38" t="str">
        <f>IF(COUNTIF(Tabela2[PROCESSO],Tabela1[[#This Row],[codProcesso]])&gt;0,"Está","Não está")</f>
        <v>Está</v>
      </c>
      <c r="T38" t="s">
        <v>908</v>
      </c>
      <c r="U38" t="s">
        <v>909</v>
      </c>
      <c r="V38" t="s">
        <v>910</v>
      </c>
      <c r="W38" t="s">
        <v>53</v>
      </c>
      <c r="X38">
        <v>50</v>
      </c>
      <c r="Y38" t="s">
        <v>73</v>
      </c>
      <c r="Z38" s="5">
        <v>2882880</v>
      </c>
      <c r="AA38" s="5">
        <v>321235.20000000001</v>
      </c>
      <c r="AB38" s="5">
        <v>960960</v>
      </c>
      <c r="AC38" s="5">
        <v>0</v>
      </c>
      <c r="AD38" s="5">
        <v>4165075.2</v>
      </c>
      <c r="AE38" s="5">
        <v>83301.504000000001</v>
      </c>
      <c r="AF38" s="5">
        <v>999618.04799999995</v>
      </c>
      <c r="AG38">
        <v>4165075.2</v>
      </c>
      <c r="AH38">
        <v>83301.504000000001</v>
      </c>
      <c r="AI38">
        <v>999618.04799999995</v>
      </c>
      <c r="AJ38">
        <v>4418402.22</v>
      </c>
      <c r="AK38">
        <v>393609.29</v>
      </c>
      <c r="AL38">
        <v>4024792.93</v>
      </c>
      <c r="AM38">
        <v>3510366.53</v>
      </c>
      <c r="AN38">
        <v>3510366.53</v>
      </c>
      <c r="AO38" t="s">
        <v>55</v>
      </c>
      <c r="AP38" t="s">
        <v>911</v>
      </c>
      <c r="AQ38">
        <v>1</v>
      </c>
    </row>
    <row r="39" spans="1:43" x14ac:dyDescent="0.25">
      <c r="A39" t="s">
        <v>42</v>
      </c>
      <c r="B39" t="s">
        <v>43</v>
      </c>
      <c r="C39" t="s">
        <v>44</v>
      </c>
      <c r="D39" t="s">
        <v>45</v>
      </c>
      <c r="E39">
        <v>14</v>
      </c>
      <c r="F39">
        <v>243</v>
      </c>
      <c r="G39">
        <v>3013</v>
      </c>
      <c r="H39">
        <v>2157</v>
      </c>
      <c r="I39" t="s">
        <v>57</v>
      </c>
      <c r="J39" t="s">
        <v>881</v>
      </c>
      <c r="K39" t="s">
        <v>65</v>
      </c>
      <c r="L39" t="s">
        <v>66</v>
      </c>
      <c r="M39">
        <v>12</v>
      </c>
      <c r="N39" t="s">
        <v>60</v>
      </c>
      <c r="O39">
        <v>2022</v>
      </c>
      <c r="P39">
        <v>16811</v>
      </c>
      <c r="Q39" t="s">
        <v>899</v>
      </c>
      <c r="R39" t="s">
        <v>900</v>
      </c>
      <c r="S39" t="str">
        <f>IF(COUNTIF(Tabela2[PROCESSO],Tabela1[[#This Row],[codProcesso]])&gt;0,"Está","Não está")</f>
        <v>Está</v>
      </c>
      <c r="T39" t="s">
        <v>901</v>
      </c>
      <c r="U39" t="s">
        <v>902</v>
      </c>
      <c r="V39" t="s">
        <v>903</v>
      </c>
      <c r="W39" t="s">
        <v>904</v>
      </c>
      <c r="X39">
        <v>38</v>
      </c>
      <c r="Y39" t="s">
        <v>73</v>
      </c>
      <c r="Z39" s="5">
        <v>2772866.88</v>
      </c>
      <c r="AA39" s="5">
        <v>362951.3</v>
      </c>
      <c r="AB39" s="5">
        <v>7041379.7999999998</v>
      </c>
      <c r="AC39" s="5">
        <v>0</v>
      </c>
      <c r="AD39" s="5">
        <v>10177197.98</v>
      </c>
      <c r="AE39" s="5">
        <v>267820.99947368418</v>
      </c>
      <c r="AF39" s="5">
        <v>3213851.9936842108</v>
      </c>
      <c r="AG39">
        <v>10177197.98</v>
      </c>
      <c r="AH39">
        <v>267820.99947368418</v>
      </c>
      <c r="AI39">
        <v>3213851.9936842108</v>
      </c>
      <c r="AJ39">
        <v>11012596.470000001</v>
      </c>
      <c r="AK39">
        <v>1075545.33</v>
      </c>
      <c r="AL39">
        <v>9937051.1400000006</v>
      </c>
      <c r="AM39">
        <v>8857894.9800000004</v>
      </c>
      <c r="AN39">
        <v>8857894.9800000004</v>
      </c>
      <c r="AO39" t="s">
        <v>55</v>
      </c>
      <c r="AP39" t="s">
        <v>905</v>
      </c>
      <c r="AQ39">
        <v>1</v>
      </c>
    </row>
    <row r="40" spans="1:43" x14ac:dyDescent="0.25">
      <c r="A40" t="s">
        <v>42</v>
      </c>
      <c r="B40" t="s">
        <v>43</v>
      </c>
      <c r="C40" t="s">
        <v>44</v>
      </c>
      <c r="D40" t="s">
        <v>45</v>
      </c>
      <c r="E40">
        <v>14</v>
      </c>
      <c r="F40">
        <v>422</v>
      </c>
      <c r="G40">
        <v>3013</v>
      </c>
      <c r="H40">
        <v>2431</v>
      </c>
      <c r="I40" t="s">
        <v>122</v>
      </c>
      <c r="J40" t="s">
        <v>405</v>
      </c>
      <c r="K40" t="s">
        <v>123</v>
      </c>
      <c r="L40" t="s">
        <v>124</v>
      </c>
      <c r="M40">
        <v>8</v>
      </c>
      <c r="N40" t="s">
        <v>50</v>
      </c>
      <c r="O40">
        <v>2021</v>
      </c>
      <c r="P40">
        <v>10879</v>
      </c>
      <c r="Q40" t="s">
        <v>425</v>
      </c>
      <c r="R40" t="s">
        <v>426</v>
      </c>
      <c r="S40" t="str">
        <f>IF(COUNTIF(Tabela2[PROCESSO],Tabela1[[#This Row],[codProcesso]])&gt;0,"Está","Não está")</f>
        <v>Está</v>
      </c>
      <c r="T40" t="s">
        <v>427</v>
      </c>
      <c r="U40" t="s">
        <v>428</v>
      </c>
      <c r="V40" t="s">
        <v>429</v>
      </c>
      <c r="W40" t="s">
        <v>430</v>
      </c>
      <c r="X40">
        <v>52</v>
      </c>
      <c r="Y40" t="s">
        <v>73</v>
      </c>
      <c r="Z40" s="5">
        <v>2381378.06</v>
      </c>
      <c r="AA40" s="5">
        <v>0</v>
      </c>
      <c r="AB40" s="5">
        <v>1713296.07</v>
      </c>
      <c r="AC40" s="5">
        <v>0</v>
      </c>
      <c r="AD40" s="5">
        <v>4094674.13</v>
      </c>
      <c r="AE40" s="5">
        <v>78743.733269230768</v>
      </c>
      <c r="AF40" s="5">
        <v>944924.79923076928</v>
      </c>
      <c r="AG40">
        <v>900828.30859999999</v>
      </c>
      <c r="AH40">
        <v>17323.62131923077</v>
      </c>
      <c r="AI40">
        <v>207883.45583076921</v>
      </c>
      <c r="AJ40">
        <v>4445695.41</v>
      </c>
      <c r="AK40">
        <v>351021.28</v>
      </c>
      <c r="AL40">
        <v>4094674.13</v>
      </c>
      <c r="AM40">
        <v>3943555.2</v>
      </c>
      <c r="AN40">
        <v>3867995.73</v>
      </c>
      <c r="AO40" t="s">
        <v>55</v>
      </c>
      <c r="AP40" t="s">
        <v>431</v>
      </c>
      <c r="AQ40">
        <v>0.22</v>
      </c>
    </row>
    <row r="41" spans="1:43" x14ac:dyDescent="0.25">
      <c r="A41" t="s">
        <v>42</v>
      </c>
      <c r="B41" t="s">
        <v>43</v>
      </c>
      <c r="C41" t="s">
        <v>44</v>
      </c>
      <c r="D41" t="s">
        <v>45</v>
      </c>
      <c r="E41">
        <v>14</v>
      </c>
      <c r="F41">
        <v>422</v>
      </c>
      <c r="G41">
        <v>3013</v>
      </c>
      <c r="H41">
        <v>6178</v>
      </c>
      <c r="I41" t="s">
        <v>57</v>
      </c>
      <c r="J41" t="s">
        <v>749</v>
      </c>
      <c r="K41" t="s">
        <v>65</v>
      </c>
      <c r="L41" t="s">
        <v>66</v>
      </c>
      <c r="M41">
        <v>4</v>
      </c>
      <c r="N41" t="s">
        <v>856</v>
      </c>
      <c r="O41">
        <v>2024</v>
      </c>
      <c r="P41">
        <v>29365</v>
      </c>
      <c r="Q41" t="s">
        <v>857</v>
      </c>
      <c r="R41" t="s">
        <v>858</v>
      </c>
      <c r="S41" t="str">
        <f>IF(COUNTIF(Tabela2[PROCESSO],Tabela1[[#This Row],[codProcesso]])&gt;0,"Está","Não está")</f>
        <v>Está</v>
      </c>
      <c r="T41" t="s">
        <v>859</v>
      </c>
      <c r="U41" t="s">
        <v>860</v>
      </c>
      <c r="V41" t="s">
        <v>861</v>
      </c>
      <c r="W41" t="s">
        <v>862</v>
      </c>
      <c r="X41">
        <v>12</v>
      </c>
      <c r="Y41" t="s">
        <v>73</v>
      </c>
      <c r="Z41" s="5">
        <v>1912763.64</v>
      </c>
      <c r="AA41" s="5">
        <v>0</v>
      </c>
      <c r="AB41" s="5">
        <v>33821.4</v>
      </c>
      <c r="AC41" s="5">
        <v>0</v>
      </c>
      <c r="AD41" s="5">
        <v>1946585.04</v>
      </c>
      <c r="AE41" s="5">
        <v>162215.42000000001</v>
      </c>
      <c r="AF41" s="5">
        <v>1946585.04</v>
      </c>
      <c r="AG41">
        <v>58397.551199999987</v>
      </c>
      <c r="AH41">
        <v>4866.4625999999989</v>
      </c>
      <c r="AI41">
        <v>58397.551199999987</v>
      </c>
      <c r="AJ41">
        <v>1785554.53</v>
      </c>
      <c r="AK41">
        <v>74971.28</v>
      </c>
      <c r="AL41">
        <v>1710583.25</v>
      </c>
      <c r="AM41">
        <v>1130596.1299999999</v>
      </c>
      <c r="AN41">
        <v>1130596.1299999999</v>
      </c>
      <c r="AO41" t="s">
        <v>55</v>
      </c>
      <c r="AP41" t="s">
        <v>863</v>
      </c>
      <c r="AQ41">
        <v>0.03</v>
      </c>
    </row>
    <row r="42" spans="1:43" x14ac:dyDescent="0.25">
      <c r="A42" t="s">
        <v>42</v>
      </c>
      <c r="B42" t="s">
        <v>43</v>
      </c>
      <c r="C42" t="s">
        <v>44</v>
      </c>
      <c r="D42" t="s">
        <v>45</v>
      </c>
      <c r="E42">
        <v>14</v>
      </c>
      <c r="F42">
        <v>422</v>
      </c>
      <c r="G42">
        <v>3018</v>
      </c>
      <c r="H42">
        <v>4326</v>
      </c>
      <c r="I42" t="s">
        <v>122</v>
      </c>
      <c r="J42" t="s">
        <v>215</v>
      </c>
      <c r="K42" t="s">
        <v>123</v>
      </c>
      <c r="L42" t="s">
        <v>124</v>
      </c>
      <c r="M42">
        <v>8</v>
      </c>
      <c r="N42" t="s">
        <v>50</v>
      </c>
      <c r="O42">
        <v>2019</v>
      </c>
      <c r="P42">
        <v>16821</v>
      </c>
      <c r="Q42" t="s">
        <v>263</v>
      </c>
      <c r="R42" t="s">
        <v>264</v>
      </c>
      <c r="S42" t="str">
        <f>IF(COUNTIF(Tabela2[PROCESSO],Tabela1[[#This Row],[codProcesso]])&gt;0,"Está","Não está")</f>
        <v>Não está</v>
      </c>
      <c r="T42" t="s">
        <v>265</v>
      </c>
      <c r="U42" t="s">
        <v>266</v>
      </c>
      <c r="V42" t="s">
        <v>267</v>
      </c>
      <c r="W42" t="s">
        <v>268</v>
      </c>
      <c r="X42">
        <v>74</v>
      </c>
      <c r="Y42" t="s">
        <v>73</v>
      </c>
      <c r="Z42" s="5">
        <v>1897214.75</v>
      </c>
      <c r="AA42" s="5">
        <v>0</v>
      </c>
      <c r="AB42" s="5">
        <v>4661064.38</v>
      </c>
      <c r="AC42" s="5">
        <v>0</v>
      </c>
      <c r="AD42" s="5">
        <v>6558279.1299999999</v>
      </c>
      <c r="AE42" s="5">
        <v>88625.393648648649</v>
      </c>
      <c r="AF42" s="5">
        <v>1063504.7237837841</v>
      </c>
      <c r="AG42">
        <v>6558279.1299999999</v>
      </c>
      <c r="AH42">
        <v>88625.393648648649</v>
      </c>
      <c r="AI42">
        <v>1063504.7237837841</v>
      </c>
      <c r="AJ42">
        <v>7293277.8899999997</v>
      </c>
      <c r="AK42">
        <v>965855.38</v>
      </c>
      <c r="AL42">
        <v>6327422.5099999998</v>
      </c>
      <c r="AM42">
        <v>6327422.5099999998</v>
      </c>
      <c r="AN42">
        <v>6327422.5099999998</v>
      </c>
      <c r="AO42" t="s">
        <v>55</v>
      </c>
      <c r="AP42" t="s">
        <v>269</v>
      </c>
      <c r="AQ42">
        <v>1</v>
      </c>
    </row>
    <row r="43" spans="1:43" x14ac:dyDescent="0.25">
      <c r="A43" t="s">
        <v>42</v>
      </c>
      <c r="B43" t="s">
        <v>43</v>
      </c>
      <c r="C43" t="s">
        <v>44</v>
      </c>
      <c r="D43" t="s">
        <v>45</v>
      </c>
      <c r="E43">
        <v>14</v>
      </c>
      <c r="F43">
        <v>422</v>
      </c>
      <c r="G43">
        <v>3023</v>
      </c>
      <c r="H43">
        <v>4321</v>
      </c>
      <c r="I43" t="s">
        <v>57</v>
      </c>
      <c r="J43" t="s">
        <v>439</v>
      </c>
      <c r="K43" t="s">
        <v>65</v>
      </c>
      <c r="L43" t="s">
        <v>66</v>
      </c>
      <c r="M43">
        <v>6</v>
      </c>
      <c r="N43" t="s">
        <v>115</v>
      </c>
      <c r="O43">
        <v>2025</v>
      </c>
      <c r="P43">
        <v>13644</v>
      </c>
      <c r="R43" t="s">
        <v>1477</v>
      </c>
      <c r="S43" t="str">
        <f>IF(COUNTIF(Tabela2[PROCESSO],Tabela1[[#This Row],[codProcesso]])&gt;0,"Está","Não está")</f>
        <v>Não está</v>
      </c>
      <c r="T43" t="s">
        <v>1478</v>
      </c>
      <c r="X43">
        <v>12</v>
      </c>
      <c r="Y43" t="s">
        <v>54</v>
      </c>
      <c r="Z43" s="5">
        <v>1789215.04</v>
      </c>
      <c r="AA43" s="5">
        <v>0</v>
      </c>
      <c r="AB43" s="5">
        <v>0</v>
      </c>
      <c r="AC43" s="5">
        <v>0</v>
      </c>
      <c r="AD43" s="5">
        <v>1789215.04</v>
      </c>
      <c r="AE43" s="5">
        <v>149101.2533333333</v>
      </c>
      <c r="AF43" s="5">
        <v>1789215.04</v>
      </c>
      <c r="AG43">
        <v>1789215.04</v>
      </c>
      <c r="AH43">
        <v>149101.2533333333</v>
      </c>
      <c r="AI43">
        <v>1789215.04</v>
      </c>
      <c r="AJ43">
        <v>900000</v>
      </c>
      <c r="AK43">
        <v>450000</v>
      </c>
      <c r="AL43">
        <v>450000</v>
      </c>
      <c r="AM43">
        <v>0</v>
      </c>
      <c r="AN43">
        <v>0</v>
      </c>
      <c r="AO43" t="s">
        <v>55</v>
      </c>
      <c r="AP43" t="s">
        <v>1479</v>
      </c>
      <c r="AQ43">
        <v>1</v>
      </c>
    </row>
    <row r="44" spans="1:43" x14ac:dyDescent="0.25">
      <c r="A44" t="s">
        <v>42</v>
      </c>
      <c r="B44" t="s">
        <v>43</v>
      </c>
      <c r="C44" t="s">
        <v>44</v>
      </c>
      <c r="D44" t="s">
        <v>45</v>
      </c>
      <c r="E44">
        <v>14</v>
      </c>
      <c r="F44">
        <v>126</v>
      </c>
      <c r="G44">
        <v>3024</v>
      </c>
      <c r="H44">
        <v>2171</v>
      </c>
      <c r="I44" t="s">
        <v>82</v>
      </c>
      <c r="J44" t="s">
        <v>215</v>
      </c>
      <c r="K44" t="s">
        <v>65</v>
      </c>
      <c r="L44" t="s">
        <v>66</v>
      </c>
      <c r="M44">
        <v>6</v>
      </c>
      <c r="N44" t="s">
        <v>115</v>
      </c>
      <c r="O44">
        <v>2024</v>
      </c>
      <c r="P44">
        <v>30364</v>
      </c>
      <c r="Q44" t="s">
        <v>239</v>
      </c>
      <c r="R44" t="s">
        <v>240</v>
      </c>
      <c r="S44" t="str">
        <f>IF(COUNTIF(Tabela2[PROCESSO],Tabela1[[#This Row],[codProcesso]])&gt;0,"Está","Não está")</f>
        <v>Está</v>
      </c>
      <c r="T44" t="s">
        <v>241</v>
      </c>
      <c r="U44" t="s">
        <v>242</v>
      </c>
      <c r="V44" t="s">
        <v>243</v>
      </c>
      <c r="W44" t="s">
        <v>244</v>
      </c>
      <c r="X44">
        <v>12</v>
      </c>
      <c r="Y44" t="s">
        <v>73</v>
      </c>
      <c r="Z44" s="5">
        <v>1652562.8</v>
      </c>
      <c r="AA44" s="5">
        <v>0</v>
      </c>
      <c r="AB44" s="5">
        <v>0</v>
      </c>
      <c r="AC44" s="5">
        <v>0</v>
      </c>
      <c r="AD44" s="5">
        <v>1652562.8</v>
      </c>
      <c r="AE44" s="5">
        <v>137713.56666666671</v>
      </c>
      <c r="AF44" s="5">
        <v>1652562.8</v>
      </c>
      <c r="AG44">
        <v>1652562.8</v>
      </c>
      <c r="AH44">
        <v>137713.56666666671</v>
      </c>
      <c r="AI44">
        <v>1652562.8</v>
      </c>
      <c r="AJ44">
        <v>1561997.5</v>
      </c>
      <c r="AK44">
        <v>576098.49</v>
      </c>
      <c r="AL44">
        <v>985899.01</v>
      </c>
      <c r="AM44">
        <v>181780.83</v>
      </c>
      <c r="AN44">
        <v>181780.83</v>
      </c>
      <c r="AO44" t="s">
        <v>55</v>
      </c>
      <c r="AP44" t="s">
        <v>245</v>
      </c>
      <c r="AQ44">
        <v>1</v>
      </c>
    </row>
    <row r="45" spans="1:43" x14ac:dyDescent="0.25">
      <c r="A45" t="s">
        <v>42</v>
      </c>
      <c r="B45" t="s">
        <v>43</v>
      </c>
      <c r="C45" t="s">
        <v>44</v>
      </c>
      <c r="D45" t="s">
        <v>45</v>
      </c>
      <c r="E45">
        <v>14</v>
      </c>
      <c r="F45">
        <v>422</v>
      </c>
      <c r="G45">
        <v>3018</v>
      </c>
      <c r="H45">
        <v>4326</v>
      </c>
      <c r="I45" t="s">
        <v>122</v>
      </c>
      <c r="J45" t="s">
        <v>215</v>
      </c>
      <c r="K45" t="s">
        <v>123</v>
      </c>
      <c r="L45" t="s">
        <v>124</v>
      </c>
      <c r="M45">
        <v>8</v>
      </c>
      <c r="N45" t="s">
        <v>50</v>
      </c>
      <c r="O45">
        <v>2020</v>
      </c>
      <c r="P45">
        <v>16119</v>
      </c>
      <c r="Q45" t="s">
        <v>256</v>
      </c>
      <c r="R45" t="s">
        <v>257</v>
      </c>
      <c r="S45" t="str">
        <f>IF(COUNTIF(Tabela2[PROCESSO],Tabela1[[#This Row],[codProcesso]])&gt;0,"Está","Não está")</f>
        <v>Não está</v>
      </c>
      <c r="T45" t="s">
        <v>258</v>
      </c>
      <c r="U45" t="s">
        <v>259</v>
      </c>
      <c r="V45" t="s">
        <v>260</v>
      </c>
      <c r="W45" t="s">
        <v>261</v>
      </c>
      <c r="X45">
        <v>60</v>
      </c>
      <c r="Y45" t="s">
        <v>73</v>
      </c>
      <c r="Z45" s="5">
        <v>1621392.96</v>
      </c>
      <c r="AA45" s="5">
        <v>0</v>
      </c>
      <c r="AB45" s="5">
        <v>2708214.33</v>
      </c>
      <c r="AC45" s="5">
        <v>0</v>
      </c>
      <c r="AD45" s="5">
        <v>4329607.29</v>
      </c>
      <c r="AE45" s="5">
        <v>72160.121499999994</v>
      </c>
      <c r="AF45" s="5">
        <v>865921.45799999987</v>
      </c>
      <c r="AG45">
        <v>4329607.29</v>
      </c>
      <c r="AH45">
        <v>72160.121499999994</v>
      </c>
      <c r="AI45">
        <v>865921.45799999987</v>
      </c>
      <c r="AJ45">
        <v>5413200.8700000001</v>
      </c>
      <c r="AK45">
        <v>1251035.44</v>
      </c>
      <c r="AL45">
        <v>4162165.43</v>
      </c>
      <c r="AM45">
        <v>4162165.43</v>
      </c>
      <c r="AN45">
        <v>4162165.43</v>
      </c>
      <c r="AO45" t="s">
        <v>55</v>
      </c>
      <c r="AP45" t="s">
        <v>262</v>
      </c>
      <c r="AQ45">
        <v>1</v>
      </c>
    </row>
    <row r="46" spans="1:43" x14ac:dyDescent="0.25">
      <c r="A46" t="s">
        <v>42</v>
      </c>
      <c r="B46" t="s">
        <v>43</v>
      </c>
      <c r="C46" t="s">
        <v>44</v>
      </c>
      <c r="D46" t="s">
        <v>45</v>
      </c>
      <c r="E46">
        <v>14</v>
      </c>
      <c r="F46">
        <v>422</v>
      </c>
      <c r="G46">
        <v>3018</v>
      </c>
      <c r="H46">
        <v>4326</v>
      </c>
      <c r="I46" t="s">
        <v>57</v>
      </c>
      <c r="J46" t="s">
        <v>517</v>
      </c>
      <c r="K46" t="s">
        <v>65</v>
      </c>
      <c r="L46" t="s">
        <v>66</v>
      </c>
      <c r="M46">
        <v>12</v>
      </c>
      <c r="N46" t="s">
        <v>60</v>
      </c>
      <c r="O46">
        <v>2020</v>
      </c>
      <c r="P46">
        <v>14496</v>
      </c>
      <c r="Q46" t="s">
        <v>659</v>
      </c>
      <c r="R46" t="s">
        <v>660</v>
      </c>
      <c r="S46" t="str">
        <f>IF(COUNTIF(Tabela2[PROCESSO],Tabela1[[#This Row],[codProcesso]])&gt;0,"Está","Não está")</f>
        <v>Está</v>
      </c>
      <c r="T46" t="s">
        <v>661</v>
      </c>
      <c r="U46" t="s">
        <v>403</v>
      </c>
      <c r="V46" t="s">
        <v>662</v>
      </c>
      <c r="W46" t="s">
        <v>663</v>
      </c>
      <c r="X46">
        <v>60</v>
      </c>
      <c r="Y46" t="s">
        <v>73</v>
      </c>
      <c r="Z46" s="5">
        <v>1545600</v>
      </c>
      <c r="AA46" s="5">
        <v>603841.79</v>
      </c>
      <c r="AB46" s="5">
        <v>2740220</v>
      </c>
      <c r="AC46" s="5">
        <v>0</v>
      </c>
      <c r="AD46" s="5">
        <v>4889661.79</v>
      </c>
      <c r="AE46" s="5">
        <v>81494.363166666662</v>
      </c>
      <c r="AF46" s="5">
        <v>977932.35800000001</v>
      </c>
      <c r="AG46">
        <v>3667246.3424999998</v>
      </c>
      <c r="AH46">
        <v>61120.772375</v>
      </c>
      <c r="AI46">
        <v>733449.26850000001</v>
      </c>
      <c r="AJ46">
        <v>4991579.04</v>
      </c>
      <c r="AK46">
        <v>245476.68</v>
      </c>
      <c r="AL46">
        <v>4746102.3600000003</v>
      </c>
      <c r="AM46">
        <v>4435155.01</v>
      </c>
      <c r="AN46">
        <v>4435155.01</v>
      </c>
      <c r="AO46" t="s">
        <v>55</v>
      </c>
      <c r="AP46" t="s">
        <v>664</v>
      </c>
      <c r="AQ46">
        <v>0.75</v>
      </c>
    </row>
    <row r="47" spans="1:43" x14ac:dyDescent="0.25">
      <c r="A47" t="s">
        <v>42</v>
      </c>
      <c r="B47" t="s">
        <v>43</v>
      </c>
      <c r="C47" t="s">
        <v>44</v>
      </c>
      <c r="D47" t="s">
        <v>45</v>
      </c>
      <c r="E47">
        <v>14</v>
      </c>
      <c r="F47">
        <v>422</v>
      </c>
      <c r="G47">
        <v>3013</v>
      </c>
      <c r="H47">
        <v>2431</v>
      </c>
      <c r="I47" t="s">
        <v>122</v>
      </c>
      <c r="J47" t="s">
        <v>439</v>
      </c>
      <c r="K47" t="s">
        <v>123</v>
      </c>
      <c r="L47" t="s">
        <v>124</v>
      </c>
      <c r="M47">
        <v>8</v>
      </c>
      <c r="N47" t="s">
        <v>50</v>
      </c>
      <c r="O47">
        <v>2021</v>
      </c>
      <c r="P47">
        <v>7511</v>
      </c>
      <c r="Q47" t="s">
        <v>477</v>
      </c>
      <c r="R47" t="s">
        <v>478</v>
      </c>
      <c r="S47" t="str">
        <f>IF(COUNTIF(Tabela2[PROCESSO],Tabela1[[#This Row],[codProcesso]])&gt;0,"Está","Não está")</f>
        <v>Está</v>
      </c>
      <c r="T47" t="s">
        <v>479</v>
      </c>
      <c r="U47" t="s">
        <v>480</v>
      </c>
      <c r="V47" t="s">
        <v>481</v>
      </c>
      <c r="W47" t="s">
        <v>261</v>
      </c>
      <c r="X47">
        <v>52</v>
      </c>
      <c r="Y47" t="s">
        <v>73</v>
      </c>
      <c r="Z47" s="5">
        <v>1510937.4</v>
      </c>
      <c r="AA47" s="5">
        <v>0</v>
      </c>
      <c r="AB47" s="5">
        <v>1287634.4099999999</v>
      </c>
      <c r="AC47" s="5">
        <v>0</v>
      </c>
      <c r="AD47" s="5">
        <v>2798571.81</v>
      </c>
      <c r="AE47" s="5">
        <v>53818.688653846148</v>
      </c>
      <c r="AF47" s="5">
        <v>645824.26384615374</v>
      </c>
      <c r="AG47">
        <v>699642.9524999999</v>
      </c>
      <c r="AH47">
        <v>13454.672163461541</v>
      </c>
      <c r="AI47">
        <v>161456.06596153841</v>
      </c>
      <c r="AJ47">
        <v>3645826.7</v>
      </c>
      <c r="AK47">
        <v>847435.49</v>
      </c>
      <c r="AL47">
        <v>2798391.21</v>
      </c>
      <c r="AM47">
        <v>2798391.21</v>
      </c>
      <c r="AN47">
        <v>2798391.21</v>
      </c>
      <c r="AO47" t="s">
        <v>55</v>
      </c>
      <c r="AP47" t="s">
        <v>482</v>
      </c>
      <c r="AQ47">
        <v>0.25</v>
      </c>
    </row>
    <row r="48" spans="1:43" x14ac:dyDescent="0.25">
      <c r="A48" t="s">
        <v>42</v>
      </c>
      <c r="B48" t="s">
        <v>43</v>
      </c>
      <c r="C48" t="s">
        <v>44</v>
      </c>
      <c r="D48" t="s">
        <v>45</v>
      </c>
      <c r="E48">
        <v>8</v>
      </c>
      <c r="F48">
        <v>605</v>
      </c>
      <c r="G48">
        <v>3016</v>
      </c>
      <c r="H48">
        <v>4470</v>
      </c>
      <c r="I48" t="s">
        <v>57</v>
      </c>
      <c r="J48" t="s">
        <v>483</v>
      </c>
      <c r="K48" t="s">
        <v>65</v>
      </c>
      <c r="L48" t="s">
        <v>66</v>
      </c>
      <c r="M48">
        <v>12</v>
      </c>
      <c r="N48" t="s">
        <v>60</v>
      </c>
      <c r="O48">
        <v>2021</v>
      </c>
      <c r="P48">
        <v>8320</v>
      </c>
      <c r="Q48" t="s">
        <v>730</v>
      </c>
      <c r="R48" t="s">
        <v>731</v>
      </c>
      <c r="S48" t="str">
        <f>IF(COUNTIF(Tabela2[PROCESSO],Tabela1[[#This Row],[codProcesso]])&gt;0,"Está","Não está")</f>
        <v>Está</v>
      </c>
      <c r="T48" t="s">
        <v>732</v>
      </c>
      <c r="U48" t="s">
        <v>733</v>
      </c>
      <c r="V48" t="s">
        <v>734</v>
      </c>
      <c r="W48" t="s">
        <v>735</v>
      </c>
      <c r="X48">
        <v>52</v>
      </c>
      <c r="Y48" t="s">
        <v>73</v>
      </c>
      <c r="Z48" s="5">
        <v>1189394.82</v>
      </c>
      <c r="AA48" s="5">
        <v>930125.15</v>
      </c>
      <c r="AB48" s="5">
        <v>9053127.3100000005</v>
      </c>
      <c r="AC48" s="5">
        <v>0</v>
      </c>
      <c r="AD48" s="5">
        <v>11172647.279999999</v>
      </c>
      <c r="AE48" s="5">
        <v>214858.6015384616</v>
      </c>
      <c r="AF48" s="5">
        <v>2578303.2184615391</v>
      </c>
      <c r="AG48">
        <v>11172647.279999999</v>
      </c>
      <c r="AH48">
        <v>214858.6015384616</v>
      </c>
      <c r="AI48">
        <v>2578303.2184615391</v>
      </c>
      <c r="AJ48">
        <v>11486807.039999999</v>
      </c>
      <c r="AK48">
        <v>1676895.28</v>
      </c>
      <c r="AL48">
        <v>9809911.7599999998</v>
      </c>
      <c r="AM48">
        <v>8970526.6400000006</v>
      </c>
      <c r="AN48">
        <v>8670746.2400000002</v>
      </c>
      <c r="AO48" t="s">
        <v>55</v>
      </c>
      <c r="AP48" t="s">
        <v>736</v>
      </c>
      <c r="AQ48">
        <v>1</v>
      </c>
    </row>
    <row r="49" spans="1:43" x14ac:dyDescent="0.25">
      <c r="A49" t="s">
        <v>42</v>
      </c>
      <c r="B49" t="s">
        <v>43</v>
      </c>
      <c r="C49" t="s">
        <v>44</v>
      </c>
      <c r="D49" t="s">
        <v>45</v>
      </c>
      <c r="E49">
        <v>8</v>
      </c>
      <c r="F49">
        <v>243</v>
      </c>
      <c r="G49">
        <v>3013</v>
      </c>
      <c r="H49">
        <v>4328</v>
      </c>
      <c r="I49" t="s">
        <v>122</v>
      </c>
      <c r="J49" t="s">
        <v>405</v>
      </c>
      <c r="K49" t="s">
        <v>355</v>
      </c>
      <c r="L49" t="s">
        <v>356</v>
      </c>
      <c r="M49">
        <v>8</v>
      </c>
      <c r="N49" t="s">
        <v>50</v>
      </c>
      <c r="O49">
        <v>2018</v>
      </c>
      <c r="P49">
        <v>18372</v>
      </c>
      <c r="Q49" t="s">
        <v>406</v>
      </c>
      <c r="R49" t="s">
        <v>407</v>
      </c>
      <c r="S49" t="str">
        <f>IF(COUNTIF(Tabela2[PROCESSO],Tabela1[[#This Row],[codProcesso]])&gt;0,"Está","Não está")</f>
        <v>Não está</v>
      </c>
      <c r="T49" t="s">
        <v>408</v>
      </c>
      <c r="U49" t="s">
        <v>409</v>
      </c>
      <c r="V49" t="s">
        <v>410</v>
      </c>
      <c r="W49" t="s">
        <v>411</v>
      </c>
      <c r="X49">
        <v>85</v>
      </c>
      <c r="Y49" t="s">
        <v>73</v>
      </c>
      <c r="Z49" s="5">
        <v>1167461.76</v>
      </c>
      <c r="AA49" s="5">
        <v>0</v>
      </c>
      <c r="AB49" s="5">
        <v>7004770.6200000001</v>
      </c>
      <c r="AC49" s="5">
        <v>0</v>
      </c>
      <c r="AD49" s="5">
        <v>8172232.3799999999</v>
      </c>
      <c r="AE49" s="5">
        <v>96143.91035294118</v>
      </c>
      <c r="AF49" s="5">
        <v>1153726.9242352941</v>
      </c>
      <c r="AG49">
        <v>8172232.3799999999</v>
      </c>
      <c r="AH49">
        <v>96143.91035294118</v>
      </c>
      <c r="AI49">
        <v>1153726.9242352941</v>
      </c>
      <c r="AJ49">
        <v>8853251.3699999992</v>
      </c>
      <c r="AK49">
        <v>681019.36</v>
      </c>
      <c r="AL49">
        <v>8172232.0099999998</v>
      </c>
      <c r="AM49">
        <v>8172232.0099999998</v>
      </c>
      <c r="AN49">
        <v>8172232.0099999998</v>
      </c>
      <c r="AO49" t="s">
        <v>55</v>
      </c>
      <c r="AP49" t="s">
        <v>412</v>
      </c>
      <c r="AQ49">
        <v>1</v>
      </c>
    </row>
    <row r="50" spans="1:43" x14ac:dyDescent="0.25">
      <c r="A50" t="s">
        <v>42</v>
      </c>
      <c r="B50" t="s">
        <v>43</v>
      </c>
      <c r="C50" t="s">
        <v>44</v>
      </c>
      <c r="D50" t="s">
        <v>45</v>
      </c>
      <c r="E50">
        <v>14</v>
      </c>
      <c r="F50">
        <v>422</v>
      </c>
      <c r="G50">
        <v>3013</v>
      </c>
      <c r="H50">
        <v>2053</v>
      </c>
      <c r="I50" t="s">
        <v>57</v>
      </c>
      <c r="J50" t="s">
        <v>881</v>
      </c>
      <c r="K50" t="s">
        <v>65</v>
      </c>
      <c r="L50" t="s">
        <v>66</v>
      </c>
      <c r="M50">
        <v>12</v>
      </c>
      <c r="N50" t="s">
        <v>60</v>
      </c>
      <c r="O50">
        <v>2024</v>
      </c>
      <c r="P50">
        <v>35367</v>
      </c>
      <c r="Q50" t="s">
        <v>912</v>
      </c>
      <c r="R50" t="s">
        <v>913</v>
      </c>
      <c r="S50" t="str">
        <f>IF(COUNTIF(Tabela2[PROCESSO],Tabela1[[#This Row],[codProcesso]])&gt;0,"Está","Não está")</f>
        <v>Está</v>
      </c>
      <c r="T50" t="s">
        <v>914</v>
      </c>
      <c r="U50" t="s">
        <v>915</v>
      </c>
      <c r="V50" t="s">
        <v>916</v>
      </c>
      <c r="W50" t="s">
        <v>917</v>
      </c>
      <c r="X50">
        <v>13</v>
      </c>
      <c r="Y50" t="s">
        <v>73</v>
      </c>
      <c r="Z50" s="5">
        <v>1161857.8799999999</v>
      </c>
      <c r="AA50" s="5">
        <v>0</v>
      </c>
      <c r="AB50" s="5">
        <v>0</v>
      </c>
      <c r="AC50" s="5">
        <v>0</v>
      </c>
      <c r="AD50" s="5">
        <v>1161857.8799999999</v>
      </c>
      <c r="AE50" s="5">
        <v>89373.683076923073</v>
      </c>
      <c r="AF50" s="5">
        <v>1072484.1969230771</v>
      </c>
      <c r="AG50">
        <v>1161857.8799999999</v>
      </c>
      <c r="AH50">
        <v>89373.683076923073</v>
      </c>
      <c r="AI50">
        <v>1072484.1969230771</v>
      </c>
      <c r="AJ50">
        <v>1358759.34</v>
      </c>
      <c r="AK50">
        <v>221862.24</v>
      </c>
      <c r="AL50">
        <v>1136897.1000000001</v>
      </c>
      <c r="AM50">
        <v>552730.77</v>
      </c>
      <c r="AN50">
        <v>552730.77</v>
      </c>
      <c r="AO50" t="s">
        <v>55</v>
      </c>
      <c r="AP50" t="s">
        <v>918</v>
      </c>
      <c r="AQ50">
        <v>1</v>
      </c>
    </row>
    <row r="51" spans="1:43" x14ac:dyDescent="0.25">
      <c r="A51" t="s">
        <v>42</v>
      </c>
      <c r="B51" t="s">
        <v>43</v>
      </c>
      <c r="C51" t="s">
        <v>44</v>
      </c>
      <c r="D51" t="s">
        <v>45</v>
      </c>
      <c r="E51">
        <v>14</v>
      </c>
      <c r="F51">
        <v>243</v>
      </c>
      <c r="G51">
        <v>3013</v>
      </c>
      <c r="H51">
        <v>2157</v>
      </c>
      <c r="I51" t="s">
        <v>57</v>
      </c>
      <c r="J51" t="s">
        <v>483</v>
      </c>
      <c r="K51" t="s">
        <v>65</v>
      </c>
      <c r="L51" t="s">
        <v>66</v>
      </c>
      <c r="M51">
        <v>12</v>
      </c>
      <c r="N51" t="s">
        <v>60</v>
      </c>
      <c r="O51">
        <v>2021</v>
      </c>
      <c r="P51">
        <v>24655</v>
      </c>
      <c r="Q51" t="s">
        <v>500</v>
      </c>
      <c r="R51" t="s">
        <v>501</v>
      </c>
      <c r="S51" t="str">
        <f>IF(COUNTIF(Tabela2[PROCESSO],Tabela1[[#This Row],[codProcesso]])&gt;0,"Está","Não está")</f>
        <v>Está</v>
      </c>
      <c r="T51" t="s">
        <v>502</v>
      </c>
      <c r="U51" t="s">
        <v>503</v>
      </c>
      <c r="V51" t="s">
        <v>504</v>
      </c>
      <c r="W51" t="s">
        <v>505</v>
      </c>
      <c r="X51">
        <v>48</v>
      </c>
      <c r="Y51" t="s">
        <v>73</v>
      </c>
      <c r="Z51" s="5">
        <v>1159527.6599999999</v>
      </c>
      <c r="AA51" s="5">
        <v>173929.14</v>
      </c>
      <c r="AB51" s="5">
        <v>3767984.47</v>
      </c>
      <c r="AC51" s="5">
        <v>0</v>
      </c>
      <c r="AD51" s="5">
        <v>5101441.2699999996</v>
      </c>
      <c r="AE51" s="5">
        <v>106280.0264583333</v>
      </c>
      <c r="AF51" s="5">
        <v>1275360.3174999999</v>
      </c>
      <c r="AG51">
        <v>3315936.8254999998</v>
      </c>
      <c r="AH51">
        <v>69082.017197916663</v>
      </c>
      <c r="AI51">
        <v>828984.20637499995</v>
      </c>
      <c r="AJ51">
        <v>5055259.71</v>
      </c>
      <c r="AK51">
        <v>1045580.36</v>
      </c>
      <c r="AL51">
        <v>4009679.35</v>
      </c>
      <c r="AM51">
        <v>3473228.9</v>
      </c>
      <c r="AN51">
        <v>3473228.9</v>
      </c>
      <c r="AO51" t="s">
        <v>55</v>
      </c>
      <c r="AP51" t="s">
        <v>506</v>
      </c>
      <c r="AQ51">
        <v>0.65</v>
      </c>
    </row>
    <row r="52" spans="1:43" x14ac:dyDescent="0.25">
      <c r="A52" t="s">
        <v>42</v>
      </c>
      <c r="B52" t="s">
        <v>43</v>
      </c>
      <c r="C52" t="s">
        <v>44</v>
      </c>
      <c r="D52" t="s">
        <v>45</v>
      </c>
      <c r="E52">
        <v>14</v>
      </c>
      <c r="F52">
        <v>422</v>
      </c>
      <c r="G52">
        <v>3007</v>
      </c>
      <c r="H52">
        <v>4330</v>
      </c>
      <c r="I52" t="s">
        <v>390</v>
      </c>
      <c r="J52" t="s">
        <v>215</v>
      </c>
      <c r="K52" t="s">
        <v>65</v>
      </c>
      <c r="L52" t="s">
        <v>66</v>
      </c>
      <c r="M52">
        <v>12</v>
      </c>
      <c r="N52" t="s">
        <v>60</v>
      </c>
      <c r="O52">
        <v>2021</v>
      </c>
      <c r="P52">
        <v>19273</v>
      </c>
      <c r="Q52" t="s">
        <v>1003</v>
      </c>
      <c r="R52" t="s">
        <v>1004</v>
      </c>
      <c r="S52" t="str">
        <f>IF(COUNTIF(Tabela2[PROCESSO],Tabela1[[#This Row],[codProcesso]])&gt;0,"Está","Não está")</f>
        <v>Está</v>
      </c>
      <c r="T52" t="s">
        <v>1005</v>
      </c>
      <c r="U52" t="s">
        <v>1006</v>
      </c>
      <c r="V52" t="s">
        <v>1007</v>
      </c>
      <c r="W52" t="s">
        <v>1008</v>
      </c>
      <c r="X52">
        <v>48</v>
      </c>
      <c r="Y52" t="s">
        <v>73</v>
      </c>
      <c r="Z52" s="5">
        <v>1109970</v>
      </c>
      <c r="AA52" s="5">
        <v>301997.68</v>
      </c>
      <c r="AB52" s="5">
        <v>3043704.96</v>
      </c>
      <c r="AC52" s="5">
        <v>0</v>
      </c>
      <c r="AD52" s="5">
        <v>4455672.6399999997</v>
      </c>
      <c r="AE52" s="5">
        <v>92826.513333333321</v>
      </c>
      <c r="AF52" s="5">
        <v>1113918.1599999999</v>
      </c>
      <c r="AG52">
        <v>1470371.9712</v>
      </c>
      <c r="AH52">
        <v>30632.749400000001</v>
      </c>
      <c r="AI52">
        <v>367592.99280000001</v>
      </c>
      <c r="AJ52">
        <v>3956253.09</v>
      </c>
      <c r="AK52">
        <v>254199.18</v>
      </c>
      <c r="AL52">
        <v>3702053.91</v>
      </c>
      <c r="AM52">
        <v>3599942.55</v>
      </c>
      <c r="AN52">
        <v>3599942.55</v>
      </c>
      <c r="AO52" t="s">
        <v>55</v>
      </c>
      <c r="AP52" t="s">
        <v>1009</v>
      </c>
      <c r="AQ52">
        <v>0.33</v>
      </c>
    </row>
    <row r="53" spans="1:43" x14ac:dyDescent="0.25">
      <c r="A53" t="s">
        <v>42</v>
      </c>
      <c r="B53" t="s">
        <v>43</v>
      </c>
      <c r="C53" t="s">
        <v>44</v>
      </c>
      <c r="D53" t="s">
        <v>45</v>
      </c>
      <c r="E53">
        <v>14</v>
      </c>
      <c r="F53">
        <v>422</v>
      </c>
      <c r="G53">
        <v>3013</v>
      </c>
      <c r="H53">
        <v>6178</v>
      </c>
      <c r="I53" t="s">
        <v>186</v>
      </c>
      <c r="J53" t="s">
        <v>439</v>
      </c>
      <c r="K53" t="s">
        <v>491</v>
      </c>
      <c r="L53" t="s">
        <v>492</v>
      </c>
      <c r="M53">
        <v>12</v>
      </c>
      <c r="N53" t="s">
        <v>60</v>
      </c>
      <c r="O53">
        <v>2025</v>
      </c>
      <c r="P53">
        <v>14554</v>
      </c>
      <c r="R53" t="s">
        <v>1547</v>
      </c>
      <c r="S53" t="str">
        <f>IF(COUNTIF(Tabela2[PROCESSO],Tabela1[[#This Row],[codProcesso]])&gt;0,"Está","Não está")</f>
        <v>Não está</v>
      </c>
      <c r="T53" t="s">
        <v>1548</v>
      </c>
      <c r="X53">
        <v>12</v>
      </c>
      <c r="Y53" t="s">
        <v>54</v>
      </c>
      <c r="Z53" s="5">
        <v>1054300</v>
      </c>
      <c r="AA53" s="5">
        <v>0</v>
      </c>
      <c r="AB53" s="5">
        <v>0</v>
      </c>
      <c r="AC53" s="5">
        <v>0</v>
      </c>
      <c r="AD53" s="5">
        <v>1054300</v>
      </c>
      <c r="AE53" s="5">
        <v>87858.333333333328</v>
      </c>
      <c r="AF53" s="5">
        <v>1054300</v>
      </c>
      <c r="AG53">
        <v>1054300</v>
      </c>
      <c r="AH53">
        <v>87858.333333333328</v>
      </c>
      <c r="AI53">
        <v>1054300</v>
      </c>
      <c r="AJ53">
        <v>120000</v>
      </c>
      <c r="AK53">
        <v>0</v>
      </c>
      <c r="AL53">
        <v>120000</v>
      </c>
      <c r="AM53">
        <v>0</v>
      </c>
      <c r="AN53">
        <v>0</v>
      </c>
      <c r="AO53" t="s">
        <v>55</v>
      </c>
      <c r="AP53" t="s">
        <v>1549</v>
      </c>
      <c r="AQ53">
        <v>1</v>
      </c>
    </row>
    <row r="54" spans="1:43" x14ac:dyDescent="0.25">
      <c r="A54" t="s">
        <v>42</v>
      </c>
      <c r="B54" t="s">
        <v>43</v>
      </c>
      <c r="C54" t="s">
        <v>44</v>
      </c>
      <c r="D54" t="s">
        <v>45</v>
      </c>
      <c r="E54">
        <v>14</v>
      </c>
      <c r="F54">
        <v>122</v>
      </c>
      <c r="G54">
        <v>3024</v>
      </c>
      <c r="H54">
        <v>2100</v>
      </c>
      <c r="I54" t="s">
        <v>57</v>
      </c>
      <c r="J54" t="s">
        <v>483</v>
      </c>
      <c r="K54" t="s">
        <v>65</v>
      </c>
      <c r="L54" t="s">
        <v>66</v>
      </c>
      <c r="M54">
        <v>12</v>
      </c>
      <c r="N54" t="s">
        <v>60</v>
      </c>
      <c r="O54">
        <v>2021</v>
      </c>
      <c r="P54">
        <v>22768</v>
      </c>
      <c r="Q54" t="s">
        <v>722</v>
      </c>
      <c r="R54" t="s">
        <v>717</v>
      </c>
      <c r="S54" t="str">
        <f>IF(COUNTIF(Tabela2[PROCESSO],Tabela1[[#This Row],[codProcesso]])&gt;0,"Está","Não está")</f>
        <v>Está</v>
      </c>
      <c r="T54" t="s">
        <v>718</v>
      </c>
      <c r="U54" t="s">
        <v>719</v>
      </c>
      <c r="V54" t="s">
        <v>720</v>
      </c>
      <c r="W54" t="s">
        <v>512</v>
      </c>
      <c r="X54">
        <v>48</v>
      </c>
      <c r="Y54" t="s">
        <v>73</v>
      </c>
      <c r="Z54" s="5">
        <v>973800</v>
      </c>
      <c r="AA54" s="5">
        <v>292143.35999999999</v>
      </c>
      <c r="AB54" s="5">
        <v>2921400</v>
      </c>
      <c r="AC54" s="5">
        <v>0</v>
      </c>
      <c r="AD54" s="5">
        <v>4187343.36</v>
      </c>
      <c r="AE54" s="5">
        <v>87236.319999999992</v>
      </c>
      <c r="AF54" s="5">
        <v>1046835.84</v>
      </c>
      <c r="AG54">
        <v>4187343.36</v>
      </c>
      <c r="AH54">
        <v>87236.319999999992</v>
      </c>
      <c r="AI54">
        <v>1046835.84</v>
      </c>
      <c r="AJ54">
        <v>3188360.2</v>
      </c>
      <c r="AK54">
        <v>1590638.41</v>
      </c>
      <c r="AL54">
        <v>1597721.79</v>
      </c>
      <c r="AM54">
        <v>1309020.1499999999</v>
      </c>
      <c r="AN54">
        <v>1248416.48</v>
      </c>
      <c r="AO54" t="s">
        <v>55</v>
      </c>
      <c r="AP54" t="s">
        <v>721</v>
      </c>
      <c r="AQ54">
        <v>1</v>
      </c>
    </row>
    <row r="55" spans="1:43" x14ac:dyDescent="0.25">
      <c r="A55" t="s">
        <v>42</v>
      </c>
      <c r="B55" t="s">
        <v>43</v>
      </c>
      <c r="C55" t="s">
        <v>44</v>
      </c>
      <c r="D55" t="s">
        <v>45</v>
      </c>
      <c r="E55">
        <v>14</v>
      </c>
      <c r="F55">
        <v>243</v>
      </c>
      <c r="G55">
        <v>3013</v>
      </c>
      <c r="H55">
        <v>2157</v>
      </c>
      <c r="I55" t="s">
        <v>57</v>
      </c>
      <c r="J55" t="s">
        <v>749</v>
      </c>
      <c r="K55" t="s">
        <v>65</v>
      </c>
      <c r="L55" t="s">
        <v>66</v>
      </c>
      <c r="M55">
        <v>12</v>
      </c>
      <c r="N55" t="s">
        <v>60</v>
      </c>
      <c r="O55">
        <v>2021</v>
      </c>
      <c r="P55">
        <v>18248</v>
      </c>
      <c r="Q55" t="s">
        <v>786</v>
      </c>
      <c r="R55" t="s">
        <v>787</v>
      </c>
      <c r="S55" t="str">
        <f>IF(COUNTIF(Tabela2[PROCESSO],Tabela1[[#This Row],[codProcesso]])&gt;0,"Está","Não está")</f>
        <v>Está</v>
      </c>
      <c r="T55" t="s">
        <v>788</v>
      </c>
      <c r="U55" t="s">
        <v>789</v>
      </c>
      <c r="V55" t="s">
        <v>790</v>
      </c>
      <c r="W55" t="s">
        <v>791</v>
      </c>
      <c r="X55">
        <v>65</v>
      </c>
      <c r="Y55" t="s">
        <v>73</v>
      </c>
      <c r="Z55" s="5">
        <v>927260.4</v>
      </c>
      <c r="AA55" s="5">
        <v>0</v>
      </c>
      <c r="AB55" s="5">
        <v>927260.4</v>
      </c>
      <c r="AC55" s="5">
        <v>0</v>
      </c>
      <c r="AD55" s="5">
        <v>1854520.8</v>
      </c>
      <c r="AE55" s="5">
        <v>28531.08923076923</v>
      </c>
      <c r="AF55" s="5">
        <v>342373.07076923078</v>
      </c>
      <c r="AG55">
        <v>1854520.8</v>
      </c>
      <c r="AH55">
        <v>28531.08923076923</v>
      </c>
      <c r="AI55">
        <v>342373.07076923078</v>
      </c>
      <c r="AJ55">
        <v>1829277.34</v>
      </c>
      <c r="AK55">
        <v>416879.87</v>
      </c>
      <c r="AL55">
        <v>1412397.47</v>
      </c>
      <c r="AM55">
        <v>1166097.51</v>
      </c>
      <c r="AN55">
        <v>1166097.51</v>
      </c>
      <c r="AO55" t="s">
        <v>55</v>
      </c>
      <c r="AP55" t="s">
        <v>792</v>
      </c>
      <c r="AQ55">
        <v>1</v>
      </c>
    </row>
    <row r="56" spans="1:43" x14ac:dyDescent="0.25">
      <c r="A56" t="s">
        <v>42</v>
      </c>
      <c r="B56" t="s">
        <v>43</v>
      </c>
      <c r="C56" t="s">
        <v>44</v>
      </c>
      <c r="D56" t="s">
        <v>45</v>
      </c>
      <c r="E56">
        <v>14</v>
      </c>
      <c r="F56">
        <v>243</v>
      </c>
      <c r="G56">
        <v>3013</v>
      </c>
      <c r="H56">
        <v>2157</v>
      </c>
      <c r="I56" t="s">
        <v>57</v>
      </c>
      <c r="J56" t="s">
        <v>47</v>
      </c>
      <c r="K56" t="s">
        <v>65</v>
      </c>
      <c r="L56" t="s">
        <v>66</v>
      </c>
      <c r="M56">
        <v>12</v>
      </c>
      <c r="N56" t="s">
        <v>60</v>
      </c>
      <c r="O56">
        <v>2020</v>
      </c>
      <c r="P56">
        <v>14321</v>
      </c>
      <c r="Q56" t="s">
        <v>187</v>
      </c>
      <c r="R56" t="s">
        <v>188</v>
      </c>
      <c r="S56" t="str">
        <f>IF(COUNTIF(Tabela2[PROCESSO],Tabela1[[#This Row],[codProcesso]])&gt;0,"Está","Não está")</f>
        <v>Não está</v>
      </c>
      <c r="T56" t="s">
        <v>189</v>
      </c>
      <c r="U56" t="s">
        <v>190</v>
      </c>
      <c r="V56" t="s">
        <v>191</v>
      </c>
      <c r="W56" t="s">
        <v>192</v>
      </c>
      <c r="X56">
        <v>85</v>
      </c>
      <c r="Y56" t="s">
        <v>73</v>
      </c>
      <c r="Z56" s="5">
        <v>816999.92</v>
      </c>
      <c r="AA56" s="5">
        <v>803424.44</v>
      </c>
      <c r="AB56" s="5">
        <v>5449623.4000000004</v>
      </c>
      <c r="AC56" s="5">
        <v>0</v>
      </c>
      <c r="AD56" s="5">
        <v>7070047.7599999998</v>
      </c>
      <c r="AE56" s="5">
        <v>83177.032470588238</v>
      </c>
      <c r="AF56" s="5">
        <v>998124.38964705891</v>
      </c>
      <c r="AG56">
        <v>7070047.7599999998</v>
      </c>
      <c r="AH56">
        <v>83177.032470588238</v>
      </c>
      <c r="AI56">
        <v>998124.38964705891</v>
      </c>
      <c r="AJ56">
        <v>7454279.29</v>
      </c>
      <c r="AK56">
        <v>549850.74</v>
      </c>
      <c r="AL56">
        <v>6904428.5499999998</v>
      </c>
      <c r="AM56">
        <v>6748969.04</v>
      </c>
      <c r="AN56">
        <v>6748969.04</v>
      </c>
      <c r="AO56" t="s">
        <v>55</v>
      </c>
      <c r="AP56" t="s">
        <v>193</v>
      </c>
      <c r="AQ56">
        <v>1</v>
      </c>
    </row>
    <row r="57" spans="1:43" x14ac:dyDescent="0.25">
      <c r="A57" t="s">
        <v>42</v>
      </c>
      <c r="B57" t="s">
        <v>43</v>
      </c>
      <c r="C57" t="s">
        <v>44</v>
      </c>
      <c r="D57" t="s">
        <v>45</v>
      </c>
      <c r="E57">
        <v>14</v>
      </c>
      <c r="F57">
        <v>122</v>
      </c>
      <c r="G57">
        <v>3024</v>
      </c>
      <c r="H57">
        <v>2100</v>
      </c>
      <c r="I57" t="s">
        <v>57</v>
      </c>
      <c r="J57" t="s">
        <v>517</v>
      </c>
      <c r="K57" t="s">
        <v>622</v>
      </c>
      <c r="L57" t="s">
        <v>623</v>
      </c>
      <c r="M57">
        <v>12</v>
      </c>
      <c r="N57" t="s">
        <v>60</v>
      </c>
      <c r="O57">
        <v>2025</v>
      </c>
      <c r="P57">
        <v>3135</v>
      </c>
      <c r="Q57" t="s">
        <v>624</v>
      </c>
      <c r="R57" t="s">
        <v>625</v>
      </c>
      <c r="S57" t="str">
        <f>IF(COUNTIF(Tabela2[PROCESSO],Tabela1[[#This Row],[codProcesso]])&gt;0,"Está","Não está")</f>
        <v>Não está</v>
      </c>
      <c r="T57" t="s">
        <v>626</v>
      </c>
      <c r="U57" t="s">
        <v>627</v>
      </c>
      <c r="V57" t="s">
        <v>628</v>
      </c>
      <c r="W57" t="s">
        <v>590</v>
      </c>
      <c r="X57">
        <v>0</v>
      </c>
      <c r="Y57" t="s">
        <v>98</v>
      </c>
      <c r="Z57" s="5">
        <v>753600</v>
      </c>
      <c r="AA57" s="5">
        <v>0</v>
      </c>
      <c r="AB57" s="5">
        <v>0</v>
      </c>
      <c r="AC57" s="5">
        <v>0</v>
      </c>
      <c r="AD57" s="5">
        <v>753600</v>
      </c>
      <c r="AE57" s="5">
        <v>62800</v>
      </c>
      <c r="AF57" s="5">
        <v>753600</v>
      </c>
      <c r="AG57">
        <v>753600</v>
      </c>
      <c r="AH57">
        <v>62800</v>
      </c>
      <c r="AI57">
        <v>753600</v>
      </c>
      <c r="AJ57">
        <v>753600</v>
      </c>
      <c r="AK57">
        <v>409204.8</v>
      </c>
      <c r="AL57">
        <v>344395.2</v>
      </c>
      <c r="AM57">
        <v>344395.2</v>
      </c>
      <c r="AN57">
        <v>344395.2</v>
      </c>
      <c r="AO57" t="s">
        <v>55</v>
      </c>
      <c r="AP57" t="s">
        <v>629</v>
      </c>
      <c r="AQ57">
        <v>1</v>
      </c>
    </row>
    <row r="58" spans="1:43" x14ac:dyDescent="0.25">
      <c r="A58" t="s">
        <v>42</v>
      </c>
      <c r="B58" t="s">
        <v>43</v>
      </c>
      <c r="C58" t="s">
        <v>44</v>
      </c>
      <c r="D58" t="s">
        <v>45</v>
      </c>
      <c r="E58">
        <v>14</v>
      </c>
      <c r="F58">
        <v>422</v>
      </c>
      <c r="G58">
        <v>3018</v>
      </c>
      <c r="H58">
        <v>4334</v>
      </c>
      <c r="I58" t="s">
        <v>390</v>
      </c>
      <c r="J58" t="s">
        <v>405</v>
      </c>
      <c r="K58" t="s">
        <v>65</v>
      </c>
      <c r="L58" t="s">
        <v>66</v>
      </c>
      <c r="M58">
        <v>12</v>
      </c>
      <c r="N58" t="s">
        <v>60</v>
      </c>
      <c r="O58">
        <v>2022</v>
      </c>
      <c r="P58">
        <v>31010</v>
      </c>
      <c r="R58" t="s">
        <v>417</v>
      </c>
      <c r="S58" t="str">
        <f>IF(COUNTIF(Tabela2[PROCESSO],Tabela1[[#This Row],[codProcesso]])&gt;0,"Está","Não está")</f>
        <v>Está</v>
      </c>
      <c r="T58" t="s">
        <v>418</v>
      </c>
      <c r="W58" t="s">
        <v>419</v>
      </c>
      <c r="X58">
        <v>12</v>
      </c>
      <c r="Y58" t="s">
        <v>54</v>
      </c>
      <c r="Z58" s="5">
        <v>747999.84</v>
      </c>
      <c r="AA58" s="5">
        <v>0</v>
      </c>
      <c r="AB58" s="5">
        <v>0</v>
      </c>
      <c r="AC58" s="5">
        <v>0</v>
      </c>
      <c r="AD58" s="5">
        <v>747999.84</v>
      </c>
      <c r="AE58" s="5">
        <v>62333.32</v>
      </c>
      <c r="AF58" s="5">
        <v>747999.84</v>
      </c>
      <c r="AG58">
        <v>613359.86879999994</v>
      </c>
      <c r="AH58">
        <v>51113.322399999997</v>
      </c>
      <c r="AI58">
        <v>613359.86879999994</v>
      </c>
      <c r="AJ58">
        <v>124666.64</v>
      </c>
      <c r="AK58">
        <v>124666.64</v>
      </c>
      <c r="AL58">
        <v>0</v>
      </c>
      <c r="AM58">
        <v>0</v>
      </c>
      <c r="AN58">
        <v>0</v>
      </c>
      <c r="AO58" t="s">
        <v>55</v>
      </c>
      <c r="AP58" t="s">
        <v>420</v>
      </c>
      <c r="AQ58">
        <v>0.82</v>
      </c>
    </row>
    <row r="59" spans="1:43" x14ac:dyDescent="0.25">
      <c r="A59" t="s">
        <v>42</v>
      </c>
      <c r="B59" t="s">
        <v>43</v>
      </c>
      <c r="C59" t="s">
        <v>44</v>
      </c>
      <c r="D59" t="s">
        <v>45</v>
      </c>
      <c r="E59">
        <v>14</v>
      </c>
      <c r="F59">
        <v>422</v>
      </c>
      <c r="G59">
        <v>3013</v>
      </c>
      <c r="H59">
        <v>6178</v>
      </c>
      <c r="I59" t="s">
        <v>57</v>
      </c>
      <c r="J59" t="s">
        <v>361</v>
      </c>
      <c r="K59" t="s">
        <v>65</v>
      </c>
      <c r="L59" t="s">
        <v>66</v>
      </c>
      <c r="M59">
        <v>6</v>
      </c>
      <c r="N59" t="s">
        <v>115</v>
      </c>
      <c r="O59">
        <v>2023</v>
      </c>
      <c r="P59">
        <v>1892</v>
      </c>
      <c r="Q59" t="s">
        <v>362</v>
      </c>
      <c r="R59" t="s">
        <v>363</v>
      </c>
      <c r="S59" t="str">
        <f>IF(COUNTIF(Tabela2[PROCESSO],Tabela1[[#This Row],[codProcesso]])&gt;0,"Está","Não está")</f>
        <v>Está</v>
      </c>
      <c r="T59" t="s">
        <v>364</v>
      </c>
      <c r="U59" t="s">
        <v>365</v>
      </c>
      <c r="V59" t="s">
        <v>366</v>
      </c>
      <c r="W59" t="s">
        <v>367</v>
      </c>
      <c r="X59">
        <v>36</v>
      </c>
      <c r="Y59" t="s">
        <v>73</v>
      </c>
      <c r="Z59" s="5">
        <v>707616</v>
      </c>
      <c r="AA59" s="5">
        <v>74678.759999999995</v>
      </c>
      <c r="AB59" s="5">
        <v>1415232</v>
      </c>
      <c r="AC59" s="5">
        <v>0</v>
      </c>
      <c r="AD59" s="5">
        <v>2197526.7599999998</v>
      </c>
      <c r="AE59" s="5">
        <v>61042.41</v>
      </c>
      <c r="AF59" s="5">
        <v>732508.91999999993</v>
      </c>
      <c r="AG59">
        <v>1758021.4080000001</v>
      </c>
      <c r="AH59">
        <v>48833.928</v>
      </c>
      <c r="AI59">
        <v>586007.13599999994</v>
      </c>
      <c r="AJ59">
        <v>1963358.45</v>
      </c>
      <c r="AK59">
        <v>44285.42</v>
      </c>
      <c r="AL59">
        <v>1919073.03</v>
      </c>
      <c r="AM59">
        <v>1671014.35</v>
      </c>
      <c r="AN59">
        <v>1671014.35</v>
      </c>
      <c r="AO59" t="s">
        <v>55</v>
      </c>
      <c r="AP59" t="s">
        <v>368</v>
      </c>
      <c r="AQ59">
        <v>0.8</v>
      </c>
    </row>
    <row r="60" spans="1:43" x14ac:dyDescent="0.25">
      <c r="A60" t="s">
        <v>42</v>
      </c>
      <c r="B60" t="s">
        <v>43</v>
      </c>
      <c r="C60" t="s">
        <v>44</v>
      </c>
      <c r="D60" t="s">
        <v>45</v>
      </c>
      <c r="E60">
        <v>14</v>
      </c>
      <c r="F60">
        <v>244</v>
      </c>
      <c r="G60">
        <v>3013</v>
      </c>
      <c r="H60">
        <v>4329</v>
      </c>
      <c r="I60" t="s">
        <v>46</v>
      </c>
      <c r="J60" t="s">
        <v>517</v>
      </c>
      <c r="K60" t="s">
        <v>48</v>
      </c>
      <c r="L60" t="s">
        <v>49</v>
      </c>
      <c r="M60">
        <v>8</v>
      </c>
      <c r="N60" t="s">
        <v>50</v>
      </c>
      <c r="O60">
        <v>2025</v>
      </c>
      <c r="P60">
        <v>1650</v>
      </c>
      <c r="R60" t="s">
        <v>630</v>
      </c>
      <c r="S60" t="str">
        <f>IF(COUNTIF(Tabela2[PROCESSO],Tabela1[[#This Row],[codProcesso]])&gt;0,"Está","Não está")</f>
        <v>Está</v>
      </c>
      <c r="T60" t="s">
        <v>631</v>
      </c>
      <c r="W60" t="s">
        <v>53</v>
      </c>
      <c r="X60">
        <v>12</v>
      </c>
      <c r="Y60" t="s">
        <v>54</v>
      </c>
      <c r="Z60" s="5">
        <v>695200</v>
      </c>
      <c r="AA60" s="5">
        <v>0</v>
      </c>
      <c r="AB60" s="5">
        <v>3572800</v>
      </c>
      <c r="AC60" s="5">
        <v>0</v>
      </c>
      <c r="AD60" s="5">
        <v>4268000</v>
      </c>
      <c r="AE60" s="5">
        <v>355666.66666666669</v>
      </c>
      <c r="AF60" s="5">
        <v>4268000</v>
      </c>
      <c r="AG60">
        <v>682880</v>
      </c>
      <c r="AH60">
        <v>56906.666666666672</v>
      </c>
      <c r="AI60">
        <v>682880</v>
      </c>
      <c r="AJ60">
        <v>4268000</v>
      </c>
      <c r="AK60">
        <v>0</v>
      </c>
      <c r="AL60">
        <v>4268000</v>
      </c>
      <c r="AM60">
        <v>4202400</v>
      </c>
      <c r="AN60">
        <v>3473200</v>
      </c>
      <c r="AO60" t="s">
        <v>55</v>
      </c>
      <c r="AP60" t="s">
        <v>632</v>
      </c>
      <c r="AQ60">
        <v>0.16</v>
      </c>
    </row>
    <row r="61" spans="1:43" x14ac:dyDescent="0.25">
      <c r="A61" t="s">
        <v>42</v>
      </c>
      <c r="B61" t="s">
        <v>43</v>
      </c>
      <c r="C61" t="s">
        <v>44</v>
      </c>
      <c r="D61" t="s">
        <v>45</v>
      </c>
      <c r="E61">
        <v>14</v>
      </c>
      <c r="F61">
        <v>243</v>
      </c>
      <c r="G61">
        <v>3013</v>
      </c>
      <c r="H61">
        <v>2157</v>
      </c>
      <c r="I61" t="s">
        <v>57</v>
      </c>
      <c r="J61" t="s">
        <v>749</v>
      </c>
      <c r="K61" t="s">
        <v>65</v>
      </c>
      <c r="L61" t="s">
        <v>66</v>
      </c>
      <c r="M61">
        <v>6</v>
      </c>
      <c r="N61" t="s">
        <v>115</v>
      </c>
      <c r="O61">
        <v>2024</v>
      </c>
      <c r="P61">
        <v>35667</v>
      </c>
      <c r="Q61" t="s">
        <v>833</v>
      </c>
      <c r="R61" t="s">
        <v>834</v>
      </c>
      <c r="S61" t="str">
        <f>IF(COUNTIF(Tabela2[PROCESSO],Tabela1[[#This Row],[codProcesso]])&gt;0,"Está","Não está")</f>
        <v>Está</v>
      </c>
      <c r="T61" t="s">
        <v>835</v>
      </c>
      <c r="U61" t="s">
        <v>836</v>
      </c>
      <c r="V61" t="s">
        <v>726</v>
      </c>
      <c r="W61" t="s">
        <v>837</v>
      </c>
      <c r="X61">
        <v>60</v>
      </c>
      <c r="Y61" t="s">
        <v>73</v>
      </c>
      <c r="Z61" s="5">
        <v>685000</v>
      </c>
      <c r="AA61" s="5">
        <v>0</v>
      </c>
      <c r="AB61" s="5">
        <v>0</v>
      </c>
      <c r="AC61" s="5">
        <v>0</v>
      </c>
      <c r="AD61" s="5">
        <v>685000</v>
      </c>
      <c r="AE61" s="5">
        <v>11416.66666666667</v>
      </c>
      <c r="AF61" s="5">
        <v>137000</v>
      </c>
      <c r="AG61">
        <v>685000</v>
      </c>
      <c r="AH61">
        <v>11416.66666666667</v>
      </c>
      <c r="AI61">
        <v>137000</v>
      </c>
      <c r="AJ61">
        <v>78671.5</v>
      </c>
      <c r="AK61">
        <v>52901.5</v>
      </c>
      <c r="AL61">
        <v>25770</v>
      </c>
      <c r="AM61">
        <v>4575.5</v>
      </c>
      <c r="AN61">
        <v>4575.5</v>
      </c>
      <c r="AO61" t="s">
        <v>55</v>
      </c>
      <c r="AP61" t="s">
        <v>838</v>
      </c>
      <c r="AQ61">
        <v>1</v>
      </c>
    </row>
    <row r="62" spans="1:43" x14ac:dyDescent="0.25">
      <c r="A62" t="s">
        <v>42</v>
      </c>
      <c r="B62" t="s">
        <v>43</v>
      </c>
      <c r="C62" t="s">
        <v>44</v>
      </c>
      <c r="D62" t="s">
        <v>45</v>
      </c>
      <c r="E62">
        <v>14</v>
      </c>
      <c r="F62">
        <v>122</v>
      </c>
      <c r="G62">
        <v>3024</v>
      </c>
      <c r="H62">
        <v>2100</v>
      </c>
      <c r="I62" t="s">
        <v>57</v>
      </c>
      <c r="J62" t="s">
        <v>47</v>
      </c>
      <c r="K62" t="s">
        <v>65</v>
      </c>
      <c r="L62" t="s">
        <v>66</v>
      </c>
      <c r="M62">
        <v>6</v>
      </c>
      <c r="N62" t="s">
        <v>115</v>
      </c>
      <c r="O62">
        <v>2022</v>
      </c>
      <c r="P62">
        <v>1379</v>
      </c>
      <c r="Q62" t="s">
        <v>116</v>
      </c>
      <c r="R62" t="s">
        <v>117</v>
      </c>
      <c r="S62" t="str">
        <f>IF(COUNTIF(Tabela2[PROCESSO],Tabela1[[#This Row],[codProcesso]])&gt;0,"Está","Não está")</f>
        <v>Está</v>
      </c>
      <c r="T62" t="s">
        <v>118</v>
      </c>
      <c r="U62" t="s">
        <v>119</v>
      </c>
      <c r="V62" t="s">
        <v>119</v>
      </c>
      <c r="W62" t="s">
        <v>120</v>
      </c>
      <c r="X62">
        <v>36</v>
      </c>
      <c r="Y62" t="s">
        <v>98</v>
      </c>
      <c r="Z62" s="5">
        <v>636000</v>
      </c>
      <c r="AA62" s="5">
        <v>0</v>
      </c>
      <c r="AB62" s="5">
        <v>1272000</v>
      </c>
      <c r="AC62" s="5">
        <v>0</v>
      </c>
      <c r="AD62" s="5">
        <v>1908000</v>
      </c>
      <c r="AE62" s="5">
        <v>53000</v>
      </c>
      <c r="AF62" s="5">
        <v>636000</v>
      </c>
      <c r="AG62">
        <v>1908000</v>
      </c>
      <c r="AH62">
        <v>53000</v>
      </c>
      <c r="AI62">
        <v>636000</v>
      </c>
      <c r="AJ62">
        <v>2221000</v>
      </c>
      <c r="AK62">
        <v>1291284.0900000001</v>
      </c>
      <c r="AL62">
        <v>929715.91</v>
      </c>
      <c r="AM62">
        <v>770995.76</v>
      </c>
      <c r="AN62">
        <v>770995.76</v>
      </c>
      <c r="AO62" t="s">
        <v>55</v>
      </c>
      <c r="AP62" t="s">
        <v>121</v>
      </c>
      <c r="AQ62">
        <v>1</v>
      </c>
    </row>
    <row r="63" spans="1:43" x14ac:dyDescent="0.25">
      <c r="A63" t="s">
        <v>42</v>
      </c>
      <c r="B63" t="s">
        <v>43</v>
      </c>
      <c r="C63" t="s">
        <v>44</v>
      </c>
      <c r="D63" t="s">
        <v>45</v>
      </c>
      <c r="E63">
        <v>14</v>
      </c>
      <c r="F63">
        <v>422</v>
      </c>
      <c r="G63">
        <v>3013</v>
      </c>
      <c r="H63">
        <v>6178</v>
      </c>
      <c r="I63" t="s">
        <v>57</v>
      </c>
      <c r="J63" t="s">
        <v>881</v>
      </c>
      <c r="K63" t="s">
        <v>65</v>
      </c>
      <c r="L63" t="s">
        <v>66</v>
      </c>
      <c r="M63">
        <v>7</v>
      </c>
      <c r="N63" t="s">
        <v>391</v>
      </c>
      <c r="O63">
        <v>2025</v>
      </c>
      <c r="P63">
        <v>4104</v>
      </c>
      <c r="Q63" t="s">
        <v>889</v>
      </c>
      <c r="R63" t="s">
        <v>890</v>
      </c>
      <c r="S63" t="str">
        <f>IF(COUNTIF(Tabela2[PROCESSO],Tabela1[[#This Row],[codProcesso]])&gt;0,"Está","Não está")</f>
        <v>Não está</v>
      </c>
      <c r="T63" t="s">
        <v>891</v>
      </c>
      <c r="U63" t="s">
        <v>497</v>
      </c>
      <c r="V63" t="s">
        <v>455</v>
      </c>
      <c r="W63" t="s">
        <v>892</v>
      </c>
      <c r="X63">
        <v>2</v>
      </c>
      <c r="Y63" t="s">
        <v>98</v>
      </c>
      <c r="Z63" s="5">
        <v>624433</v>
      </c>
      <c r="AA63" s="5">
        <v>0</v>
      </c>
      <c r="AB63" s="5">
        <v>0</v>
      </c>
      <c r="AC63" s="5">
        <v>0</v>
      </c>
      <c r="AD63" s="5">
        <v>624433</v>
      </c>
      <c r="AE63" s="5">
        <v>52036.083333333343</v>
      </c>
      <c r="AF63" s="5">
        <v>624433</v>
      </c>
      <c r="AG63">
        <v>624433</v>
      </c>
      <c r="AH63">
        <v>52036.083333333343</v>
      </c>
      <c r="AI63">
        <v>624433</v>
      </c>
      <c r="AJ63">
        <v>624433</v>
      </c>
      <c r="AK63">
        <v>0</v>
      </c>
      <c r="AL63">
        <v>624433</v>
      </c>
      <c r="AM63">
        <v>624433</v>
      </c>
      <c r="AN63">
        <v>624433</v>
      </c>
      <c r="AO63" t="s">
        <v>55</v>
      </c>
      <c r="AP63" t="s">
        <v>893</v>
      </c>
      <c r="AQ63">
        <v>1</v>
      </c>
    </row>
    <row r="64" spans="1:43" x14ac:dyDescent="0.25">
      <c r="A64" t="s">
        <v>42</v>
      </c>
      <c r="B64" t="s">
        <v>43</v>
      </c>
      <c r="C64" t="s">
        <v>44</v>
      </c>
      <c r="D64" t="s">
        <v>45</v>
      </c>
      <c r="E64">
        <v>14</v>
      </c>
      <c r="F64">
        <v>422</v>
      </c>
      <c r="G64">
        <v>3013</v>
      </c>
      <c r="H64">
        <v>6178</v>
      </c>
      <c r="I64" t="s">
        <v>57</v>
      </c>
      <c r="J64" t="s">
        <v>881</v>
      </c>
      <c r="K64" t="s">
        <v>65</v>
      </c>
      <c r="L64" t="s">
        <v>66</v>
      </c>
      <c r="M64">
        <v>6</v>
      </c>
      <c r="N64" t="s">
        <v>115</v>
      </c>
      <c r="O64">
        <v>2025</v>
      </c>
      <c r="P64">
        <v>4219</v>
      </c>
      <c r="Q64" t="s">
        <v>926</v>
      </c>
      <c r="R64" t="s">
        <v>927</v>
      </c>
      <c r="S64" t="str">
        <f>IF(COUNTIF(Tabela2[PROCESSO],Tabela1[[#This Row],[codProcesso]])&gt;0,"Está","Não está")</f>
        <v>Não está</v>
      </c>
      <c r="T64" t="s">
        <v>928</v>
      </c>
      <c r="U64" t="s">
        <v>452</v>
      </c>
      <c r="V64" t="s">
        <v>590</v>
      </c>
      <c r="W64" t="s">
        <v>929</v>
      </c>
      <c r="X64">
        <v>1</v>
      </c>
      <c r="Y64" t="s">
        <v>98</v>
      </c>
      <c r="Z64" s="5">
        <v>580289.27</v>
      </c>
      <c r="AA64" s="5">
        <v>0</v>
      </c>
      <c r="AB64" s="5">
        <v>0</v>
      </c>
      <c r="AC64" s="5">
        <v>0</v>
      </c>
      <c r="AD64" s="5">
        <v>580289.27</v>
      </c>
      <c r="AE64" s="5">
        <v>48357.439166666671</v>
      </c>
      <c r="AF64" s="5">
        <v>580289.27</v>
      </c>
      <c r="AG64">
        <v>580289.27</v>
      </c>
      <c r="AH64">
        <v>48357.439166666671</v>
      </c>
      <c r="AI64">
        <v>580289.27</v>
      </c>
      <c r="AJ64">
        <v>580289.27</v>
      </c>
      <c r="AK64">
        <v>0</v>
      </c>
      <c r="AL64">
        <v>580289.27</v>
      </c>
      <c r="AM64">
        <v>261130.17</v>
      </c>
      <c r="AN64">
        <v>261130.17</v>
      </c>
      <c r="AO64" t="s">
        <v>55</v>
      </c>
      <c r="AP64" t="s">
        <v>930</v>
      </c>
      <c r="AQ64">
        <v>1</v>
      </c>
    </row>
    <row r="65" spans="1:43" x14ac:dyDescent="0.25">
      <c r="A65" t="s">
        <v>42</v>
      </c>
      <c r="B65" t="s">
        <v>43</v>
      </c>
      <c r="C65" t="s">
        <v>44</v>
      </c>
      <c r="D65" t="s">
        <v>45</v>
      </c>
      <c r="E65">
        <v>14</v>
      </c>
      <c r="F65">
        <v>422</v>
      </c>
      <c r="G65">
        <v>3013</v>
      </c>
      <c r="H65">
        <v>2431</v>
      </c>
      <c r="I65" t="s">
        <v>57</v>
      </c>
      <c r="J65" t="s">
        <v>215</v>
      </c>
      <c r="K65" t="s">
        <v>208</v>
      </c>
      <c r="L65" t="s">
        <v>209</v>
      </c>
      <c r="M65">
        <v>6</v>
      </c>
      <c r="N65" t="s">
        <v>115</v>
      </c>
      <c r="O65">
        <v>2025</v>
      </c>
      <c r="P65">
        <v>185</v>
      </c>
      <c r="R65" t="s">
        <v>231</v>
      </c>
      <c r="S65" t="str">
        <f>IF(COUNTIF(Tabela2[PROCESSO],Tabela1[[#This Row],[codProcesso]])&gt;0,"Está","Não está")</f>
        <v>Está</v>
      </c>
      <c r="T65" t="s">
        <v>232</v>
      </c>
      <c r="W65" t="s">
        <v>53</v>
      </c>
      <c r="X65">
        <v>12</v>
      </c>
      <c r="Y65" t="s">
        <v>54</v>
      </c>
      <c r="Z65" s="5">
        <v>570000</v>
      </c>
      <c r="AA65" s="5">
        <v>0</v>
      </c>
      <c r="AB65" s="5">
        <v>80000</v>
      </c>
      <c r="AC65" s="5">
        <v>0</v>
      </c>
      <c r="AD65" s="5">
        <v>650000</v>
      </c>
      <c r="AE65" s="5">
        <v>54166.666666666657</v>
      </c>
      <c r="AF65" s="5">
        <v>650000</v>
      </c>
      <c r="AG65">
        <v>305500</v>
      </c>
      <c r="AH65">
        <v>25458.333333333328</v>
      </c>
      <c r="AI65">
        <v>305500</v>
      </c>
      <c r="AJ65">
        <v>650000</v>
      </c>
      <c r="AK65">
        <v>12331.43</v>
      </c>
      <c r="AL65">
        <v>637668.56999999995</v>
      </c>
      <c r="AM65">
        <v>167823.7</v>
      </c>
      <c r="AN65">
        <v>126921.19</v>
      </c>
      <c r="AO65" t="s">
        <v>55</v>
      </c>
      <c r="AP65" t="s">
        <v>233</v>
      </c>
      <c r="AQ65">
        <v>0.47</v>
      </c>
    </row>
    <row r="66" spans="1:43" x14ac:dyDescent="0.25">
      <c r="A66" t="s">
        <v>42</v>
      </c>
      <c r="B66" t="s">
        <v>43</v>
      </c>
      <c r="C66" t="s">
        <v>44</v>
      </c>
      <c r="D66" t="s">
        <v>45</v>
      </c>
      <c r="E66">
        <v>14</v>
      </c>
      <c r="F66">
        <v>243</v>
      </c>
      <c r="G66">
        <v>3013</v>
      </c>
      <c r="H66">
        <v>2157</v>
      </c>
      <c r="I66" t="s">
        <v>82</v>
      </c>
      <c r="J66" t="s">
        <v>517</v>
      </c>
      <c r="K66" t="s">
        <v>65</v>
      </c>
      <c r="L66" t="s">
        <v>66</v>
      </c>
      <c r="M66">
        <v>6</v>
      </c>
      <c r="N66" t="s">
        <v>115</v>
      </c>
      <c r="O66">
        <v>2021</v>
      </c>
      <c r="P66">
        <v>10724</v>
      </c>
      <c r="Q66" t="s">
        <v>597</v>
      </c>
      <c r="R66" t="s">
        <v>598</v>
      </c>
      <c r="S66" t="str">
        <f>IF(COUNTIF(Tabela2[PROCESSO],Tabela1[[#This Row],[codProcesso]])&gt;0,"Está","Não está")</f>
        <v>Não está</v>
      </c>
      <c r="T66" t="s">
        <v>599</v>
      </c>
      <c r="U66" t="s">
        <v>600</v>
      </c>
      <c r="V66" t="s">
        <v>601</v>
      </c>
      <c r="W66" t="s">
        <v>602</v>
      </c>
      <c r="X66">
        <v>48</v>
      </c>
      <c r="Y66" t="s">
        <v>98</v>
      </c>
      <c r="Z66" s="5">
        <v>548858</v>
      </c>
      <c r="AA66" s="5">
        <v>281243.57</v>
      </c>
      <c r="AB66" s="5">
        <v>1646574</v>
      </c>
      <c r="AC66" s="5">
        <v>0</v>
      </c>
      <c r="AD66" s="5">
        <v>2476675.5699999998</v>
      </c>
      <c r="AE66" s="5">
        <v>51597.40770833334</v>
      </c>
      <c r="AF66" s="5">
        <v>619168.89250000007</v>
      </c>
      <c r="AG66">
        <v>2476675.5699999998</v>
      </c>
      <c r="AH66">
        <v>51597.40770833334</v>
      </c>
      <c r="AI66">
        <v>619168.89250000007</v>
      </c>
      <c r="AJ66">
        <v>2606308.23</v>
      </c>
      <c r="AK66">
        <v>833069.87</v>
      </c>
      <c r="AL66">
        <v>1773238.36</v>
      </c>
      <c r="AM66">
        <v>1650056.71</v>
      </c>
      <c r="AN66">
        <v>1650056.71</v>
      </c>
      <c r="AO66" t="s">
        <v>55</v>
      </c>
      <c r="AP66" t="s">
        <v>603</v>
      </c>
      <c r="AQ66">
        <v>1</v>
      </c>
    </row>
    <row r="67" spans="1:43" x14ac:dyDescent="0.25">
      <c r="A67" t="s">
        <v>42</v>
      </c>
      <c r="B67" t="s">
        <v>43</v>
      </c>
      <c r="C67" t="s">
        <v>44</v>
      </c>
      <c r="D67" t="s">
        <v>45</v>
      </c>
      <c r="E67">
        <v>14</v>
      </c>
      <c r="F67">
        <v>422</v>
      </c>
      <c r="G67">
        <v>3013</v>
      </c>
      <c r="H67">
        <v>2431</v>
      </c>
      <c r="I67" t="s">
        <v>57</v>
      </c>
      <c r="J67" t="s">
        <v>47</v>
      </c>
      <c r="K67" t="s">
        <v>208</v>
      </c>
      <c r="L67" t="s">
        <v>209</v>
      </c>
      <c r="M67">
        <v>6</v>
      </c>
      <c r="N67" t="s">
        <v>115</v>
      </c>
      <c r="O67">
        <v>2025</v>
      </c>
      <c r="P67">
        <v>188</v>
      </c>
      <c r="R67" t="s">
        <v>210</v>
      </c>
      <c r="S67" t="str">
        <f>IF(COUNTIF(Tabela2[PROCESSO],Tabela1[[#This Row],[codProcesso]])&gt;0,"Está","Não está")</f>
        <v>Está</v>
      </c>
      <c r="T67" t="s">
        <v>211</v>
      </c>
      <c r="W67" t="s">
        <v>212</v>
      </c>
      <c r="X67">
        <v>12</v>
      </c>
      <c r="Y67" t="s">
        <v>54</v>
      </c>
      <c r="Z67" s="5">
        <v>540000</v>
      </c>
      <c r="AA67" s="5">
        <v>0</v>
      </c>
      <c r="AB67" s="5">
        <v>30000</v>
      </c>
      <c r="AC67" s="5">
        <v>0</v>
      </c>
      <c r="AD67" s="5">
        <v>570000</v>
      </c>
      <c r="AE67" s="5">
        <v>47500</v>
      </c>
      <c r="AF67" s="5">
        <v>570000</v>
      </c>
      <c r="AG67">
        <v>307800</v>
      </c>
      <c r="AH67">
        <v>25650</v>
      </c>
      <c r="AI67">
        <v>307800</v>
      </c>
      <c r="AJ67">
        <v>892500</v>
      </c>
      <c r="AK67">
        <v>341714.89</v>
      </c>
      <c r="AL67">
        <v>550785.11</v>
      </c>
      <c r="AM67">
        <v>151164.49</v>
      </c>
      <c r="AN67">
        <v>150784.07999999999</v>
      </c>
      <c r="AO67" t="s">
        <v>55</v>
      </c>
      <c r="AP67" t="s">
        <v>213</v>
      </c>
      <c r="AQ67">
        <v>0.54</v>
      </c>
    </row>
    <row r="68" spans="1:43" x14ac:dyDescent="0.25">
      <c r="A68" t="s">
        <v>42</v>
      </c>
      <c r="B68" t="s">
        <v>43</v>
      </c>
      <c r="C68" t="s">
        <v>44</v>
      </c>
      <c r="D68" t="s">
        <v>45</v>
      </c>
      <c r="E68">
        <v>14</v>
      </c>
      <c r="F68">
        <v>422</v>
      </c>
      <c r="G68">
        <v>3013</v>
      </c>
      <c r="H68">
        <v>2431</v>
      </c>
      <c r="I68" t="s">
        <v>57</v>
      </c>
      <c r="J68" t="s">
        <v>47</v>
      </c>
      <c r="K68" t="s">
        <v>208</v>
      </c>
      <c r="L68" t="s">
        <v>209</v>
      </c>
      <c r="M68">
        <v>6</v>
      </c>
      <c r="N68" t="s">
        <v>115</v>
      </c>
      <c r="O68">
        <v>2025</v>
      </c>
      <c r="P68">
        <v>1097</v>
      </c>
      <c r="R68" t="s">
        <v>210</v>
      </c>
      <c r="S68" t="str">
        <f>IF(COUNTIF(Tabela2[PROCESSO],Tabela1[[#This Row],[codProcesso]])&gt;0,"Está","Não está")</f>
        <v>Está</v>
      </c>
      <c r="T68" t="s">
        <v>214</v>
      </c>
      <c r="X68">
        <v>12</v>
      </c>
      <c r="Y68" t="s">
        <v>54</v>
      </c>
      <c r="Z68" s="5">
        <v>540000</v>
      </c>
      <c r="AA68" s="5">
        <v>0</v>
      </c>
      <c r="AB68" s="5">
        <v>0</v>
      </c>
      <c r="AC68" s="5">
        <v>0</v>
      </c>
      <c r="AD68" s="5">
        <v>540000</v>
      </c>
      <c r="AE68" s="5">
        <v>45000</v>
      </c>
      <c r="AF68" s="5">
        <v>540000</v>
      </c>
      <c r="AG68">
        <v>291600</v>
      </c>
      <c r="AH68">
        <v>24300</v>
      </c>
      <c r="AI68">
        <v>291600</v>
      </c>
      <c r="AJ68">
        <v>30000</v>
      </c>
      <c r="AK68">
        <v>30000</v>
      </c>
      <c r="AL68">
        <v>0</v>
      </c>
      <c r="AM68">
        <v>0</v>
      </c>
      <c r="AN68">
        <v>0</v>
      </c>
      <c r="AO68" t="s">
        <v>55</v>
      </c>
      <c r="AP68" t="s">
        <v>213</v>
      </c>
      <c r="AQ68">
        <v>0.54</v>
      </c>
    </row>
    <row r="69" spans="1:43" x14ac:dyDescent="0.25">
      <c r="A69" t="s">
        <v>42</v>
      </c>
      <c r="B69" t="s">
        <v>43</v>
      </c>
      <c r="C69" t="s">
        <v>44</v>
      </c>
      <c r="D69" t="s">
        <v>45</v>
      </c>
      <c r="E69">
        <v>14</v>
      </c>
      <c r="F69">
        <v>422</v>
      </c>
      <c r="G69">
        <v>3013</v>
      </c>
      <c r="H69">
        <v>2053</v>
      </c>
      <c r="I69" t="s">
        <v>57</v>
      </c>
      <c r="J69" t="s">
        <v>749</v>
      </c>
      <c r="K69" t="s">
        <v>65</v>
      </c>
      <c r="L69" t="s">
        <v>66</v>
      </c>
      <c r="M69">
        <v>8</v>
      </c>
      <c r="N69" t="s">
        <v>50</v>
      </c>
      <c r="O69">
        <v>2019</v>
      </c>
      <c r="P69">
        <v>23178</v>
      </c>
      <c r="Q69" t="s">
        <v>764</v>
      </c>
      <c r="R69" t="s">
        <v>765</v>
      </c>
      <c r="S69" t="str">
        <f>IF(COUNTIF(Tabela2[PROCESSO],Tabela1[[#This Row],[codProcesso]])&gt;0,"Está","Não está")</f>
        <v>Não está</v>
      </c>
      <c r="T69" t="s">
        <v>766</v>
      </c>
      <c r="U69" t="s">
        <v>767</v>
      </c>
      <c r="V69" t="s">
        <v>768</v>
      </c>
      <c r="W69" t="s">
        <v>769</v>
      </c>
      <c r="X69">
        <v>74</v>
      </c>
      <c r="Y69" t="s">
        <v>73</v>
      </c>
      <c r="Z69" s="5">
        <v>539863.19999999995</v>
      </c>
      <c r="AA69" s="5">
        <v>518700.6</v>
      </c>
      <c r="AB69" s="5">
        <v>2699316</v>
      </c>
      <c r="AC69" s="5">
        <v>0</v>
      </c>
      <c r="AD69" s="5">
        <v>3757879.8</v>
      </c>
      <c r="AE69" s="5">
        <v>50782.159459459457</v>
      </c>
      <c r="AF69" s="5">
        <v>609385.91351351351</v>
      </c>
      <c r="AG69">
        <v>3757879.8</v>
      </c>
      <c r="AH69">
        <v>50782.159459459457</v>
      </c>
      <c r="AI69">
        <v>609385.91351351351</v>
      </c>
      <c r="AJ69">
        <v>4059724.84</v>
      </c>
      <c r="AK69">
        <v>835516.96</v>
      </c>
      <c r="AL69">
        <v>3224207.88</v>
      </c>
      <c r="AM69">
        <v>3224207.88</v>
      </c>
      <c r="AN69">
        <v>3224207.88</v>
      </c>
      <c r="AO69" t="s">
        <v>55</v>
      </c>
      <c r="AP69" t="s">
        <v>770</v>
      </c>
      <c r="AQ69">
        <v>1</v>
      </c>
    </row>
    <row r="70" spans="1:43" x14ac:dyDescent="0.25">
      <c r="A70" t="s">
        <v>42</v>
      </c>
      <c r="B70" t="s">
        <v>43</v>
      </c>
      <c r="C70" t="s">
        <v>44</v>
      </c>
      <c r="D70" t="s">
        <v>45</v>
      </c>
      <c r="E70">
        <v>14</v>
      </c>
      <c r="F70">
        <v>126</v>
      </c>
      <c r="G70">
        <v>3024</v>
      </c>
      <c r="H70">
        <v>2171</v>
      </c>
      <c r="I70" t="s">
        <v>82</v>
      </c>
      <c r="J70" t="s">
        <v>47</v>
      </c>
      <c r="K70" t="s">
        <v>65</v>
      </c>
      <c r="L70" t="s">
        <v>66</v>
      </c>
      <c r="M70">
        <v>12</v>
      </c>
      <c r="N70" t="s">
        <v>60</v>
      </c>
      <c r="O70">
        <v>2024</v>
      </c>
      <c r="P70">
        <v>22235</v>
      </c>
      <c r="Q70" t="s">
        <v>194</v>
      </c>
      <c r="R70" t="s">
        <v>195</v>
      </c>
      <c r="S70" t="str">
        <f>IF(COUNTIF(Tabela2[PROCESSO],Tabela1[[#This Row],[codProcesso]])&gt;0,"Está","Não está")</f>
        <v>Está</v>
      </c>
      <c r="T70" t="s">
        <v>196</v>
      </c>
      <c r="U70" t="s">
        <v>197</v>
      </c>
      <c r="V70" t="s">
        <v>198</v>
      </c>
      <c r="W70" t="s">
        <v>199</v>
      </c>
      <c r="X70">
        <v>24</v>
      </c>
      <c r="Y70" t="s">
        <v>73</v>
      </c>
      <c r="Z70" s="5">
        <v>506030.4</v>
      </c>
      <c r="AA70" s="5">
        <v>0</v>
      </c>
      <c r="AB70" s="5">
        <v>0</v>
      </c>
      <c r="AC70" s="5">
        <v>0</v>
      </c>
      <c r="AD70" s="5">
        <v>506030.4</v>
      </c>
      <c r="AE70" s="5">
        <v>21084.6</v>
      </c>
      <c r="AF70" s="5">
        <v>253015.2</v>
      </c>
      <c r="AG70">
        <v>506030.4</v>
      </c>
      <c r="AH70">
        <v>21084.6</v>
      </c>
      <c r="AI70">
        <v>253015.2</v>
      </c>
      <c r="AJ70">
        <v>199965.3</v>
      </c>
      <c r="AK70">
        <v>70747.72</v>
      </c>
      <c r="AL70">
        <v>129217.58</v>
      </c>
      <c r="AM70">
        <v>89948.36</v>
      </c>
      <c r="AN70">
        <v>89948.36</v>
      </c>
      <c r="AO70" t="s">
        <v>55</v>
      </c>
      <c r="AP70" t="s">
        <v>200</v>
      </c>
      <c r="AQ70">
        <v>1</v>
      </c>
    </row>
    <row r="71" spans="1:43" x14ac:dyDescent="0.25">
      <c r="A71" t="s">
        <v>42</v>
      </c>
      <c r="B71" t="s">
        <v>43</v>
      </c>
      <c r="C71" t="s">
        <v>44</v>
      </c>
      <c r="D71" t="s">
        <v>45</v>
      </c>
      <c r="E71">
        <v>14</v>
      </c>
      <c r="F71">
        <v>122</v>
      </c>
      <c r="G71">
        <v>3024</v>
      </c>
      <c r="H71">
        <v>2100</v>
      </c>
      <c r="I71" t="s">
        <v>186</v>
      </c>
      <c r="J71" t="s">
        <v>369</v>
      </c>
      <c r="K71" t="s">
        <v>65</v>
      </c>
      <c r="L71" t="s">
        <v>66</v>
      </c>
      <c r="M71">
        <v>12</v>
      </c>
      <c r="N71" t="s">
        <v>60</v>
      </c>
      <c r="O71">
        <v>2023</v>
      </c>
      <c r="P71">
        <v>26849</v>
      </c>
      <c r="Q71" t="s">
        <v>384</v>
      </c>
      <c r="R71" t="s">
        <v>385</v>
      </c>
      <c r="S71" t="str">
        <f>IF(COUNTIF(Tabela2[PROCESSO],Tabela1[[#This Row],[codProcesso]])&gt;0,"Está","Não está")</f>
        <v>Está</v>
      </c>
      <c r="T71" t="s">
        <v>386</v>
      </c>
      <c r="U71" t="s">
        <v>96</v>
      </c>
      <c r="V71" t="s">
        <v>387</v>
      </c>
      <c r="W71" t="s">
        <v>388</v>
      </c>
      <c r="X71">
        <v>25</v>
      </c>
      <c r="Y71" t="s">
        <v>73</v>
      </c>
      <c r="Z71" s="5">
        <v>471600</v>
      </c>
      <c r="AA71" s="5">
        <v>18417.560000000001</v>
      </c>
      <c r="AB71" s="5">
        <v>517781.7</v>
      </c>
      <c r="AC71" s="5">
        <v>0</v>
      </c>
      <c r="AD71" s="5">
        <v>1007799.26</v>
      </c>
      <c r="AE71" s="5">
        <v>40311.970399999998</v>
      </c>
      <c r="AF71" s="5">
        <v>483743.64480000001</v>
      </c>
      <c r="AG71">
        <v>776005.43020000006</v>
      </c>
      <c r="AH71">
        <v>31040.217207999998</v>
      </c>
      <c r="AI71">
        <v>372482.60649600002</v>
      </c>
      <c r="AJ71">
        <v>1074641.02</v>
      </c>
      <c r="AK71">
        <v>78529.63</v>
      </c>
      <c r="AL71">
        <v>996111.39</v>
      </c>
      <c r="AM71">
        <v>774748.81</v>
      </c>
      <c r="AN71">
        <v>728709.2</v>
      </c>
      <c r="AO71" t="s">
        <v>55</v>
      </c>
      <c r="AP71" t="s">
        <v>389</v>
      </c>
      <c r="AQ71">
        <v>0.77</v>
      </c>
    </row>
    <row r="72" spans="1:43" x14ac:dyDescent="0.25">
      <c r="A72" t="s">
        <v>42</v>
      </c>
      <c r="B72" t="s">
        <v>43</v>
      </c>
      <c r="C72" t="s">
        <v>44</v>
      </c>
      <c r="D72" t="s">
        <v>45</v>
      </c>
      <c r="E72">
        <v>14</v>
      </c>
      <c r="F72">
        <v>126</v>
      </c>
      <c r="G72">
        <v>3024</v>
      </c>
      <c r="H72">
        <v>2171</v>
      </c>
      <c r="I72" t="s">
        <v>82</v>
      </c>
      <c r="J72" t="s">
        <v>215</v>
      </c>
      <c r="K72" t="s">
        <v>65</v>
      </c>
      <c r="L72" t="s">
        <v>66</v>
      </c>
      <c r="M72">
        <v>6</v>
      </c>
      <c r="N72" t="s">
        <v>115</v>
      </c>
      <c r="O72">
        <v>2023</v>
      </c>
      <c r="P72">
        <v>32733</v>
      </c>
      <c r="Q72" t="s">
        <v>234</v>
      </c>
      <c r="R72" t="s">
        <v>235</v>
      </c>
      <c r="S72" t="str">
        <f>IF(COUNTIF(Tabela2[PROCESSO],Tabela1[[#This Row],[codProcesso]])&gt;0,"Está","Não está")</f>
        <v>Está</v>
      </c>
      <c r="T72" t="s">
        <v>236</v>
      </c>
      <c r="U72" t="s">
        <v>227</v>
      </c>
      <c r="V72" t="s">
        <v>228</v>
      </c>
      <c r="W72" t="s">
        <v>237</v>
      </c>
      <c r="X72">
        <v>32</v>
      </c>
      <c r="Y72" t="s">
        <v>73</v>
      </c>
      <c r="Z72" s="5">
        <v>412521.12</v>
      </c>
      <c r="AA72" s="5">
        <v>16510.650000000001</v>
      </c>
      <c r="AB72" s="5">
        <v>933945.62</v>
      </c>
      <c r="AC72" s="5">
        <v>0</v>
      </c>
      <c r="AD72" s="5">
        <v>1362977.39</v>
      </c>
      <c r="AE72" s="5">
        <v>42593.043437499997</v>
      </c>
      <c r="AF72" s="5">
        <v>511116.52124999999</v>
      </c>
      <c r="AG72">
        <v>1131271.2337</v>
      </c>
      <c r="AH72">
        <v>35352.226053124999</v>
      </c>
      <c r="AI72">
        <v>424226.71263750002</v>
      </c>
      <c r="AJ72">
        <v>870570.48</v>
      </c>
      <c r="AK72">
        <v>127314.33</v>
      </c>
      <c r="AL72">
        <v>743256.15</v>
      </c>
      <c r="AM72">
        <v>596376.30000000005</v>
      </c>
      <c r="AN72">
        <v>596376.30000000005</v>
      </c>
      <c r="AO72" t="s">
        <v>55</v>
      </c>
      <c r="AP72" t="s">
        <v>238</v>
      </c>
      <c r="AQ72">
        <v>0.83</v>
      </c>
    </row>
    <row r="73" spans="1:43" x14ac:dyDescent="0.25">
      <c r="A73" t="s">
        <v>42</v>
      </c>
      <c r="B73" t="s">
        <v>43</v>
      </c>
      <c r="C73" t="s">
        <v>44</v>
      </c>
      <c r="D73" t="s">
        <v>45</v>
      </c>
      <c r="E73">
        <v>14</v>
      </c>
      <c r="F73">
        <v>122</v>
      </c>
      <c r="G73">
        <v>3024</v>
      </c>
      <c r="H73">
        <v>2100</v>
      </c>
      <c r="I73" t="s">
        <v>57</v>
      </c>
      <c r="J73" t="s">
        <v>517</v>
      </c>
      <c r="K73" t="s">
        <v>65</v>
      </c>
      <c r="L73" t="s">
        <v>66</v>
      </c>
      <c r="M73">
        <v>12</v>
      </c>
      <c r="N73" t="s">
        <v>60</v>
      </c>
      <c r="O73">
        <v>2023</v>
      </c>
      <c r="P73">
        <v>21250</v>
      </c>
      <c r="Q73" t="s">
        <v>633</v>
      </c>
      <c r="R73" t="s">
        <v>634</v>
      </c>
      <c r="S73" t="str">
        <f>IF(COUNTIF(Tabela2[PROCESSO],Tabela1[[#This Row],[codProcesso]])&gt;0,"Está","Não está")</f>
        <v>Está</v>
      </c>
      <c r="T73" t="s">
        <v>635</v>
      </c>
      <c r="U73" t="s">
        <v>636</v>
      </c>
      <c r="V73" t="s">
        <v>637</v>
      </c>
      <c r="W73" t="s">
        <v>261</v>
      </c>
      <c r="X73">
        <v>24</v>
      </c>
      <c r="Y73" t="s">
        <v>73</v>
      </c>
      <c r="Z73" s="5">
        <v>381600</v>
      </c>
      <c r="AA73" s="5">
        <v>0</v>
      </c>
      <c r="AB73" s="5">
        <v>386670.63</v>
      </c>
      <c r="AC73" s="5">
        <v>0</v>
      </c>
      <c r="AD73" s="5">
        <v>768270.63</v>
      </c>
      <c r="AE73" s="5">
        <v>32011.276249999999</v>
      </c>
      <c r="AF73" s="5">
        <v>384135.315</v>
      </c>
      <c r="AG73">
        <v>752905.21739999996</v>
      </c>
      <c r="AH73">
        <v>31371.050725000001</v>
      </c>
      <c r="AI73">
        <v>376452.60869999998</v>
      </c>
      <c r="AJ73">
        <v>784170.39</v>
      </c>
      <c r="AK73">
        <v>15900</v>
      </c>
      <c r="AL73">
        <v>768270.39</v>
      </c>
      <c r="AM73">
        <v>683699.78</v>
      </c>
      <c r="AN73">
        <v>683699.78</v>
      </c>
      <c r="AO73" t="s">
        <v>55</v>
      </c>
      <c r="AP73" t="s">
        <v>638</v>
      </c>
      <c r="AQ73">
        <v>0.98</v>
      </c>
    </row>
    <row r="74" spans="1:43" x14ac:dyDescent="0.25">
      <c r="A74" t="s">
        <v>42</v>
      </c>
      <c r="B74" t="s">
        <v>43</v>
      </c>
      <c r="C74" t="s">
        <v>44</v>
      </c>
      <c r="D74" t="s">
        <v>45</v>
      </c>
      <c r="E74">
        <v>14</v>
      </c>
      <c r="F74">
        <v>122</v>
      </c>
      <c r="G74">
        <v>3024</v>
      </c>
      <c r="H74">
        <v>2100</v>
      </c>
      <c r="I74" t="s">
        <v>57</v>
      </c>
      <c r="J74" t="s">
        <v>517</v>
      </c>
      <c r="K74" t="s">
        <v>65</v>
      </c>
      <c r="L74" t="s">
        <v>66</v>
      </c>
      <c r="M74">
        <v>12</v>
      </c>
      <c r="N74" t="s">
        <v>60</v>
      </c>
      <c r="O74">
        <v>2023</v>
      </c>
      <c r="P74">
        <v>3724</v>
      </c>
      <c r="Q74" t="s">
        <v>535</v>
      </c>
      <c r="R74" t="s">
        <v>536</v>
      </c>
      <c r="S74" t="str">
        <f>IF(COUNTIF(Tabela2[PROCESSO],Tabela1[[#This Row],[codProcesso]])&gt;0,"Está","Não está")</f>
        <v>Está</v>
      </c>
      <c r="T74" t="s">
        <v>537</v>
      </c>
      <c r="U74" t="s">
        <v>538</v>
      </c>
      <c r="V74" t="s">
        <v>539</v>
      </c>
      <c r="W74" t="s">
        <v>540</v>
      </c>
      <c r="X74">
        <v>36</v>
      </c>
      <c r="Y74" t="s">
        <v>73</v>
      </c>
      <c r="Z74" s="5">
        <v>376460.79999999999</v>
      </c>
      <c r="AA74" s="5">
        <v>17016</v>
      </c>
      <c r="AB74" s="5">
        <v>752921.59999999998</v>
      </c>
      <c r="AC74" s="5">
        <v>0</v>
      </c>
      <c r="AD74" s="5">
        <v>1146398.3999999999</v>
      </c>
      <c r="AE74" s="5">
        <v>31844.400000000001</v>
      </c>
      <c r="AF74" s="5">
        <v>382132.8</v>
      </c>
      <c r="AG74">
        <v>768086.92799999996</v>
      </c>
      <c r="AH74">
        <v>21335.748</v>
      </c>
      <c r="AI74">
        <v>256028.976</v>
      </c>
      <c r="AJ74">
        <v>982025.27</v>
      </c>
      <c r="AK74">
        <v>270719.95</v>
      </c>
      <c r="AL74">
        <v>711305.32</v>
      </c>
      <c r="AM74">
        <v>594530.68000000005</v>
      </c>
      <c r="AN74">
        <v>594530.68000000005</v>
      </c>
      <c r="AO74" t="s">
        <v>55</v>
      </c>
      <c r="AP74" t="s">
        <v>541</v>
      </c>
      <c r="AQ74">
        <v>0.67</v>
      </c>
    </row>
    <row r="75" spans="1:43" x14ac:dyDescent="0.25">
      <c r="A75" t="s">
        <v>42</v>
      </c>
      <c r="B75" t="s">
        <v>43</v>
      </c>
      <c r="C75" t="s">
        <v>44</v>
      </c>
      <c r="D75" t="s">
        <v>45</v>
      </c>
      <c r="E75">
        <v>14</v>
      </c>
      <c r="F75">
        <v>422</v>
      </c>
      <c r="G75">
        <v>3013</v>
      </c>
      <c r="H75">
        <v>6178</v>
      </c>
      <c r="I75" t="s">
        <v>57</v>
      </c>
      <c r="J75" t="s">
        <v>215</v>
      </c>
      <c r="K75" t="s">
        <v>65</v>
      </c>
      <c r="L75" t="s">
        <v>66</v>
      </c>
      <c r="M75">
        <v>12</v>
      </c>
      <c r="N75" t="s">
        <v>60</v>
      </c>
      <c r="O75">
        <v>2024</v>
      </c>
      <c r="P75">
        <v>42114</v>
      </c>
      <c r="R75" t="s">
        <v>995</v>
      </c>
      <c r="S75" t="str">
        <f>IF(COUNTIF(Tabela2[PROCESSO],Tabela1[[#This Row],[codProcesso]])&gt;0,"Está","Não está")</f>
        <v>Está</v>
      </c>
      <c r="T75" t="s">
        <v>996</v>
      </c>
      <c r="X75">
        <v>12</v>
      </c>
      <c r="Y75" t="s">
        <v>54</v>
      </c>
      <c r="Z75" s="5">
        <v>343000</v>
      </c>
      <c r="AA75" s="5">
        <v>0</v>
      </c>
      <c r="AB75" s="5">
        <v>0</v>
      </c>
      <c r="AC75" s="5">
        <v>0</v>
      </c>
      <c r="AD75" s="5">
        <v>343000</v>
      </c>
      <c r="AE75" s="5">
        <v>28583.333333333328</v>
      </c>
      <c r="AF75" s="5">
        <v>343000</v>
      </c>
      <c r="AG75">
        <v>343000</v>
      </c>
      <c r="AH75">
        <v>28583.333333333328</v>
      </c>
      <c r="AI75">
        <v>343000</v>
      </c>
      <c r="AJ75">
        <v>337283.29</v>
      </c>
      <c r="AK75">
        <v>7622.22</v>
      </c>
      <c r="AL75">
        <v>329661.07</v>
      </c>
      <c r="AM75">
        <v>0</v>
      </c>
      <c r="AN75">
        <v>0</v>
      </c>
      <c r="AO75" t="s">
        <v>55</v>
      </c>
      <c r="AP75" t="s">
        <v>997</v>
      </c>
      <c r="AQ75">
        <v>1</v>
      </c>
    </row>
    <row r="76" spans="1:43" x14ac:dyDescent="0.25">
      <c r="A76" t="s">
        <v>42</v>
      </c>
      <c r="B76" t="s">
        <v>43</v>
      </c>
      <c r="C76" t="s">
        <v>44</v>
      </c>
      <c r="D76" t="s">
        <v>45</v>
      </c>
      <c r="E76">
        <v>14</v>
      </c>
      <c r="F76">
        <v>422</v>
      </c>
      <c r="G76">
        <v>3018</v>
      </c>
      <c r="H76">
        <v>2051</v>
      </c>
      <c r="I76" t="s">
        <v>57</v>
      </c>
      <c r="J76" t="s">
        <v>517</v>
      </c>
      <c r="K76" t="s">
        <v>65</v>
      </c>
      <c r="L76" t="s">
        <v>66</v>
      </c>
      <c r="M76">
        <v>12</v>
      </c>
      <c r="N76" t="s">
        <v>60</v>
      </c>
      <c r="O76">
        <v>2023</v>
      </c>
      <c r="P76">
        <v>15971</v>
      </c>
      <c r="Q76" t="s">
        <v>665</v>
      </c>
      <c r="R76" t="s">
        <v>666</v>
      </c>
      <c r="S76" t="str">
        <f>IF(COUNTIF(Tabela2[PROCESSO],Tabela1[[#This Row],[codProcesso]])&gt;0,"Está","Não está")</f>
        <v>Está</v>
      </c>
      <c r="T76" t="s">
        <v>667</v>
      </c>
      <c r="U76" t="s">
        <v>668</v>
      </c>
      <c r="V76" t="s">
        <v>669</v>
      </c>
      <c r="W76" t="s">
        <v>670</v>
      </c>
      <c r="X76">
        <v>12</v>
      </c>
      <c r="Y76" t="s">
        <v>98</v>
      </c>
      <c r="Z76" s="5">
        <v>327600</v>
      </c>
      <c r="AA76" s="5">
        <v>10166.52</v>
      </c>
      <c r="AB76" s="5">
        <v>1310400</v>
      </c>
      <c r="AC76" s="5">
        <v>0</v>
      </c>
      <c r="AD76" s="5">
        <v>1648166.52</v>
      </c>
      <c r="AE76" s="5">
        <v>137347.21</v>
      </c>
      <c r="AF76" s="5">
        <v>1648166.52</v>
      </c>
      <c r="AG76">
        <v>1170198.2291999999</v>
      </c>
      <c r="AH76">
        <v>97516.51909999999</v>
      </c>
      <c r="AI76">
        <v>1170198.2291999999</v>
      </c>
      <c r="AJ76">
        <v>726894.61</v>
      </c>
      <c r="AK76">
        <v>133940.17000000001</v>
      </c>
      <c r="AL76">
        <v>592954.43999999994</v>
      </c>
      <c r="AM76">
        <v>534331.06999999995</v>
      </c>
      <c r="AN76">
        <v>506304.89</v>
      </c>
      <c r="AO76" t="s">
        <v>55</v>
      </c>
      <c r="AP76" t="s">
        <v>671</v>
      </c>
      <c r="AQ76">
        <v>0.71</v>
      </c>
    </row>
    <row r="77" spans="1:43" x14ac:dyDescent="0.25">
      <c r="A77" t="s">
        <v>42</v>
      </c>
      <c r="B77" t="s">
        <v>43</v>
      </c>
      <c r="C77" t="s">
        <v>44</v>
      </c>
      <c r="D77" t="s">
        <v>45</v>
      </c>
      <c r="E77">
        <v>14</v>
      </c>
      <c r="F77">
        <v>422</v>
      </c>
      <c r="G77">
        <v>3018</v>
      </c>
      <c r="H77">
        <v>4334</v>
      </c>
      <c r="I77" t="s">
        <v>390</v>
      </c>
      <c r="J77" t="s">
        <v>405</v>
      </c>
      <c r="K77" t="s">
        <v>65</v>
      </c>
      <c r="L77" t="s">
        <v>66</v>
      </c>
      <c r="M77">
        <v>12</v>
      </c>
      <c r="N77" t="s">
        <v>60</v>
      </c>
      <c r="O77">
        <v>2022</v>
      </c>
      <c r="P77">
        <v>31014</v>
      </c>
      <c r="Q77" t="s">
        <v>421</v>
      </c>
      <c r="R77" t="s">
        <v>417</v>
      </c>
      <c r="S77" t="str">
        <f>IF(COUNTIF(Tabela2[PROCESSO],Tabela1[[#This Row],[codProcesso]])&gt;0,"Está","Não está")</f>
        <v>Está</v>
      </c>
      <c r="T77" t="s">
        <v>418</v>
      </c>
      <c r="U77" t="s">
        <v>422</v>
      </c>
      <c r="V77" t="s">
        <v>423</v>
      </c>
      <c r="W77" t="s">
        <v>424</v>
      </c>
      <c r="X77">
        <v>12</v>
      </c>
      <c r="Y77" t="s">
        <v>54</v>
      </c>
      <c r="Z77" s="5">
        <v>317999.88</v>
      </c>
      <c r="AA77" s="5">
        <v>33911.279999999999</v>
      </c>
      <c r="AB77" s="5">
        <v>635999.86</v>
      </c>
      <c r="AC77" s="5">
        <v>0</v>
      </c>
      <c r="AD77" s="5">
        <v>987911.02</v>
      </c>
      <c r="AE77" s="5">
        <v>82325.918333333335</v>
      </c>
      <c r="AF77" s="5">
        <v>987911.02</v>
      </c>
      <c r="AG77">
        <v>810087.03639999998</v>
      </c>
      <c r="AH77">
        <v>67507.253033333327</v>
      </c>
      <c r="AI77">
        <v>810087.03639999998</v>
      </c>
      <c r="AJ77">
        <v>1377134.79</v>
      </c>
      <c r="AK77">
        <v>392168.58</v>
      </c>
      <c r="AL77">
        <v>984966.21</v>
      </c>
      <c r="AM77">
        <v>780207.94</v>
      </c>
      <c r="AN77">
        <v>780207.94</v>
      </c>
      <c r="AO77" t="s">
        <v>55</v>
      </c>
      <c r="AP77" t="s">
        <v>420</v>
      </c>
      <c r="AQ77">
        <v>0.82</v>
      </c>
    </row>
    <row r="78" spans="1:43" x14ac:dyDescent="0.25">
      <c r="A78" t="s">
        <v>42</v>
      </c>
      <c r="B78" t="s">
        <v>43</v>
      </c>
      <c r="C78" t="s">
        <v>44</v>
      </c>
      <c r="D78" t="s">
        <v>45</v>
      </c>
      <c r="E78">
        <v>14</v>
      </c>
      <c r="F78">
        <v>422</v>
      </c>
      <c r="G78">
        <v>3013</v>
      </c>
      <c r="H78">
        <v>2053</v>
      </c>
      <c r="I78" t="s">
        <v>57</v>
      </c>
      <c r="J78" t="s">
        <v>881</v>
      </c>
      <c r="K78" t="s">
        <v>65</v>
      </c>
      <c r="L78" t="s">
        <v>66</v>
      </c>
      <c r="M78">
        <v>12</v>
      </c>
      <c r="N78" t="s">
        <v>60</v>
      </c>
      <c r="O78">
        <v>2024</v>
      </c>
      <c r="P78">
        <v>25656</v>
      </c>
      <c r="Q78" t="s">
        <v>971</v>
      </c>
      <c r="R78" t="s">
        <v>972</v>
      </c>
      <c r="S78" t="str">
        <f>IF(COUNTIF(Tabela2[PROCESSO],Tabela1[[#This Row],[codProcesso]])&gt;0,"Está","Não está")</f>
        <v>Não está</v>
      </c>
      <c r="T78" t="s">
        <v>973</v>
      </c>
      <c r="U78" t="s">
        <v>974</v>
      </c>
      <c r="V78" t="s">
        <v>975</v>
      </c>
      <c r="W78" t="s">
        <v>976</v>
      </c>
      <c r="X78">
        <v>12</v>
      </c>
      <c r="Y78" t="s">
        <v>73</v>
      </c>
      <c r="Z78" s="5">
        <v>306000</v>
      </c>
      <c r="AA78" s="5">
        <v>0</v>
      </c>
      <c r="AB78" s="5">
        <v>0</v>
      </c>
      <c r="AC78" s="5">
        <v>0</v>
      </c>
      <c r="AD78" s="5">
        <v>306000</v>
      </c>
      <c r="AE78" s="5">
        <v>25500</v>
      </c>
      <c r="AF78" s="5">
        <v>306000</v>
      </c>
      <c r="AG78">
        <v>306000</v>
      </c>
      <c r="AH78">
        <v>25500</v>
      </c>
      <c r="AI78">
        <v>306000</v>
      </c>
      <c r="AJ78">
        <v>145250</v>
      </c>
      <c r="AK78">
        <v>118195</v>
      </c>
      <c r="AL78">
        <v>27055</v>
      </c>
      <c r="AM78">
        <v>12339.7</v>
      </c>
      <c r="AN78">
        <v>12339.7</v>
      </c>
      <c r="AO78" t="s">
        <v>55</v>
      </c>
      <c r="AP78" t="s">
        <v>977</v>
      </c>
      <c r="AQ78">
        <v>1</v>
      </c>
    </row>
    <row r="79" spans="1:43" x14ac:dyDescent="0.25">
      <c r="A79" t="s">
        <v>42</v>
      </c>
      <c r="B79" t="s">
        <v>43</v>
      </c>
      <c r="C79" t="s">
        <v>44</v>
      </c>
      <c r="D79" t="s">
        <v>45</v>
      </c>
      <c r="E79">
        <v>14</v>
      </c>
      <c r="F79">
        <v>422</v>
      </c>
      <c r="G79">
        <v>3013</v>
      </c>
      <c r="H79">
        <v>2053</v>
      </c>
      <c r="I79" t="s">
        <v>57</v>
      </c>
      <c r="J79" t="s">
        <v>881</v>
      </c>
      <c r="K79" t="s">
        <v>208</v>
      </c>
      <c r="L79" t="s">
        <v>209</v>
      </c>
      <c r="M79">
        <v>7</v>
      </c>
      <c r="N79" t="s">
        <v>391</v>
      </c>
      <c r="O79">
        <v>2025</v>
      </c>
      <c r="P79">
        <v>4777</v>
      </c>
      <c r="R79" t="s">
        <v>981</v>
      </c>
      <c r="S79" t="str">
        <f>IF(COUNTIF(Tabela2[PROCESSO],Tabela1[[#This Row],[codProcesso]])&gt;0,"Está","Não está")</f>
        <v>Está</v>
      </c>
      <c r="T79" t="s">
        <v>982</v>
      </c>
      <c r="W79" t="s">
        <v>53</v>
      </c>
      <c r="X79">
        <v>12</v>
      </c>
      <c r="Y79" t="s">
        <v>54</v>
      </c>
      <c r="Z79" s="5">
        <v>300000</v>
      </c>
      <c r="AA79" s="5">
        <v>0</v>
      </c>
      <c r="AB79" s="5">
        <v>0</v>
      </c>
      <c r="AC79" s="5">
        <v>0</v>
      </c>
      <c r="AD79" s="5">
        <v>300000</v>
      </c>
      <c r="AE79" s="5">
        <v>25000</v>
      </c>
      <c r="AF79" s="5">
        <v>300000</v>
      </c>
      <c r="AG79">
        <v>0</v>
      </c>
      <c r="AH79">
        <v>0</v>
      </c>
      <c r="AI79">
        <v>0</v>
      </c>
      <c r="AJ79">
        <v>600000</v>
      </c>
      <c r="AK79">
        <v>300000</v>
      </c>
      <c r="AL79">
        <v>300000</v>
      </c>
      <c r="AM79">
        <v>80248.740000000005</v>
      </c>
      <c r="AN79">
        <v>63914.57</v>
      </c>
      <c r="AO79" t="s">
        <v>55</v>
      </c>
      <c r="AP79" t="s">
        <v>983</v>
      </c>
      <c r="AQ79">
        <v>0</v>
      </c>
    </row>
    <row r="80" spans="1:43" x14ac:dyDescent="0.25">
      <c r="A80" t="s">
        <v>42</v>
      </c>
      <c r="B80" t="s">
        <v>43</v>
      </c>
      <c r="C80" t="s">
        <v>44</v>
      </c>
      <c r="D80" t="s">
        <v>45</v>
      </c>
      <c r="E80">
        <v>14</v>
      </c>
      <c r="F80">
        <v>422</v>
      </c>
      <c r="G80">
        <v>3013</v>
      </c>
      <c r="H80">
        <v>6178</v>
      </c>
      <c r="I80" t="s">
        <v>57</v>
      </c>
      <c r="J80" t="s">
        <v>749</v>
      </c>
      <c r="K80" t="s">
        <v>65</v>
      </c>
      <c r="L80" t="s">
        <v>66</v>
      </c>
      <c r="M80">
        <v>12</v>
      </c>
      <c r="N80" t="s">
        <v>60</v>
      </c>
      <c r="O80">
        <v>2022</v>
      </c>
      <c r="P80">
        <v>31664</v>
      </c>
      <c r="Q80" t="s">
        <v>803</v>
      </c>
      <c r="R80" t="s">
        <v>804</v>
      </c>
      <c r="S80" t="str">
        <f>IF(COUNTIF(Tabela2[PROCESSO],Tabela1[[#This Row],[codProcesso]])&gt;0,"Está","Não está")</f>
        <v>Está</v>
      </c>
      <c r="T80" t="s">
        <v>805</v>
      </c>
      <c r="U80" t="s">
        <v>806</v>
      </c>
      <c r="V80" t="s">
        <v>807</v>
      </c>
      <c r="W80" t="s">
        <v>808</v>
      </c>
      <c r="X80">
        <v>36</v>
      </c>
      <c r="Y80" t="s">
        <v>73</v>
      </c>
      <c r="Z80" s="5">
        <v>294000</v>
      </c>
      <c r="AA80" s="5">
        <v>11760</v>
      </c>
      <c r="AB80" s="5">
        <v>588000</v>
      </c>
      <c r="AC80" s="5">
        <v>0</v>
      </c>
      <c r="AD80" s="5">
        <v>893760</v>
      </c>
      <c r="AE80" s="5">
        <v>24826.666666666672</v>
      </c>
      <c r="AF80" s="5">
        <v>297920</v>
      </c>
      <c r="AG80">
        <v>893760</v>
      </c>
      <c r="AH80">
        <v>24826.666666666672</v>
      </c>
      <c r="AI80">
        <v>297920</v>
      </c>
      <c r="AJ80">
        <v>867189.05</v>
      </c>
      <c r="AK80">
        <v>151260.06</v>
      </c>
      <c r="AL80">
        <v>715928.99</v>
      </c>
      <c r="AM80">
        <v>582360.86</v>
      </c>
      <c r="AN80">
        <v>559673.78</v>
      </c>
      <c r="AO80" t="s">
        <v>55</v>
      </c>
      <c r="AP80" t="s">
        <v>809</v>
      </c>
      <c r="AQ80">
        <v>1</v>
      </c>
    </row>
    <row r="81" spans="1:43" x14ac:dyDescent="0.25">
      <c r="A81" t="s">
        <v>42</v>
      </c>
      <c r="B81" t="s">
        <v>43</v>
      </c>
      <c r="C81" t="s">
        <v>44</v>
      </c>
      <c r="D81" t="s">
        <v>45</v>
      </c>
      <c r="E81">
        <v>14</v>
      </c>
      <c r="F81">
        <v>122</v>
      </c>
      <c r="G81">
        <v>3024</v>
      </c>
      <c r="H81">
        <v>2100</v>
      </c>
      <c r="I81" t="s">
        <v>57</v>
      </c>
      <c r="J81" t="s">
        <v>517</v>
      </c>
      <c r="K81" t="s">
        <v>65</v>
      </c>
      <c r="L81" t="s">
        <v>66</v>
      </c>
      <c r="M81">
        <v>12</v>
      </c>
      <c r="N81" t="s">
        <v>60</v>
      </c>
      <c r="O81">
        <v>2022</v>
      </c>
      <c r="P81">
        <v>15764</v>
      </c>
      <c r="Q81" t="s">
        <v>573</v>
      </c>
      <c r="R81" t="s">
        <v>574</v>
      </c>
      <c r="S81" t="str">
        <f>IF(COUNTIF(Tabela2[PROCESSO],Tabela1[[#This Row],[codProcesso]])&gt;0,"Está","Não está")</f>
        <v>Está</v>
      </c>
      <c r="T81" t="s">
        <v>575</v>
      </c>
      <c r="U81" t="s">
        <v>576</v>
      </c>
      <c r="V81" t="s">
        <v>577</v>
      </c>
      <c r="W81" t="s">
        <v>578</v>
      </c>
      <c r="X81">
        <v>37</v>
      </c>
      <c r="Y81" t="s">
        <v>73</v>
      </c>
      <c r="Z81" s="5">
        <v>267709.68</v>
      </c>
      <c r="AA81" s="5">
        <v>35314.29</v>
      </c>
      <c r="AB81" s="5">
        <v>712478.88</v>
      </c>
      <c r="AC81" s="5">
        <v>0</v>
      </c>
      <c r="AD81" s="5">
        <v>1015502.85</v>
      </c>
      <c r="AE81" s="5">
        <v>27446.022972972969</v>
      </c>
      <c r="AF81" s="5">
        <v>329352.27567567572</v>
      </c>
      <c r="AG81">
        <v>1015502.85</v>
      </c>
      <c r="AH81">
        <v>27446.022972972969</v>
      </c>
      <c r="AI81">
        <v>329352.27567567572</v>
      </c>
      <c r="AJ81">
        <v>992723.61</v>
      </c>
      <c r="AK81">
        <v>186075.59</v>
      </c>
      <c r="AL81">
        <v>806648.02</v>
      </c>
      <c r="AM81">
        <v>720718.41</v>
      </c>
      <c r="AN81">
        <v>720718.41</v>
      </c>
      <c r="AO81" t="s">
        <v>55</v>
      </c>
      <c r="AP81" t="s">
        <v>579</v>
      </c>
      <c r="AQ81">
        <v>1</v>
      </c>
    </row>
    <row r="82" spans="1:43" x14ac:dyDescent="0.25">
      <c r="A82" t="s">
        <v>42</v>
      </c>
      <c r="B82" t="s">
        <v>43</v>
      </c>
      <c r="C82" t="s">
        <v>44</v>
      </c>
      <c r="D82" t="s">
        <v>45</v>
      </c>
      <c r="E82">
        <v>14</v>
      </c>
      <c r="F82">
        <v>243</v>
      </c>
      <c r="G82">
        <v>3013</v>
      </c>
      <c r="H82">
        <v>2157</v>
      </c>
      <c r="I82" t="s">
        <v>57</v>
      </c>
      <c r="J82" t="s">
        <v>361</v>
      </c>
      <c r="K82" t="s">
        <v>65</v>
      </c>
      <c r="L82" t="s">
        <v>66</v>
      </c>
      <c r="M82">
        <v>12</v>
      </c>
      <c r="N82" t="s">
        <v>60</v>
      </c>
      <c r="O82">
        <v>2020</v>
      </c>
      <c r="P82">
        <v>21258</v>
      </c>
      <c r="Q82" t="s">
        <v>1043</v>
      </c>
      <c r="R82" t="s">
        <v>1044</v>
      </c>
      <c r="S82" t="str">
        <f>IF(COUNTIF(Tabela2[PROCESSO],Tabela1[[#This Row],[codProcesso]])&gt;0,"Está","Não está")</f>
        <v>Está</v>
      </c>
      <c r="T82" t="s">
        <v>1045</v>
      </c>
      <c r="U82" t="s">
        <v>1046</v>
      </c>
      <c r="V82" t="s">
        <v>1047</v>
      </c>
      <c r="W82" t="s">
        <v>1048</v>
      </c>
      <c r="X82">
        <v>60</v>
      </c>
      <c r="Y82" t="s">
        <v>73</v>
      </c>
      <c r="Z82" s="5">
        <v>228600</v>
      </c>
      <c r="AA82" s="5">
        <v>159114.84</v>
      </c>
      <c r="AB82" s="5">
        <v>901113.6</v>
      </c>
      <c r="AC82" s="5">
        <v>0</v>
      </c>
      <c r="AD82" s="5">
        <v>1288828.44</v>
      </c>
      <c r="AE82" s="5">
        <v>21480.473999999998</v>
      </c>
      <c r="AF82" s="5">
        <v>257765.68799999999</v>
      </c>
      <c r="AG82">
        <v>1288828.44</v>
      </c>
      <c r="AH82">
        <v>21480.473999999998</v>
      </c>
      <c r="AI82">
        <v>257765.68799999999</v>
      </c>
      <c r="AJ82">
        <v>1302410.01</v>
      </c>
      <c r="AK82">
        <v>41031.230000000003</v>
      </c>
      <c r="AL82">
        <v>1261378.78</v>
      </c>
      <c r="AM82">
        <v>1147100.8600000001</v>
      </c>
      <c r="AN82">
        <v>1147100.8600000001</v>
      </c>
      <c r="AO82" t="s">
        <v>55</v>
      </c>
      <c r="AP82" t="s">
        <v>1049</v>
      </c>
      <c r="AQ82">
        <v>1</v>
      </c>
    </row>
    <row r="83" spans="1:43" x14ac:dyDescent="0.25">
      <c r="A83" t="s">
        <v>42</v>
      </c>
      <c r="B83" t="s">
        <v>43</v>
      </c>
      <c r="C83" t="s">
        <v>44</v>
      </c>
      <c r="D83" t="s">
        <v>45</v>
      </c>
      <c r="E83">
        <v>14</v>
      </c>
      <c r="F83">
        <v>422</v>
      </c>
      <c r="G83">
        <v>3013</v>
      </c>
      <c r="H83">
        <v>6178</v>
      </c>
      <c r="I83" t="s">
        <v>57</v>
      </c>
      <c r="J83" t="s">
        <v>881</v>
      </c>
      <c r="K83" t="s">
        <v>65</v>
      </c>
      <c r="L83" t="s">
        <v>66</v>
      </c>
      <c r="M83">
        <v>12</v>
      </c>
      <c r="N83" t="s">
        <v>60</v>
      </c>
      <c r="O83">
        <v>2022</v>
      </c>
      <c r="P83">
        <v>24727</v>
      </c>
      <c r="Q83" t="s">
        <v>964</v>
      </c>
      <c r="R83" t="s">
        <v>965</v>
      </c>
      <c r="S83" t="str">
        <f>IF(COUNTIF(Tabela2[PROCESSO],Tabela1[[#This Row],[codProcesso]])&gt;0,"Está","Não está")</f>
        <v>Está</v>
      </c>
      <c r="T83" t="s">
        <v>966</v>
      </c>
      <c r="U83" t="s">
        <v>967</v>
      </c>
      <c r="V83" t="s">
        <v>968</v>
      </c>
      <c r="W83" t="s">
        <v>969</v>
      </c>
      <c r="X83">
        <v>36</v>
      </c>
      <c r="Y83" t="s">
        <v>73</v>
      </c>
      <c r="Z83" s="5">
        <v>222806.16</v>
      </c>
      <c r="AA83" s="5">
        <v>22773.119999999999</v>
      </c>
      <c r="AB83" s="5">
        <v>445612.32</v>
      </c>
      <c r="AC83" s="5">
        <v>0</v>
      </c>
      <c r="AD83" s="5">
        <v>691191.6</v>
      </c>
      <c r="AE83" s="5">
        <v>19199.76666666667</v>
      </c>
      <c r="AF83" s="5">
        <v>230397.2</v>
      </c>
      <c r="AG83">
        <v>677367.76799999992</v>
      </c>
      <c r="AH83">
        <v>18815.77133333333</v>
      </c>
      <c r="AI83">
        <v>225789.25599999999</v>
      </c>
      <c r="AJ83">
        <v>693060.42</v>
      </c>
      <c r="AK83">
        <v>25817.25</v>
      </c>
      <c r="AL83">
        <v>667243.17000000004</v>
      </c>
      <c r="AM83">
        <v>582687.68999999994</v>
      </c>
      <c r="AN83">
        <v>582687.68999999994</v>
      </c>
      <c r="AO83" t="s">
        <v>55</v>
      </c>
      <c r="AP83" t="s">
        <v>970</v>
      </c>
      <c r="AQ83">
        <v>0.98</v>
      </c>
    </row>
    <row r="84" spans="1:43" x14ac:dyDescent="0.25">
      <c r="A84" t="s">
        <v>42</v>
      </c>
      <c r="B84" t="s">
        <v>43</v>
      </c>
      <c r="C84" t="s">
        <v>44</v>
      </c>
      <c r="D84" t="s">
        <v>45</v>
      </c>
      <c r="E84">
        <v>14</v>
      </c>
      <c r="F84">
        <v>422</v>
      </c>
      <c r="G84">
        <v>3013</v>
      </c>
      <c r="H84">
        <v>2053</v>
      </c>
      <c r="I84" t="s">
        <v>57</v>
      </c>
      <c r="J84" t="s">
        <v>47</v>
      </c>
      <c r="K84" t="s">
        <v>65</v>
      </c>
      <c r="L84" t="s">
        <v>66</v>
      </c>
      <c r="M84">
        <v>12</v>
      </c>
      <c r="N84" t="s">
        <v>60</v>
      </c>
      <c r="O84">
        <v>2021</v>
      </c>
      <c r="P84">
        <v>6410</v>
      </c>
      <c r="Q84" t="s">
        <v>173</v>
      </c>
      <c r="R84" t="s">
        <v>174</v>
      </c>
      <c r="S84" t="str">
        <f>IF(COUNTIF(Tabela2[PROCESSO],Tabela1[[#This Row],[codProcesso]])&gt;0,"Está","Não está")</f>
        <v>Não está</v>
      </c>
      <c r="T84" t="s">
        <v>175</v>
      </c>
      <c r="U84" t="s">
        <v>176</v>
      </c>
      <c r="V84" t="s">
        <v>177</v>
      </c>
      <c r="W84" t="s">
        <v>178</v>
      </c>
      <c r="X84">
        <v>55</v>
      </c>
      <c r="Y84" t="s">
        <v>73</v>
      </c>
      <c r="Z84" s="5">
        <v>221515.82</v>
      </c>
      <c r="AA84" s="5">
        <v>152169.95000000001</v>
      </c>
      <c r="AB84" s="5">
        <v>979875.65</v>
      </c>
      <c r="AC84" s="5">
        <v>0</v>
      </c>
      <c r="AD84" s="5">
        <v>1353561.42</v>
      </c>
      <c r="AE84" s="5">
        <v>24610.20763636363</v>
      </c>
      <c r="AF84" s="5">
        <v>295322.49163636361</v>
      </c>
      <c r="AG84">
        <v>771530.00939999986</v>
      </c>
      <c r="AH84">
        <v>14027.81835272727</v>
      </c>
      <c r="AI84">
        <v>168333.82023272719</v>
      </c>
      <c r="AJ84">
        <v>1673497.58</v>
      </c>
      <c r="AK84">
        <v>342890.95</v>
      </c>
      <c r="AL84">
        <v>1330606.6299999999</v>
      </c>
      <c r="AM84">
        <v>1216225.1599999999</v>
      </c>
      <c r="AN84">
        <v>1216225.1599999999</v>
      </c>
      <c r="AO84" t="s">
        <v>55</v>
      </c>
      <c r="AP84" t="s">
        <v>179</v>
      </c>
      <c r="AQ84">
        <v>0.56999999999999995</v>
      </c>
    </row>
    <row r="85" spans="1:43" x14ac:dyDescent="0.25">
      <c r="A85" t="s">
        <v>42</v>
      </c>
      <c r="B85" t="s">
        <v>43</v>
      </c>
      <c r="C85" t="s">
        <v>44</v>
      </c>
      <c r="D85" t="s">
        <v>45</v>
      </c>
      <c r="E85">
        <v>14</v>
      </c>
      <c r="F85">
        <v>243</v>
      </c>
      <c r="G85">
        <v>3013</v>
      </c>
      <c r="H85">
        <v>2157</v>
      </c>
      <c r="I85" t="s">
        <v>57</v>
      </c>
      <c r="J85" t="s">
        <v>215</v>
      </c>
      <c r="K85" t="s">
        <v>208</v>
      </c>
      <c r="L85" t="s">
        <v>209</v>
      </c>
      <c r="M85">
        <v>6</v>
      </c>
      <c r="N85" t="s">
        <v>115</v>
      </c>
      <c r="O85">
        <v>2025</v>
      </c>
      <c r="P85">
        <v>191</v>
      </c>
      <c r="R85" t="s">
        <v>216</v>
      </c>
      <c r="S85" t="str">
        <f>IF(COUNTIF(Tabela2[PROCESSO],Tabela1[[#This Row],[codProcesso]])&gt;0,"Está","Não está")</f>
        <v>Está</v>
      </c>
      <c r="T85" t="s">
        <v>211</v>
      </c>
      <c r="W85" t="s">
        <v>53</v>
      </c>
      <c r="X85">
        <v>12</v>
      </c>
      <c r="Y85" t="s">
        <v>54</v>
      </c>
      <c r="Z85" s="5">
        <v>210000</v>
      </c>
      <c r="AA85" s="5">
        <v>0</v>
      </c>
      <c r="AB85" s="5">
        <v>0</v>
      </c>
      <c r="AC85" s="5">
        <v>0</v>
      </c>
      <c r="AD85" s="5">
        <v>210000</v>
      </c>
      <c r="AE85" s="5">
        <v>17500</v>
      </c>
      <c r="AF85" s="5">
        <v>210000</v>
      </c>
      <c r="AG85">
        <v>210000</v>
      </c>
      <c r="AH85">
        <v>17500</v>
      </c>
      <c r="AI85">
        <v>210000</v>
      </c>
      <c r="AJ85">
        <v>210000</v>
      </c>
      <c r="AK85">
        <v>0</v>
      </c>
      <c r="AL85">
        <v>210000</v>
      </c>
      <c r="AM85">
        <v>69722.59</v>
      </c>
      <c r="AN85">
        <v>69544.960000000006</v>
      </c>
      <c r="AO85" t="s">
        <v>55</v>
      </c>
      <c r="AP85" t="s">
        <v>217</v>
      </c>
      <c r="AQ85">
        <v>1</v>
      </c>
    </row>
    <row r="86" spans="1:43" x14ac:dyDescent="0.25">
      <c r="A86" t="s">
        <v>42</v>
      </c>
      <c r="B86" t="s">
        <v>43</v>
      </c>
      <c r="C86" t="s">
        <v>44</v>
      </c>
      <c r="D86" t="s">
        <v>45</v>
      </c>
      <c r="E86">
        <v>14</v>
      </c>
      <c r="F86">
        <v>122</v>
      </c>
      <c r="G86">
        <v>3024</v>
      </c>
      <c r="H86">
        <v>2100</v>
      </c>
      <c r="I86" t="s">
        <v>246</v>
      </c>
      <c r="J86" t="s">
        <v>749</v>
      </c>
      <c r="K86" t="s">
        <v>491</v>
      </c>
      <c r="L86" t="s">
        <v>492</v>
      </c>
      <c r="M86">
        <v>12</v>
      </c>
      <c r="N86" t="s">
        <v>60</v>
      </c>
      <c r="O86">
        <v>2025</v>
      </c>
      <c r="P86">
        <v>3961</v>
      </c>
      <c r="Q86" t="s">
        <v>850</v>
      </c>
      <c r="R86" t="s">
        <v>851</v>
      </c>
      <c r="S86" t="str">
        <f>IF(COUNTIF(Tabela2[PROCESSO],Tabela1[[#This Row],[codProcesso]])&gt;0,"Está","Não está")</f>
        <v>Não está</v>
      </c>
      <c r="T86" t="s">
        <v>852</v>
      </c>
      <c r="U86" t="s">
        <v>853</v>
      </c>
      <c r="V86" t="s">
        <v>777</v>
      </c>
      <c r="W86" t="s">
        <v>854</v>
      </c>
      <c r="X86">
        <v>3</v>
      </c>
      <c r="Y86" t="s">
        <v>98</v>
      </c>
      <c r="Z86" s="5">
        <v>208000</v>
      </c>
      <c r="AA86" s="5">
        <v>0</v>
      </c>
      <c r="AB86" s="5">
        <v>0</v>
      </c>
      <c r="AC86" s="5">
        <v>0</v>
      </c>
      <c r="AD86" s="5">
        <v>208000</v>
      </c>
      <c r="AE86" s="5">
        <v>17333.333333333328</v>
      </c>
      <c r="AF86" s="5">
        <v>208000</v>
      </c>
      <c r="AG86">
        <v>208000</v>
      </c>
      <c r="AH86">
        <v>17333.333333333328</v>
      </c>
      <c r="AI86">
        <v>208000</v>
      </c>
      <c r="AJ86">
        <v>208000</v>
      </c>
      <c r="AK86">
        <v>0</v>
      </c>
      <c r="AL86">
        <v>208000</v>
      </c>
      <c r="AM86">
        <v>208000</v>
      </c>
      <c r="AN86">
        <v>208000</v>
      </c>
      <c r="AO86" t="s">
        <v>55</v>
      </c>
      <c r="AP86" t="s">
        <v>855</v>
      </c>
      <c r="AQ86">
        <v>1</v>
      </c>
    </row>
    <row r="87" spans="1:43" x14ac:dyDescent="0.25">
      <c r="A87" t="s">
        <v>42</v>
      </c>
      <c r="B87" t="s">
        <v>43</v>
      </c>
      <c r="C87" t="s">
        <v>44</v>
      </c>
      <c r="D87" t="s">
        <v>45</v>
      </c>
      <c r="E87">
        <v>14</v>
      </c>
      <c r="F87">
        <v>243</v>
      </c>
      <c r="G87">
        <v>3013</v>
      </c>
      <c r="H87">
        <v>2157</v>
      </c>
      <c r="I87" t="s">
        <v>57</v>
      </c>
      <c r="J87" t="s">
        <v>215</v>
      </c>
      <c r="K87" t="s">
        <v>208</v>
      </c>
      <c r="L87" t="s">
        <v>209</v>
      </c>
      <c r="M87">
        <v>6</v>
      </c>
      <c r="N87" t="s">
        <v>115</v>
      </c>
      <c r="O87">
        <v>2025</v>
      </c>
      <c r="P87">
        <v>1399</v>
      </c>
      <c r="R87" t="s">
        <v>253</v>
      </c>
      <c r="S87" t="str">
        <f>IF(COUNTIF(Tabela2[PROCESSO],Tabela1[[#This Row],[codProcesso]])&gt;0,"Está","Não está")</f>
        <v>Está</v>
      </c>
      <c r="T87" t="s">
        <v>254</v>
      </c>
      <c r="W87" t="s">
        <v>53</v>
      </c>
      <c r="X87">
        <v>12</v>
      </c>
      <c r="Y87" t="s">
        <v>54</v>
      </c>
      <c r="Z87" s="5">
        <v>200000</v>
      </c>
      <c r="AA87" s="5">
        <v>0</v>
      </c>
      <c r="AB87" s="5">
        <v>0</v>
      </c>
      <c r="AC87" s="5">
        <v>0</v>
      </c>
      <c r="AD87" s="5">
        <v>200000</v>
      </c>
      <c r="AE87" s="5">
        <v>16666.666666666672</v>
      </c>
      <c r="AF87" s="5">
        <v>200000</v>
      </c>
      <c r="AG87">
        <v>200000</v>
      </c>
      <c r="AH87">
        <v>16666.666666666672</v>
      </c>
      <c r="AI87">
        <v>200000</v>
      </c>
      <c r="AJ87">
        <v>200000</v>
      </c>
      <c r="AK87">
        <v>0</v>
      </c>
      <c r="AL87">
        <v>200000</v>
      </c>
      <c r="AM87">
        <v>64697.89</v>
      </c>
      <c r="AN87">
        <v>51727.81</v>
      </c>
      <c r="AO87" t="s">
        <v>55</v>
      </c>
      <c r="AP87" t="s">
        <v>255</v>
      </c>
      <c r="AQ87">
        <v>1</v>
      </c>
    </row>
    <row r="88" spans="1:43" x14ac:dyDescent="0.25">
      <c r="A88" t="s">
        <v>42</v>
      </c>
      <c r="B88" t="s">
        <v>43</v>
      </c>
      <c r="C88" t="s">
        <v>44</v>
      </c>
      <c r="D88" t="s">
        <v>45</v>
      </c>
      <c r="E88">
        <v>14</v>
      </c>
      <c r="F88">
        <v>422</v>
      </c>
      <c r="G88">
        <v>3013</v>
      </c>
      <c r="H88">
        <v>6178</v>
      </c>
      <c r="I88" t="s">
        <v>57</v>
      </c>
      <c r="J88" t="s">
        <v>881</v>
      </c>
      <c r="K88" t="s">
        <v>208</v>
      </c>
      <c r="L88" t="s">
        <v>209</v>
      </c>
      <c r="M88">
        <v>6</v>
      </c>
      <c r="N88" t="s">
        <v>115</v>
      </c>
      <c r="O88">
        <v>2025</v>
      </c>
      <c r="P88">
        <v>4763</v>
      </c>
      <c r="R88" t="s">
        <v>978</v>
      </c>
      <c r="S88" t="str">
        <f>IF(COUNTIF(Tabela2[PROCESSO],Tabela1[[#This Row],[codProcesso]])&gt;0,"Está","Não está")</f>
        <v>Está</v>
      </c>
      <c r="T88" t="s">
        <v>979</v>
      </c>
      <c r="W88" t="s">
        <v>498</v>
      </c>
      <c r="X88">
        <v>12</v>
      </c>
      <c r="Y88" t="s">
        <v>54</v>
      </c>
      <c r="Z88" s="5">
        <v>200000</v>
      </c>
      <c r="AA88" s="5">
        <v>0</v>
      </c>
      <c r="AB88" s="5">
        <v>0</v>
      </c>
      <c r="AC88" s="5">
        <v>0</v>
      </c>
      <c r="AD88" s="5">
        <v>200000</v>
      </c>
      <c r="AE88" s="5">
        <v>16666.666666666672</v>
      </c>
      <c r="AF88" s="5">
        <v>200000</v>
      </c>
      <c r="AG88">
        <v>200000</v>
      </c>
      <c r="AH88">
        <v>16666.666666666672</v>
      </c>
      <c r="AI88">
        <v>200000</v>
      </c>
      <c r="AJ88">
        <v>200000</v>
      </c>
      <c r="AK88">
        <v>0</v>
      </c>
      <c r="AL88">
        <v>200000</v>
      </c>
      <c r="AM88">
        <v>53704.36</v>
      </c>
      <c r="AN88">
        <v>53031.6</v>
      </c>
      <c r="AO88" t="s">
        <v>55</v>
      </c>
      <c r="AP88" t="s">
        <v>980</v>
      </c>
      <c r="AQ88">
        <v>1</v>
      </c>
    </row>
    <row r="89" spans="1:43" x14ac:dyDescent="0.25">
      <c r="A89" t="s">
        <v>42</v>
      </c>
      <c r="B89" t="s">
        <v>43</v>
      </c>
      <c r="C89" t="s">
        <v>44</v>
      </c>
      <c r="D89" t="s">
        <v>45</v>
      </c>
      <c r="E89">
        <v>14</v>
      </c>
      <c r="F89">
        <v>122</v>
      </c>
      <c r="G89">
        <v>3024</v>
      </c>
      <c r="H89">
        <v>2100</v>
      </c>
      <c r="I89" t="s">
        <v>57</v>
      </c>
      <c r="J89" t="s">
        <v>483</v>
      </c>
      <c r="K89" t="s">
        <v>65</v>
      </c>
      <c r="L89" t="s">
        <v>66</v>
      </c>
      <c r="M89">
        <v>12</v>
      </c>
      <c r="N89" t="s">
        <v>60</v>
      </c>
      <c r="O89">
        <v>2025</v>
      </c>
      <c r="P89">
        <v>13480</v>
      </c>
      <c r="Q89" t="s">
        <v>1453</v>
      </c>
      <c r="R89" t="s">
        <v>1454</v>
      </c>
      <c r="S89" t="str">
        <f>IF(COUNTIF(Tabela2[PROCESSO],Tabela1[[#This Row],[codProcesso]])&gt;0,"Está","Não está")</f>
        <v>Não está</v>
      </c>
      <c r="T89" t="s">
        <v>1455</v>
      </c>
      <c r="U89" t="s">
        <v>1281</v>
      </c>
      <c r="V89" t="s">
        <v>854</v>
      </c>
      <c r="W89" t="s">
        <v>1456</v>
      </c>
      <c r="X89">
        <v>1</v>
      </c>
      <c r="Y89" t="s">
        <v>98</v>
      </c>
      <c r="Z89" s="5">
        <v>191364.16</v>
      </c>
      <c r="AA89" s="5">
        <v>0</v>
      </c>
      <c r="AB89" s="5">
        <v>0</v>
      </c>
      <c r="AC89" s="5">
        <v>0</v>
      </c>
      <c r="AD89" s="5">
        <v>191364.16</v>
      </c>
      <c r="AE89" s="5">
        <v>15947.013333333331</v>
      </c>
      <c r="AF89" s="5">
        <v>191364.16</v>
      </c>
      <c r="AG89">
        <v>191364.16</v>
      </c>
      <c r="AH89">
        <v>15947.013333333331</v>
      </c>
      <c r="AI89">
        <v>191364.16</v>
      </c>
      <c r="AJ89">
        <v>191364.16</v>
      </c>
      <c r="AK89">
        <v>0</v>
      </c>
      <c r="AL89">
        <v>191364.16</v>
      </c>
      <c r="AM89">
        <v>191364.16</v>
      </c>
      <c r="AN89">
        <v>0</v>
      </c>
      <c r="AO89" t="s">
        <v>55</v>
      </c>
      <c r="AP89" t="s">
        <v>1457</v>
      </c>
      <c r="AQ89">
        <v>1</v>
      </c>
    </row>
    <row r="90" spans="1:43" x14ac:dyDescent="0.25">
      <c r="A90" t="s">
        <v>42</v>
      </c>
      <c r="B90" t="s">
        <v>43</v>
      </c>
      <c r="C90" t="s">
        <v>44</v>
      </c>
      <c r="D90" t="s">
        <v>45</v>
      </c>
      <c r="E90">
        <v>14</v>
      </c>
      <c r="F90">
        <v>422</v>
      </c>
      <c r="G90">
        <v>3013</v>
      </c>
      <c r="H90">
        <v>2053</v>
      </c>
      <c r="I90" t="s">
        <v>57</v>
      </c>
      <c r="J90" t="s">
        <v>749</v>
      </c>
      <c r="K90" t="s">
        <v>65</v>
      </c>
      <c r="L90" t="s">
        <v>66</v>
      </c>
      <c r="M90">
        <v>12</v>
      </c>
      <c r="N90" t="s">
        <v>60</v>
      </c>
      <c r="O90">
        <v>2020</v>
      </c>
      <c r="P90">
        <v>16851</v>
      </c>
      <c r="Q90" t="s">
        <v>793</v>
      </c>
      <c r="R90" t="s">
        <v>794</v>
      </c>
      <c r="S90" t="str">
        <f>IF(COUNTIF(Tabela2[PROCESSO],Tabela1[[#This Row],[codProcesso]])&gt;0,"Está","Não está")</f>
        <v>Está</v>
      </c>
      <c r="T90" t="s">
        <v>795</v>
      </c>
      <c r="U90" t="s">
        <v>796</v>
      </c>
      <c r="V90" t="s">
        <v>797</v>
      </c>
      <c r="W90" t="s">
        <v>798</v>
      </c>
      <c r="X90">
        <v>60</v>
      </c>
      <c r="Y90" t="s">
        <v>73</v>
      </c>
      <c r="Z90" s="5">
        <v>186533.76000000001</v>
      </c>
      <c r="AA90" s="5">
        <v>149469.07999999999</v>
      </c>
      <c r="AB90" s="5">
        <v>746135.04000000004</v>
      </c>
      <c r="AC90" s="5">
        <v>0</v>
      </c>
      <c r="AD90" s="5">
        <v>1082137.8799999999</v>
      </c>
      <c r="AE90" s="5">
        <v>18035.631333333331</v>
      </c>
      <c r="AF90" s="5">
        <v>216427.576</v>
      </c>
      <c r="AG90">
        <v>854888.92519999994</v>
      </c>
      <c r="AH90">
        <v>14248.148753333329</v>
      </c>
      <c r="AI90">
        <v>170977.78503999999</v>
      </c>
      <c r="AJ90">
        <v>1410423.06</v>
      </c>
      <c r="AK90">
        <v>338644.79</v>
      </c>
      <c r="AL90">
        <v>1071778.27</v>
      </c>
      <c r="AM90">
        <v>987097.12</v>
      </c>
      <c r="AN90">
        <v>987097.12</v>
      </c>
      <c r="AO90" t="s">
        <v>55</v>
      </c>
      <c r="AP90" t="s">
        <v>799</v>
      </c>
      <c r="AQ90">
        <v>0.79</v>
      </c>
    </row>
    <row r="91" spans="1:43" x14ac:dyDescent="0.25">
      <c r="A91" t="s">
        <v>42</v>
      </c>
      <c r="B91" t="s">
        <v>43</v>
      </c>
      <c r="C91" t="s">
        <v>44</v>
      </c>
      <c r="D91" t="s">
        <v>45</v>
      </c>
      <c r="E91">
        <v>8</v>
      </c>
      <c r="F91">
        <v>605</v>
      </c>
      <c r="G91">
        <v>3016</v>
      </c>
      <c r="H91">
        <v>4470</v>
      </c>
      <c r="I91" t="s">
        <v>57</v>
      </c>
      <c r="J91" t="s">
        <v>483</v>
      </c>
      <c r="K91" t="s">
        <v>65</v>
      </c>
      <c r="L91" t="s">
        <v>66</v>
      </c>
      <c r="M91">
        <v>12</v>
      </c>
      <c r="N91" t="s">
        <v>60</v>
      </c>
      <c r="O91">
        <v>2023</v>
      </c>
      <c r="P91">
        <v>36584</v>
      </c>
      <c r="Q91" t="s">
        <v>695</v>
      </c>
      <c r="R91" t="s">
        <v>696</v>
      </c>
      <c r="S91" t="str">
        <f>IF(COUNTIF(Tabela2[PROCESSO],Tabela1[[#This Row],[codProcesso]])&gt;0,"Está","Não está")</f>
        <v>Está</v>
      </c>
      <c r="T91" t="s">
        <v>697</v>
      </c>
      <c r="U91" t="s">
        <v>698</v>
      </c>
      <c r="V91" t="s">
        <v>699</v>
      </c>
      <c r="W91" t="s">
        <v>700</v>
      </c>
      <c r="X91">
        <v>25</v>
      </c>
      <c r="Y91" t="s">
        <v>73</v>
      </c>
      <c r="Z91" s="5">
        <v>183594</v>
      </c>
      <c r="AA91" s="5">
        <v>5607.36</v>
      </c>
      <c r="AB91" s="5">
        <v>118548</v>
      </c>
      <c r="AC91" s="5">
        <v>0</v>
      </c>
      <c r="AD91" s="5">
        <v>307749.36</v>
      </c>
      <c r="AE91" s="5">
        <v>12309.974399999999</v>
      </c>
      <c r="AF91" s="5">
        <v>147719.69279999999</v>
      </c>
      <c r="AG91">
        <v>307749.36</v>
      </c>
      <c r="AH91">
        <v>12309.974399999999</v>
      </c>
      <c r="AI91">
        <v>147719.69279999999</v>
      </c>
      <c r="AJ91">
        <v>392925.33</v>
      </c>
      <c r="AK91">
        <v>95164</v>
      </c>
      <c r="AL91">
        <v>297761.33</v>
      </c>
      <c r="AM91">
        <v>204644.81</v>
      </c>
      <c r="AN91">
        <v>204644.81</v>
      </c>
      <c r="AO91" t="s">
        <v>55</v>
      </c>
      <c r="AP91" t="s">
        <v>701</v>
      </c>
      <c r="AQ91">
        <v>1</v>
      </c>
    </row>
    <row r="92" spans="1:43" x14ac:dyDescent="0.25">
      <c r="A92" t="s">
        <v>42</v>
      </c>
      <c r="B92" t="s">
        <v>43</v>
      </c>
      <c r="C92" t="s">
        <v>44</v>
      </c>
      <c r="D92" t="s">
        <v>45</v>
      </c>
      <c r="E92">
        <v>14</v>
      </c>
      <c r="F92">
        <v>422</v>
      </c>
      <c r="G92">
        <v>3013</v>
      </c>
      <c r="H92">
        <v>2053</v>
      </c>
      <c r="I92" t="s">
        <v>57</v>
      </c>
      <c r="J92" t="s">
        <v>215</v>
      </c>
      <c r="K92" t="s">
        <v>208</v>
      </c>
      <c r="L92" t="s">
        <v>209</v>
      </c>
      <c r="M92">
        <v>7</v>
      </c>
      <c r="N92" t="s">
        <v>391</v>
      </c>
      <c r="O92">
        <v>2025</v>
      </c>
      <c r="P92">
        <v>5475</v>
      </c>
      <c r="R92" t="s">
        <v>1040</v>
      </c>
      <c r="S92" t="str">
        <f>IF(COUNTIF(Tabela2[PROCESSO],Tabela1[[#This Row],[codProcesso]])&gt;0,"Está","Não está")</f>
        <v>Está</v>
      </c>
      <c r="T92" t="s">
        <v>1041</v>
      </c>
      <c r="W92" t="s">
        <v>53</v>
      </c>
      <c r="X92">
        <v>12</v>
      </c>
      <c r="Y92" t="s">
        <v>54</v>
      </c>
      <c r="Z92" s="5">
        <v>180000</v>
      </c>
      <c r="AA92" s="5">
        <v>0</v>
      </c>
      <c r="AB92" s="5">
        <v>0</v>
      </c>
      <c r="AC92" s="5">
        <v>0</v>
      </c>
      <c r="AD92" s="5">
        <v>180000</v>
      </c>
      <c r="AE92" s="5">
        <v>15000</v>
      </c>
      <c r="AF92" s="5">
        <v>180000</v>
      </c>
      <c r="AG92">
        <v>180000</v>
      </c>
      <c r="AH92">
        <v>15000</v>
      </c>
      <c r="AI92">
        <v>180000</v>
      </c>
      <c r="AJ92">
        <v>180000</v>
      </c>
      <c r="AK92">
        <v>0</v>
      </c>
      <c r="AL92">
        <v>180000</v>
      </c>
      <c r="AM92">
        <v>75758.73</v>
      </c>
      <c r="AN92">
        <v>62908.5</v>
      </c>
      <c r="AO92" t="s">
        <v>55</v>
      </c>
      <c r="AP92" t="s">
        <v>1042</v>
      </c>
      <c r="AQ92">
        <v>1</v>
      </c>
    </row>
    <row r="93" spans="1:43" x14ac:dyDescent="0.25">
      <c r="A93" t="s">
        <v>42</v>
      </c>
      <c r="B93" t="s">
        <v>43</v>
      </c>
      <c r="C93" t="s">
        <v>44</v>
      </c>
      <c r="D93" t="s">
        <v>45</v>
      </c>
      <c r="E93">
        <v>14</v>
      </c>
      <c r="F93">
        <v>122</v>
      </c>
      <c r="G93">
        <v>3024</v>
      </c>
      <c r="H93">
        <v>2100</v>
      </c>
      <c r="I93" t="s">
        <v>57</v>
      </c>
      <c r="J93" t="s">
        <v>749</v>
      </c>
      <c r="K93" t="s">
        <v>65</v>
      </c>
      <c r="L93" t="s">
        <v>66</v>
      </c>
      <c r="M93">
        <v>12</v>
      </c>
      <c r="N93" t="s">
        <v>60</v>
      </c>
      <c r="O93">
        <v>2024</v>
      </c>
      <c r="P93">
        <v>39264</v>
      </c>
      <c r="Q93" t="s">
        <v>839</v>
      </c>
      <c r="R93" t="s">
        <v>840</v>
      </c>
      <c r="S93" t="str">
        <f>IF(COUNTIF(Tabela2[PROCESSO],Tabela1[[#This Row],[codProcesso]])&gt;0,"Está","Não está")</f>
        <v>Está</v>
      </c>
      <c r="T93" t="s">
        <v>841</v>
      </c>
      <c r="U93" t="s">
        <v>820</v>
      </c>
      <c r="V93" t="s">
        <v>274</v>
      </c>
      <c r="W93" t="s">
        <v>842</v>
      </c>
      <c r="X93">
        <v>25</v>
      </c>
      <c r="Y93" t="s">
        <v>73</v>
      </c>
      <c r="Z93" s="5">
        <v>171000</v>
      </c>
      <c r="AA93" s="5">
        <v>0</v>
      </c>
      <c r="AB93" s="5">
        <v>0</v>
      </c>
      <c r="AC93" s="5">
        <v>0</v>
      </c>
      <c r="AD93" s="5">
        <v>171000</v>
      </c>
      <c r="AE93" s="5">
        <v>6840</v>
      </c>
      <c r="AF93" s="5">
        <v>82080</v>
      </c>
      <c r="AG93">
        <v>171000</v>
      </c>
      <c r="AH93">
        <v>6840</v>
      </c>
      <c r="AI93">
        <v>82080</v>
      </c>
      <c r="AJ93">
        <v>86989.25</v>
      </c>
      <c r="AK93">
        <v>8614.25</v>
      </c>
      <c r="AL93">
        <v>78375</v>
      </c>
      <c r="AM93">
        <v>14324.25</v>
      </c>
      <c r="AN93">
        <v>7981.25</v>
      </c>
      <c r="AO93" t="s">
        <v>55</v>
      </c>
      <c r="AP93" t="s">
        <v>843</v>
      </c>
      <c r="AQ93">
        <v>1</v>
      </c>
    </row>
    <row r="94" spans="1:43" x14ac:dyDescent="0.25">
      <c r="A94" t="s">
        <v>42</v>
      </c>
      <c r="B94" t="s">
        <v>43</v>
      </c>
      <c r="C94" t="s">
        <v>44</v>
      </c>
      <c r="D94" t="s">
        <v>45</v>
      </c>
      <c r="E94">
        <v>14</v>
      </c>
      <c r="F94">
        <v>126</v>
      </c>
      <c r="G94">
        <v>3024</v>
      </c>
      <c r="H94">
        <v>2171</v>
      </c>
      <c r="I94" t="s">
        <v>82</v>
      </c>
      <c r="J94" t="s">
        <v>47</v>
      </c>
      <c r="K94" t="s">
        <v>65</v>
      </c>
      <c r="L94" t="s">
        <v>66</v>
      </c>
      <c r="M94">
        <v>6</v>
      </c>
      <c r="N94" t="s">
        <v>115</v>
      </c>
      <c r="O94">
        <v>2024</v>
      </c>
      <c r="P94">
        <v>23762</v>
      </c>
      <c r="Q94" t="s">
        <v>201</v>
      </c>
      <c r="R94" t="s">
        <v>202</v>
      </c>
      <c r="S94" t="str">
        <f>IF(COUNTIF(Tabela2[PROCESSO],Tabela1[[#This Row],[codProcesso]])&gt;0,"Está","Não está")</f>
        <v>Está</v>
      </c>
      <c r="T94" t="s">
        <v>203</v>
      </c>
      <c r="U94" t="s">
        <v>204</v>
      </c>
      <c r="V94" t="s">
        <v>205</v>
      </c>
      <c r="W94" t="s">
        <v>206</v>
      </c>
      <c r="X94">
        <v>12</v>
      </c>
      <c r="Y94" t="s">
        <v>73</v>
      </c>
      <c r="Z94" s="5">
        <v>169136</v>
      </c>
      <c r="AA94" s="5">
        <v>0</v>
      </c>
      <c r="AB94" s="5">
        <v>0</v>
      </c>
      <c r="AC94" s="5">
        <v>0</v>
      </c>
      <c r="AD94" s="5">
        <v>169136</v>
      </c>
      <c r="AE94" s="5">
        <v>14094.66666666667</v>
      </c>
      <c r="AF94" s="5">
        <v>169136</v>
      </c>
      <c r="AG94">
        <v>169136</v>
      </c>
      <c r="AH94">
        <v>14094.66666666667</v>
      </c>
      <c r="AI94">
        <v>169136</v>
      </c>
      <c r="AJ94">
        <v>118580.99</v>
      </c>
      <c r="AK94">
        <v>40574.99</v>
      </c>
      <c r="AL94">
        <v>78006</v>
      </c>
      <c r="AM94">
        <v>69263.22</v>
      </c>
      <c r="AN94">
        <v>69263.22</v>
      </c>
      <c r="AO94" t="s">
        <v>55</v>
      </c>
      <c r="AP94" t="s">
        <v>207</v>
      </c>
      <c r="AQ94">
        <v>1</v>
      </c>
    </row>
    <row r="95" spans="1:43" x14ac:dyDescent="0.25">
      <c r="A95" t="s">
        <v>42</v>
      </c>
      <c r="B95" t="s">
        <v>43</v>
      </c>
      <c r="C95" t="s">
        <v>44</v>
      </c>
      <c r="D95" t="s">
        <v>45</v>
      </c>
      <c r="E95">
        <v>14</v>
      </c>
      <c r="F95">
        <v>122</v>
      </c>
      <c r="G95">
        <v>3024</v>
      </c>
      <c r="H95">
        <v>2100</v>
      </c>
      <c r="I95" t="s">
        <v>57</v>
      </c>
      <c r="J95" t="s">
        <v>517</v>
      </c>
      <c r="K95" t="s">
        <v>65</v>
      </c>
      <c r="L95" t="s">
        <v>66</v>
      </c>
      <c r="M95">
        <v>12</v>
      </c>
      <c r="N95" t="s">
        <v>60</v>
      </c>
      <c r="O95">
        <v>2022</v>
      </c>
      <c r="P95">
        <v>36434</v>
      </c>
      <c r="Q95" t="s">
        <v>580</v>
      </c>
      <c r="R95" t="s">
        <v>581</v>
      </c>
      <c r="S95" t="str">
        <f>IF(COUNTIF(Tabela2[PROCESSO],Tabela1[[#This Row],[codProcesso]])&gt;0,"Está","Não está")</f>
        <v>Está</v>
      </c>
      <c r="T95" t="s">
        <v>582</v>
      </c>
      <c r="U95" t="s">
        <v>583</v>
      </c>
      <c r="V95" t="s">
        <v>584</v>
      </c>
      <c r="W95" t="s">
        <v>585</v>
      </c>
      <c r="X95">
        <v>36</v>
      </c>
      <c r="Y95" t="s">
        <v>73</v>
      </c>
      <c r="Z95" s="5">
        <v>156457.07999999999</v>
      </c>
      <c r="AA95" s="5">
        <v>19245.599999999999</v>
      </c>
      <c r="AB95" s="5">
        <v>312914.15999999997</v>
      </c>
      <c r="AC95" s="5">
        <v>0</v>
      </c>
      <c r="AD95" s="5">
        <v>488616.84</v>
      </c>
      <c r="AE95" s="5">
        <v>13572.69</v>
      </c>
      <c r="AF95" s="5">
        <v>162872.28</v>
      </c>
      <c r="AG95">
        <v>366462.63</v>
      </c>
      <c r="AH95">
        <v>10179.5175</v>
      </c>
      <c r="AI95">
        <v>122154.21</v>
      </c>
      <c r="AJ95">
        <v>434071.38</v>
      </c>
      <c r="AK95">
        <v>18535.2</v>
      </c>
      <c r="AL95">
        <v>415536.18</v>
      </c>
      <c r="AM95">
        <v>359220.12</v>
      </c>
      <c r="AN95">
        <v>359220.12</v>
      </c>
      <c r="AO95" t="s">
        <v>55</v>
      </c>
      <c r="AP95" t="s">
        <v>586</v>
      </c>
      <c r="AQ95">
        <v>0.75</v>
      </c>
    </row>
    <row r="96" spans="1:43" x14ac:dyDescent="0.25">
      <c r="A96" t="s">
        <v>42</v>
      </c>
      <c r="B96" t="s">
        <v>43</v>
      </c>
      <c r="C96" t="s">
        <v>44</v>
      </c>
      <c r="D96" t="s">
        <v>45</v>
      </c>
      <c r="E96">
        <v>14</v>
      </c>
      <c r="F96">
        <v>422</v>
      </c>
      <c r="G96">
        <v>3013</v>
      </c>
      <c r="H96">
        <v>2053</v>
      </c>
      <c r="I96" t="s">
        <v>57</v>
      </c>
      <c r="J96" t="s">
        <v>749</v>
      </c>
      <c r="K96" t="s">
        <v>65</v>
      </c>
      <c r="L96" t="s">
        <v>66</v>
      </c>
      <c r="M96">
        <v>12</v>
      </c>
      <c r="N96" t="s">
        <v>60</v>
      </c>
      <c r="O96">
        <v>2020</v>
      </c>
      <c r="P96">
        <v>18241</v>
      </c>
      <c r="Q96" t="s">
        <v>810</v>
      </c>
      <c r="R96" t="s">
        <v>811</v>
      </c>
      <c r="S96" t="str">
        <f>IF(COUNTIF(Tabela2[PROCESSO],Tabela1[[#This Row],[codProcesso]])&gt;0,"Está","Não está")</f>
        <v>Está</v>
      </c>
      <c r="T96" t="s">
        <v>812</v>
      </c>
      <c r="U96" t="s">
        <v>813</v>
      </c>
      <c r="V96" t="s">
        <v>814</v>
      </c>
      <c r="W96" t="s">
        <v>815</v>
      </c>
      <c r="X96">
        <v>60</v>
      </c>
      <c r="Y96" t="s">
        <v>73</v>
      </c>
      <c r="Z96" s="5">
        <v>156000</v>
      </c>
      <c r="AA96" s="5">
        <v>120365.16</v>
      </c>
      <c r="AB96" s="5">
        <v>624000</v>
      </c>
      <c r="AC96" s="5">
        <v>0</v>
      </c>
      <c r="AD96" s="5">
        <v>900365.16</v>
      </c>
      <c r="AE96" s="5">
        <v>15006.085999999999</v>
      </c>
      <c r="AF96" s="5">
        <v>180073.03200000001</v>
      </c>
      <c r="AG96">
        <v>900365.16</v>
      </c>
      <c r="AH96">
        <v>15006.085999999999</v>
      </c>
      <c r="AI96">
        <v>180073.03200000001</v>
      </c>
      <c r="AJ96">
        <v>1303831.3799999999</v>
      </c>
      <c r="AK96">
        <v>408616.12</v>
      </c>
      <c r="AL96">
        <v>895215.26</v>
      </c>
      <c r="AM96">
        <v>829315.8</v>
      </c>
      <c r="AN96">
        <v>812977.09</v>
      </c>
      <c r="AO96" t="s">
        <v>55</v>
      </c>
      <c r="AP96" t="s">
        <v>816</v>
      </c>
      <c r="AQ96">
        <v>1</v>
      </c>
    </row>
    <row r="97" spans="1:43" x14ac:dyDescent="0.25">
      <c r="A97" t="s">
        <v>42</v>
      </c>
      <c r="B97" t="s">
        <v>43</v>
      </c>
      <c r="C97" t="s">
        <v>44</v>
      </c>
      <c r="D97" t="s">
        <v>45</v>
      </c>
      <c r="E97">
        <v>14</v>
      </c>
      <c r="F97">
        <v>122</v>
      </c>
      <c r="G97">
        <v>3024</v>
      </c>
      <c r="H97">
        <v>2100</v>
      </c>
      <c r="I97" t="s">
        <v>57</v>
      </c>
      <c r="J97" t="s">
        <v>483</v>
      </c>
      <c r="K97" t="s">
        <v>58</v>
      </c>
      <c r="L97" t="s">
        <v>59</v>
      </c>
      <c r="M97">
        <v>12</v>
      </c>
      <c r="N97" t="s">
        <v>60</v>
      </c>
      <c r="O97">
        <v>2020</v>
      </c>
      <c r="P97">
        <v>23150</v>
      </c>
      <c r="Q97" t="s">
        <v>507</v>
      </c>
      <c r="R97" t="s">
        <v>508</v>
      </c>
      <c r="S97" t="str">
        <f>IF(COUNTIF(Tabela2[PROCESSO],Tabela1[[#This Row],[codProcesso]])&gt;0,"Está","Não está")</f>
        <v>Está</v>
      </c>
      <c r="T97" t="s">
        <v>509</v>
      </c>
      <c r="U97" t="s">
        <v>510</v>
      </c>
      <c r="V97" t="s">
        <v>511</v>
      </c>
      <c r="W97" t="s">
        <v>512</v>
      </c>
      <c r="X97">
        <v>60</v>
      </c>
      <c r="Y97" t="s">
        <v>73</v>
      </c>
      <c r="Z97" s="5">
        <v>154560</v>
      </c>
      <c r="AA97" s="5">
        <v>141557.16</v>
      </c>
      <c r="AB97" s="5">
        <v>811440</v>
      </c>
      <c r="AC97" s="5">
        <v>0</v>
      </c>
      <c r="AD97" s="5">
        <v>1107557.1599999999</v>
      </c>
      <c r="AE97" s="5">
        <v>18459.286</v>
      </c>
      <c r="AF97" s="5">
        <v>221511.432</v>
      </c>
      <c r="AG97">
        <v>620232.00960000011</v>
      </c>
      <c r="AH97">
        <v>10337.20016</v>
      </c>
      <c r="AI97">
        <v>124046.40192</v>
      </c>
      <c r="AJ97">
        <v>1307095.23</v>
      </c>
      <c r="AK97">
        <v>264795.46000000002</v>
      </c>
      <c r="AL97">
        <v>1042299.77</v>
      </c>
      <c r="AM97">
        <v>925911.42</v>
      </c>
      <c r="AN97">
        <v>925911.42</v>
      </c>
      <c r="AO97" t="s">
        <v>55</v>
      </c>
      <c r="AP97" t="s">
        <v>513</v>
      </c>
      <c r="AQ97">
        <v>0.56000000000000005</v>
      </c>
    </row>
    <row r="98" spans="1:43" x14ac:dyDescent="0.25">
      <c r="A98" t="s">
        <v>42</v>
      </c>
      <c r="B98" t="s">
        <v>43</v>
      </c>
      <c r="C98" t="s">
        <v>44</v>
      </c>
      <c r="D98" t="s">
        <v>45</v>
      </c>
      <c r="E98">
        <v>14</v>
      </c>
      <c r="F98">
        <v>422</v>
      </c>
      <c r="G98">
        <v>3013</v>
      </c>
      <c r="H98">
        <v>6178</v>
      </c>
      <c r="I98" t="s">
        <v>57</v>
      </c>
      <c r="J98" t="s">
        <v>47</v>
      </c>
      <c r="K98" t="s">
        <v>65</v>
      </c>
      <c r="L98" t="s">
        <v>66</v>
      </c>
      <c r="M98">
        <v>12</v>
      </c>
      <c r="N98" t="s">
        <v>60</v>
      </c>
      <c r="O98">
        <v>2022</v>
      </c>
      <c r="P98">
        <v>18776</v>
      </c>
      <c r="Q98" t="s">
        <v>149</v>
      </c>
      <c r="R98" t="s">
        <v>150</v>
      </c>
      <c r="S98" t="str">
        <f>IF(COUNTIF(Tabela2[PROCESSO],Tabela1[[#This Row],[codProcesso]])&gt;0,"Está","Não está")</f>
        <v>Não está</v>
      </c>
      <c r="T98" t="s">
        <v>151</v>
      </c>
      <c r="U98" t="s">
        <v>152</v>
      </c>
      <c r="V98" t="s">
        <v>153</v>
      </c>
      <c r="W98" t="s">
        <v>154</v>
      </c>
      <c r="X98">
        <v>30</v>
      </c>
      <c r="Y98" t="s">
        <v>98</v>
      </c>
      <c r="Z98" s="5">
        <v>148800</v>
      </c>
      <c r="AA98" s="5">
        <v>2232</v>
      </c>
      <c r="AB98" s="5">
        <v>223200</v>
      </c>
      <c r="AC98" s="5">
        <v>0</v>
      </c>
      <c r="AD98" s="5">
        <v>374232</v>
      </c>
      <c r="AE98" s="5">
        <v>12474.4</v>
      </c>
      <c r="AF98" s="5">
        <v>149692.79999999999</v>
      </c>
      <c r="AG98">
        <v>374232</v>
      </c>
      <c r="AH98">
        <v>12474.4</v>
      </c>
      <c r="AI98">
        <v>149692.79999999999</v>
      </c>
      <c r="AJ98">
        <v>436434.27</v>
      </c>
      <c r="AK98">
        <v>265618.98</v>
      </c>
      <c r="AL98">
        <v>170815.29</v>
      </c>
      <c r="AM98">
        <v>106377.49</v>
      </c>
      <c r="AN98">
        <v>106377.49</v>
      </c>
      <c r="AO98" t="s">
        <v>55</v>
      </c>
      <c r="AP98" t="s">
        <v>155</v>
      </c>
      <c r="AQ98">
        <v>1</v>
      </c>
    </row>
    <row r="99" spans="1:43" x14ac:dyDescent="0.25">
      <c r="A99" t="s">
        <v>42</v>
      </c>
      <c r="B99" t="s">
        <v>43</v>
      </c>
      <c r="C99" t="s">
        <v>44</v>
      </c>
      <c r="D99" t="s">
        <v>45</v>
      </c>
      <c r="E99">
        <v>14</v>
      </c>
      <c r="F99">
        <v>122</v>
      </c>
      <c r="G99">
        <v>3024</v>
      </c>
      <c r="H99">
        <v>2100</v>
      </c>
      <c r="I99" t="s">
        <v>57</v>
      </c>
      <c r="J99" t="s">
        <v>483</v>
      </c>
      <c r="K99" t="s">
        <v>65</v>
      </c>
      <c r="L99" t="s">
        <v>66</v>
      </c>
      <c r="M99">
        <v>12</v>
      </c>
      <c r="N99" t="s">
        <v>60</v>
      </c>
      <c r="O99">
        <v>2024</v>
      </c>
      <c r="P99">
        <v>39239</v>
      </c>
      <c r="R99" t="s">
        <v>683</v>
      </c>
      <c r="S99" t="str">
        <f>IF(COUNTIF(Tabela2[PROCESSO],Tabela1[[#This Row],[codProcesso]])&gt;0,"Está","Não está")</f>
        <v>Está</v>
      </c>
      <c r="T99" t="s">
        <v>684</v>
      </c>
      <c r="X99">
        <v>12</v>
      </c>
      <c r="Y99" t="s">
        <v>54</v>
      </c>
      <c r="Z99" s="5">
        <v>144540</v>
      </c>
      <c r="AA99" s="5">
        <v>0</v>
      </c>
      <c r="AB99" s="5">
        <v>0</v>
      </c>
      <c r="AC99" s="5">
        <v>0</v>
      </c>
      <c r="AD99" s="5">
        <v>144540</v>
      </c>
      <c r="AE99" s="5">
        <v>12045</v>
      </c>
      <c r="AF99" s="5">
        <v>144540</v>
      </c>
      <c r="AG99">
        <v>144540</v>
      </c>
      <c r="AH99">
        <v>12045</v>
      </c>
      <c r="AI99">
        <v>144540</v>
      </c>
      <c r="AJ99">
        <v>47109.33</v>
      </c>
      <c r="AK99">
        <v>2944.33</v>
      </c>
      <c r="AL99">
        <v>44165</v>
      </c>
      <c r="AM99">
        <v>0</v>
      </c>
      <c r="AN99">
        <v>0</v>
      </c>
      <c r="AO99" t="s">
        <v>55</v>
      </c>
      <c r="AP99" t="s">
        <v>685</v>
      </c>
      <c r="AQ99">
        <v>1</v>
      </c>
    </row>
    <row r="100" spans="1:43" x14ac:dyDescent="0.25">
      <c r="A100" t="s">
        <v>42</v>
      </c>
      <c r="B100" t="s">
        <v>43</v>
      </c>
      <c r="C100" t="s">
        <v>44</v>
      </c>
      <c r="D100" t="s">
        <v>45</v>
      </c>
      <c r="E100">
        <v>14</v>
      </c>
      <c r="F100">
        <v>422</v>
      </c>
      <c r="G100">
        <v>3013</v>
      </c>
      <c r="H100">
        <v>2053</v>
      </c>
      <c r="I100" t="s">
        <v>57</v>
      </c>
      <c r="J100" t="s">
        <v>749</v>
      </c>
      <c r="K100" t="s">
        <v>65</v>
      </c>
      <c r="L100" t="s">
        <v>66</v>
      </c>
      <c r="M100">
        <v>8</v>
      </c>
      <c r="N100" t="s">
        <v>50</v>
      </c>
      <c r="O100">
        <v>2019</v>
      </c>
      <c r="P100">
        <v>23189</v>
      </c>
      <c r="Q100" t="s">
        <v>771</v>
      </c>
      <c r="R100" t="s">
        <v>765</v>
      </c>
      <c r="S100" t="str">
        <f>IF(COUNTIF(Tabela2[PROCESSO],Tabela1[[#This Row],[codProcesso]])&gt;0,"Está","Não está")</f>
        <v>Não está</v>
      </c>
      <c r="T100" t="s">
        <v>772</v>
      </c>
      <c r="U100" t="s">
        <v>773</v>
      </c>
      <c r="V100" t="s">
        <v>768</v>
      </c>
      <c r="W100" t="s">
        <v>774</v>
      </c>
      <c r="X100">
        <v>74</v>
      </c>
      <c r="Y100" t="s">
        <v>73</v>
      </c>
      <c r="Z100" s="5">
        <v>139920</v>
      </c>
      <c r="AA100" s="5">
        <v>134435.04999999999</v>
      </c>
      <c r="AB100" s="5">
        <v>699600</v>
      </c>
      <c r="AC100" s="5">
        <v>0</v>
      </c>
      <c r="AD100" s="5">
        <v>973955.05</v>
      </c>
      <c r="AE100" s="5">
        <v>13161.554729729731</v>
      </c>
      <c r="AF100" s="5">
        <v>157938.6567567568</v>
      </c>
      <c r="AG100">
        <v>973955.05</v>
      </c>
      <c r="AH100">
        <v>13161.554729729731</v>
      </c>
      <c r="AI100">
        <v>157938.6567567568</v>
      </c>
      <c r="AJ100">
        <v>1065239.77</v>
      </c>
      <c r="AK100">
        <v>222997.8</v>
      </c>
      <c r="AL100">
        <v>842241.97</v>
      </c>
      <c r="AM100">
        <v>841882.21</v>
      </c>
      <c r="AN100">
        <v>841882.21</v>
      </c>
      <c r="AO100" t="s">
        <v>55</v>
      </c>
      <c r="AP100" t="s">
        <v>770</v>
      </c>
      <c r="AQ100">
        <v>1</v>
      </c>
    </row>
    <row r="101" spans="1:43" x14ac:dyDescent="0.25">
      <c r="A101" t="s">
        <v>42</v>
      </c>
      <c r="B101" t="s">
        <v>43</v>
      </c>
      <c r="C101" t="s">
        <v>44</v>
      </c>
      <c r="D101" t="s">
        <v>45</v>
      </c>
      <c r="E101">
        <v>14</v>
      </c>
      <c r="F101">
        <v>122</v>
      </c>
      <c r="G101">
        <v>3024</v>
      </c>
      <c r="H101">
        <v>2100</v>
      </c>
      <c r="I101" t="s">
        <v>57</v>
      </c>
      <c r="J101" t="s">
        <v>483</v>
      </c>
      <c r="K101" t="s">
        <v>65</v>
      </c>
      <c r="L101" t="s">
        <v>66</v>
      </c>
      <c r="M101">
        <v>12</v>
      </c>
      <c r="N101" t="s">
        <v>60</v>
      </c>
      <c r="O101">
        <v>2024</v>
      </c>
      <c r="P101">
        <v>36788</v>
      </c>
      <c r="Q101" t="s">
        <v>723</v>
      </c>
      <c r="R101" t="s">
        <v>724</v>
      </c>
      <c r="S101" t="str">
        <f>IF(COUNTIF(Tabela2[PROCESSO],Tabela1[[#This Row],[codProcesso]])&gt;0,"Está","Não está")</f>
        <v>Está</v>
      </c>
      <c r="T101" t="s">
        <v>725</v>
      </c>
      <c r="U101" t="s">
        <v>726</v>
      </c>
      <c r="V101" t="s">
        <v>727</v>
      </c>
      <c r="W101" t="s">
        <v>728</v>
      </c>
      <c r="X101">
        <v>12</v>
      </c>
      <c r="Y101" t="s">
        <v>73</v>
      </c>
      <c r="Z101" s="5">
        <v>130729.32</v>
      </c>
      <c r="AA101" s="5">
        <v>0</v>
      </c>
      <c r="AB101" s="5">
        <v>0</v>
      </c>
      <c r="AC101" s="5">
        <v>0</v>
      </c>
      <c r="AD101" s="5">
        <v>130729.32</v>
      </c>
      <c r="AE101" s="5">
        <v>10894.11</v>
      </c>
      <c r="AF101" s="5">
        <v>130729.32</v>
      </c>
      <c r="AG101">
        <v>130729.32</v>
      </c>
      <c r="AH101">
        <v>10894.11</v>
      </c>
      <c r="AI101">
        <v>130729.32</v>
      </c>
      <c r="AJ101">
        <v>141986.57</v>
      </c>
      <c r="AK101">
        <v>11257.25</v>
      </c>
      <c r="AL101">
        <v>130729.32</v>
      </c>
      <c r="AM101">
        <v>67543.48</v>
      </c>
      <c r="AN101">
        <v>56649.37</v>
      </c>
      <c r="AO101" t="s">
        <v>55</v>
      </c>
      <c r="AP101" t="s">
        <v>729</v>
      </c>
      <c r="AQ101">
        <v>1</v>
      </c>
    </row>
    <row r="102" spans="1:43" x14ac:dyDescent="0.25">
      <c r="A102" t="s">
        <v>42</v>
      </c>
      <c r="B102" t="s">
        <v>43</v>
      </c>
      <c r="C102" t="s">
        <v>44</v>
      </c>
      <c r="D102" t="s">
        <v>45</v>
      </c>
      <c r="E102">
        <v>14</v>
      </c>
      <c r="F102">
        <v>422</v>
      </c>
      <c r="G102">
        <v>3018</v>
      </c>
      <c r="H102">
        <v>4326</v>
      </c>
      <c r="I102" t="s">
        <v>57</v>
      </c>
      <c r="J102" t="s">
        <v>517</v>
      </c>
      <c r="K102" t="s">
        <v>622</v>
      </c>
      <c r="L102" t="s">
        <v>623</v>
      </c>
      <c r="M102">
        <v>6</v>
      </c>
      <c r="N102" t="s">
        <v>115</v>
      </c>
      <c r="O102">
        <v>2022</v>
      </c>
      <c r="P102">
        <v>10026</v>
      </c>
      <c r="Q102" t="s">
        <v>652</v>
      </c>
      <c r="R102" t="s">
        <v>653</v>
      </c>
      <c r="S102" t="str">
        <f>IF(COUNTIF(Tabela2[PROCESSO],Tabela1[[#This Row],[codProcesso]])&gt;0,"Está","Não está")</f>
        <v>Está</v>
      </c>
      <c r="T102" t="s">
        <v>654</v>
      </c>
      <c r="U102" t="s">
        <v>655</v>
      </c>
      <c r="V102" t="s">
        <v>656</v>
      </c>
      <c r="W102" t="s">
        <v>657</v>
      </c>
      <c r="X102">
        <v>36</v>
      </c>
      <c r="Y102" t="s">
        <v>98</v>
      </c>
      <c r="Z102" s="5">
        <v>127333.79</v>
      </c>
      <c r="AA102" s="5">
        <v>0</v>
      </c>
      <c r="AB102" s="5">
        <v>254667.58</v>
      </c>
      <c r="AC102" s="5">
        <v>0</v>
      </c>
      <c r="AD102" s="5">
        <v>382001.37</v>
      </c>
      <c r="AE102" s="5">
        <v>10611.14916666667</v>
      </c>
      <c r="AF102" s="5">
        <v>127333.79</v>
      </c>
      <c r="AG102">
        <v>382001.37</v>
      </c>
      <c r="AH102">
        <v>10611.14916666667</v>
      </c>
      <c r="AI102">
        <v>127333.79</v>
      </c>
      <c r="AJ102">
        <v>510526.26</v>
      </c>
      <c r="AK102">
        <v>413463.03999999998</v>
      </c>
      <c r="AL102">
        <v>97063.22</v>
      </c>
      <c r="AM102">
        <v>82142.7</v>
      </c>
      <c r="AN102">
        <v>82142.7</v>
      </c>
      <c r="AO102" t="s">
        <v>55</v>
      </c>
      <c r="AP102" t="s">
        <v>658</v>
      </c>
      <c r="AQ102">
        <v>1</v>
      </c>
    </row>
    <row r="103" spans="1:43" x14ac:dyDescent="0.25">
      <c r="A103" t="s">
        <v>42</v>
      </c>
      <c r="B103" t="s">
        <v>43</v>
      </c>
      <c r="C103" t="s">
        <v>44</v>
      </c>
      <c r="D103" t="s">
        <v>45</v>
      </c>
      <c r="E103">
        <v>14</v>
      </c>
      <c r="F103">
        <v>122</v>
      </c>
      <c r="G103">
        <v>3024</v>
      </c>
      <c r="H103">
        <v>2100</v>
      </c>
      <c r="I103" t="s">
        <v>57</v>
      </c>
      <c r="J103" t="s">
        <v>749</v>
      </c>
      <c r="K103" t="s">
        <v>65</v>
      </c>
      <c r="L103" t="s">
        <v>66</v>
      </c>
      <c r="M103">
        <v>12</v>
      </c>
      <c r="N103" t="s">
        <v>60</v>
      </c>
      <c r="O103">
        <v>2025</v>
      </c>
      <c r="P103">
        <v>7922</v>
      </c>
      <c r="Q103" t="s">
        <v>1133</v>
      </c>
      <c r="R103" t="s">
        <v>1134</v>
      </c>
      <c r="S103" t="str">
        <f>IF(COUNTIF(Tabela2[PROCESSO],Tabela1[[#This Row],[codProcesso]])&gt;0,"Está","Não está")</f>
        <v>Não está</v>
      </c>
      <c r="T103" t="s">
        <v>1135</v>
      </c>
      <c r="U103" t="s">
        <v>675</v>
      </c>
      <c r="V103" t="s">
        <v>1055</v>
      </c>
      <c r="W103" t="s">
        <v>1136</v>
      </c>
      <c r="X103">
        <v>10</v>
      </c>
      <c r="Y103" t="s">
        <v>73</v>
      </c>
      <c r="Z103" s="5">
        <v>125600</v>
      </c>
      <c r="AA103" s="5">
        <v>0</v>
      </c>
      <c r="AB103" s="5">
        <v>0</v>
      </c>
      <c r="AC103" s="5">
        <v>0</v>
      </c>
      <c r="AD103" s="5">
        <v>125600</v>
      </c>
      <c r="AE103" s="5">
        <v>10466.66666666667</v>
      </c>
      <c r="AF103" s="5">
        <v>125600</v>
      </c>
      <c r="AG103">
        <v>125600</v>
      </c>
      <c r="AH103">
        <v>10466.66666666667</v>
      </c>
      <c r="AI103">
        <v>125600</v>
      </c>
      <c r="AJ103">
        <v>125600</v>
      </c>
      <c r="AK103">
        <v>0</v>
      </c>
      <c r="AL103">
        <v>125600</v>
      </c>
      <c r="AM103">
        <v>35168</v>
      </c>
      <c r="AN103">
        <v>22608</v>
      </c>
      <c r="AO103" t="s">
        <v>55</v>
      </c>
      <c r="AP103" t="s">
        <v>1137</v>
      </c>
      <c r="AQ103">
        <v>1</v>
      </c>
    </row>
    <row r="104" spans="1:43" x14ac:dyDescent="0.25">
      <c r="A104" t="s">
        <v>42</v>
      </c>
      <c r="B104" t="s">
        <v>43</v>
      </c>
      <c r="C104" t="s">
        <v>44</v>
      </c>
      <c r="D104" t="s">
        <v>45</v>
      </c>
      <c r="E104">
        <v>14</v>
      </c>
      <c r="F104">
        <v>422</v>
      </c>
      <c r="G104">
        <v>3013</v>
      </c>
      <c r="H104">
        <v>6178</v>
      </c>
      <c r="I104" t="s">
        <v>186</v>
      </c>
      <c r="J104" t="s">
        <v>439</v>
      </c>
      <c r="K104" t="s">
        <v>491</v>
      </c>
      <c r="L104" t="s">
        <v>492</v>
      </c>
      <c r="M104">
        <v>12</v>
      </c>
      <c r="N104" t="s">
        <v>60</v>
      </c>
      <c r="O104">
        <v>2025</v>
      </c>
      <c r="P104">
        <v>14553</v>
      </c>
      <c r="R104" t="s">
        <v>1553</v>
      </c>
      <c r="S104" t="str">
        <f>IF(COUNTIF(Tabela2[PROCESSO],Tabela1[[#This Row],[codProcesso]])&gt;0,"Está","Não está")</f>
        <v>Não está</v>
      </c>
      <c r="T104" t="s">
        <v>1554</v>
      </c>
      <c r="X104">
        <v>12</v>
      </c>
      <c r="Y104" t="s">
        <v>54</v>
      </c>
      <c r="Z104" s="5">
        <v>123280</v>
      </c>
      <c r="AA104" s="5">
        <v>0</v>
      </c>
      <c r="AB104" s="5">
        <v>0</v>
      </c>
      <c r="AC104" s="5">
        <v>0</v>
      </c>
      <c r="AD104" s="5">
        <v>123280</v>
      </c>
      <c r="AE104" s="5">
        <v>10273.33333333333</v>
      </c>
      <c r="AF104" s="5">
        <v>123280</v>
      </c>
      <c r="AG104">
        <v>123280</v>
      </c>
      <c r="AH104">
        <v>10273.33333333333</v>
      </c>
      <c r="AI104">
        <v>123280</v>
      </c>
      <c r="AJ104">
        <v>30000</v>
      </c>
      <c r="AK104">
        <v>0</v>
      </c>
      <c r="AL104">
        <v>30000</v>
      </c>
      <c r="AM104">
        <v>0</v>
      </c>
      <c r="AN104">
        <v>0</v>
      </c>
      <c r="AO104" t="s">
        <v>55</v>
      </c>
      <c r="AP104" t="s">
        <v>1555</v>
      </c>
      <c r="AQ104">
        <v>1</v>
      </c>
    </row>
    <row r="105" spans="1:43" x14ac:dyDescent="0.25">
      <c r="A105" t="s">
        <v>42</v>
      </c>
      <c r="B105" t="s">
        <v>43</v>
      </c>
      <c r="C105" t="s">
        <v>44</v>
      </c>
      <c r="D105" t="s">
        <v>45</v>
      </c>
      <c r="E105">
        <v>8</v>
      </c>
      <c r="F105">
        <v>605</v>
      </c>
      <c r="G105">
        <v>3016</v>
      </c>
      <c r="H105">
        <v>4470</v>
      </c>
      <c r="I105" t="s">
        <v>57</v>
      </c>
      <c r="J105" t="s">
        <v>215</v>
      </c>
      <c r="K105" t="s">
        <v>65</v>
      </c>
      <c r="L105" t="s">
        <v>66</v>
      </c>
      <c r="M105">
        <v>6</v>
      </c>
      <c r="N105" t="s">
        <v>115</v>
      </c>
      <c r="O105">
        <v>2022</v>
      </c>
      <c r="P105">
        <v>5253</v>
      </c>
      <c r="Q105" t="s">
        <v>1019</v>
      </c>
      <c r="R105" t="s">
        <v>1020</v>
      </c>
      <c r="S105" t="str">
        <f>IF(COUNTIF(Tabela2[PROCESSO],Tabela1[[#This Row],[codProcesso]])&gt;0,"Está","Não está")</f>
        <v>Está</v>
      </c>
      <c r="T105" t="s">
        <v>1021</v>
      </c>
      <c r="U105" t="s">
        <v>1022</v>
      </c>
      <c r="V105" t="s">
        <v>1023</v>
      </c>
      <c r="W105" t="s">
        <v>1024</v>
      </c>
      <c r="X105">
        <v>40</v>
      </c>
      <c r="Y105" t="s">
        <v>73</v>
      </c>
      <c r="Z105" s="5">
        <v>120020.4</v>
      </c>
      <c r="AA105" s="5">
        <v>0</v>
      </c>
      <c r="AB105" s="5">
        <v>240040.8</v>
      </c>
      <c r="AC105" s="5">
        <v>0</v>
      </c>
      <c r="AD105" s="5">
        <v>360061.2</v>
      </c>
      <c r="AE105" s="5">
        <v>9001.5299999999988</v>
      </c>
      <c r="AF105" s="5">
        <v>108018.36</v>
      </c>
      <c r="AG105">
        <v>360061.2</v>
      </c>
      <c r="AH105">
        <v>9001.5299999999988</v>
      </c>
      <c r="AI105">
        <v>108018.36</v>
      </c>
      <c r="AJ105">
        <v>214891.36</v>
      </c>
      <c r="AK105">
        <v>172147.67</v>
      </c>
      <c r="AL105">
        <v>42743.69</v>
      </c>
      <c r="AM105">
        <v>28509.25</v>
      </c>
      <c r="AN105">
        <v>28346.67</v>
      </c>
      <c r="AO105" t="s">
        <v>55</v>
      </c>
      <c r="AP105" t="s">
        <v>1025</v>
      </c>
      <c r="AQ105">
        <v>1</v>
      </c>
    </row>
    <row r="106" spans="1:43" x14ac:dyDescent="0.25">
      <c r="A106" t="s">
        <v>42</v>
      </c>
      <c r="B106" t="s">
        <v>43</v>
      </c>
      <c r="C106" t="s">
        <v>44</v>
      </c>
      <c r="D106" t="s">
        <v>45</v>
      </c>
      <c r="E106">
        <v>14</v>
      </c>
      <c r="F106">
        <v>243</v>
      </c>
      <c r="G106">
        <v>3013</v>
      </c>
      <c r="H106">
        <v>2157</v>
      </c>
      <c r="I106" t="s">
        <v>101</v>
      </c>
      <c r="J106" t="s">
        <v>47</v>
      </c>
      <c r="K106" t="s">
        <v>65</v>
      </c>
      <c r="L106" t="s">
        <v>66</v>
      </c>
      <c r="M106">
        <v>12</v>
      </c>
      <c r="N106" t="s">
        <v>60</v>
      </c>
      <c r="O106">
        <v>2023</v>
      </c>
      <c r="P106">
        <v>6548</v>
      </c>
      <c r="Q106" t="s">
        <v>102</v>
      </c>
      <c r="R106" t="s">
        <v>103</v>
      </c>
      <c r="S106" t="str">
        <f>IF(COUNTIF(Tabela2[PROCESSO],Tabela1[[#This Row],[codProcesso]])&gt;0,"Está","Não está")</f>
        <v>Está</v>
      </c>
      <c r="T106" t="s">
        <v>104</v>
      </c>
      <c r="U106" t="s">
        <v>105</v>
      </c>
      <c r="V106" t="s">
        <v>106</v>
      </c>
      <c r="W106" t="s">
        <v>107</v>
      </c>
      <c r="X106">
        <v>39</v>
      </c>
      <c r="Y106" t="s">
        <v>73</v>
      </c>
      <c r="Z106" s="5">
        <v>120000</v>
      </c>
      <c r="AA106" s="5">
        <v>0</v>
      </c>
      <c r="AB106" s="5">
        <v>240000</v>
      </c>
      <c r="AC106" s="5">
        <v>0</v>
      </c>
      <c r="AD106" s="5">
        <v>360000</v>
      </c>
      <c r="AE106" s="5">
        <v>9230.7692307692305</v>
      </c>
      <c r="AF106" s="5">
        <v>110769.23076923079</v>
      </c>
      <c r="AG106">
        <v>36000</v>
      </c>
      <c r="AH106">
        <v>923.07692307692309</v>
      </c>
      <c r="AI106">
        <v>11076.92307692308</v>
      </c>
      <c r="AJ106">
        <v>392850.32</v>
      </c>
      <c r="AK106">
        <v>225199.16</v>
      </c>
      <c r="AL106">
        <v>167651.16</v>
      </c>
      <c r="AM106">
        <v>162321.25</v>
      </c>
      <c r="AN106">
        <v>162321.25</v>
      </c>
      <c r="AO106" t="s">
        <v>55</v>
      </c>
      <c r="AP106" t="s">
        <v>108</v>
      </c>
      <c r="AQ106">
        <v>0.1</v>
      </c>
    </row>
    <row r="107" spans="1:43" x14ac:dyDescent="0.25">
      <c r="A107" t="s">
        <v>42</v>
      </c>
      <c r="B107" t="s">
        <v>1322</v>
      </c>
      <c r="C107" t="s">
        <v>1323</v>
      </c>
      <c r="D107" t="s">
        <v>45</v>
      </c>
      <c r="E107">
        <v>14</v>
      </c>
      <c r="F107">
        <v>422</v>
      </c>
      <c r="G107">
        <v>3018</v>
      </c>
      <c r="H107">
        <v>4326</v>
      </c>
      <c r="I107" t="s">
        <v>57</v>
      </c>
      <c r="J107" t="s">
        <v>1814</v>
      </c>
      <c r="K107" t="s">
        <v>65</v>
      </c>
      <c r="L107" t="s">
        <v>66</v>
      </c>
      <c r="M107">
        <v>7</v>
      </c>
      <c r="N107" t="s">
        <v>391</v>
      </c>
      <c r="O107">
        <v>2025</v>
      </c>
      <c r="P107">
        <v>16912</v>
      </c>
      <c r="Q107" t="s">
        <v>1825</v>
      </c>
      <c r="R107" t="s">
        <v>1826</v>
      </c>
      <c r="S107" t="str">
        <f>IF(COUNTIF(Tabela2[PROCESSO],Tabela1[[#This Row],[codProcesso]])&gt;0,"Está","Não está")</f>
        <v>Não está</v>
      </c>
      <c r="T107" t="s">
        <v>1827</v>
      </c>
      <c r="U107" t="s">
        <v>1715</v>
      </c>
      <c r="V107" t="s">
        <v>1672</v>
      </c>
      <c r="W107" t="s">
        <v>1490</v>
      </c>
      <c r="X107">
        <v>0</v>
      </c>
      <c r="Y107" t="s">
        <v>98</v>
      </c>
      <c r="Z107" s="5">
        <v>120000</v>
      </c>
      <c r="AA107" s="5">
        <v>0</v>
      </c>
      <c r="AB107" s="5">
        <v>0</v>
      </c>
      <c r="AC107" s="5">
        <v>0</v>
      </c>
      <c r="AD107" s="5">
        <v>120000</v>
      </c>
      <c r="AE107" s="5">
        <v>10000</v>
      </c>
      <c r="AF107" s="5">
        <v>120000</v>
      </c>
      <c r="AG107">
        <v>120000</v>
      </c>
      <c r="AH107">
        <v>10000</v>
      </c>
      <c r="AI107">
        <v>120000</v>
      </c>
      <c r="AJ107">
        <v>120000</v>
      </c>
      <c r="AK107">
        <v>0</v>
      </c>
      <c r="AL107">
        <v>120000</v>
      </c>
      <c r="AM107">
        <v>120000</v>
      </c>
      <c r="AN107">
        <v>0</v>
      </c>
      <c r="AO107" t="s">
        <v>55</v>
      </c>
      <c r="AP107" t="s">
        <v>1828</v>
      </c>
      <c r="AQ107">
        <v>1</v>
      </c>
    </row>
    <row r="108" spans="1:43" x14ac:dyDescent="0.25">
      <c r="A108" t="s">
        <v>42</v>
      </c>
      <c r="B108" t="s">
        <v>43</v>
      </c>
      <c r="C108" t="s">
        <v>44</v>
      </c>
      <c r="D108" t="s">
        <v>45</v>
      </c>
      <c r="E108">
        <v>14</v>
      </c>
      <c r="F108">
        <v>422</v>
      </c>
      <c r="G108">
        <v>3013</v>
      </c>
      <c r="H108">
        <v>6178</v>
      </c>
      <c r="I108" t="s">
        <v>57</v>
      </c>
      <c r="J108" t="s">
        <v>881</v>
      </c>
      <c r="K108" t="s">
        <v>65</v>
      </c>
      <c r="L108" t="s">
        <v>66</v>
      </c>
      <c r="M108">
        <v>12</v>
      </c>
      <c r="N108" t="s">
        <v>60</v>
      </c>
      <c r="O108">
        <v>2023</v>
      </c>
      <c r="P108">
        <v>21153</v>
      </c>
      <c r="Q108" t="s">
        <v>987</v>
      </c>
      <c r="R108" t="s">
        <v>988</v>
      </c>
      <c r="S108" t="str">
        <f>IF(COUNTIF(Tabela2[PROCESSO],Tabela1[[#This Row],[codProcesso]])&gt;0,"Está","Não está")</f>
        <v>Não está</v>
      </c>
      <c r="T108" t="s">
        <v>989</v>
      </c>
      <c r="U108" t="s">
        <v>636</v>
      </c>
      <c r="V108" t="s">
        <v>637</v>
      </c>
      <c r="W108" t="s">
        <v>120</v>
      </c>
      <c r="X108">
        <v>18</v>
      </c>
      <c r="Y108" t="s">
        <v>98</v>
      </c>
      <c r="Z108" s="5">
        <v>118800</v>
      </c>
      <c r="AA108" s="5">
        <v>1764.2</v>
      </c>
      <c r="AB108" s="5">
        <v>59400</v>
      </c>
      <c r="AC108" s="5">
        <v>0</v>
      </c>
      <c r="AD108" s="5">
        <v>179964.2</v>
      </c>
      <c r="AE108" s="5">
        <v>9998.0111111111109</v>
      </c>
      <c r="AF108" s="5">
        <v>119976.1333333333</v>
      </c>
      <c r="AG108">
        <v>179964.2</v>
      </c>
      <c r="AH108">
        <v>9998.0111111111109</v>
      </c>
      <c r="AI108">
        <v>119976.1333333333</v>
      </c>
      <c r="AJ108">
        <v>258834.18</v>
      </c>
      <c r="AK108">
        <v>86790</v>
      </c>
      <c r="AL108">
        <v>172044.18</v>
      </c>
      <c r="AM108">
        <v>170345.18</v>
      </c>
      <c r="AN108">
        <v>170345.18</v>
      </c>
      <c r="AO108" t="s">
        <v>55</v>
      </c>
      <c r="AP108" t="s">
        <v>990</v>
      </c>
      <c r="AQ108">
        <v>1</v>
      </c>
    </row>
    <row r="109" spans="1:43" x14ac:dyDescent="0.25">
      <c r="A109" t="s">
        <v>42</v>
      </c>
      <c r="B109" t="s">
        <v>43</v>
      </c>
      <c r="C109" t="s">
        <v>44</v>
      </c>
      <c r="D109" t="s">
        <v>45</v>
      </c>
      <c r="E109">
        <v>14</v>
      </c>
      <c r="F109">
        <v>126</v>
      </c>
      <c r="G109">
        <v>3024</v>
      </c>
      <c r="H109">
        <v>2171</v>
      </c>
      <c r="I109" t="s">
        <v>82</v>
      </c>
      <c r="J109" t="s">
        <v>47</v>
      </c>
      <c r="K109" t="s">
        <v>65</v>
      </c>
      <c r="L109" t="s">
        <v>66</v>
      </c>
      <c r="M109">
        <v>12</v>
      </c>
      <c r="N109" t="s">
        <v>60</v>
      </c>
      <c r="O109">
        <v>2023</v>
      </c>
      <c r="P109">
        <v>26119</v>
      </c>
      <c r="Q109" t="s">
        <v>92</v>
      </c>
      <c r="R109" t="s">
        <v>93</v>
      </c>
      <c r="S109" t="str">
        <f>IF(COUNTIF(Tabela2[PROCESSO],Tabela1[[#This Row],[codProcesso]])&gt;0,"Está","Não está")</f>
        <v>Está</v>
      </c>
      <c r="T109" t="s">
        <v>94</v>
      </c>
      <c r="U109" t="s">
        <v>95</v>
      </c>
      <c r="V109" t="s">
        <v>96</v>
      </c>
      <c r="W109" t="s">
        <v>100</v>
      </c>
      <c r="X109">
        <v>12</v>
      </c>
      <c r="Y109" t="s">
        <v>98</v>
      </c>
      <c r="Z109" s="5">
        <v>117265.32</v>
      </c>
      <c r="AA109" s="5">
        <v>5679.51</v>
      </c>
      <c r="AB109" s="5">
        <v>159487.21</v>
      </c>
      <c r="AC109" s="5">
        <v>0</v>
      </c>
      <c r="AD109" s="5">
        <v>282432.03999999998</v>
      </c>
      <c r="AE109" s="5">
        <v>23536.00333333333</v>
      </c>
      <c r="AF109" s="5">
        <v>282432.03999999998</v>
      </c>
      <c r="AG109">
        <v>282432.03999999998</v>
      </c>
      <c r="AH109">
        <v>23536.00333333333</v>
      </c>
      <c r="AI109">
        <v>282432.03999999998</v>
      </c>
      <c r="AJ109">
        <v>255870.46</v>
      </c>
      <c r="AK109">
        <v>108938.68</v>
      </c>
      <c r="AL109">
        <v>146931.78</v>
      </c>
      <c r="AM109">
        <v>102324.79</v>
      </c>
      <c r="AN109">
        <v>102324.79</v>
      </c>
      <c r="AO109" t="s">
        <v>55</v>
      </c>
      <c r="AP109" t="s">
        <v>99</v>
      </c>
      <c r="AQ109">
        <v>1</v>
      </c>
    </row>
    <row r="110" spans="1:43" x14ac:dyDescent="0.25">
      <c r="A110" t="s">
        <v>42</v>
      </c>
      <c r="B110" t="s">
        <v>43</v>
      </c>
      <c r="C110" t="s">
        <v>44</v>
      </c>
      <c r="D110" t="s">
        <v>45</v>
      </c>
      <c r="E110">
        <v>14</v>
      </c>
      <c r="F110">
        <v>422</v>
      </c>
      <c r="G110">
        <v>3018</v>
      </c>
      <c r="H110">
        <v>4334</v>
      </c>
      <c r="I110" t="s">
        <v>57</v>
      </c>
      <c r="J110" t="s">
        <v>439</v>
      </c>
      <c r="K110" t="s">
        <v>65</v>
      </c>
      <c r="L110" t="s">
        <v>66</v>
      </c>
      <c r="M110">
        <v>12</v>
      </c>
      <c r="N110" t="s">
        <v>60</v>
      </c>
      <c r="O110">
        <v>2022</v>
      </c>
      <c r="P110">
        <v>31724</v>
      </c>
      <c r="Q110" t="s">
        <v>444</v>
      </c>
      <c r="R110" t="s">
        <v>445</v>
      </c>
      <c r="S110" t="str">
        <f>IF(COUNTIF(Tabela2[PROCESSO],Tabela1[[#This Row],[codProcesso]])&gt;0,"Está","Não está")</f>
        <v>Está</v>
      </c>
      <c r="T110" t="s">
        <v>446</v>
      </c>
      <c r="U110" t="s">
        <v>423</v>
      </c>
      <c r="V110" t="s">
        <v>447</v>
      </c>
      <c r="W110" t="s">
        <v>448</v>
      </c>
      <c r="X110">
        <v>36</v>
      </c>
      <c r="Y110" t="s">
        <v>73</v>
      </c>
      <c r="Z110" s="5">
        <v>113400</v>
      </c>
      <c r="AA110" s="5">
        <v>4503.6000000000004</v>
      </c>
      <c r="AB110" s="5">
        <v>226800</v>
      </c>
      <c r="AC110" s="5">
        <v>0</v>
      </c>
      <c r="AD110" s="5">
        <v>344703.6</v>
      </c>
      <c r="AE110" s="5">
        <v>9575.0999999999985</v>
      </c>
      <c r="AF110" s="5">
        <v>114901.2</v>
      </c>
      <c r="AG110">
        <v>344703.6</v>
      </c>
      <c r="AH110">
        <v>9575.0999999999985</v>
      </c>
      <c r="AI110">
        <v>114901.2</v>
      </c>
      <c r="AJ110">
        <v>295141.44</v>
      </c>
      <c r="AK110">
        <v>86193.38</v>
      </c>
      <c r="AL110">
        <v>208948.06</v>
      </c>
      <c r="AM110">
        <v>150510.35</v>
      </c>
      <c r="AN110">
        <v>150510.35</v>
      </c>
      <c r="AO110" t="s">
        <v>55</v>
      </c>
      <c r="AP110" t="s">
        <v>449</v>
      </c>
      <c r="AQ110">
        <v>1</v>
      </c>
    </row>
    <row r="111" spans="1:43" x14ac:dyDescent="0.25">
      <c r="A111" t="s">
        <v>42</v>
      </c>
      <c r="B111" t="s">
        <v>43</v>
      </c>
      <c r="C111" t="s">
        <v>44</v>
      </c>
      <c r="D111" t="s">
        <v>45</v>
      </c>
      <c r="E111">
        <v>14</v>
      </c>
      <c r="F111">
        <v>122</v>
      </c>
      <c r="G111">
        <v>3024</v>
      </c>
      <c r="H111">
        <v>2100</v>
      </c>
      <c r="I111" t="s">
        <v>57</v>
      </c>
      <c r="J111" t="s">
        <v>47</v>
      </c>
      <c r="K111" t="s">
        <v>65</v>
      </c>
      <c r="L111" t="s">
        <v>66</v>
      </c>
      <c r="M111">
        <v>12</v>
      </c>
      <c r="N111" t="s">
        <v>60</v>
      </c>
      <c r="O111">
        <v>2025</v>
      </c>
      <c r="P111">
        <v>250</v>
      </c>
      <c r="Q111" t="s">
        <v>67</v>
      </c>
      <c r="R111" t="s">
        <v>68</v>
      </c>
      <c r="S111" t="str">
        <f>IF(COUNTIF(Tabela2[PROCESSO],Tabela1[[#This Row],[codProcesso]])&gt;0,"Está","Não está")</f>
        <v>Está</v>
      </c>
      <c r="T111" t="s">
        <v>69</v>
      </c>
      <c r="U111" t="s">
        <v>70</v>
      </c>
      <c r="V111" t="s">
        <v>71</v>
      </c>
      <c r="W111" t="s">
        <v>72</v>
      </c>
      <c r="X111">
        <v>61</v>
      </c>
      <c r="Y111" t="s">
        <v>73</v>
      </c>
      <c r="Z111" s="5">
        <v>111996</v>
      </c>
      <c r="AA111" s="5">
        <v>0</v>
      </c>
      <c r="AB111" s="5">
        <v>0</v>
      </c>
      <c r="AC111" s="5">
        <v>0</v>
      </c>
      <c r="AD111" s="5">
        <v>111996</v>
      </c>
      <c r="AE111" s="5">
        <v>1836</v>
      </c>
      <c r="AF111" s="5">
        <v>22032</v>
      </c>
      <c r="AG111">
        <v>111996</v>
      </c>
      <c r="AH111">
        <v>1836</v>
      </c>
      <c r="AI111">
        <v>22032</v>
      </c>
      <c r="AJ111">
        <v>17857.14</v>
      </c>
      <c r="AK111">
        <v>0</v>
      </c>
      <c r="AL111">
        <v>17857.14</v>
      </c>
      <c r="AM111">
        <v>4790.9399999999996</v>
      </c>
      <c r="AN111">
        <v>4790.9399999999996</v>
      </c>
      <c r="AO111" t="s">
        <v>55</v>
      </c>
      <c r="AP111" t="s">
        <v>74</v>
      </c>
      <c r="AQ111">
        <v>1</v>
      </c>
    </row>
    <row r="112" spans="1:43" x14ac:dyDescent="0.25">
      <c r="A112" t="s">
        <v>42</v>
      </c>
      <c r="B112" t="s">
        <v>43</v>
      </c>
      <c r="C112" t="s">
        <v>44</v>
      </c>
      <c r="D112" t="s">
        <v>45</v>
      </c>
      <c r="E112">
        <v>14</v>
      </c>
      <c r="F112">
        <v>422</v>
      </c>
      <c r="G112">
        <v>3013</v>
      </c>
      <c r="H112">
        <v>2053</v>
      </c>
      <c r="I112" t="s">
        <v>57</v>
      </c>
      <c r="J112" t="s">
        <v>483</v>
      </c>
      <c r="K112" t="s">
        <v>65</v>
      </c>
      <c r="L112" t="s">
        <v>66</v>
      </c>
      <c r="M112">
        <v>12</v>
      </c>
      <c r="N112" t="s">
        <v>60</v>
      </c>
      <c r="O112">
        <v>2020</v>
      </c>
      <c r="P112">
        <v>15588</v>
      </c>
      <c r="Q112" t="s">
        <v>742</v>
      </c>
      <c r="R112" t="s">
        <v>743</v>
      </c>
      <c r="S112" t="str">
        <f>IF(COUNTIF(Tabela2[PROCESSO],Tabela1[[#This Row],[codProcesso]])&gt;0,"Está","Não está")</f>
        <v>Não está</v>
      </c>
      <c r="T112" t="s">
        <v>744</v>
      </c>
      <c r="U112" t="s">
        <v>745</v>
      </c>
      <c r="V112" t="s">
        <v>746</v>
      </c>
      <c r="W112" t="s">
        <v>747</v>
      </c>
      <c r="X112">
        <v>55</v>
      </c>
      <c r="Y112" t="s">
        <v>98</v>
      </c>
      <c r="Z112" s="5">
        <v>107784</v>
      </c>
      <c r="AA112" s="5">
        <v>32076</v>
      </c>
      <c r="AB112" s="5">
        <v>377244</v>
      </c>
      <c r="AC112" s="5">
        <v>0</v>
      </c>
      <c r="AD112" s="5">
        <v>517104</v>
      </c>
      <c r="AE112" s="5">
        <v>9401.8909090909092</v>
      </c>
      <c r="AF112" s="5">
        <v>112822.6909090909</v>
      </c>
      <c r="AG112">
        <v>444709.44</v>
      </c>
      <c r="AH112">
        <v>8085.626181818182</v>
      </c>
      <c r="AI112">
        <v>97027.514181818187</v>
      </c>
      <c r="AJ112">
        <v>711666.6</v>
      </c>
      <c r="AK112">
        <v>202599.6</v>
      </c>
      <c r="AL112">
        <v>509067</v>
      </c>
      <c r="AM112">
        <v>509067</v>
      </c>
      <c r="AN112">
        <v>509067</v>
      </c>
      <c r="AO112" t="s">
        <v>55</v>
      </c>
      <c r="AP112" t="s">
        <v>748</v>
      </c>
      <c r="AQ112">
        <v>0.86</v>
      </c>
    </row>
    <row r="113" spans="1:43" x14ac:dyDescent="0.25">
      <c r="A113" t="s">
        <v>42</v>
      </c>
      <c r="B113" t="s">
        <v>1849</v>
      </c>
      <c r="C113" t="s">
        <v>1850</v>
      </c>
      <c r="D113" t="s">
        <v>45</v>
      </c>
      <c r="E113">
        <v>14</v>
      </c>
      <c r="F113">
        <v>422</v>
      </c>
      <c r="G113">
        <v>3018</v>
      </c>
      <c r="H113">
        <v>4326</v>
      </c>
      <c r="I113" t="s">
        <v>57</v>
      </c>
      <c r="J113" t="s">
        <v>1848</v>
      </c>
      <c r="K113" t="s">
        <v>65</v>
      </c>
      <c r="L113" t="s">
        <v>66</v>
      </c>
      <c r="M113">
        <v>8</v>
      </c>
      <c r="N113" t="s">
        <v>50</v>
      </c>
      <c r="O113">
        <v>2023</v>
      </c>
      <c r="P113">
        <v>17599</v>
      </c>
      <c r="Q113" t="s">
        <v>1851</v>
      </c>
      <c r="R113" t="s">
        <v>1852</v>
      </c>
      <c r="S113" t="str">
        <f>IF(COUNTIF(Tabela2[PROCESSO],Tabela1[[#This Row],[codProcesso]])&gt;0,"Está","Não está")</f>
        <v>Não está</v>
      </c>
      <c r="T113" t="s">
        <v>1853</v>
      </c>
      <c r="U113" t="s">
        <v>1854</v>
      </c>
      <c r="V113" t="s">
        <v>867</v>
      </c>
      <c r="W113" t="s">
        <v>827</v>
      </c>
      <c r="X113">
        <v>12</v>
      </c>
      <c r="Y113" t="s">
        <v>98</v>
      </c>
      <c r="Z113" s="5">
        <v>106011.77</v>
      </c>
      <c r="AA113" s="5">
        <v>0</v>
      </c>
      <c r="AB113" s="5">
        <v>289092.34000000003</v>
      </c>
      <c r="AC113" s="5">
        <v>0</v>
      </c>
      <c r="AD113" s="5">
        <v>395104.11</v>
      </c>
      <c r="AE113" s="5">
        <v>32925.342500000013</v>
      </c>
      <c r="AF113" s="5">
        <v>395104.1100000001</v>
      </c>
      <c r="AG113">
        <v>395104.11</v>
      </c>
      <c r="AH113">
        <v>32925.342500000013</v>
      </c>
      <c r="AI113">
        <v>395104.1100000001</v>
      </c>
      <c r="AJ113">
        <v>244463.61</v>
      </c>
      <c r="AK113">
        <v>33027.1</v>
      </c>
      <c r="AL113">
        <v>211436.51</v>
      </c>
      <c r="AM113">
        <v>145585.85</v>
      </c>
      <c r="AN113">
        <v>145585.85</v>
      </c>
      <c r="AO113" t="s">
        <v>55</v>
      </c>
      <c r="AP113" t="s">
        <v>1855</v>
      </c>
      <c r="AQ113">
        <v>1</v>
      </c>
    </row>
    <row r="114" spans="1:43" x14ac:dyDescent="0.25">
      <c r="A114" t="s">
        <v>42</v>
      </c>
      <c r="B114" t="s">
        <v>43</v>
      </c>
      <c r="C114" t="s">
        <v>44</v>
      </c>
      <c r="D114" t="s">
        <v>45</v>
      </c>
      <c r="E114">
        <v>14</v>
      </c>
      <c r="F114">
        <v>126</v>
      </c>
      <c r="G114">
        <v>3024</v>
      </c>
      <c r="H114">
        <v>2171</v>
      </c>
      <c r="I114" t="s">
        <v>82</v>
      </c>
      <c r="J114" t="s">
        <v>47</v>
      </c>
      <c r="K114" t="s">
        <v>65</v>
      </c>
      <c r="L114" t="s">
        <v>66</v>
      </c>
      <c r="M114">
        <v>12</v>
      </c>
      <c r="N114" t="s">
        <v>60</v>
      </c>
      <c r="O114">
        <v>2022</v>
      </c>
      <c r="P114">
        <v>4726</v>
      </c>
      <c r="Q114" t="s">
        <v>83</v>
      </c>
      <c r="R114" t="s">
        <v>84</v>
      </c>
      <c r="S114" t="str">
        <f>IF(COUNTIF(Tabela2[PROCESSO],Tabela1[[#This Row],[codProcesso]])&gt;0,"Está","Não está")</f>
        <v>Está</v>
      </c>
      <c r="T114" t="s">
        <v>85</v>
      </c>
      <c r="U114" t="s">
        <v>86</v>
      </c>
      <c r="V114" t="s">
        <v>87</v>
      </c>
      <c r="W114" t="s">
        <v>88</v>
      </c>
      <c r="X114">
        <v>48</v>
      </c>
      <c r="Y114" t="s">
        <v>73</v>
      </c>
      <c r="Z114" s="5">
        <v>104719.8</v>
      </c>
      <c r="AA114" s="5">
        <v>42851.95</v>
      </c>
      <c r="AB114" s="5">
        <v>376991.28</v>
      </c>
      <c r="AC114" s="5">
        <v>0</v>
      </c>
      <c r="AD114" s="5">
        <v>524563.03</v>
      </c>
      <c r="AE114" s="5">
        <v>10928.396458333331</v>
      </c>
      <c r="AF114" s="5">
        <v>131140.75750000001</v>
      </c>
      <c r="AG114">
        <v>94421.345400000006</v>
      </c>
      <c r="AH114">
        <v>1967.1113625</v>
      </c>
      <c r="AI114">
        <v>23605.336350000001</v>
      </c>
      <c r="AJ114">
        <v>491450.09</v>
      </c>
      <c r="AK114">
        <v>20441.84</v>
      </c>
      <c r="AL114">
        <v>471008.25</v>
      </c>
      <c r="AM114">
        <v>382439.61</v>
      </c>
      <c r="AN114">
        <v>382439.61</v>
      </c>
      <c r="AO114" t="s">
        <v>55</v>
      </c>
      <c r="AP114" t="s">
        <v>89</v>
      </c>
      <c r="AQ114">
        <v>0.18</v>
      </c>
    </row>
    <row r="115" spans="1:43" x14ac:dyDescent="0.25">
      <c r="A115" t="s">
        <v>42</v>
      </c>
      <c r="B115" t="s">
        <v>43</v>
      </c>
      <c r="C115" t="s">
        <v>44</v>
      </c>
      <c r="D115" t="s">
        <v>45</v>
      </c>
      <c r="E115">
        <v>14</v>
      </c>
      <c r="F115">
        <v>243</v>
      </c>
      <c r="G115">
        <v>3013</v>
      </c>
      <c r="H115">
        <v>2157</v>
      </c>
      <c r="I115" t="s">
        <v>57</v>
      </c>
      <c r="J115" t="s">
        <v>517</v>
      </c>
      <c r="K115" t="s">
        <v>65</v>
      </c>
      <c r="L115" t="s">
        <v>66</v>
      </c>
      <c r="M115">
        <v>3</v>
      </c>
      <c r="N115" t="s">
        <v>604</v>
      </c>
      <c r="O115">
        <v>2020</v>
      </c>
      <c r="P115">
        <v>16833</v>
      </c>
      <c r="Q115" t="s">
        <v>605</v>
      </c>
      <c r="R115" t="s">
        <v>606</v>
      </c>
      <c r="S115" t="str">
        <f>IF(COUNTIF(Tabela2[PROCESSO],Tabela1[[#This Row],[codProcesso]])&gt;0,"Está","Não está")</f>
        <v>Está</v>
      </c>
      <c r="T115" t="s">
        <v>607</v>
      </c>
      <c r="U115" t="s">
        <v>608</v>
      </c>
      <c r="V115" t="s">
        <v>609</v>
      </c>
      <c r="W115" t="s">
        <v>610</v>
      </c>
      <c r="X115">
        <v>60</v>
      </c>
      <c r="Y115" t="s">
        <v>73</v>
      </c>
      <c r="Z115" s="5">
        <v>102953.76</v>
      </c>
      <c r="AA115" s="5">
        <v>0</v>
      </c>
      <c r="AB115" s="5">
        <v>435606</v>
      </c>
      <c r="AC115" s="5">
        <v>0</v>
      </c>
      <c r="AD115" s="5">
        <v>538559.76</v>
      </c>
      <c r="AE115" s="5">
        <v>8975.996000000001</v>
      </c>
      <c r="AF115" s="5">
        <v>107711.952</v>
      </c>
      <c r="AG115">
        <v>538559.76</v>
      </c>
      <c r="AH115">
        <v>8975.996000000001</v>
      </c>
      <c r="AI115">
        <v>107711.952</v>
      </c>
      <c r="AJ115">
        <v>466110.39</v>
      </c>
      <c r="AK115">
        <v>176627.3</v>
      </c>
      <c r="AL115">
        <v>289483.09000000003</v>
      </c>
      <c r="AM115">
        <v>267238.12</v>
      </c>
      <c r="AN115">
        <v>266971.31</v>
      </c>
      <c r="AO115" t="s">
        <v>55</v>
      </c>
      <c r="AP115" t="s">
        <v>611</v>
      </c>
      <c r="AQ115">
        <v>1</v>
      </c>
    </row>
    <row r="116" spans="1:43" x14ac:dyDescent="0.25">
      <c r="A116" t="s">
        <v>42</v>
      </c>
      <c r="B116" t="s">
        <v>43</v>
      </c>
      <c r="C116" t="s">
        <v>44</v>
      </c>
      <c r="D116" t="s">
        <v>45</v>
      </c>
      <c r="E116">
        <v>14</v>
      </c>
      <c r="F116">
        <v>122</v>
      </c>
      <c r="G116">
        <v>3024</v>
      </c>
      <c r="H116">
        <v>2100</v>
      </c>
      <c r="I116" t="s">
        <v>57</v>
      </c>
      <c r="J116" t="s">
        <v>483</v>
      </c>
      <c r="K116" t="s">
        <v>65</v>
      </c>
      <c r="L116" t="s">
        <v>66</v>
      </c>
      <c r="M116">
        <v>12</v>
      </c>
      <c r="N116" t="s">
        <v>60</v>
      </c>
      <c r="O116">
        <v>2025</v>
      </c>
      <c r="P116">
        <v>12987</v>
      </c>
      <c r="Q116" t="s">
        <v>1415</v>
      </c>
      <c r="R116" t="s">
        <v>1416</v>
      </c>
      <c r="S116" t="str">
        <f>IF(COUNTIF(Tabela2[PROCESSO],Tabela1[[#This Row],[codProcesso]])&gt;0,"Está","Não está")</f>
        <v>Não está</v>
      </c>
      <c r="T116" t="s">
        <v>1417</v>
      </c>
      <c r="U116" t="s">
        <v>657</v>
      </c>
      <c r="V116" t="s">
        <v>1281</v>
      </c>
      <c r="W116" t="s">
        <v>1418</v>
      </c>
      <c r="X116">
        <v>1</v>
      </c>
      <c r="Y116" t="s">
        <v>98</v>
      </c>
      <c r="Z116" s="5">
        <v>102816.16</v>
      </c>
      <c r="AA116" s="5">
        <v>0</v>
      </c>
      <c r="AB116" s="5">
        <v>0</v>
      </c>
      <c r="AC116" s="5">
        <v>0</v>
      </c>
      <c r="AD116" s="5">
        <v>102816.16</v>
      </c>
      <c r="AE116" s="5">
        <v>8568.0133333333342</v>
      </c>
      <c r="AF116" s="5">
        <v>102816.16</v>
      </c>
      <c r="AG116">
        <v>102816.16</v>
      </c>
      <c r="AH116">
        <v>8568.0133333333342</v>
      </c>
      <c r="AI116">
        <v>102816.16</v>
      </c>
      <c r="AJ116">
        <v>102816.16</v>
      </c>
      <c r="AK116">
        <v>0</v>
      </c>
      <c r="AL116">
        <v>102816.16</v>
      </c>
      <c r="AM116">
        <v>102816.16</v>
      </c>
      <c r="AN116">
        <v>102816.16</v>
      </c>
      <c r="AO116" t="s">
        <v>55</v>
      </c>
      <c r="AP116" t="s">
        <v>1419</v>
      </c>
      <c r="AQ116">
        <v>1</v>
      </c>
    </row>
    <row r="117" spans="1:43" x14ac:dyDescent="0.25">
      <c r="A117" t="s">
        <v>42</v>
      </c>
      <c r="B117" t="s">
        <v>1322</v>
      </c>
      <c r="C117" t="s">
        <v>1323</v>
      </c>
      <c r="D117" t="s">
        <v>45</v>
      </c>
      <c r="E117">
        <v>14</v>
      </c>
      <c r="F117">
        <v>422</v>
      </c>
      <c r="G117">
        <v>3018</v>
      </c>
      <c r="H117">
        <v>4326</v>
      </c>
      <c r="I117" t="s">
        <v>57</v>
      </c>
      <c r="J117" t="s">
        <v>1814</v>
      </c>
      <c r="K117" t="s">
        <v>65</v>
      </c>
      <c r="L117" t="s">
        <v>66</v>
      </c>
      <c r="M117">
        <v>7</v>
      </c>
      <c r="N117" t="s">
        <v>391</v>
      </c>
      <c r="O117">
        <v>2025</v>
      </c>
      <c r="P117">
        <v>16935</v>
      </c>
      <c r="R117" t="s">
        <v>1838</v>
      </c>
      <c r="S117" t="str">
        <f>IF(COUNTIF(Tabela2[PROCESSO],Tabela1[[#This Row],[codProcesso]])&gt;0,"Está","Não está")</f>
        <v>Não está</v>
      </c>
      <c r="T117" t="s">
        <v>1839</v>
      </c>
      <c r="X117">
        <v>12</v>
      </c>
      <c r="Y117" t="s">
        <v>54</v>
      </c>
      <c r="Z117" s="5">
        <v>101415.84</v>
      </c>
      <c r="AA117" s="5">
        <v>0</v>
      </c>
      <c r="AB117" s="5">
        <v>0</v>
      </c>
      <c r="AC117" s="5">
        <v>0</v>
      </c>
      <c r="AD117" s="5">
        <v>101415.84</v>
      </c>
      <c r="AE117" s="5">
        <v>8451.32</v>
      </c>
      <c r="AF117" s="5">
        <v>101415.84</v>
      </c>
      <c r="AG117">
        <v>101415.84</v>
      </c>
      <c r="AH117">
        <v>8451.32</v>
      </c>
      <c r="AI117">
        <v>101415.84</v>
      </c>
      <c r="AJ117">
        <v>101415.84</v>
      </c>
      <c r="AK117">
        <v>0</v>
      </c>
      <c r="AL117">
        <v>101415.84</v>
      </c>
      <c r="AM117">
        <v>0</v>
      </c>
      <c r="AN117">
        <v>0</v>
      </c>
      <c r="AO117" t="s">
        <v>55</v>
      </c>
      <c r="AP117" t="s">
        <v>1840</v>
      </c>
      <c r="AQ117">
        <v>1</v>
      </c>
    </row>
    <row r="118" spans="1:43" x14ac:dyDescent="0.25">
      <c r="A118" t="s">
        <v>42</v>
      </c>
      <c r="B118" t="s">
        <v>43</v>
      </c>
      <c r="C118" t="s">
        <v>44</v>
      </c>
      <c r="D118" t="s">
        <v>45</v>
      </c>
      <c r="E118">
        <v>14</v>
      </c>
      <c r="F118">
        <v>122</v>
      </c>
      <c r="G118">
        <v>3024</v>
      </c>
      <c r="H118">
        <v>2100</v>
      </c>
      <c r="I118" t="s">
        <v>57</v>
      </c>
      <c r="J118" t="s">
        <v>1240</v>
      </c>
      <c r="K118" t="s">
        <v>491</v>
      </c>
      <c r="L118" t="s">
        <v>492</v>
      </c>
      <c r="M118">
        <v>12</v>
      </c>
      <c r="N118" t="s">
        <v>60</v>
      </c>
      <c r="O118">
        <v>2025</v>
      </c>
      <c r="P118">
        <v>11279</v>
      </c>
      <c r="Q118" t="s">
        <v>1311</v>
      </c>
      <c r="R118" t="s">
        <v>1312</v>
      </c>
      <c r="S118" t="str">
        <f>IF(COUNTIF(Tabela2[PROCESSO],Tabela1[[#This Row],[codProcesso]])&gt;0,"Está","Não está")</f>
        <v>Não está</v>
      </c>
      <c r="T118" t="s">
        <v>1313</v>
      </c>
      <c r="U118" t="s">
        <v>1208</v>
      </c>
      <c r="V118" t="s">
        <v>1314</v>
      </c>
      <c r="W118" t="s">
        <v>1101</v>
      </c>
      <c r="X118">
        <v>1</v>
      </c>
      <c r="Y118" t="s">
        <v>98</v>
      </c>
      <c r="Z118" s="5">
        <v>100480</v>
      </c>
      <c r="AA118" s="5">
        <v>0</v>
      </c>
      <c r="AB118" s="5">
        <v>0</v>
      </c>
      <c r="AC118" s="5">
        <v>0</v>
      </c>
      <c r="AD118" s="5">
        <v>100480</v>
      </c>
      <c r="AE118" s="5">
        <v>8373.3333333333339</v>
      </c>
      <c r="AF118" s="5">
        <v>100480</v>
      </c>
      <c r="AG118">
        <v>100480</v>
      </c>
      <c r="AH118">
        <v>8373.3333333333339</v>
      </c>
      <c r="AI118">
        <v>100480</v>
      </c>
      <c r="AJ118">
        <v>100480</v>
      </c>
      <c r="AK118">
        <v>0</v>
      </c>
      <c r="AL118">
        <v>100480</v>
      </c>
      <c r="AM118">
        <v>100480</v>
      </c>
      <c r="AN118">
        <v>100480</v>
      </c>
      <c r="AO118" t="s">
        <v>55</v>
      </c>
      <c r="AP118" t="s">
        <v>1315</v>
      </c>
      <c r="AQ118">
        <v>1</v>
      </c>
    </row>
    <row r="119" spans="1:43" x14ac:dyDescent="0.25">
      <c r="A119" t="s">
        <v>42</v>
      </c>
      <c r="B119" t="s">
        <v>43</v>
      </c>
      <c r="C119" t="s">
        <v>44</v>
      </c>
      <c r="D119" t="s">
        <v>45</v>
      </c>
      <c r="E119">
        <v>14</v>
      </c>
      <c r="F119">
        <v>122</v>
      </c>
      <c r="G119">
        <v>3024</v>
      </c>
      <c r="H119">
        <v>2100</v>
      </c>
      <c r="I119" t="s">
        <v>101</v>
      </c>
      <c r="J119" t="s">
        <v>47</v>
      </c>
      <c r="K119" t="s">
        <v>65</v>
      </c>
      <c r="L119" t="s">
        <v>66</v>
      </c>
      <c r="M119">
        <v>12</v>
      </c>
      <c r="N119" t="s">
        <v>60</v>
      </c>
      <c r="O119">
        <v>2023</v>
      </c>
      <c r="P119">
        <v>10549</v>
      </c>
      <c r="Q119" t="s">
        <v>109</v>
      </c>
      <c r="R119" t="s">
        <v>110</v>
      </c>
      <c r="S119" t="str">
        <f>IF(COUNTIF(Tabela2[PROCESSO],Tabela1[[#This Row],[codProcesso]])&gt;0,"Está","Não está")</f>
        <v>Está</v>
      </c>
      <c r="T119" t="s">
        <v>111</v>
      </c>
      <c r="U119" t="s">
        <v>112</v>
      </c>
      <c r="V119" t="s">
        <v>113</v>
      </c>
      <c r="W119" t="s">
        <v>107</v>
      </c>
      <c r="X119">
        <v>38</v>
      </c>
      <c r="Y119" t="s">
        <v>73</v>
      </c>
      <c r="Z119" s="5">
        <v>100000</v>
      </c>
      <c r="AA119" s="5">
        <v>0</v>
      </c>
      <c r="AB119" s="5">
        <v>200000</v>
      </c>
      <c r="AC119" s="5">
        <v>0</v>
      </c>
      <c r="AD119" s="5">
        <v>300000</v>
      </c>
      <c r="AE119" s="5">
        <v>7894.7368421052633</v>
      </c>
      <c r="AF119" s="5">
        <v>94736.84210526316</v>
      </c>
      <c r="AG119">
        <v>3000</v>
      </c>
      <c r="AH119">
        <v>78.94736842105263</v>
      </c>
      <c r="AI119">
        <v>947.36842105263167</v>
      </c>
      <c r="AJ119">
        <v>370222.57</v>
      </c>
      <c r="AK119">
        <v>131388.20000000001</v>
      </c>
      <c r="AL119">
        <v>238834.37</v>
      </c>
      <c r="AM119">
        <v>143808.82999999999</v>
      </c>
      <c r="AN119">
        <v>143808.82999999999</v>
      </c>
      <c r="AO119" t="s">
        <v>55</v>
      </c>
      <c r="AP119" t="s">
        <v>114</v>
      </c>
      <c r="AQ119">
        <v>0.01</v>
      </c>
    </row>
    <row r="120" spans="1:43" x14ac:dyDescent="0.25">
      <c r="A120" t="s">
        <v>42</v>
      </c>
      <c r="B120" t="s">
        <v>43</v>
      </c>
      <c r="C120" t="s">
        <v>44</v>
      </c>
      <c r="D120" t="s">
        <v>45</v>
      </c>
      <c r="E120">
        <v>14</v>
      </c>
      <c r="F120">
        <v>244</v>
      </c>
      <c r="G120">
        <v>3013</v>
      </c>
      <c r="H120">
        <v>4329</v>
      </c>
      <c r="I120" t="s">
        <v>122</v>
      </c>
      <c r="J120" t="s">
        <v>1600</v>
      </c>
      <c r="K120" t="s">
        <v>355</v>
      </c>
      <c r="L120" t="s">
        <v>356</v>
      </c>
      <c r="M120">
        <v>8</v>
      </c>
      <c r="N120" t="s">
        <v>50</v>
      </c>
      <c r="O120">
        <v>2025</v>
      </c>
      <c r="P120">
        <v>15985</v>
      </c>
      <c r="Q120" t="s">
        <v>1604</v>
      </c>
      <c r="R120" t="s">
        <v>1605</v>
      </c>
      <c r="S120" t="str">
        <f>IF(COUNTIF(Tabela2[PROCESSO],Tabela1[[#This Row],[codProcesso]])&gt;0,"Está","Não está")</f>
        <v>Não está</v>
      </c>
      <c r="T120" t="s">
        <v>1606</v>
      </c>
      <c r="U120" t="s">
        <v>1569</v>
      </c>
      <c r="V120" t="s">
        <v>1607</v>
      </c>
      <c r="W120" t="s">
        <v>1608</v>
      </c>
      <c r="X120">
        <v>3</v>
      </c>
      <c r="Y120" t="s">
        <v>73</v>
      </c>
      <c r="Z120" s="5">
        <v>100000</v>
      </c>
      <c r="AA120" s="5">
        <v>0</v>
      </c>
      <c r="AB120" s="5">
        <v>0</v>
      </c>
      <c r="AC120" s="5">
        <v>0</v>
      </c>
      <c r="AD120" s="5">
        <v>100000</v>
      </c>
      <c r="AE120" s="5">
        <v>8333.3333333333339</v>
      </c>
      <c r="AF120" s="5">
        <v>100000</v>
      </c>
      <c r="AG120">
        <v>100000</v>
      </c>
      <c r="AH120">
        <v>8333.3333333333339</v>
      </c>
      <c r="AI120">
        <v>100000</v>
      </c>
      <c r="AJ120">
        <v>100000</v>
      </c>
      <c r="AK120">
        <v>0</v>
      </c>
      <c r="AL120">
        <v>100000</v>
      </c>
      <c r="AM120">
        <v>100000</v>
      </c>
      <c r="AN120">
        <v>0</v>
      </c>
      <c r="AO120" t="s">
        <v>55</v>
      </c>
      <c r="AP120" t="s">
        <v>1609</v>
      </c>
      <c r="AQ120">
        <v>1</v>
      </c>
    </row>
    <row r="121" spans="1:43" x14ac:dyDescent="0.25">
      <c r="A121" t="s">
        <v>42</v>
      </c>
      <c r="B121" t="s">
        <v>43</v>
      </c>
      <c r="C121" t="s">
        <v>44</v>
      </c>
      <c r="D121" t="s">
        <v>45</v>
      </c>
      <c r="E121">
        <v>8</v>
      </c>
      <c r="F121">
        <v>243</v>
      </c>
      <c r="G121">
        <v>3013</v>
      </c>
      <c r="H121">
        <v>4328</v>
      </c>
      <c r="I121" t="s">
        <v>46</v>
      </c>
      <c r="J121" t="s">
        <v>47</v>
      </c>
      <c r="K121" t="s">
        <v>48</v>
      </c>
      <c r="L121" t="s">
        <v>49</v>
      </c>
      <c r="M121">
        <v>8</v>
      </c>
      <c r="N121" t="s">
        <v>50</v>
      </c>
      <c r="O121">
        <v>2025</v>
      </c>
      <c r="P121">
        <v>482</v>
      </c>
      <c r="R121" t="s">
        <v>51</v>
      </c>
      <c r="S121" t="str">
        <f>IF(COUNTIF(Tabela2[PROCESSO],Tabela1[[#This Row],[codProcesso]])&gt;0,"Está","Não está")</f>
        <v>Não está</v>
      </c>
      <c r="T121" t="s">
        <v>52</v>
      </c>
      <c r="W121" t="s">
        <v>53</v>
      </c>
      <c r="X121">
        <v>12</v>
      </c>
      <c r="Y121" t="s">
        <v>54</v>
      </c>
      <c r="Z121" s="5">
        <v>99200</v>
      </c>
      <c r="AA121" s="5">
        <v>0</v>
      </c>
      <c r="AB121" s="5">
        <v>627750</v>
      </c>
      <c r="AC121" s="5">
        <v>0</v>
      </c>
      <c r="AD121" s="5">
        <v>726950</v>
      </c>
      <c r="AE121" s="5">
        <v>60579.166666666657</v>
      </c>
      <c r="AF121" s="5">
        <v>726950</v>
      </c>
      <c r="AG121">
        <v>101773</v>
      </c>
      <c r="AH121">
        <v>8481.0833333333339</v>
      </c>
      <c r="AI121">
        <v>101773</v>
      </c>
      <c r="AJ121">
        <v>726950</v>
      </c>
      <c r="AK121">
        <v>0</v>
      </c>
      <c r="AL121">
        <v>726950</v>
      </c>
      <c r="AM121">
        <v>726950</v>
      </c>
      <c r="AN121">
        <v>618450</v>
      </c>
      <c r="AO121" t="s">
        <v>55</v>
      </c>
      <c r="AP121" t="s">
        <v>56</v>
      </c>
      <c r="AQ121">
        <v>0.14000000000000001</v>
      </c>
    </row>
    <row r="122" spans="1:43" x14ac:dyDescent="0.25">
      <c r="A122" t="s">
        <v>42</v>
      </c>
      <c r="B122" t="s">
        <v>43</v>
      </c>
      <c r="C122" t="s">
        <v>44</v>
      </c>
      <c r="D122" t="s">
        <v>45</v>
      </c>
      <c r="E122">
        <v>14</v>
      </c>
      <c r="F122">
        <v>122</v>
      </c>
      <c r="G122">
        <v>3024</v>
      </c>
      <c r="H122">
        <v>2100</v>
      </c>
      <c r="I122" t="s">
        <v>57</v>
      </c>
      <c r="J122" t="s">
        <v>483</v>
      </c>
      <c r="K122" t="s">
        <v>65</v>
      </c>
      <c r="L122" t="s">
        <v>66</v>
      </c>
      <c r="M122">
        <v>12</v>
      </c>
      <c r="N122" t="s">
        <v>60</v>
      </c>
      <c r="O122">
        <v>2021</v>
      </c>
      <c r="P122">
        <v>22767</v>
      </c>
      <c r="Q122" t="s">
        <v>716</v>
      </c>
      <c r="R122" t="s">
        <v>717</v>
      </c>
      <c r="S122" t="str">
        <f>IF(COUNTIF(Tabela2[PROCESSO],Tabela1[[#This Row],[codProcesso]])&gt;0,"Está","Não está")</f>
        <v>Está</v>
      </c>
      <c r="T122" t="s">
        <v>718</v>
      </c>
      <c r="U122" t="s">
        <v>719</v>
      </c>
      <c r="V122" t="s">
        <v>720</v>
      </c>
      <c r="W122" t="s">
        <v>512</v>
      </c>
      <c r="X122">
        <v>48</v>
      </c>
      <c r="Y122" t="s">
        <v>73</v>
      </c>
      <c r="Z122" s="5">
        <v>95760</v>
      </c>
      <c r="AA122" s="5">
        <v>35984.61</v>
      </c>
      <c r="AB122" s="5">
        <v>324209.65999999997</v>
      </c>
      <c r="AC122" s="5">
        <v>0</v>
      </c>
      <c r="AD122" s="5">
        <v>455954.27</v>
      </c>
      <c r="AE122" s="5">
        <v>9499.0472916666658</v>
      </c>
      <c r="AF122" s="5">
        <v>113988.5675</v>
      </c>
      <c r="AG122">
        <v>455954.27</v>
      </c>
      <c r="AH122">
        <v>9499.0472916666658</v>
      </c>
      <c r="AI122">
        <v>113988.5675</v>
      </c>
      <c r="AJ122">
        <v>385724.58</v>
      </c>
      <c r="AK122">
        <v>197325.89</v>
      </c>
      <c r="AL122">
        <v>188398.69</v>
      </c>
      <c r="AM122">
        <v>145172.74</v>
      </c>
      <c r="AN122">
        <v>141973.51</v>
      </c>
      <c r="AO122" t="s">
        <v>55</v>
      </c>
      <c r="AP122" t="s">
        <v>721</v>
      </c>
      <c r="AQ122">
        <v>1</v>
      </c>
    </row>
    <row r="123" spans="1:43" x14ac:dyDescent="0.25">
      <c r="A123" t="s">
        <v>42</v>
      </c>
      <c r="B123" t="s">
        <v>43</v>
      </c>
      <c r="C123" t="s">
        <v>44</v>
      </c>
      <c r="D123" t="s">
        <v>45</v>
      </c>
      <c r="E123">
        <v>14</v>
      </c>
      <c r="F123">
        <v>122</v>
      </c>
      <c r="G123">
        <v>3024</v>
      </c>
      <c r="H123">
        <v>2100</v>
      </c>
      <c r="I123" t="s">
        <v>57</v>
      </c>
      <c r="J123" t="s">
        <v>439</v>
      </c>
      <c r="K123" t="s">
        <v>65</v>
      </c>
      <c r="L123" t="s">
        <v>66</v>
      </c>
      <c r="M123">
        <v>12</v>
      </c>
      <c r="N123" t="s">
        <v>60</v>
      </c>
      <c r="O123">
        <v>2025</v>
      </c>
      <c r="P123">
        <v>14411</v>
      </c>
      <c r="Q123" t="s">
        <v>1502</v>
      </c>
      <c r="R123" t="s">
        <v>1536</v>
      </c>
      <c r="S123" t="str">
        <f>IF(COUNTIF(Tabela2[PROCESSO],Tabela1[[#This Row],[codProcesso]])&gt;0,"Está","Não está")</f>
        <v>Não está</v>
      </c>
      <c r="T123" t="s">
        <v>1537</v>
      </c>
      <c r="U123" t="s">
        <v>1370</v>
      </c>
      <c r="V123" t="s">
        <v>1429</v>
      </c>
      <c r="W123" t="s">
        <v>1490</v>
      </c>
      <c r="X123">
        <v>1</v>
      </c>
      <c r="Y123" t="s">
        <v>98</v>
      </c>
      <c r="Z123" s="5">
        <v>95682.08</v>
      </c>
      <c r="AA123" s="5">
        <v>0</v>
      </c>
      <c r="AB123" s="5">
        <v>0</v>
      </c>
      <c r="AC123" s="5">
        <v>0</v>
      </c>
      <c r="AD123" s="5">
        <v>95682.08</v>
      </c>
      <c r="AE123" s="5">
        <v>7973.5066666666671</v>
      </c>
      <c r="AF123" s="5">
        <v>95682.08</v>
      </c>
      <c r="AG123">
        <v>95682.08</v>
      </c>
      <c r="AH123">
        <v>7973.5066666666671</v>
      </c>
      <c r="AI123">
        <v>95682.08</v>
      </c>
      <c r="AJ123">
        <v>95682.08</v>
      </c>
      <c r="AK123">
        <v>0</v>
      </c>
      <c r="AL123">
        <v>95682.08</v>
      </c>
      <c r="AM123">
        <v>95682.08</v>
      </c>
      <c r="AN123">
        <v>0</v>
      </c>
      <c r="AO123" t="s">
        <v>55</v>
      </c>
      <c r="AP123" t="s">
        <v>1538</v>
      </c>
      <c r="AQ123">
        <v>1</v>
      </c>
    </row>
    <row r="124" spans="1:43" x14ac:dyDescent="0.25">
      <c r="A124" t="s">
        <v>42</v>
      </c>
      <c r="B124" t="s">
        <v>43</v>
      </c>
      <c r="C124" t="s">
        <v>44</v>
      </c>
      <c r="D124" t="s">
        <v>45</v>
      </c>
      <c r="E124">
        <v>14</v>
      </c>
      <c r="F124">
        <v>243</v>
      </c>
      <c r="G124">
        <v>3013</v>
      </c>
      <c r="H124">
        <v>2157</v>
      </c>
      <c r="I124" t="s">
        <v>82</v>
      </c>
      <c r="J124" t="s">
        <v>517</v>
      </c>
      <c r="K124" t="s">
        <v>65</v>
      </c>
      <c r="L124" t="s">
        <v>66</v>
      </c>
      <c r="M124">
        <v>12</v>
      </c>
      <c r="N124" t="s">
        <v>60</v>
      </c>
      <c r="O124">
        <v>2020</v>
      </c>
      <c r="P124">
        <v>11093</v>
      </c>
      <c r="Q124" t="s">
        <v>550</v>
      </c>
      <c r="R124" t="s">
        <v>551</v>
      </c>
      <c r="S124" t="str">
        <f>IF(COUNTIF(Tabela2[PROCESSO],Tabela1[[#This Row],[codProcesso]])&gt;0,"Está","Não está")</f>
        <v>Está</v>
      </c>
      <c r="T124" t="s">
        <v>552</v>
      </c>
      <c r="U124" t="s">
        <v>553</v>
      </c>
      <c r="V124" t="s">
        <v>554</v>
      </c>
      <c r="W124" t="s">
        <v>555</v>
      </c>
      <c r="X124">
        <v>73</v>
      </c>
      <c r="Y124" t="s">
        <v>73</v>
      </c>
      <c r="Z124" s="5">
        <v>90136.8</v>
      </c>
      <c r="AA124" s="5">
        <v>41606.28</v>
      </c>
      <c r="AB124" s="5">
        <v>564980.53</v>
      </c>
      <c r="AC124" s="5">
        <v>0</v>
      </c>
      <c r="AD124" s="5">
        <v>696723.6100000001</v>
      </c>
      <c r="AE124" s="5">
        <v>9544.1590410958925</v>
      </c>
      <c r="AF124" s="5">
        <v>114529.90849315069</v>
      </c>
      <c r="AG124">
        <v>299591.15230000002</v>
      </c>
      <c r="AH124">
        <v>4103.9883876712338</v>
      </c>
      <c r="AI124">
        <v>49247.860652054813</v>
      </c>
      <c r="AJ124">
        <v>648900.6</v>
      </c>
      <c r="AK124">
        <v>24059.91</v>
      </c>
      <c r="AL124">
        <v>624840.68999999994</v>
      </c>
      <c r="AM124">
        <v>544071.68000000005</v>
      </c>
      <c r="AN124">
        <v>544071.68000000005</v>
      </c>
      <c r="AO124" t="s">
        <v>55</v>
      </c>
      <c r="AP124" t="s">
        <v>556</v>
      </c>
      <c r="AQ124">
        <v>0.43</v>
      </c>
    </row>
    <row r="125" spans="1:43" x14ac:dyDescent="0.25">
      <c r="A125" t="s">
        <v>42</v>
      </c>
      <c r="B125" t="s">
        <v>43</v>
      </c>
      <c r="C125" t="s">
        <v>44</v>
      </c>
      <c r="D125" t="s">
        <v>45</v>
      </c>
      <c r="E125">
        <v>14</v>
      </c>
      <c r="F125">
        <v>243</v>
      </c>
      <c r="G125">
        <v>3013</v>
      </c>
      <c r="H125">
        <v>2157</v>
      </c>
      <c r="I125" t="s">
        <v>57</v>
      </c>
      <c r="J125" t="s">
        <v>361</v>
      </c>
      <c r="K125" t="s">
        <v>65</v>
      </c>
      <c r="L125" t="s">
        <v>66</v>
      </c>
      <c r="M125">
        <v>12</v>
      </c>
      <c r="N125" t="s">
        <v>60</v>
      </c>
      <c r="O125">
        <v>2020</v>
      </c>
      <c r="P125">
        <v>21214</v>
      </c>
      <c r="Q125" t="s">
        <v>1069</v>
      </c>
      <c r="R125" t="s">
        <v>1070</v>
      </c>
      <c r="S125" t="str">
        <f>IF(COUNTIF(Tabela2[PROCESSO],Tabela1[[#This Row],[codProcesso]])&gt;0,"Está","Não está")</f>
        <v>Está</v>
      </c>
      <c r="T125" t="s">
        <v>1071</v>
      </c>
      <c r="U125" t="s">
        <v>1072</v>
      </c>
      <c r="V125" t="s">
        <v>1073</v>
      </c>
      <c r="W125" t="s">
        <v>1074</v>
      </c>
      <c r="X125">
        <v>60</v>
      </c>
      <c r="Y125" t="s">
        <v>73</v>
      </c>
      <c r="Z125" s="5">
        <v>80000</v>
      </c>
      <c r="AA125" s="5">
        <v>57846.61</v>
      </c>
      <c r="AB125" s="5">
        <v>309528.96000000002</v>
      </c>
      <c r="AC125" s="5">
        <v>0</v>
      </c>
      <c r="AD125" s="5">
        <v>447375.57</v>
      </c>
      <c r="AE125" s="5">
        <v>7456.2595000000001</v>
      </c>
      <c r="AF125" s="5">
        <v>89475.114000000001</v>
      </c>
      <c r="AG125">
        <v>447375.57</v>
      </c>
      <c r="AH125">
        <v>7456.2595000000001</v>
      </c>
      <c r="AI125">
        <v>89475.114000000001</v>
      </c>
      <c r="AJ125">
        <v>532243.31999999995</v>
      </c>
      <c r="AK125">
        <v>131625.31</v>
      </c>
      <c r="AL125">
        <v>400618.01</v>
      </c>
      <c r="AM125">
        <v>367768.77</v>
      </c>
      <c r="AN125">
        <v>359691.09</v>
      </c>
      <c r="AO125" t="s">
        <v>55</v>
      </c>
      <c r="AP125" t="s">
        <v>1075</v>
      </c>
      <c r="AQ125">
        <v>1</v>
      </c>
    </row>
    <row r="126" spans="1:43" x14ac:dyDescent="0.25">
      <c r="A126" t="s">
        <v>42</v>
      </c>
      <c r="B126" t="s">
        <v>43</v>
      </c>
      <c r="C126" t="s">
        <v>44</v>
      </c>
      <c r="D126" t="s">
        <v>45</v>
      </c>
      <c r="E126">
        <v>14</v>
      </c>
      <c r="F126">
        <v>122</v>
      </c>
      <c r="G126">
        <v>3024</v>
      </c>
      <c r="H126">
        <v>2100</v>
      </c>
      <c r="I126" t="s">
        <v>57</v>
      </c>
      <c r="J126" t="s">
        <v>439</v>
      </c>
      <c r="K126" t="s">
        <v>65</v>
      </c>
      <c r="L126" t="s">
        <v>66</v>
      </c>
      <c r="M126">
        <v>7</v>
      </c>
      <c r="N126" t="s">
        <v>391</v>
      </c>
      <c r="O126">
        <v>2025</v>
      </c>
      <c r="P126">
        <v>14560</v>
      </c>
      <c r="Q126" t="s">
        <v>1556</v>
      </c>
      <c r="R126" t="s">
        <v>1557</v>
      </c>
      <c r="S126" t="str">
        <f>IF(COUNTIF(Tabela2[PROCESSO],Tabela1[[#This Row],[codProcesso]])&gt;0,"Está","Não está")</f>
        <v>Não está</v>
      </c>
      <c r="T126" t="s">
        <v>1558</v>
      </c>
      <c r="U126" t="s">
        <v>1370</v>
      </c>
      <c r="V126" t="s">
        <v>1559</v>
      </c>
      <c r="W126" t="s">
        <v>854</v>
      </c>
      <c r="X126">
        <v>0</v>
      </c>
      <c r="Y126" t="s">
        <v>98</v>
      </c>
      <c r="Z126" s="5">
        <v>80000</v>
      </c>
      <c r="AA126" s="5">
        <v>0</v>
      </c>
      <c r="AB126" s="5">
        <v>0</v>
      </c>
      <c r="AC126" s="5">
        <v>0</v>
      </c>
      <c r="AD126" s="5">
        <v>80000</v>
      </c>
      <c r="AE126" s="5">
        <v>6666.666666666667</v>
      </c>
      <c r="AF126" s="5">
        <v>80000</v>
      </c>
      <c r="AG126">
        <v>80000</v>
      </c>
      <c r="AH126">
        <v>6666.666666666667</v>
      </c>
      <c r="AI126">
        <v>80000</v>
      </c>
      <c r="AJ126">
        <v>80000</v>
      </c>
      <c r="AK126">
        <v>0</v>
      </c>
      <c r="AL126">
        <v>80000</v>
      </c>
      <c r="AM126">
        <v>80000</v>
      </c>
      <c r="AN126">
        <v>80000</v>
      </c>
      <c r="AO126" t="s">
        <v>55</v>
      </c>
      <c r="AP126" t="s">
        <v>1560</v>
      </c>
      <c r="AQ126">
        <v>1</v>
      </c>
    </row>
    <row r="127" spans="1:43" x14ac:dyDescent="0.25">
      <c r="A127" t="s">
        <v>42</v>
      </c>
      <c r="B127" t="s">
        <v>43</v>
      </c>
      <c r="C127" t="s">
        <v>44</v>
      </c>
      <c r="D127" t="s">
        <v>45</v>
      </c>
      <c r="E127">
        <v>14</v>
      </c>
      <c r="F127">
        <v>422</v>
      </c>
      <c r="G127">
        <v>3018</v>
      </c>
      <c r="H127">
        <v>4318</v>
      </c>
      <c r="I127" t="s">
        <v>122</v>
      </c>
      <c r="J127" t="s">
        <v>1841</v>
      </c>
      <c r="K127" t="s">
        <v>355</v>
      </c>
      <c r="L127" t="s">
        <v>356</v>
      </c>
      <c r="M127">
        <v>8</v>
      </c>
      <c r="N127" t="s">
        <v>50</v>
      </c>
      <c r="O127">
        <v>2025</v>
      </c>
      <c r="P127">
        <v>17351</v>
      </c>
      <c r="R127" t="s">
        <v>1842</v>
      </c>
      <c r="S127" t="str">
        <f>IF(COUNTIF(Tabela2[PROCESSO],Tabela1[[#This Row],[codProcesso]])&gt;0,"Está","Não está")</f>
        <v>Não está</v>
      </c>
      <c r="T127" t="s">
        <v>1843</v>
      </c>
      <c r="X127">
        <v>12</v>
      </c>
      <c r="Y127" t="s">
        <v>54</v>
      </c>
      <c r="Z127" s="5">
        <v>80000</v>
      </c>
      <c r="AA127" s="5">
        <v>0</v>
      </c>
      <c r="AB127" s="5">
        <v>0</v>
      </c>
      <c r="AC127" s="5">
        <v>0</v>
      </c>
      <c r="AD127" s="5">
        <v>80000</v>
      </c>
      <c r="AE127" s="5">
        <v>6666.666666666667</v>
      </c>
      <c r="AF127" s="5">
        <v>80000</v>
      </c>
      <c r="AG127">
        <v>80000</v>
      </c>
      <c r="AH127">
        <v>6666.666666666667</v>
      </c>
      <c r="AI127">
        <v>80000</v>
      </c>
      <c r="AJ127">
        <v>80000</v>
      </c>
      <c r="AK127">
        <v>0</v>
      </c>
      <c r="AL127">
        <v>80000</v>
      </c>
      <c r="AM127">
        <v>0</v>
      </c>
      <c r="AN127">
        <v>0</v>
      </c>
      <c r="AO127" t="s">
        <v>55</v>
      </c>
      <c r="AP127" t="s">
        <v>1844</v>
      </c>
      <c r="AQ127">
        <v>1</v>
      </c>
    </row>
    <row r="128" spans="1:43" x14ac:dyDescent="0.25">
      <c r="A128" t="s">
        <v>42</v>
      </c>
      <c r="B128" t="s">
        <v>43</v>
      </c>
      <c r="C128" t="s">
        <v>44</v>
      </c>
      <c r="D128" t="s">
        <v>45</v>
      </c>
      <c r="E128">
        <v>14</v>
      </c>
      <c r="F128">
        <v>122</v>
      </c>
      <c r="G128">
        <v>3024</v>
      </c>
      <c r="H128">
        <v>2100</v>
      </c>
      <c r="I128" t="s">
        <v>57</v>
      </c>
      <c r="J128" t="s">
        <v>517</v>
      </c>
      <c r="K128" t="s">
        <v>65</v>
      </c>
      <c r="L128" t="s">
        <v>66</v>
      </c>
      <c r="M128">
        <v>8</v>
      </c>
      <c r="N128" t="s">
        <v>50</v>
      </c>
      <c r="O128">
        <v>2020</v>
      </c>
      <c r="P128">
        <v>14535</v>
      </c>
      <c r="Q128" t="s">
        <v>399</v>
      </c>
      <c r="R128" t="s">
        <v>612</v>
      </c>
      <c r="S128" t="str">
        <f>IF(COUNTIF(Tabela2[PROCESSO],Tabela1[[#This Row],[codProcesso]])&gt;0,"Está","Não está")</f>
        <v>Não está</v>
      </c>
      <c r="T128" t="s">
        <v>613</v>
      </c>
      <c r="U128" t="s">
        <v>614</v>
      </c>
      <c r="V128" t="s">
        <v>615</v>
      </c>
      <c r="W128" t="s">
        <v>616</v>
      </c>
      <c r="X128">
        <v>60</v>
      </c>
      <c r="Y128" t="s">
        <v>73</v>
      </c>
      <c r="Z128" s="5">
        <v>71520</v>
      </c>
      <c r="AA128" s="5">
        <v>64296.24</v>
      </c>
      <c r="AB128" s="5">
        <v>286080</v>
      </c>
      <c r="AC128" s="5">
        <v>0</v>
      </c>
      <c r="AD128" s="5">
        <v>421896.24</v>
      </c>
      <c r="AE128" s="5">
        <v>7031.6040000000003</v>
      </c>
      <c r="AF128" s="5">
        <v>84379.248000000007</v>
      </c>
      <c r="AG128">
        <v>421896.24</v>
      </c>
      <c r="AH128">
        <v>7031.6040000000003</v>
      </c>
      <c r="AI128">
        <v>84379.248000000007</v>
      </c>
      <c r="AJ128">
        <v>402815.26</v>
      </c>
      <c r="AK128">
        <v>1701.06</v>
      </c>
      <c r="AL128">
        <v>401114.2</v>
      </c>
      <c r="AM128">
        <v>384287.62</v>
      </c>
      <c r="AN128">
        <v>376400.16</v>
      </c>
      <c r="AO128" t="s">
        <v>55</v>
      </c>
      <c r="AP128" t="s">
        <v>617</v>
      </c>
      <c r="AQ128">
        <v>1</v>
      </c>
    </row>
    <row r="129" spans="1:43" x14ac:dyDescent="0.25">
      <c r="A129" t="s">
        <v>42</v>
      </c>
      <c r="B129" t="s">
        <v>43</v>
      </c>
      <c r="C129" t="s">
        <v>44</v>
      </c>
      <c r="D129" t="s">
        <v>45</v>
      </c>
      <c r="E129">
        <v>14</v>
      </c>
      <c r="F129">
        <v>243</v>
      </c>
      <c r="G129">
        <v>3013</v>
      </c>
      <c r="H129">
        <v>2157</v>
      </c>
      <c r="I129" t="s">
        <v>57</v>
      </c>
      <c r="J129" t="s">
        <v>369</v>
      </c>
      <c r="K129" t="s">
        <v>65</v>
      </c>
      <c r="L129" t="s">
        <v>66</v>
      </c>
      <c r="M129">
        <v>12</v>
      </c>
      <c r="N129" t="s">
        <v>60</v>
      </c>
      <c r="O129">
        <v>2021</v>
      </c>
      <c r="P129">
        <v>15405</v>
      </c>
      <c r="Q129" t="s">
        <v>377</v>
      </c>
      <c r="R129" t="s">
        <v>378</v>
      </c>
      <c r="S129" t="str">
        <f>IF(COUNTIF(Tabela2[PROCESSO],Tabela1[[#This Row],[codProcesso]])&gt;0,"Está","Não está")</f>
        <v>Está</v>
      </c>
      <c r="T129" t="s">
        <v>379</v>
      </c>
      <c r="U129" t="s">
        <v>380</v>
      </c>
      <c r="V129" t="s">
        <v>381</v>
      </c>
      <c r="W129" t="s">
        <v>382</v>
      </c>
      <c r="X129">
        <v>48</v>
      </c>
      <c r="Y129" t="s">
        <v>73</v>
      </c>
      <c r="Z129" s="5">
        <v>71179.62</v>
      </c>
      <c r="AA129" s="5">
        <v>39773.339999999997</v>
      </c>
      <c r="AB129" s="5">
        <v>411565.77</v>
      </c>
      <c r="AC129" s="5">
        <v>0</v>
      </c>
      <c r="AD129" s="5">
        <v>522518.73</v>
      </c>
      <c r="AE129" s="5">
        <v>10885.806875</v>
      </c>
      <c r="AF129" s="5">
        <v>130629.6825</v>
      </c>
      <c r="AG129">
        <v>522518.73</v>
      </c>
      <c r="AH129">
        <v>10885.806875</v>
      </c>
      <c r="AI129">
        <v>130629.6825</v>
      </c>
      <c r="AJ129">
        <v>579356</v>
      </c>
      <c r="AK129">
        <v>91078.36</v>
      </c>
      <c r="AL129">
        <v>488277.64</v>
      </c>
      <c r="AM129">
        <v>477807</v>
      </c>
      <c r="AN129">
        <v>471396.4</v>
      </c>
      <c r="AO129" t="s">
        <v>55</v>
      </c>
      <c r="AP129" t="s">
        <v>383</v>
      </c>
      <c r="AQ129">
        <v>1</v>
      </c>
    </row>
    <row r="130" spans="1:43" x14ac:dyDescent="0.25">
      <c r="A130" t="s">
        <v>42</v>
      </c>
      <c r="B130" t="s">
        <v>43</v>
      </c>
      <c r="C130" t="s">
        <v>44</v>
      </c>
      <c r="D130" t="s">
        <v>45</v>
      </c>
      <c r="E130">
        <v>14</v>
      </c>
      <c r="F130">
        <v>422</v>
      </c>
      <c r="G130">
        <v>3013</v>
      </c>
      <c r="H130">
        <v>6178</v>
      </c>
      <c r="I130" t="s">
        <v>57</v>
      </c>
      <c r="J130" t="s">
        <v>881</v>
      </c>
      <c r="K130" t="s">
        <v>65</v>
      </c>
      <c r="L130" t="s">
        <v>66</v>
      </c>
      <c r="M130">
        <v>12</v>
      </c>
      <c r="N130" t="s">
        <v>60</v>
      </c>
      <c r="O130">
        <v>2025</v>
      </c>
      <c r="P130">
        <v>4847</v>
      </c>
      <c r="Q130" t="s">
        <v>958</v>
      </c>
      <c r="R130" t="s">
        <v>959</v>
      </c>
      <c r="S130" t="str">
        <f>IF(COUNTIF(Tabela2[PROCESSO],Tabela1[[#This Row],[codProcesso]])&gt;0,"Está","Não está")</f>
        <v>Não está</v>
      </c>
      <c r="T130" t="s">
        <v>960</v>
      </c>
      <c r="U130" t="s">
        <v>590</v>
      </c>
      <c r="V130" t="s">
        <v>961</v>
      </c>
      <c r="W130" t="s">
        <v>962</v>
      </c>
      <c r="X130">
        <v>1</v>
      </c>
      <c r="Y130" t="s">
        <v>98</v>
      </c>
      <c r="Z130" s="5">
        <v>65613.440000000002</v>
      </c>
      <c r="AA130" s="5">
        <v>0</v>
      </c>
      <c r="AB130" s="5">
        <v>0</v>
      </c>
      <c r="AC130" s="5">
        <v>0</v>
      </c>
      <c r="AD130" s="5">
        <v>65613.440000000002</v>
      </c>
      <c r="AE130" s="5">
        <v>5467.7866666666669</v>
      </c>
      <c r="AF130" s="5">
        <v>65613.440000000002</v>
      </c>
      <c r="AG130">
        <v>65613.440000000002</v>
      </c>
      <c r="AH130">
        <v>5467.7866666666669</v>
      </c>
      <c r="AI130">
        <v>65613.440000000002</v>
      </c>
      <c r="AJ130">
        <v>65613.440000000002</v>
      </c>
      <c r="AK130">
        <v>0</v>
      </c>
      <c r="AL130">
        <v>65613.440000000002</v>
      </c>
      <c r="AM130">
        <v>65613.440000000002</v>
      </c>
      <c r="AN130">
        <v>65613.440000000002</v>
      </c>
      <c r="AO130" t="s">
        <v>55</v>
      </c>
      <c r="AP130" t="s">
        <v>963</v>
      </c>
      <c r="AQ130">
        <v>1</v>
      </c>
    </row>
    <row r="131" spans="1:43" x14ac:dyDescent="0.25">
      <c r="A131" t="s">
        <v>42</v>
      </c>
      <c r="B131" t="s">
        <v>43</v>
      </c>
      <c r="C131" t="s">
        <v>44</v>
      </c>
      <c r="D131" t="s">
        <v>45</v>
      </c>
      <c r="E131">
        <v>8</v>
      </c>
      <c r="F131">
        <v>605</v>
      </c>
      <c r="G131">
        <v>3016</v>
      </c>
      <c r="H131">
        <v>4470</v>
      </c>
      <c r="I131" t="s">
        <v>57</v>
      </c>
      <c r="J131" t="s">
        <v>483</v>
      </c>
      <c r="K131" t="s">
        <v>65</v>
      </c>
      <c r="L131" t="s">
        <v>66</v>
      </c>
      <c r="M131">
        <v>12</v>
      </c>
      <c r="N131" t="s">
        <v>60</v>
      </c>
      <c r="O131">
        <v>2025</v>
      </c>
      <c r="P131">
        <v>13641</v>
      </c>
      <c r="R131" t="s">
        <v>1468</v>
      </c>
      <c r="S131" t="str">
        <f>IF(COUNTIF(Tabela2[PROCESSO],Tabela1[[#This Row],[codProcesso]])&gt;0,"Está","Não está")</f>
        <v>Não está</v>
      </c>
      <c r="T131" t="s">
        <v>1469</v>
      </c>
      <c r="X131">
        <v>12</v>
      </c>
      <c r="Y131" t="s">
        <v>54</v>
      </c>
      <c r="Z131" s="5">
        <v>63258</v>
      </c>
      <c r="AA131" s="5">
        <v>0</v>
      </c>
      <c r="AB131" s="5">
        <v>0</v>
      </c>
      <c r="AC131" s="5">
        <v>0</v>
      </c>
      <c r="AD131" s="5">
        <v>63258</v>
      </c>
      <c r="AE131" s="5">
        <v>5271.5</v>
      </c>
      <c r="AF131" s="5">
        <v>63258</v>
      </c>
      <c r="AG131">
        <v>63258</v>
      </c>
      <c r="AH131">
        <v>5271.5</v>
      </c>
      <c r="AI131">
        <v>63258</v>
      </c>
      <c r="AJ131">
        <v>63258</v>
      </c>
      <c r="AK131">
        <v>0</v>
      </c>
      <c r="AL131">
        <v>63258</v>
      </c>
      <c r="AM131">
        <v>0</v>
      </c>
      <c r="AN131">
        <v>0</v>
      </c>
      <c r="AO131" t="s">
        <v>55</v>
      </c>
      <c r="AP131" t="s">
        <v>1470</v>
      </c>
      <c r="AQ131">
        <v>1</v>
      </c>
    </row>
    <row r="132" spans="1:43" x14ac:dyDescent="0.25">
      <c r="A132" t="s">
        <v>42</v>
      </c>
      <c r="B132" t="s">
        <v>43</v>
      </c>
      <c r="C132" t="s">
        <v>44</v>
      </c>
      <c r="D132" t="s">
        <v>45</v>
      </c>
      <c r="E132">
        <v>14</v>
      </c>
      <c r="F132">
        <v>122</v>
      </c>
      <c r="G132">
        <v>3024</v>
      </c>
      <c r="H132">
        <v>2100</v>
      </c>
      <c r="I132" t="s">
        <v>246</v>
      </c>
      <c r="J132" t="s">
        <v>361</v>
      </c>
      <c r="K132" t="s">
        <v>491</v>
      </c>
      <c r="L132" t="s">
        <v>492</v>
      </c>
      <c r="M132">
        <v>12</v>
      </c>
      <c r="N132" t="s">
        <v>60</v>
      </c>
      <c r="O132">
        <v>2025</v>
      </c>
      <c r="P132">
        <v>6678</v>
      </c>
      <c r="Q132" t="s">
        <v>1064</v>
      </c>
      <c r="R132" t="s">
        <v>1065</v>
      </c>
      <c r="S132" t="str">
        <f>IF(COUNTIF(Tabela2[PROCESSO],Tabela1[[#This Row],[codProcesso]])&gt;0,"Está","Não está")</f>
        <v>Não está</v>
      </c>
      <c r="T132" t="s">
        <v>1066</v>
      </c>
      <c r="U132" t="s">
        <v>747</v>
      </c>
      <c r="V132" t="s">
        <v>993</v>
      </c>
      <c r="W132" t="s">
        <v>1067</v>
      </c>
      <c r="X132">
        <v>0</v>
      </c>
      <c r="Y132" t="s">
        <v>98</v>
      </c>
      <c r="Z132" s="5">
        <v>62000</v>
      </c>
      <c r="AA132" s="5">
        <v>0</v>
      </c>
      <c r="AB132" s="5">
        <v>0</v>
      </c>
      <c r="AC132" s="5">
        <v>0</v>
      </c>
      <c r="AD132" s="5">
        <v>62000</v>
      </c>
      <c r="AE132" s="5">
        <v>5166.666666666667</v>
      </c>
      <c r="AF132" s="5">
        <v>62000</v>
      </c>
      <c r="AG132">
        <v>62000</v>
      </c>
      <c r="AH132">
        <v>5166.666666666667</v>
      </c>
      <c r="AI132">
        <v>62000</v>
      </c>
      <c r="AJ132">
        <v>62000</v>
      </c>
      <c r="AK132">
        <v>0</v>
      </c>
      <c r="AL132">
        <v>62000</v>
      </c>
      <c r="AM132">
        <v>62000</v>
      </c>
      <c r="AN132">
        <v>62000</v>
      </c>
      <c r="AO132" t="s">
        <v>55</v>
      </c>
      <c r="AP132" t="s">
        <v>1068</v>
      </c>
      <c r="AQ132">
        <v>1</v>
      </c>
    </row>
    <row r="133" spans="1:43" x14ac:dyDescent="0.25">
      <c r="A133" t="s">
        <v>42</v>
      </c>
      <c r="B133" t="s">
        <v>43</v>
      </c>
      <c r="C133" t="s">
        <v>44</v>
      </c>
      <c r="D133" t="s">
        <v>45</v>
      </c>
      <c r="E133">
        <v>14</v>
      </c>
      <c r="F133">
        <v>422</v>
      </c>
      <c r="G133">
        <v>3013</v>
      </c>
      <c r="H133">
        <v>2053</v>
      </c>
      <c r="I133" t="s">
        <v>57</v>
      </c>
      <c r="J133" t="s">
        <v>47</v>
      </c>
      <c r="K133" t="s">
        <v>65</v>
      </c>
      <c r="L133" t="s">
        <v>66</v>
      </c>
      <c r="M133">
        <v>12</v>
      </c>
      <c r="N133" t="s">
        <v>60</v>
      </c>
      <c r="O133">
        <v>2021</v>
      </c>
      <c r="P133">
        <v>10319</v>
      </c>
      <c r="Q133" t="s">
        <v>180</v>
      </c>
      <c r="R133" t="s">
        <v>174</v>
      </c>
      <c r="S133" t="str">
        <f>IF(COUNTIF(Tabela2[PROCESSO],Tabela1[[#This Row],[codProcesso]])&gt;0,"Está","Não está")</f>
        <v>Não está</v>
      </c>
      <c r="T133" t="s">
        <v>181</v>
      </c>
      <c r="U133" t="s">
        <v>182</v>
      </c>
      <c r="V133" t="s">
        <v>177</v>
      </c>
      <c r="W133" t="s">
        <v>178</v>
      </c>
      <c r="X133">
        <v>55</v>
      </c>
      <c r="Y133" t="s">
        <v>73</v>
      </c>
      <c r="Z133" s="5">
        <v>55378.95</v>
      </c>
      <c r="AA133" s="5">
        <v>0</v>
      </c>
      <c r="AB133" s="5">
        <v>267077.52</v>
      </c>
      <c r="AC133" s="5">
        <v>0</v>
      </c>
      <c r="AD133" s="5">
        <v>322456.46999999997</v>
      </c>
      <c r="AE133" s="5">
        <v>5862.8449090909098</v>
      </c>
      <c r="AF133" s="5">
        <v>70354.138909090922</v>
      </c>
      <c r="AG133">
        <v>183800.18789999999</v>
      </c>
      <c r="AH133">
        <v>3341.821598181818</v>
      </c>
      <c r="AI133">
        <v>40101.859178181818</v>
      </c>
      <c r="AJ133">
        <v>383823.46</v>
      </c>
      <c r="AK133">
        <v>61433.32</v>
      </c>
      <c r="AL133">
        <v>322390.14</v>
      </c>
      <c r="AM133">
        <v>295120.57</v>
      </c>
      <c r="AN133">
        <v>295120.57</v>
      </c>
      <c r="AO133" t="s">
        <v>55</v>
      </c>
      <c r="AP133" t="s">
        <v>179</v>
      </c>
      <c r="AQ133">
        <v>0.56999999999999995</v>
      </c>
    </row>
    <row r="134" spans="1:43" x14ac:dyDescent="0.25">
      <c r="A134" t="s">
        <v>42</v>
      </c>
      <c r="B134" t="s">
        <v>43</v>
      </c>
      <c r="C134" t="s">
        <v>44</v>
      </c>
      <c r="D134" t="s">
        <v>45</v>
      </c>
      <c r="E134">
        <v>14</v>
      </c>
      <c r="F134">
        <v>422</v>
      </c>
      <c r="G134">
        <v>3013</v>
      </c>
      <c r="H134">
        <v>6178</v>
      </c>
      <c r="I134" t="s">
        <v>57</v>
      </c>
      <c r="J134" t="s">
        <v>361</v>
      </c>
      <c r="K134" t="s">
        <v>208</v>
      </c>
      <c r="L134" t="s">
        <v>209</v>
      </c>
      <c r="M134">
        <v>6</v>
      </c>
      <c r="N134" t="s">
        <v>115</v>
      </c>
      <c r="O134">
        <v>2025</v>
      </c>
      <c r="P134">
        <v>6881</v>
      </c>
      <c r="R134" t="s">
        <v>1081</v>
      </c>
      <c r="S134" t="str">
        <f>IF(COUNTIF(Tabela2[PROCESSO],Tabela1[[#This Row],[codProcesso]])&gt;0,"Está","Não está")</f>
        <v>Está</v>
      </c>
      <c r="T134" t="s">
        <v>1082</v>
      </c>
      <c r="W134" t="s">
        <v>53</v>
      </c>
      <c r="X134">
        <v>12</v>
      </c>
      <c r="Y134" t="s">
        <v>54</v>
      </c>
      <c r="Z134" s="5">
        <v>54000</v>
      </c>
      <c r="AA134" s="5">
        <v>0</v>
      </c>
      <c r="AB134" s="5">
        <v>0</v>
      </c>
      <c r="AC134" s="5">
        <v>0</v>
      </c>
      <c r="AD134" s="5">
        <v>54000</v>
      </c>
      <c r="AE134" s="5">
        <v>4500</v>
      </c>
      <c r="AF134" s="5">
        <v>54000</v>
      </c>
      <c r="AG134">
        <v>54000</v>
      </c>
      <c r="AH134">
        <v>4500</v>
      </c>
      <c r="AI134">
        <v>54000</v>
      </c>
      <c r="AJ134">
        <v>54000</v>
      </c>
      <c r="AK134">
        <v>0</v>
      </c>
      <c r="AL134">
        <v>54000</v>
      </c>
      <c r="AM134">
        <v>15648.2</v>
      </c>
      <c r="AN134">
        <v>12857.93</v>
      </c>
      <c r="AO134" t="s">
        <v>55</v>
      </c>
      <c r="AP134" t="s">
        <v>1083</v>
      </c>
      <c r="AQ134">
        <v>1</v>
      </c>
    </row>
    <row r="135" spans="1:43" x14ac:dyDescent="0.25">
      <c r="A135" t="s">
        <v>42</v>
      </c>
      <c r="B135" t="s">
        <v>43</v>
      </c>
      <c r="C135" t="s">
        <v>44</v>
      </c>
      <c r="D135" t="s">
        <v>45</v>
      </c>
      <c r="E135">
        <v>14</v>
      </c>
      <c r="F135">
        <v>422</v>
      </c>
      <c r="G135">
        <v>3013</v>
      </c>
      <c r="H135">
        <v>6178</v>
      </c>
      <c r="I135" t="s">
        <v>186</v>
      </c>
      <c r="J135" t="s">
        <v>439</v>
      </c>
      <c r="K135" t="s">
        <v>491</v>
      </c>
      <c r="L135" t="s">
        <v>492</v>
      </c>
      <c r="M135">
        <v>12</v>
      </c>
      <c r="N135" t="s">
        <v>60</v>
      </c>
      <c r="O135">
        <v>2025</v>
      </c>
      <c r="P135">
        <v>14552</v>
      </c>
      <c r="R135" t="s">
        <v>1550</v>
      </c>
      <c r="S135" t="str">
        <f>IF(COUNTIF(Tabela2[PROCESSO],Tabela1[[#This Row],[codProcesso]])&gt;0,"Está","Não está")</f>
        <v>Não está</v>
      </c>
      <c r="T135" t="s">
        <v>1551</v>
      </c>
      <c r="X135">
        <v>12</v>
      </c>
      <c r="Y135" t="s">
        <v>54</v>
      </c>
      <c r="Z135" s="5">
        <v>52000</v>
      </c>
      <c r="AA135" s="5">
        <v>0</v>
      </c>
      <c r="AB135" s="5">
        <v>0</v>
      </c>
      <c r="AC135" s="5">
        <v>0</v>
      </c>
      <c r="AD135" s="5">
        <v>52000</v>
      </c>
      <c r="AE135" s="5">
        <v>4333.333333333333</v>
      </c>
      <c r="AF135" s="5">
        <v>52000</v>
      </c>
      <c r="AG135">
        <v>52000</v>
      </c>
      <c r="AH135">
        <v>4333.333333333333</v>
      </c>
      <c r="AI135">
        <v>52000</v>
      </c>
      <c r="AJ135">
        <v>10000</v>
      </c>
      <c r="AK135">
        <v>0</v>
      </c>
      <c r="AL135">
        <v>10000</v>
      </c>
      <c r="AM135">
        <v>0</v>
      </c>
      <c r="AN135">
        <v>0</v>
      </c>
      <c r="AO135" t="s">
        <v>55</v>
      </c>
      <c r="AP135" t="s">
        <v>1552</v>
      </c>
      <c r="AQ135">
        <v>1</v>
      </c>
    </row>
    <row r="136" spans="1:43" x14ac:dyDescent="0.25">
      <c r="A136" t="s">
        <v>42</v>
      </c>
      <c r="B136" t="s">
        <v>43</v>
      </c>
      <c r="C136" t="s">
        <v>44</v>
      </c>
      <c r="D136" t="s">
        <v>45</v>
      </c>
      <c r="E136">
        <v>8</v>
      </c>
      <c r="F136">
        <v>605</v>
      </c>
      <c r="G136">
        <v>3016</v>
      </c>
      <c r="H136">
        <v>4470</v>
      </c>
      <c r="I136" t="s">
        <v>390</v>
      </c>
      <c r="J136" t="s">
        <v>881</v>
      </c>
      <c r="K136" t="s">
        <v>65</v>
      </c>
      <c r="L136" t="s">
        <v>66</v>
      </c>
      <c r="M136">
        <v>12</v>
      </c>
      <c r="N136" t="s">
        <v>60</v>
      </c>
      <c r="O136">
        <v>2024</v>
      </c>
      <c r="P136">
        <v>594</v>
      </c>
      <c r="Q136" t="s">
        <v>944</v>
      </c>
      <c r="R136" t="s">
        <v>945</v>
      </c>
      <c r="S136" t="str">
        <f>IF(COUNTIF(Tabela2[PROCESSO],Tabela1[[#This Row],[codProcesso]])&gt;0,"Está","Não está")</f>
        <v>Está</v>
      </c>
      <c r="T136" t="s">
        <v>946</v>
      </c>
      <c r="U136" t="s">
        <v>947</v>
      </c>
      <c r="V136" t="s">
        <v>948</v>
      </c>
      <c r="W136" t="s">
        <v>949</v>
      </c>
      <c r="X136">
        <v>26</v>
      </c>
      <c r="Y136" t="s">
        <v>73</v>
      </c>
      <c r="Z136" s="5">
        <v>51997.88</v>
      </c>
      <c r="AA136" s="5">
        <v>182992.92</v>
      </c>
      <c r="AB136" s="5">
        <v>3180772.8</v>
      </c>
      <c r="AC136" s="5">
        <v>0</v>
      </c>
      <c r="AD136" s="5">
        <v>3415763.6</v>
      </c>
      <c r="AE136" s="5">
        <v>131375.5230769231</v>
      </c>
      <c r="AF136" s="5">
        <v>1576506.2769230769</v>
      </c>
      <c r="AG136">
        <v>2254403.9759999998</v>
      </c>
      <c r="AH136">
        <v>86707.845230769235</v>
      </c>
      <c r="AI136">
        <v>1040494.142769231</v>
      </c>
      <c r="AJ136">
        <v>5296596.0999999996</v>
      </c>
      <c r="AK136">
        <v>1981662.4</v>
      </c>
      <c r="AL136">
        <v>3314933.7</v>
      </c>
      <c r="AM136">
        <v>2178372.92</v>
      </c>
      <c r="AN136">
        <v>2178372.92</v>
      </c>
      <c r="AO136" t="s">
        <v>55</v>
      </c>
      <c r="AP136" t="s">
        <v>950</v>
      </c>
      <c r="AQ136">
        <v>0.66</v>
      </c>
    </row>
    <row r="137" spans="1:43" x14ac:dyDescent="0.25">
      <c r="A137" t="s">
        <v>42</v>
      </c>
      <c r="B137" t="s">
        <v>43</v>
      </c>
      <c r="C137" t="s">
        <v>44</v>
      </c>
      <c r="D137" t="s">
        <v>45</v>
      </c>
      <c r="E137">
        <v>14</v>
      </c>
      <c r="F137">
        <v>126</v>
      </c>
      <c r="G137">
        <v>3011</v>
      </c>
      <c r="H137">
        <v>2818</v>
      </c>
      <c r="I137" t="s">
        <v>82</v>
      </c>
      <c r="J137" t="s">
        <v>881</v>
      </c>
      <c r="K137" t="s">
        <v>65</v>
      </c>
      <c r="L137" t="s">
        <v>66</v>
      </c>
      <c r="M137">
        <v>12</v>
      </c>
      <c r="N137" t="s">
        <v>60</v>
      </c>
      <c r="O137">
        <v>2020</v>
      </c>
      <c r="P137">
        <v>18117</v>
      </c>
      <c r="Q137" t="s">
        <v>919</v>
      </c>
      <c r="R137" t="s">
        <v>920</v>
      </c>
      <c r="S137" t="str">
        <f>IF(COUNTIF(Tabela2[PROCESSO],Tabela1[[#This Row],[codProcesso]])&gt;0,"Está","Não está")</f>
        <v>Está</v>
      </c>
      <c r="T137" t="s">
        <v>921</v>
      </c>
      <c r="U137" t="s">
        <v>922</v>
      </c>
      <c r="V137" t="s">
        <v>923</v>
      </c>
      <c r="W137" t="s">
        <v>924</v>
      </c>
      <c r="X137">
        <v>36</v>
      </c>
      <c r="Y137" t="s">
        <v>73</v>
      </c>
      <c r="Z137" s="5">
        <v>51780</v>
      </c>
      <c r="AA137" s="5">
        <v>2021.54</v>
      </c>
      <c r="AB137" s="5">
        <v>213935.83</v>
      </c>
      <c r="AC137" s="5">
        <v>0</v>
      </c>
      <c r="AD137" s="5">
        <v>267737.37</v>
      </c>
      <c r="AE137" s="5">
        <v>7437.1491666666661</v>
      </c>
      <c r="AF137" s="5">
        <v>89245.79</v>
      </c>
      <c r="AG137">
        <v>155287.6746</v>
      </c>
      <c r="AH137">
        <v>4313.5465166666663</v>
      </c>
      <c r="AI137">
        <v>51762.558199999992</v>
      </c>
      <c r="AJ137">
        <v>274112.5</v>
      </c>
      <c r="AK137">
        <v>19308.63</v>
      </c>
      <c r="AL137">
        <v>254803.87</v>
      </c>
      <c r="AM137">
        <v>234656.97</v>
      </c>
      <c r="AN137">
        <v>229355.16</v>
      </c>
      <c r="AO137" t="s">
        <v>55</v>
      </c>
      <c r="AP137" t="s">
        <v>925</v>
      </c>
      <c r="AQ137">
        <v>0.57999999999999996</v>
      </c>
    </row>
    <row r="138" spans="1:43" x14ac:dyDescent="0.25">
      <c r="A138" t="s">
        <v>42</v>
      </c>
      <c r="B138" t="s">
        <v>1322</v>
      </c>
      <c r="C138" t="s">
        <v>1323</v>
      </c>
      <c r="D138" t="s">
        <v>45</v>
      </c>
      <c r="E138">
        <v>14</v>
      </c>
      <c r="F138">
        <v>122</v>
      </c>
      <c r="G138">
        <v>3024</v>
      </c>
      <c r="H138">
        <v>2100</v>
      </c>
      <c r="I138" t="s">
        <v>57</v>
      </c>
      <c r="J138" t="s">
        <v>1240</v>
      </c>
      <c r="K138" t="s">
        <v>65</v>
      </c>
      <c r="L138" t="s">
        <v>66</v>
      </c>
      <c r="M138">
        <v>7</v>
      </c>
      <c r="N138" t="s">
        <v>391</v>
      </c>
      <c r="O138">
        <v>2025</v>
      </c>
      <c r="P138">
        <v>11534</v>
      </c>
      <c r="Q138" t="s">
        <v>1329</v>
      </c>
      <c r="R138" t="s">
        <v>1330</v>
      </c>
      <c r="S138" t="str">
        <f>IF(COUNTIF(Tabela2[PROCESSO],Tabela1[[#This Row],[codProcesso]])&gt;0,"Está","Não está")</f>
        <v>Não está</v>
      </c>
      <c r="T138" t="s">
        <v>1331</v>
      </c>
      <c r="U138" t="s">
        <v>1236</v>
      </c>
      <c r="V138" t="s">
        <v>1237</v>
      </c>
      <c r="W138" t="s">
        <v>1332</v>
      </c>
      <c r="X138">
        <v>0</v>
      </c>
      <c r="Y138" t="s">
        <v>98</v>
      </c>
      <c r="Z138" s="5">
        <v>50000</v>
      </c>
      <c r="AA138" s="5">
        <v>0</v>
      </c>
      <c r="AB138" s="5">
        <v>0</v>
      </c>
      <c r="AC138" s="5">
        <v>0</v>
      </c>
      <c r="AD138" s="5">
        <v>50000</v>
      </c>
      <c r="AE138" s="5">
        <v>4166.666666666667</v>
      </c>
      <c r="AF138" s="5">
        <v>50000</v>
      </c>
      <c r="AG138">
        <v>50000</v>
      </c>
      <c r="AH138">
        <v>4166.666666666667</v>
      </c>
      <c r="AI138">
        <v>50000</v>
      </c>
      <c r="AJ138">
        <v>50000</v>
      </c>
      <c r="AK138">
        <v>0</v>
      </c>
      <c r="AL138">
        <v>50000</v>
      </c>
      <c r="AM138">
        <v>50000</v>
      </c>
      <c r="AN138">
        <v>50000</v>
      </c>
      <c r="AO138" t="s">
        <v>55</v>
      </c>
      <c r="AP138" t="s">
        <v>1333</v>
      </c>
      <c r="AQ138">
        <v>1</v>
      </c>
    </row>
    <row r="139" spans="1:43" x14ac:dyDescent="0.25">
      <c r="A139" t="s">
        <v>42</v>
      </c>
      <c r="B139" t="s">
        <v>43</v>
      </c>
      <c r="C139" t="s">
        <v>44</v>
      </c>
      <c r="D139" t="s">
        <v>45</v>
      </c>
      <c r="E139">
        <v>14</v>
      </c>
      <c r="F139">
        <v>244</v>
      </c>
      <c r="G139">
        <v>3013</v>
      </c>
      <c r="H139">
        <v>4329</v>
      </c>
      <c r="I139" t="s">
        <v>122</v>
      </c>
      <c r="J139" t="s">
        <v>1566</v>
      </c>
      <c r="K139" t="s">
        <v>355</v>
      </c>
      <c r="L139" t="s">
        <v>356</v>
      </c>
      <c r="M139">
        <v>8</v>
      </c>
      <c r="N139" t="s">
        <v>50</v>
      </c>
      <c r="O139">
        <v>2025</v>
      </c>
      <c r="P139">
        <v>15560</v>
      </c>
      <c r="Q139" t="s">
        <v>1580</v>
      </c>
      <c r="R139" t="s">
        <v>1581</v>
      </c>
      <c r="S139" t="str">
        <f>IF(COUNTIF(Tabela2[PROCESSO],Tabela1[[#This Row],[codProcesso]])&gt;0,"Está","Não está")</f>
        <v>Não está</v>
      </c>
      <c r="T139" t="s">
        <v>1582</v>
      </c>
      <c r="U139" t="s">
        <v>489</v>
      </c>
      <c r="V139" t="s">
        <v>1418</v>
      </c>
      <c r="W139" t="s">
        <v>1583</v>
      </c>
      <c r="X139">
        <v>2</v>
      </c>
      <c r="Y139" t="s">
        <v>73</v>
      </c>
      <c r="Z139" s="5">
        <v>50000</v>
      </c>
      <c r="AA139" s="5">
        <v>0</v>
      </c>
      <c r="AB139" s="5">
        <v>0</v>
      </c>
      <c r="AC139" s="5">
        <v>0</v>
      </c>
      <c r="AD139" s="5">
        <v>50000</v>
      </c>
      <c r="AE139" s="5">
        <v>4166.666666666667</v>
      </c>
      <c r="AF139" s="5">
        <v>50000</v>
      </c>
      <c r="AG139">
        <v>50000</v>
      </c>
      <c r="AH139">
        <v>4166.666666666667</v>
      </c>
      <c r="AI139">
        <v>50000</v>
      </c>
      <c r="AJ139">
        <v>50000</v>
      </c>
      <c r="AK139">
        <v>0</v>
      </c>
      <c r="AL139">
        <v>50000</v>
      </c>
      <c r="AM139">
        <v>50000</v>
      </c>
      <c r="AN139">
        <v>50000</v>
      </c>
      <c r="AO139" t="s">
        <v>55</v>
      </c>
      <c r="AP139" t="s">
        <v>1584</v>
      </c>
      <c r="AQ139">
        <v>1</v>
      </c>
    </row>
    <row r="140" spans="1:43" x14ac:dyDescent="0.25">
      <c r="A140" t="s">
        <v>42</v>
      </c>
      <c r="B140" t="s">
        <v>43</v>
      </c>
      <c r="C140" t="s">
        <v>44</v>
      </c>
      <c r="D140" t="s">
        <v>45</v>
      </c>
      <c r="E140">
        <v>14</v>
      </c>
      <c r="F140">
        <v>422</v>
      </c>
      <c r="G140">
        <v>3018</v>
      </c>
      <c r="H140">
        <v>4326</v>
      </c>
      <c r="I140" t="s">
        <v>57</v>
      </c>
      <c r="J140" t="s">
        <v>749</v>
      </c>
      <c r="K140" t="s">
        <v>65</v>
      </c>
      <c r="L140" t="s">
        <v>66</v>
      </c>
      <c r="M140">
        <v>7</v>
      </c>
      <c r="N140" t="s">
        <v>391</v>
      </c>
      <c r="O140">
        <v>2025</v>
      </c>
      <c r="P140">
        <v>8756</v>
      </c>
      <c r="Q140" t="s">
        <v>1159</v>
      </c>
      <c r="R140" t="s">
        <v>1160</v>
      </c>
      <c r="S140" t="str">
        <f>IF(COUNTIF(Tabela2[PROCESSO],Tabela1[[#This Row],[codProcesso]])&gt;0,"Está","Não está")</f>
        <v>Está</v>
      </c>
      <c r="T140" t="s">
        <v>1161</v>
      </c>
      <c r="U140" t="s">
        <v>1116</v>
      </c>
      <c r="V140" t="s">
        <v>1162</v>
      </c>
      <c r="W140" t="s">
        <v>1163</v>
      </c>
      <c r="X140">
        <v>9</v>
      </c>
      <c r="Y140" t="s">
        <v>73</v>
      </c>
      <c r="Z140" s="5">
        <v>45720</v>
      </c>
      <c r="AA140" s="5">
        <v>0</v>
      </c>
      <c r="AB140" s="5">
        <v>0</v>
      </c>
      <c r="AC140" s="5">
        <v>0</v>
      </c>
      <c r="AD140" s="5">
        <v>45720</v>
      </c>
      <c r="AE140" s="5">
        <v>3810</v>
      </c>
      <c r="AF140" s="5">
        <v>45720</v>
      </c>
      <c r="AG140">
        <v>45720</v>
      </c>
      <c r="AH140">
        <v>3810</v>
      </c>
      <c r="AI140">
        <v>45720</v>
      </c>
      <c r="AJ140">
        <v>45720</v>
      </c>
      <c r="AK140">
        <v>0</v>
      </c>
      <c r="AL140">
        <v>45720</v>
      </c>
      <c r="AM140">
        <v>10858.3</v>
      </c>
      <c r="AN140">
        <v>10858.3</v>
      </c>
      <c r="AO140" t="s">
        <v>55</v>
      </c>
      <c r="AP140" t="s">
        <v>1164</v>
      </c>
      <c r="AQ140">
        <v>1</v>
      </c>
    </row>
    <row r="141" spans="1:43" x14ac:dyDescent="0.25">
      <c r="A141" t="s">
        <v>42</v>
      </c>
      <c r="B141" t="s">
        <v>43</v>
      </c>
      <c r="C141" t="s">
        <v>44</v>
      </c>
      <c r="D141" t="s">
        <v>45</v>
      </c>
      <c r="E141">
        <v>14</v>
      </c>
      <c r="F141">
        <v>243</v>
      </c>
      <c r="G141">
        <v>3013</v>
      </c>
      <c r="H141">
        <v>2157</v>
      </c>
      <c r="I141" t="s">
        <v>57</v>
      </c>
      <c r="J141" t="s">
        <v>361</v>
      </c>
      <c r="K141" t="s">
        <v>65</v>
      </c>
      <c r="L141" t="s">
        <v>66</v>
      </c>
      <c r="M141">
        <v>12</v>
      </c>
      <c r="N141" t="s">
        <v>60</v>
      </c>
      <c r="O141">
        <v>2024</v>
      </c>
      <c r="P141">
        <v>27770</v>
      </c>
      <c r="Q141" t="s">
        <v>1058</v>
      </c>
      <c r="R141" t="s">
        <v>1059</v>
      </c>
      <c r="S141" t="str">
        <f>IF(COUNTIF(Tabela2[PROCESSO],Tabela1[[#This Row],[codProcesso]])&gt;0,"Está","Não está")</f>
        <v>Está</v>
      </c>
      <c r="T141" t="s">
        <v>1060</v>
      </c>
      <c r="U141" t="s">
        <v>1061</v>
      </c>
      <c r="V141" t="s">
        <v>1062</v>
      </c>
      <c r="W141" t="s">
        <v>887</v>
      </c>
      <c r="X141">
        <v>12</v>
      </c>
      <c r="Y141" t="s">
        <v>73</v>
      </c>
      <c r="Z141" s="5">
        <v>39996</v>
      </c>
      <c r="AA141" s="5">
        <v>0</v>
      </c>
      <c r="AB141" s="5">
        <v>0</v>
      </c>
      <c r="AC141" s="5">
        <v>0</v>
      </c>
      <c r="AD141" s="5">
        <v>39996</v>
      </c>
      <c r="AE141" s="5">
        <v>3333</v>
      </c>
      <c r="AF141" s="5">
        <v>39996</v>
      </c>
      <c r="AG141">
        <v>39996</v>
      </c>
      <c r="AH141">
        <v>3333</v>
      </c>
      <c r="AI141">
        <v>39996</v>
      </c>
      <c r="AJ141">
        <v>66104.5</v>
      </c>
      <c r="AK141">
        <v>37617</v>
      </c>
      <c r="AL141">
        <v>28487.5</v>
      </c>
      <c r="AM141">
        <v>5233</v>
      </c>
      <c r="AN141">
        <v>5233</v>
      </c>
      <c r="AO141" t="s">
        <v>55</v>
      </c>
      <c r="AP141" t="s">
        <v>1063</v>
      </c>
      <c r="AQ141">
        <v>1</v>
      </c>
    </row>
    <row r="142" spans="1:43" x14ac:dyDescent="0.25">
      <c r="A142" t="s">
        <v>42</v>
      </c>
      <c r="B142" t="s">
        <v>43</v>
      </c>
      <c r="C142" t="s">
        <v>44</v>
      </c>
      <c r="D142" t="s">
        <v>45</v>
      </c>
      <c r="E142">
        <v>14</v>
      </c>
      <c r="F142">
        <v>243</v>
      </c>
      <c r="G142">
        <v>3013</v>
      </c>
      <c r="H142">
        <v>2157</v>
      </c>
      <c r="I142" t="s">
        <v>57</v>
      </c>
      <c r="J142" t="s">
        <v>881</v>
      </c>
      <c r="K142" t="s">
        <v>65</v>
      </c>
      <c r="L142" t="s">
        <v>66</v>
      </c>
      <c r="M142">
        <v>12</v>
      </c>
      <c r="N142" t="s">
        <v>60</v>
      </c>
      <c r="O142">
        <v>2023</v>
      </c>
      <c r="P142">
        <v>23852</v>
      </c>
      <c r="Q142" t="s">
        <v>882</v>
      </c>
      <c r="R142" t="s">
        <v>883</v>
      </c>
      <c r="S142" t="str">
        <f>IF(COUNTIF(Tabela2[PROCESSO],Tabela1[[#This Row],[codProcesso]])&gt;0,"Está","Não está")</f>
        <v>Está</v>
      </c>
      <c r="T142" t="s">
        <v>884</v>
      </c>
      <c r="U142" t="s">
        <v>885</v>
      </c>
      <c r="V142" t="s">
        <v>886</v>
      </c>
      <c r="W142" t="s">
        <v>887</v>
      </c>
      <c r="X142">
        <v>24</v>
      </c>
      <c r="Y142" t="s">
        <v>73</v>
      </c>
      <c r="Z142" s="5">
        <v>39936</v>
      </c>
      <c r="AA142" s="5">
        <v>1260.48</v>
      </c>
      <c r="AB142" s="5">
        <v>39936</v>
      </c>
      <c r="AC142" s="5">
        <v>0</v>
      </c>
      <c r="AD142" s="5">
        <v>81132.48000000001</v>
      </c>
      <c r="AE142" s="5">
        <v>3380.52</v>
      </c>
      <c r="AF142" s="5">
        <v>40566.240000000013</v>
      </c>
      <c r="AG142">
        <v>81132.48000000001</v>
      </c>
      <c r="AH142">
        <v>3380.52</v>
      </c>
      <c r="AI142">
        <v>40566.240000000013</v>
      </c>
      <c r="AJ142">
        <v>84174.45</v>
      </c>
      <c r="AK142">
        <v>10839.86</v>
      </c>
      <c r="AL142">
        <v>73334.59</v>
      </c>
      <c r="AM142">
        <v>62566.04</v>
      </c>
      <c r="AN142">
        <v>62566.04</v>
      </c>
      <c r="AO142" t="s">
        <v>55</v>
      </c>
      <c r="AP142" t="s">
        <v>888</v>
      </c>
      <c r="AQ142">
        <v>1</v>
      </c>
    </row>
    <row r="143" spans="1:43" x14ac:dyDescent="0.25">
      <c r="A143" t="s">
        <v>42</v>
      </c>
      <c r="B143" t="s">
        <v>43</v>
      </c>
      <c r="C143" t="s">
        <v>44</v>
      </c>
      <c r="D143" t="s">
        <v>45</v>
      </c>
      <c r="E143">
        <v>14</v>
      </c>
      <c r="F143">
        <v>122</v>
      </c>
      <c r="G143">
        <v>3024</v>
      </c>
      <c r="H143">
        <v>2100</v>
      </c>
      <c r="I143" t="s">
        <v>57</v>
      </c>
      <c r="J143" t="s">
        <v>483</v>
      </c>
      <c r="K143" t="s">
        <v>65</v>
      </c>
      <c r="L143" t="s">
        <v>66</v>
      </c>
      <c r="M143">
        <v>8</v>
      </c>
      <c r="N143" t="s">
        <v>50</v>
      </c>
      <c r="O143">
        <v>2019</v>
      </c>
      <c r="P143">
        <v>14295</v>
      </c>
      <c r="Q143" t="s">
        <v>484</v>
      </c>
      <c r="R143" t="s">
        <v>485</v>
      </c>
      <c r="S143" t="str">
        <f>IF(COUNTIF(Tabela2[PROCESSO],Tabela1[[#This Row],[codProcesso]])&gt;0,"Está","Não está")</f>
        <v>Está</v>
      </c>
      <c r="T143" t="s">
        <v>486</v>
      </c>
      <c r="U143" t="s">
        <v>487</v>
      </c>
      <c r="V143" t="s">
        <v>488</v>
      </c>
      <c r="W143" t="s">
        <v>489</v>
      </c>
      <c r="X143">
        <v>73</v>
      </c>
      <c r="Y143" t="s">
        <v>98</v>
      </c>
      <c r="Z143" s="5">
        <v>39498</v>
      </c>
      <c r="AA143" s="5">
        <v>0</v>
      </c>
      <c r="AB143" s="5">
        <v>78996</v>
      </c>
      <c r="AC143" s="5">
        <v>0</v>
      </c>
      <c r="AD143" s="5">
        <v>118494</v>
      </c>
      <c r="AE143" s="5">
        <v>1623.205479452055</v>
      </c>
      <c r="AF143" s="5">
        <v>19478.465753424662</v>
      </c>
      <c r="AG143">
        <v>118494</v>
      </c>
      <c r="AH143">
        <v>1623.205479452055</v>
      </c>
      <c r="AI143">
        <v>19478.465753424662</v>
      </c>
      <c r="AJ143">
        <v>126221.03</v>
      </c>
      <c r="AK143">
        <v>74003.12</v>
      </c>
      <c r="AL143">
        <v>52217.91</v>
      </c>
      <c r="AM143">
        <v>45300.75</v>
      </c>
      <c r="AN143">
        <v>45060.41</v>
      </c>
      <c r="AO143" t="s">
        <v>55</v>
      </c>
      <c r="AP143" t="s">
        <v>490</v>
      </c>
      <c r="AQ143">
        <v>1</v>
      </c>
    </row>
    <row r="144" spans="1:43" x14ac:dyDescent="0.25">
      <c r="A144" t="s">
        <v>42</v>
      </c>
      <c r="B144" t="s">
        <v>43</v>
      </c>
      <c r="C144" t="s">
        <v>44</v>
      </c>
      <c r="D144" t="s">
        <v>45</v>
      </c>
      <c r="E144">
        <v>14</v>
      </c>
      <c r="F144">
        <v>422</v>
      </c>
      <c r="G144">
        <v>3013</v>
      </c>
      <c r="H144">
        <v>6178</v>
      </c>
      <c r="I144" t="s">
        <v>186</v>
      </c>
      <c r="J144" t="s">
        <v>1177</v>
      </c>
      <c r="K144" t="s">
        <v>491</v>
      </c>
      <c r="L144" t="s">
        <v>492</v>
      </c>
      <c r="M144">
        <v>12</v>
      </c>
      <c r="N144" t="s">
        <v>60</v>
      </c>
      <c r="O144">
        <v>2025</v>
      </c>
      <c r="P144">
        <v>9738</v>
      </c>
      <c r="R144" t="s">
        <v>1185</v>
      </c>
      <c r="S144" t="str">
        <f>IF(COUNTIF(Tabela2[PROCESSO],Tabela1[[#This Row],[codProcesso]])&gt;0,"Está","Não está")</f>
        <v>Não está</v>
      </c>
      <c r="T144" t="s">
        <v>1186</v>
      </c>
      <c r="X144">
        <v>12</v>
      </c>
      <c r="Y144" t="s">
        <v>54</v>
      </c>
      <c r="Z144" s="5">
        <v>38815.199999999997</v>
      </c>
      <c r="AA144" s="5">
        <v>0</v>
      </c>
      <c r="AB144" s="5">
        <v>0</v>
      </c>
      <c r="AC144" s="5">
        <v>0</v>
      </c>
      <c r="AD144" s="5">
        <v>38815.199999999997</v>
      </c>
      <c r="AE144" s="5">
        <v>3234.6</v>
      </c>
      <c r="AF144" s="5">
        <v>38815.199999999997</v>
      </c>
      <c r="AG144">
        <v>38815.199999999997</v>
      </c>
      <c r="AH144">
        <v>3234.6</v>
      </c>
      <c r="AI144">
        <v>38815.199999999997</v>
      </c>
      <c r="AJ144">
        <v>38815.199999999997</v>
      </c>
      <c r="AK144">
        <v>0</v>
      </c>
      <c r="AL144">
        <v>38815.199999999997</v>
      </c>
      <c r="AM144">
        <v>0</v>
      </c>
      <c r="AN144">
        <v>0</v>
      </c>
      <c r="AO144" t="s">
        <v>55</v>
      </c>
      <c r="AP144" t="s">
        <v>1187</v>
      </c>
      <c r="AQ144">
        <v>1</v>
      </c>
    </row>
    <row r="145" spans="1:43" x14ac:dyDescent="0.25">
      <c r="A145" t="s">
        <v>42</v>
      </c>
      <c r="B145" t="s">
        <v>43</v>
      </c>
      <c r="C145" t="s">
        <v>44</v>
      </c>
      <c r="D145" t="s">
        <v>45</v>
      </c>
      <c r="E145">
        <v>14</v>
      </c>
      <c r="F145">
        <v>422</v>
      </c>
      <c r="G145">
        <v>3013</v>
      </c>
      <c r="H145">
        <v>2053</v>
      </c>
      <c r="I145" t="s">
        <v>186</v>
      </c>
      <c r="J145" t="s">
        <v>361</v>
      </c>
      <c r="K145" t="s">
        <v>491</v>
      </c>
      <c r="L145" t="s">
        <v>492</v>
      </c>
      <c r="M145">
        <v>6</v>
      </c>
      <c r="N145" t="s">
        <v>115</v>
      </c>
      <c r="O145">
        <v>2024</v>
      </c>
      <c r="P145">
        <v>11198</v>
      </c>
      <c r="Q145" t="s">
        <v>1096</v>
      </c>
      <c r="R145" t="s">
        <v>1097</v>
      </c>
      <c r="S145" t="str">
        <f>IF(COUNTIF(Tabela2[PROCESSO],Tabela1[[#This Row],[codProcesso]])&gt;0,"Está","Não está")</f>
        <v>Não está</v>
      </c>
      <c r="T145" t="s">
        <v>1098</v>
      </c>
      <c r="U145" t="s">
        <v>1099</v>
      </c>
      <c r="V145" t="s">
        <v>1100</v>
      </c>
      <c r="W145" t="s">
        <v>1101</v>
      </c>
      <c r="X145">
        <v>12</v>
      </c>
      <c r="Y145" t="s">
        <v>98</v>
      </c>
      <c r="Z145" s="5">
        <v>38304</v>
      </c>
      <c r="AA145" s="5">
        <v>0</v>
      </c>
      <c r="AB145" s="5">
        <v>9576</v>
      </c>
      <c r="AC145" s="5">
        <v>0</v>
      </c>
      <c r="AD145" s="5">
        <v>47880</v>
      </c>
      <c r="AE145" s="5">
        <v>3990</v>
      </c>
      <c r="AF145" s="5">
        <v>47880</v>
      </c>
      <c r="AG145">
        <v>19152</v>
      </c>
      <c r="AH145">
        <v>1596</v>
      </c>
      <c r="AI145">
        <v>19152</v>
      </c>
      <c r="AJ145">
        <v>65435.28</v>
      </c>
      <c r="AK145">
        <v>36308.28</v>
      </c>
      <c r="AL145">
        <v>29127</v>
      </c>
      <c r="AM145">
        <v>7581</v>
      </c>
      <c r="AN145">
        <v>7581</v>
      </c>
      <c r="AO145" t="s">
        <v>55</v>
      </c>
      <c r="AP145" t="s">
        <v>1102</v>
      </c>
      <c r="AQ145">
        <v>0.4</v>
      </c>
    </row>
    <row r="146" spans="1:43" x14ac:dyDescent="0.25">
      <c r="A146" t="s">
        <v>42</v>
      </c>
      <c r="B146" t="s">
        <v>43</v>
      </c>
      <c r="C146" t="s">
        <v>44</v>
      </c>
      <c r="D146" t="s">
        <v>45</v>
      </c>
      <c r="E146">
        <v>14</v>
      </c>
      <c r="F146">
        <v>122</v>
      </c>
      <c r="G146">
        <v>3024</v>
      </c>
      <c r="H146">
        <v>2100</v>
      </c>
      <c r="I146" t="s">
        <v>57</v>
      </c>
      <c r="J146" t="s">
        <v>517</v>
      </c>
      <c r="K146" t="s">
        <v>65</v>
      </c>
      <c r="L146" t="s">
        <v>66</v>
      </c>
      <c r="M146">
        <v>12</v>
      </c>
      <c r="N146" t="s">
        <v>60</v>
      </c>
      <c r="O146">
        <v>2019</v>
      </c>
      <c r="P146">
        <v>14086</v>
      </c>
      <c r="Q146" t="s">
        <v>639</v>
      </c>
      <c r="R146" t="s">
        <v>640</v>
      </c>
      <c r="S146" t="str">
        <f>IF(COUNTIF(Tabela2[PROCESSO],Tabela1[[#This Row],[codProcesso]])&gt;0,"Está","Não está")</f>
        <v>Está</v>
      </c>
      <c r="T146" t="s">
        <v>641</v>
      </c>
      <c r="U146" t="s">
        <v>642</v>
      </c>
      <c r="V146" t="s">
        <v>643</v>
      </c>
      <c r="W146" t="s">
        <v>644</v>
      </c>
      <c r="X146">
        <v>73</v>
      </c>
      <c r="Y146" t="s">
        <v>98</v>
      </c>
      <c r="Z146" s="5">
        <v>35990</v>
      </c>
      <c r="AA146" s="5">
        <v>32673.96</v>
      </c>
      <c r="AB146" s="5">
        <v>174000</v>
      </c>
      <c r="AC146" s="5">
        <v>0</v>
      </c>
      <c r="AD146" s="5">
        <v>242663.96</v>
      </c>
      <c r="AE146" s="5">
        <v>3324.1638356164381</v>
      </c>
      <c r="AF146" s="5">
        <v>39889.966027397248</v>
      </c>
      <c r="AG146">
        <v>242663.96</v>
      </c>
      <c r="AH146">
        <v>3324.1638356164381</v>
      </c>
      <c r="AI146">
        <v>39889.966027397248</v>
      </c>
      <c r="AJ146">
        <v>320646.53999999998</v>
      </c>
      <c r="AK146">
        <v>85909.25</v>
      </c>
      <c r="AL146">
        <v>234737.29</v>
      </c>
      <c r="AM146">
        <v>234108.63</v>
      </c>
      <c r="AN146">
        <v>234108.63</v>
      </c>
      <c r="AO146" t="s">
        <v>55</v>
      </c>
      <c r="AP146" t="s">
        <v>645</v>
      </c>
      <c r="AQ146">
        <v>1</v>
      </c>
    </row>
    <row r="147" spans="1:43" x14ac:dyDescent="0.25">
      <c r="A147" t="s">
        <v>42</v>
      </c>
      <c r="B147" t="s">
        <v>43</v>
      </c>
      <c r="C147" t="s">
        <v>44</v>
      </c>
      <c r="D147" t="s">
        <v>45</v>
      </c>
      <c r="E147">
        <v>14</v>
      </c>
      <c r="F147">
        <v>243</v>
      </c>
      <c r="G147">
        <v>3013</v>
      </c>
      <c r="H147">
        <v>2157</v>
      </c>
      <c r="I147" t="s">
        <v>186</v>
      </c>
      <c r="J147" t="s">
        <v>1177</v>
      </c>
      <c r="K147" t="s">
        <v>247</v>
      </c>
      <c r="L147" t="s">
        <v>248</v>
      </c>
      <c r="M147">
        <v>6</v>
      </c>
      <c r="N147" t="s">
        <v>115</v>
      </c>
      <c r="O147">
        <v>2025</v>
      </c>
      <c r="P147">
        <v>9773</v>
      </c>
      <c r="R147" t="s">
        <v>1188</v>
      </c>
      <c r="S147" t="str">
        <f>IF(COUNTIF(Tabela2[PROCESSO],Tabela1[[#This Row],[codProcesso]])&gt;0,"Está","Não está")</f>
        <v>Não está</v>
      </c>
      <c r="T147" t="s">
        <v>1189</v>
      </c>
      <c r="W147" t="s">
        <v>1190</v>
      </c>
      <c r="X147">
        <v>12</v>
      </c>
      <c r="Y147" t="s">
        <v>54</v>
      </c>
      <c r="Z147" s="5">
        <v>35412</v>
      </c>
      <c r="AA147" s="5">
        <v>0</v>
      </c>
      <c r="AB147" s="5">
        <v>0</v>
      </c>
      <c r="AC147" s="5">
        <v>0</v>
      </c>
      <c r="AD147" s="5">
        <v>35412</v>
      </c>
      <c r="AE147" s="5">
        <v>2951</v>
      </c>
      <c r="AF147" s="5">
        <v>35412</v>
      </c>
      <c r="AG147">
        <v>35412</v>
      </c>
      <c r="AH147">
        <v>2951</v>
      </c>
      <c r="AI147">
        <v>35412</v>
      </c>
      <c r="AJ147">
        <v>35412</v>
      </c>
      <c r="AK147">
        <v>0</v>
      </c>
      <c r="AL147">
        <v>35412</v>
      </c>
      <c r="AM147">
        <v>35412</v>
      </c>
      <c r="AN147">
        <v>35412</v>
      </c>
      <c r="AO147" t="s">
        <v>55</v>
      </c>
      <c r="AP147" t="s">
        <v>1191</v>
      </c>
      <c r="AQ147">
        <v>1</v>
      </c>
    </row>
    <row r="148" spans="1:43" x14ac:dyDescent="0.25">
      <c r="A148" t="s">
        <v>42</v>
      </c>
      <c r="B148" t="s">
        <v>43</v>
      </c>
      <c r="C148" t="s">
        <v>44</v>
      </c>
      <c r="D148" t="s">
        <v>45</v>
      </c>
      <c r="E148">
        <v>14</v>
      </c>
      <c r="F148">
        <v>422</v>
      </c>
      <c r="G148">
        <v>3018</v>
      </c>
      <c r="H148">
        <v>4334</v>
      </c>
      <c r="I148" t="s">
        <v>57</v>
      </c>
      <c r="J148" t="s">
        <v>749</v>
      </c>
      <c r="K148" t="s">
        <v>65</v>
      </c>
      <c r="L148" t="s">
        <v>66</v>
      </c>
      <c r="M148">
        <v>6</v>
      </c>
      <c r="N148" t="s">
        <v>115</v>
      </c>
      <c r="O148">
        <v>2023</v>
      </c>
      <c r="P148">
        <v>6172</v>
      </c>
      <c r="Q148" t="s">
        <v>864</v>
      </c>
      <c r="R148" t="s">
        <v>865</v>
      </c>
      <c r="S148" t="str">
        <f>IF(COUNTIF(Tabela2[PROCESSO],Tabela1[[#This Row],[codProcesso]])&gt;0,"Está","Não está")</f>
        <v>Está</v>
      </c>
      <c r="T148" t="s">
        <v>866</v>
      </c>
      <c r="U148" t="s">
        <v>106</v>
      </c>
      <c r="V148" t="s">
        <v>867</v>
      </c>
      <c r="W148" t="s">
        <v>868</v>
      </c>
      <c r="X148">
        <v>37</v>
      </c>
      <c r="Y148" t="s">
        <v>73</v>
      </c>
      <c r="Z148" s="5">
        <v>32868</v>
      </c>
      <c r="AA148" s="5">
        <v>0</v>
      </c>
      <c r="AB148" s="5">
        <v>26056</v>
      </c>
      <c r="AC148" s="5">
        <v>0</v>
      </c>
      <c r="AD148" s="5">
        <v>58924</v>
      </c>
      <c r="AE148" s="5">
        <v>1592.5405405405411</v>
      </c>
      <c r="AF148" s="5">
        <v>19110.48648648649</v>
      </c>
      <c r="AG148">
        <v>14731</v>
      </c>
      <c r="AH148">
        <v>398.13513513513522</v>
      </c>
      <c r="AI148">
        <v>4777.6216216216217</v>
      </c>
      <c r="AJ148">
        <v>75898.7</v>
      </c>
      <c r="AK148">
        <v>65190.7</v>
      </c>
      <c r="AL148">
        <v>10708</v>
      </c>
      <c r="AM148">
        <v>4609.4799999999996</v>
      </c>
      <c r="AN148">
        <v>3929.12</v>
      </c>
      <c r="AO148" t="s">
        <v>55</v>
      </c>
      <c r="AP148" t="s">
        <v>869</v>
      </c>
      <c r="AQ148">
        <v>0.25</v>
      </c>
    </row>
    <row r="149" spans="1:43" x14ac:dyDescent="0.25">
      <c r="A149" t="s">
        <v>42</v>
      </c>
      <c r="B149" t="s">
        <v>43</v>
      </c>
      <c r="C149" t="s">
        <v>44</v>
      </c>
      <c r="D149" t="s">
        <v>45</v>
      </c>
      <c r="E149">
        <v>14</v>
      </c>
      <c r="F149">
        <v>122</v>
      </c>
      <c r="G149">
        <v>3024</v>
      </c>
      <c r="H149">
        <v>2100</v>
      </c>
      <c r="I149" t="s">
        <v>57</v>
      </c>
      <c r="J149" t="s">
        <v>483</v>
      </c>
      <c r="K149" t="s">
        <v>65</v>
      </c>
      <c r="L149" t="s">
        <v>66</v>
      </c>
      <c r="M149">
        <v>6</v>
      </c>
      <c r="N149" t="s">
        <v>115</v>
      </c>
      <c r="O149">
        <v>2024</v>
      </c>
      <c r="P149">
        <v>6745</v>
      </c>
      <c r="Q149" t="s">
        <v>709</v>
      </c>
      <c r="R149" t="s">
        <v>710</v>
      </c>
      <c r="S149" t="str">
        <f>IF(COUNTIF(Tabela2[PROCESSO],Tabela1[[#This Row],[codProcesso]])&gt;0,"Está","Não está")</f>
        <v>Está</v>
      </c>
      <c r="T149" t="s">
        <v>711</v>
      </c>
      <c r="U149" t="s">
        <v>712</v>
      </c>
      <c r="V149" t="s">
        <v>713</v>
      </c>
      <c r="W149" t="s">
        <v>675</v>
      </c>
      <c r="X149">
        <v>12</v>
      </c>
      <c r="Y149" t="s">
        <v>98</v>
      </c>
      <c r="Z149" s="5">
        <v>32400</v>
      </c>
      <c r="AA149" s="5">
        <v>0</v>
      </c>
      <c r="AB149" s="5">
        <v>0</v>
      </c>
      <c r="AC149" s="5">
        <v>0</v>
      </c>
      <c r="AD149" s="5">
        <v>32400</v>
      </c>
      <c r="AE149" s="5">
        <v>2700</v>
      </c>
      <c r="AF149" s="5">
        <v>32400</v>
      </c>
      <c r="AG149">
        <v>32400</v>
      </c>
      <c r="AH149">
        <v>2700</v>
      </c>
      <c r="AI149">
        <v>32400</v>
      </c>
      <c r="AJ149">
        <v>33570</v>
      </c>
      <c r="AK149">
        <v>1170</v>
      </c>
      <c r="AL149">
        <v>32400</v>
      </c>
      <c r="AM149">
        <v>32400</v>
      </c>
      <c r="AN149">
        <v>32400</v>
      </c>
      <c r="AO149" t="s">
        <v>55</v>
      </c>
      <c r="AP149" t="s">
        <v>714</v>
      </c>
      <c r="AQ149">
        <v>1</v>
      </c>
    </row>
    <row r="150" spans="1:43" x14ac:dyDescent="0.25">
      <c r="A150" t="s">
        <v>42</v>
      </c>
      <c r="B150" t="s">
        <v>43</v>
      </c>
      <c r="C150" t="s">
        <v>44</v>
      </c>
      <c r="D150" t="s">
        <v>45</v>
      </c>
      <c r="E150">
        <v>8</v>
      </c>
      <c r="F150">
        <v>605</v>
      </c>
      <c r="G150">
        <v>3016</v>
      </c>
      <c r="H150">
        <v>4470</v>
      </c>
      <c r="I150" t="s">
        <v>186</v>
      </c>
      <c r="J150" t="s">
        <v>483</v>
      </c>
      <c r="K150" t="s">
        <v>247</v>
      </c>
      <c r="L150" t="s">
        <v>248</v>
      </c>
      <c r="M150">
        <v>6</v>
      </c>
      <c r="N150" t="s">
        <v>115</v>
      </c>
      <c r="O150">
        <v>2025</v>
      </c>
      <c r="P150">
        <v>13470</v>
      </c>
      <c r="R150" t="s">
        <v>1462</v>
      </c>
      <c r="S150" t="str">
        <f>IF(COUNTIF(Tabela2[PROCESSO],Tabela1[[#This Row],[codProcesso]])&gt;0,"Está","Não está")</f>
        <v>Não está</v>
      </c>
      <c r="T150" t="s">
        <v>1463</v>
      </c>
      <c r="X150">
        <v>12</v>
      </c>
      <c r="Y150" t="s">
        <v>54</v>
      </c>
      <c r="Z150" s="5">
        <v>31900</v>
      </c>
      <c r="AA150" s="5">
        <v>0</v>
      </c>
      <c r="AB150" s="5">
        <v>0</v>
      </c>
      <c r="AC150" s="5">
        <v>0</v>
      </c>
      <c r="AD150" s="5">
        <v>31900</v>
      </c>
      <c r="AE150" s="5">
        <v>2658.333333333333</v>
      </c>
      <c r="AF150" s="5">
        <v>31900</v>
      </c>
      <c r="AG150">
        <v>31900</v>
      </c>
      <c r="AH150">
        <v>2658.333333333333</v>
      </c>
      <c r="AI150">
        <v>31900</v>
      </c>
      <c r="AJ150">
        <v>31900</v>
      </c>
      <c r="AK150">
        <v>0</v>
      </c>
      <c r="AL150">
        <v>31900</v>
      </c>
      <c r="AM150">
        <v>0</v>
      </c>
      <c r="AN150">
        <v>0</v>
      </c>
      <c r="AO150" t="s">
        <v>55</v>
      </c>
      <c r="AP150" t="s">
        <v>1464</v>
      </c>
      <c r="AQ150">
        <v>1</v>
      </c>
    </row>
    <row r="151" spans="1:43" x14ac:dyDescent="0.25">
      <c r="A151" t="s">
        <v>42</v>
      </c>
      <c r="B151" t="s">
        <v>1322</v>
      </c>
      <c r="C151" t="s">
        <v>1323</v>
      </c>
      <c r="D151" t="s">
        <v>45</v>
      </c>
      <c r="E151">
        <v>14</v>
      </c>
      <c r="F151">
        <v>422</v>
      </c>
      <c r="G151">
        <v>3018</v>
      </c>
      <c r="H151">
        <v>4326</v>
      </c>
      <c r="I151" t="s">
        <v>57</v>
      </c>
      <c r="J151" t="s">
        <v>1639</v>
      </c>
      <c r="K151" t="s">
        <v>65</v>
      </c>
      <c r="L151" t="s">
        <v>66</v>
      </c>
      <c r="M151">
        <v>7</v>
      </c>
      <c r="N151" t="s">
        <v>391</v>
      </c>
      <c r="O151">
        <v>2025</v>
      </c>
      <c r="P151">
        <v>16770</v>
      </c>
      <c r="Q151" t="s">
        <v>1727</v>
      </c>
      <c r="R151" t="s">
        <v>1728</v>
      </c>
      <c r="S151" t="str">
        <f>IF(COUNTIF(Tabela2[PROCESSO],Tabela1[[#This Row],[codProcesso]])&gt;0,"Está","Não está")</f>
        <v>Não está</v>
      </c>
      <c r="T151" t="s">
        <v>1729</v>
      </c>
      <c r="U151" t="s">
        <v>1715</v>
      </c>
      <c r="V151" t="s">
        <v>1366</v>
      </c>
      <c r="W151" t="s">
        <v>1490</v>
      </c>
      <c r="X151">
        <v>0</v>
      </c>
      <c r="Y151" t="s">
        <v>98</v>
      </c>
      <c r="Z151" s="5">
        <v>31200</v>
      </c>
      <c r="AA151" s="5">
        <v>0</v>
      </c>
      <c r="AB151" s="5">
        <v>0</v>
      </c>
      <c r="AC151" s="5">
        <v>0</v>
      </c>
      <c r="AD151" s="5">
        <v>31200</v>
      </c>
      <c r="AE151" s="5">
        <v>2600</v>
      </c>
      <c r="AF151" s="5">
        <v>31200</v>
      </c>
      <c r="AG151">
        <v>31200</v>
      </c>
      <c r="AH151">
        <v>2600</v>
      </c>
      <c r="AI151">
        <v>31200</v>
      </c>
      <c r="AJ151">
        <v>31200</v>
      </c>
      <c r="AK151">
        <v>0</v>
      </c>
      <c r="AL151">
        <v>31200</v>
      </c>
      <c r="AM151">
        <v>0</v>
      </c>
      <c r="AN151">
        <v>0</v>
      </c>
      <c r="AO151" t="s">
        <v>55</v>
      </c>
      <c r="AP151" t="s">
        <v>1730</v>
      </c>
      <c r="AQ151">
        <v>1</v>
      </c>
    </row>
    <row r="152" spans="1:43" x14ac:dyDescent="0.25">
      <c r="A152" t="s">
        <v>42</v>
      </c>
      <c r="B152" t="s">
        <v>43</v>
      </c>
      <c r="C152" t="s">
        <v>44</v>
      </c>
      <c r="D152" t="s">
        <v>45</v>
      </c>
      <c r="E152">
        <v>14</v>
      </c>
      <c r="F152">
        <v>422</v>
      </c>
      <c r="G152">
        <v>3013</v>
      </c>
      <c r="H152">
        <v>2053</v>
      </c>
      <c r="I152" t="s">
        <v>186</v>
      </c>
      <c r="J152" t="s">
        <v>361</v>
      </c>
      <c r="K152" t="s">
        <v>247</v>
      </c>
      <c r="L152" t="s">
        <v>248</v>
      </c>
      <c r="M152">
        <v>6</v>
      </c>
      <c r="N152" t="s">
        <v>115</v>
      </c>
      <c r="O152">
        <v>2025</v>
      </c>
      <c r="P152">
        <v>11743</v>
      </c>
      <c r="R152" t="s">
        <v>1354</v>
      </c>
      <c r="S152" t="str">
        <f>IF(COUNTIF(Tabela2[PROCESSO],Tabela1[[#This Row],[codProcesso]])&gt;0,"Está","Não está")</f>
        <v>Não está</v>
      </c>
      <c r="T152" t="s">
        <v>1355</v>
      </c>
      <c r="W152" t="s">
        <v>1352</v>
      </c>
      <c r="X152">
        <v>12</v>
      </c>
      <c r="Y152" t="s">
        <v>54</v>
      </c>
      <c r="Z152" s="5">
        <v>30000</v>
      </c>
      <c r="AA152" s="5">
        <v>0</v>
      </c>
      <c r="AB152" s="5">
        <v>0</v>
      </c>
      <c r="AC152" s="5">
        <v>0</v>
      </c>
      <c r="AD152" s="5">
        <v>30000</v>
      </c>
      <c r="AE152" s="5">
        <v>2500</v>
      </c>
      <c r="AF152" s="5">
        <v>30000</v>
      </c>
      <c r="AG152">
        <v>30000</v>
      </c>
      <c r="AH152">
        <v>2500</v>
      </c>
      <c r="AI152">
        <v>30000</v>
      </c>
      <c r="AJ152">
        <v>30000</v>
      </c>
      <c r="AK152">
        <v>0</v>
      </c>
      <c r="AL152">
        <v>30000</v>
      </c>
      <c r="AM152">
        <v>30000</v>
      </c>
      <c r="AN152">
        <v>30000</v>
      </c>
      <c r="AO152" t="s">
        <v>55</v>
      </c>
      <c r="AP152" t="s">
        <v>1356</v>
      </c>
      <c r="AQ152">
        <v>1</v>
      </c>
    </row>
    <row r="153" spans="1:43" x14ac:dyDescent="0.25">
      <c r="A153" t="s">
        <v>42</v>
      </c>
      <c r="B153" t="s">
        <v>43</v>
      </c>
      <c r="C153" t="s">
        <v>44</v>
      </c>
      <c r="D153" t="s">
        <v>45</v>
      </c>
      <c r="E153">
        <v>14</v>
      </c>
      <c r="F153">
        <v>122</v>
      </c>
      <c r="G153">
        <v>3024</v>
      </c>
      <c r="H153">
        <v>2100</v>
      </c>
      <c r="I153" t="s">
        <v>186</v>
      </c>
      <c r="J153" t="s">
        <v>483</v>
      </c>
      <c r="K153" t="s">
        <v>58</v>
      </c>
      <c r="L153" t="s">
        <v>59</v>
      </c>
      <c r="M153">
        <v>12</v>
      </c>
      <c r="N153" t="s">
        <v>60</v>
      </c>
      <c r="O153">
        <v>2025</v>
      </c>
      <c r="P153">
        <v>13073</v>
      </c>
      <c r="R153" t="s">
        <v>1436</v>
      </c>
      <c r="S153" t="str">
        <f>IF(COUNTIF(Tabela2[PROCESSO],Tabela1[[#This Row],[codProcesso]])&gt;0,"Está","Não está")</f>
        <v>Não está</v>
      </c>
      <c r="T153" t="s">
        <v>1437</v>
      </c>
      <c r="W153" t="s">
        <v>1438</v>
      </c>
      <c r="X153">
        <v>12</v>
      </c>
      <c r="Y153" t="s">
        <v>54</v>
      </c>
      <c r="Z153" s="5">
        <v>28000</v>
      </c>
      <c r="AA153" s="5">
        <v>0</v>
      </c>
      <c r="AB153" s="5">
        <v>0</v>
      </c>
      <c r="AC153" s="5">
        <v>0</v>
      </c>
      <c r="AD153" s="5">
        <v>28000</v>
      </c>
      <c r="AE153" s="5">
        <v>2333.333333333333</v>
      </c>
      <c r="AF153" s="5">
        <v>28000</v>
      </c>
      <c r="AG153">
        <v>28000</v>
      </c>
      <c r="AH153">
        <v>2333.333333333333</v>
      </c>
      <c r="AI153">
        <v>28000</v>
      </c>
      <c r="AJ153">
        <v>28000</v>
      </c>
      <c r="AK153">
        <v>0</v>
      </c>
      <c r="AL153">
        <v>28000</v>
      </c>
      <c r="AM153">
        <v>28000</v>
      </c>
      <c r="AN153">
        <v>28000</v>
      </c>
      <c r="AO153" t="s">
        <v>55</v>
      </c>
      <c r="AP153" t="s">
        <v>1439</v>
      </c>
      <c r="AQ153">
        <v>1</v>
      </c>
    </row>
    <row r="154" spans="1:43" x14ac:dyDescent="0.25">
      <c r="A154" t="s">
        <v>42</v>
      </c>
      <c r="B154" t="s">
        <v>43</v>
      </c>
      <c r="C154" t="s">
        <v>44</v>
      </c>
      <c r="D154" t="s">
        <v>45</v>
      </c>
      <c r="E154">
        <v>14</v>
      </c>
      <c r="F154">
        <v>422</v>
      </c>
      <c r="G154">
        <v>3013</v>
      </c>
      <c r="H154">
        <v>2053</v>
      </c>
      <c r="I154" t="s">
        <v>186</v>
      </c>
      <c r="J154" t="s">
        <v>1600</v>
      </c>
      <c r="K154" t="s">
        <v>491</v>
      </c>
      <c r="L154" t="s">
        <v>492</v>
      </c>
      <c r="M154">
        <v>6</v>
      </c>
      <c r="N154" t="s">
        <v>115</v>
      </c>
      <c r="O154">
        <v>2025</v>
      </c>
      <c r="P154">
        <v>15829</v>
      </c>
      <c r="R154" t="s">
        <v>1601</v>
      </c>
      <c r="S154" t="str">
        <f>IF(COUNTIF(Tabela2[PROCESSO],Tabela1[[#This Row],[codProcesso]])&gt;0,"Está","Não está")</f>
        <v>Não está</v>
      </c>
      <c r="T154" t="s">
        <v>1602</v>
      </c>
      <c r="X154">
        <v>12</v>
      </c>
      <c r="Y154" t="s">
        <v>54</v>
      </c>
      <c r="Z154" s="5">
        <v>26199.65</v>
      </c>
      <c r="AA154" s="5">
        <v>0</v>
      </c>
      <c r="AB154" s="5">
        <v>0</v>
      </c>
      <c r="AC154" s="5">
        <v>0</v>
      </c>
      <c r="AD154" s="5">
        <v>26199.65</v>
      </c>
      <c r="AE154" s="5">
        <v>2183.3041666666668</v>
      </c>
      <c r="AF154" s="5">
        <v>26199.65</v>
      </c>
      <c r="AG154">
        <v>26199.65</v>
      </c>
      <c r="AH154">
        <v>2183.3041666666668</v>
      </c>
      <c r="AI154">
        <v>26199.65</v>
      </c>
      <c r="AJ154">
        <v>26199.65</v>
      </c>
      <c r="AK154">
        <v>0</v>
      </c>
      <c r="AL154">
        <v>26199.65</v>
      </c>
      <c r="AM154">
        <v>0</v>
      </c>
      <c r="AN154">
        <v>0</v>
      </c>
      <c r="AO154" t="s">
        <v>55</v>
      </c>
      <c r="AP154" t="s">
        <v>1603</v>
      </c>
      <c r="AQ154">
        <v>1</v>
      </c>
    </row>
    <row r="155" spans="1:43" x14ac:dyDescent="0.25">
      <c r="A155" t="s">
        <v>42</v>
      </c>
      <c r="B155" t="s">
        <v>43</v>
      </c>
      <c r="C155" t="s">
        <v>44</v>
      </c>
      <c r="D155" t="s">
        <v>45</v>
      </c>
      <c r="E155">
        <v>14</v>
      </c>
      <c r="F155">
        <v>122</v>
      </c>
      <c r="G155">
        <v>3024</v>
      </c>
      <c r="H155">
        <v>2100</v>
      </c>
      <c r="I155" t="s">
        <v>57</v>
      </c>
      <c r="J155" t="s">
        <v>749</v>
      </c>
      <c r="K155" t="s">
        <v>65</v>
      </c>
      <c r="L155" t="s">
        <v>66</v>
      </c>
      <c r="M155">
        <v>12</v>
      </c>
      <c r="N155" t="s">
        <v>60</v>
      </c>
      <c r="O155">
        <v>2022</v>
      </c>
      <c r="P155">
        <v>29091</v>
      </c>
      <c r="Q155" t="s">
        <v>757</v>
      </c>
      <c r="R155" t="s">
        <v>758</v>
      </c>
      <c r="S155" t="str">
        <f>IF(COUNTIF(Tabela2[PROCESSO],Tabela1[[#This Row],[codProcesso]])&gt;0,"Está","Não está")</f>
        <v>Está</v>
      </c>
      <c r="T155" t="s">
        <v>759</v>
      </c>
      <c r="U155" t="s">
        <v>760</v>
      </c>
      <c r="V155" t="s">
        <v>761</v>
      </c>
      <c r="W155" t="s">
        <v>762</v>
      </c>
      <c r="X155">
        <v>36</v>
      </c>
      <c r="Y155" t="s">
        <v>73</v>
      </c>
      <c r="Z155" s="5">
        <v>25320</v>
      </c>
      <c r="AA155" s="5">
        <v>1005.24</v>
      </c>
      <c r="AB155" s="5">
        <v>50640</v>
      </c>
      <c r="AC155" s="5">
        <v>0</v>
      </c>
      <c r="AD155" s="5">
        <v>76965.240000000005</v>
      </c>
      <c r="AE155" s="5">
        <v>2137.9233333333341</v>
      </c>
      <c r="AF155" s="5">
        <v>25655.08</v>
      </c>
      <c r="AG155">
        <v>76965.240000000005</v>
      </c>
      <c r="AH155">
        <v>2137.9233333333341</v>
      </c>
      <c r="AI155">
        <v>25655.08</v>
      </c>
      <c r="AJ155">
        <v>77459.679999999993</v>
      </c>
      <c r="AK155">
        <v>3499.77</v>
      </c>
      <c r="AL155">
        <v>73959.91</v>
      </c>
      <c r="AM155">
        <v>63502.94</v>
      </c>
      <c r="AN155">
        <v>61309.17</v>
      </c>
      <c r="AO155" t="s">
        <v>55</v>
      </c>
      <c r="AP155" t="s">
        <v>763</v>
      </c>
      <c r="AQ155">
        <v>1</v>
      </c>
    </row>
    <row r="156" spans="1:43" x14ac:dyDescent="0.25">
      <c r="A156" t="s">
        <v>42</v>
      </c>
      <c r="B156" t="s">
        <v>43</v>
      </c>
      <c r="C156" t="s">
        <v>44</v>
      </c>
      <c r="D156" t="s">
        <v>45</v>
      </c>
      <c r="E156">
        <v>14</v>
      </c>
      <c r="F156">
        <v>122</v>
      </c>
      <c r="G156">
        <v>3024</v>
      </c>
      <c r="H156">
        <v>2100</v>
      </c>
      <c r="I156" t="s">
        <v>57</v>
      </c>
      <c r="J156" t="s">
        <v>483</v>
      </c>
      <c r="K156" t="s">
        <v>690</v>
      </c>
      <c r="L156" t="s">
        <v>691</v>
      </c>
      <c r="M156">
        <v>6</v>
      </c>
      <c r="N156" t="s">
        <v>115</v>
      </c>
      <c r="O156">
        <v>2025</v>
      </c>
      <c r="P156">
        <v>3373</v>
      </c>
      <c r="R156" t="s">
        <v>692</v>
      </c>
      <c r="S156" t="str">
        <f>IF(COUNTIF(Tabela2[PROCESSO],Tabela1[[#This Row],[codProcesso]])&gt;0,"Está","Não está")</f>
        <v>Está</v>
      </c>
      <c r="T156" t="s">
        <v>693</v>
      </c>
      <c r="W156" t="s">
        <v>53</v>
      </c>
      <c r="X156">
        <v>12</v>
      </c>
      <c r="Y156" t="s">
        <v>54</v>
      </c>
      <c r="Z156" s="5">
        <v>25000</v>
      </c>
      <c r="AA156" s="5">
        <v>0</v>
      </c>
      <c r="AB156" s="5">
        <v>0</v>
      </c>
      <c r="AC156" s="5">
        <v>0</v>
      </c>
      <c r="AD156" s="5">
        <v>25000</v>
      </c>
      <c r="AE156" s="5">
        <v>2083.333333333333</v>
      </c>
      <c r="AF156" s="5">
        <v>25000</v>
      </c>
      <c r="AG156">
        <v>25000</v>
      </c>
      <c r="AH156">
        <v>2083.333333333333</v>
      </c>
      <c r="AI156">
        <v>25000</v>
      </c>
      <c r="AJ156">
        <v>25000</v>
      </c>
      <c r="AK156">
        <v>668.66</v>
      </c>
      <c r="AL156">
        <v>24331.34</v>
      </c>
      <c r="AM156">
        <v>1271.6199999999999</v>
      </c>
      <c r="AN156">
        <v>1271.6199999999999</v>
      </c>
      <c r="AO156" t="s">
        <v>55</v>
      </c>
      <c r="AP156" t="s">
        <v>694</v>
      </c>
      <c r="AQ156">
        <v>1</v>
      </c>
    </row>
    <row r="157" spans="1:43" x14ac:dyDescent="0.25">
      <c r="A157" t="s">
        <v>42</v>
      </c>
      <c r="B157" t="s">
        <v>43</v>
      </c>
      <c r="C157" t="s">
        <v>44</v>
      </c>
      <c r="D157" t="s">
        <v>45</v>
      </c>
      <c r="E157">
        <v>14</v>
      </c>
      <c r="F157">
        <v>422</v>
      </c>
      <c r="G157">
        <v>3013</v>
      </c>
      <c r="H157">
        <v>6178</v>
      </c>
      <c r="I157" t="s">
        <v>57</v>
      </c>
      <c r="J157" t="s">
        <v>749</v>
      </c>
      <c r="K157" t="s">
        <v>65</v>
      </c>
      <c r="L157" t="s">
        <v>66</v>
      </c>
      <c r="M157">
        <v>8</v>
      </c>
      <c r="N157" t="s">
        <v>50</v>
      </c>
      <c r="O157">
        <v>2020</v>
      </c>
      <c r="P157">
        <v>10771</v>
      </c>
      <c r="Q157" t="s">
        <v>844</v>
      </c>
      <c r="R157" t="s">
        <v>845</v>
      </c>
      <c r="S157" t="str">
        <f>IF(COUNTIF(Tabela2[PROCESSO],Tabela1[[#This Row],[codProcesso]])&gt;0,"Está","Não está")</f>
        <v>Está</v>
      </c>
      <c r="T157" t="s">
        <v>846</v>
      </c>
      <c r="U157" t="s">
        <v>847</v>
      </c>
      <c r="V157" t="s">
        <v>745</v>
      </c>
      <c r="W157" t="s">
        <v>848</v>
      </c>
      <c r="X157">
        <v>60</v>
      </c>
      <c r="Y157" t="s">
        <v>98</v>
      </c>
      <c r="Z157" s="5">
        <v>24055.200000000001</v>
      </c>
      <c r="AA157" s="5">
        <v>0</v>
      </c>
      <c r="AB157" s="5">
        <v>177148.79999999999</v>
      </c>
      <c r="AC157" s="5">
        <v>0</v>
      </c>
      <c r="AD157" s="5">
        <v>201204</v>
      </c>
      <c r="AE157" s="5">
        <v>3353.4</v>
      </c>
      <c r="AF157" s="5">
        <v>40240.800000000003</v>
      </c>
      <c r="AG157">
        <v>201204</v>
      </c>
      <c r="AH157">
        <v>3353.4</v>
      </c>
      <c r="AI157">
        <v>40240.800000000003</v>
      </c>
      <c r="AJ157">
        <v>242731.01</v>
      </c>
      <c r="AK157">
        <v>197266.81</v>
      </c>
      <c r="AL157">
        <v>45464.2</v>
      </c>
      <c r="AM157">
        <v>20432.38</v>
      </c>
      <c r="AN157">
        <v>20432.38</v>
      </c>
      <c r="AO157" t="s">
        <v>55</v>
      </c>
      <c r="AP157" t="s">
        <v>849</v>
      </c>
      <c r="AQ157">
        <v>1</v>
      </c>
    </row>
    <row r="158" spans="1:43" x14ac:dyDescent="0.25">
      <c r="A158" t="s">
        <v>42</v>
      </c>
      <c r="B158" t="s">
        <v>43</v>
      </c>
      <c r="C158" t="s">
        <v>44</v>
      </c>
      <c r="D158" t="s">
        <v>45</v>
      </c>
      <c r="E158">
        <v>14</v>
      </c>
      <c r="F158">
        <v>122</v>
      </c>
      <c r="G158">
        <v>3024</v>
      </c>
      <c r="H158">
        <v>2100</v>
      </c>
      <c r="I158" t="s">
        <v>57</v>
      </c>
      <c r="J158" t="s">
        <v>215</v>
      </c>
      <c r="K158" t="s">
        <v>65</v>
      </c>
      <c r="L158" t="s">
        <v>66</v>
      </c>
      <c r="M158">
        <v>6</v>
      </c>
      <c r="N158" t="s">
        <v>115</v>
      </c>
      <c r="O158">
        <v>2025</v>
      </c>
      <c r="P158">
        <v>4963</v>
      </c>
      <c r="Q158" t="s">
        <v>998</v>
      </c>
      <c r="R158" t="s">
        <v>999</v>
      </c>
      <c r="S158" t="str">
        <f>IF(COUNTIF(Tabela2[PROCESSO],Tabela1[[#This Row],[codProcesso]])&gt;0,"Está","Não está")</f>
        <v>Não está</v>
      </c>
      <c r="T158" t="s">
        <v>1000</v>
      </c>
      <c r="U158" t="s">
        <v>961</v>
      </c>
      <c r="V158" t="s">
        <v>560</v>
      </c>
      <c r="W158" t="s">
        <v>1001</v>
      </c>
      <c r="X158">
        <v>1</v>
      </c>
      <c r="Y158" t="s">
        <v>98</v>
      </c>
      <c r="Z158" s="5">
        <v>22700</v>
      </c>
      <c r="AA158" s="5">
        <v>0</v>
      </c>
      <c r="AB158" s="5">
        <v>0</v>
      </c>
      <c r="AC158" s="5">
        <v>0</v>
      </c>
      <c r="AD158" s="5">
        <v>22700</v>
      </c>
      <c r="AE158" s="5">
        <v>1891.666666666667</v>
      </c>
      <c r="AF158" s="5">
        <v>22700</v>
      </c>
      <c r="AG158">
        <v>22700</v>
      </c>
      <c r="AH158">
        <v>1891.666666666667</v>
      </c>
      <c r="AI158">
        <v>22700</v>
      </c>
      <c r="AJ158">
        <v>22700</v>
      </c>
      <c r="AK158">
        <v>0</v>
      </c>
      <c r="AL158">
        <v>22700</v>
      </c>
      <c r="AM158">
        <v>22700</v>
      </c>
      <c r="AN158">
        <v>22700</v>
      </c>
      <c r="AO158" t="s">
        <v>55</v>
      </c>
      <c r="AP158" t="s">
        <v>1002</v>
      </c>
      <c r="AQ158">
        <v>1</v>
      </c>
    </row>
    <row r="159" spans="1:43" x14ac:dyDescent="0.25">
      <c r="A159" t="s">
        <v>42</v>
      </c>
      <c r="B159" t="s">
        <v>43</v>
      </c>
      <c r="C159" t="s">
        <v>44</v>
      </c>
      <c r="D159" t="s">
        <v>45</v>
      </c>
      <c r="E159">
        <v>14</v>
      </c>
      <c r="F159">
        <v>422</v>
      </c>
      <c r="G159">
        <v>3013</v>
      </c>
      <c r="H159">
        <v>6178</v>
      </c>
      <c r="I159" t="s">
        <v>186</v>
      </c>
      <c r="J159" t="s">
        <v>1177</v>
      </c>
      <c r="K159" t="s">
        <v>491</v>
      </c>
      <c r="L159" t="s">
        <v>492</v>
      </c>
      <c r="M159">
        <v>12</v>
      </c>
      <c r="N159" t="s">
        <v>60</v>
      </c>
      <c r="O159">
        <v>2025</v>
      </c>
      <c r="P159">
        <v>9492</v>
      </c>
      <c r="R159" t="s">
        <v>1178</v>
      </c>
      <c r="S159" t="str">
        <f>IF(COUNTIF(Tabela2[PROCESSO],Tabela1[[#This Row],[codProcesso]])&gt;0,"Está","Não está")</f>
        <v>Não está</v>
      </c>
      <c r="T159" t="s">
        <v>1179</v>
      </c>
      <c r="X159">
        <v>12</v>
      </c>
      <c r="Y159" t="s">
        <v>54</v>
      </c>
      <c r="Z159" s="5">
        <v>22580</v>
      </c>
      <c r="AA159" s="5">
        <v>0</v>
      </c>
      <c r="AB159" s="5">
        <v>0</v>
      </c>
      <c r="AC159" s="5">
        <v>0</v>
      </c>
      <c r="AD159" s="5">
        <v>22580</v>
      </c>
      <c r="AE159" s="5">
        <v>1881.666666666667</v>
      </c>
      <c r="AF159" s="5">
        <v>22580</v>
      </c>
      <c r="AG159">
        <v>22580</v>
      </c>
      <c r="AH159">
        <v>1881.666666666667</v>
      </c>
      <c r="AI159">
        <v>22580</v>
      </c>
      <c r="AJ159">
        <v>22580</v>
      </c>
      <c r="AK159">
        <v>0</v>
      </c>
      <c r="AL159">
        <v>22580</v>
      </c>
      <c r="AM159">
        <v>0</v>
      </c>
      <c r="AN159">
        <v>0</v>
      </c>
      <c r="AO159" t="s">
        <v>55</v>
      </c>
      <c r="AP159" t="s">
        <v>1180</v>
      </c>
      <c r="AQ159">
        <v>1</v>
      </c>
    </row>
    <row r="160" spans="1:43" x14ac:dyDescent="0.25">
      <c r="A160" t="s">
        <v>42</v>
      </c>
      <c r="B160" t="s">
        <v>90</v>
      </c>
      <c r="C160" t="s">
        <v>91</v>
      </c>
      <c r="D160" t="s">
        <v>45</v>
      </c>
      <c r="E160">
        <v>14</v>
      </c>
      <c r="F160">
        <v>126</v>
      </c>
      <c r="G160">
        <v>3024</v>
      </c>
      <c r="H160">
        <v>2171</v>
      </c>
      <c r="I160" t="s">
        <v>82</v>
      </c>
      <c r="J160" t="s">
        <v>47</v>
      </c>
      <c r="K160" t="s">
        <v>65</v>
      </c>
      <c r="L160" t="s">
        <v>66</v>
      </c>
      <c r="M160">
        <v>12</v>
      </c>
      <c r="N160" t="s">
        <v>60</v>
      </c>
      <c r="O160">
        <v>2023</v>
      </c>
      <c r="P160">
        <v>26118</v>
      </c>
      <c r="Q160" t="s">
        <v>92</v>
      </c>
      <c r="R160" t="s">
        <v>93</v>
      </c>
      <c r="S160" t="str">
        <f>IF(COUNTIF(Tabela2[PROCESSO],Tabela1[[#This Row],[codProcesso]])&gt;0,"Está","Não está")</f>
        <v>Está</v>
      </c>
      <c r="T160" t="s">
        <v>94</v>
      </c>
      <c r="U160" t="s">
        <v>95</v>
      </c>
      <c r="V160" t="s">
        <v>96</v>
      </c>
      <c r="W160" t="s">
        <v>97</v>
      </c>
      <c r="X160">
        <v>12</v>
      </c>
      <c r="Y160" t="s">
        <v>98</v>
      </c>
      <c r="Z160" s="5">
        <v>21334.560000000001</v>
      </c>
      <c r="AA160" s="5">
        <v>0</v>
      </c>
      <c r="AB160" s="5">
        <v>0</v>
      </c>
      <c r="AC160" s="5">
        <v>0</v>
      </c>
      <c r="AD160" s="5">
        <v>21334.560000000001</v>
      </c>
      <c r="AE160" s="5">
        <v>1777.88</v>
      </c>
      <c r="AF160" s="5">
        <v>21334.560000000001</v>
      </c>
      <c r="AG160">
        <v>21334.560000000001</v>
      </c>
      <c r="AH160">
        <v>1777.88</v>
      </c>
      <c r="AI160">
        <v>21334.560000000001</v>
      </c>
      <c r="AJ160">
        <v>7289.31</v>
      </c>
      <c r="AK160">
        <v>5701.55</v>
      </c>
      <c r="AL160">
        <v>1587.76</v>
      </c>
      <c r="AM160">
        <v>1587.76</v>
      </c>
      <c r="AN160">
        <v>1587.76</v>
      </c>
      <c r="AO160" t="s">
        <v>55</v>
      </c>
      <c r="AP160" t="s">
        <v>99</v>
      </c>
      <c r="AQ160">
        <v>1</v>
      </c>
    </row>
    <row r="161" spans="1:43" x14ac:dyDescent="0.25">
      <c r="A161" t="s">
        <v>42</v>
      </c>
      <c r="B161" t="s">
        <v>43</v>
      </c>
      <c r="C161" t="s">
        <v>44</v>
      </c>
      <c r="D161" t="s">
        <v>45</v>
      </c>
      <c r="E161">
        <v>14</v>
      </c>
      <c r="F161">
        <v>243</v>
      </c>
      <c r="G161">
        <v>3013</v>
      </c>
      <c r="H161">
        <v>2157</v>
      </c>
      <c r="I161" t="s">
        <v>57</v>
      </c>
      <c r="J161" t="s">
        <v>439</v>
      </c>
      <c r="K161" t="s">
        <v>65</v>
      </c>
      <c r="L161" t="s">
        <v>66</v>
      </c>
      <c r="M161">
        <v>12</v>
      </c>
      <c r="N161" t="s">
        <v>60</v>
      </c>
      <c r="O161">
        <v>2024</v>
      </c>
      <c r="P161">
        <v>37882</v>
      </c>
      <c r="Q161" t="s">
        <v>1542</v>
      </c>
      <c r="R161" t="s">
        <v>1543</v>
      </c>
      <c r="S161" t="str">
        <f>IF(COUNTIF(Tabela2[PROCESSO],Tabela1[[#This Row],[codProcesso]])&gt;0,"Está","Não está")</f>
        <v>Não está</v>
      </c>
      <c r="T161" t="s">
        <v>1544</v>
      </c>
      <c r="U161" t="s">
        <v>1036</v>
      </c>
      <c r="V161" t="s">
        <v>1037</v>
      </c>
      <c r="W161" t="s">
        <v>1545</v>
      </c>
      <c r="X161">
        <v>7</v>
      </c>
      <c r="Y161" t="s">
        <v>73</v>
      </c>
      <c r="Z161" s="5">
        <v>21000</v>
      </c>
      <c r="AA161" s="5">
        <v>0</v>
      </c>
      <c r="AB161" s="5">
        <v>0</v>
      </c>
      <c r="AC161" s="5">
        <v>0</v>
      </c>
      <c r="AD161" s="5">
        <v>21000</v>
      </c>
      <c r="AE161" s="5">
        <v>1750</v>
      </c>
      <c r="AF161" s="5">
        <v>21000</v>
      </c>
      <c r="AG161">
        <v>21000</v>
      </c>
      <c r="AH161">
        <v>1750</v>
      </c>
      <c r="AI161">
        <v>21000</v>
      </c>
      <c r="AJ161">
        <v>42000</v>
      </c>
      <c r="AK161">
        <v>21000</v>
      </c>
      <c r="AL161">
        <v>21000</v>
      </c>
      <c r="AM161">
        <v>21000</v>
      </c>
      <c r="AN161">
        <v>21000</v>
      </c>
      <c r="AO161" t="s">
        <v>55</v>
      </c>
      <c r="AP161" t="s">
        <v>1546</v>
      </c>
      <c r="AQ161">
        <v>1</v>
      </c>
    </row>
    <row r="162" spans="1:43" x14ac:dyDescent="0.25">
      <c r="A162" t="s">
        <v>42</v>
      </c>
      <c r="B162" t="s">
        <v>43</v>
      </c>
      <c r="C162" t="s">
        <v>44</v>
      </c>
      <c r="D162" t="s">
        <v>45</v>
      </c>
      <c r="E162">
        <v>8</v>
      </c>
      <c r="F162">
        <v>605</v>
      </c>
      <c r="G162">
        <v>3016</v>
      </c>
      <c r="H162">
        <v>4470</v>
      </c>
      <c r="I162" t="s">
        <v>246</v>
      </c>
      <c r="J162" t="s">
        <v>517</v>
      </c>
      <c r="K162" t="s">
        <v>247</v>
      </c>
      <c r="L162" t="s">
        <v>248</v>
      </c>
      <c r="M162">
        <v>6</v>
      </c>
      <c r="N162" t="s">
        <v>115</v>
      </c>
      <c r="O162">
        <v>2025</v>
      </c>
      <c r="P162">
        <v>2987</v>
      </c>
      <c r="R162" t="s">
        <v>593</v>
      </c>
      <c r="S162" t="str">
        <f>IF(COUNTIF(Tabela2[PROCESSO],Tabela1[[#This Row],[codProcesso]])&gt;0,"Está","Não está")</f>
        <v>Não está</v>
      </c>
      <c r="T162" t="s">
        <v>594</v>
      </c>
      <c r="W162" t="s">
        <v>595</v>
      </c>
      <c r="X162">
        <v>12</v>
      </c>
      <c r="Y162" t="s">
        <v>54</v>
      </c>
      <c r="Z162" s="5">
        <v>20000</v>
      </c>
      <c r="AA162" s="5">
        <v>0</v>
      </c>
      <c r="AB162" s="5">
        <v>0</v>
      </c>
      <c r="AC162" s="5">
        <v>0</v>
      </c>
      <c r="AD162" s="5">
        <v>20000</v>
      </c>
      <c r="AE162" s="5">
        <v>1666.666666666667</v>
      </c>
      <c r="AF162" s="5">
        <v>20000</v>
      </c>
      <c r="AG162">
        <v>20000</v>
      </c>
      <c r="AH162">
        <v>1666.666666666667</v>
      </c>
      <c r="AI162">
        <v>20000</v>
      </c>
      <c r="AJ162">
        <v>20000</v>
      </c>
      <c r="AK162">
        <v>0</v>
      </c>
      <c r="AL162">
        <v>20000</v>
      </c>
      <c r="AM162">
        <v>20000</v>
      </c>
      <c r="AN162">
        <v>20000</v>
      </c>
      <c r="AO162" t="s">
        <v>55</v>
      </c>
      <c r="AP162" t="s">
        <v>596</v>
      </c>
      <c r="AQ162">
        <v>1</v>
      </c>
    </row>
    <row r="163" spans="1:43" x14ac:dyDescent="0.25">
      <c r="A163" t="s">
        <v>42</v>
      </c>
      <c r="B163" t="s">
        <v>43</v>
      </c>
      <c r="C163" t="s">
        <v>44</v>
      </c>
      <c r="D163" t="s">
        <v>45</v>
      </c>
      <c r="E163">
        <v>14</v>
      </c>
      <c r="F163">
        <v>422</v>
      </c>
      <c r="G163">
        <v>3013</v>
      </c>
      <c r="H163">
        <v>6178</v>
      </c>
      <c r="I163" t="s">
        <v>186</v>
      </c>
      <c r="J163" t="s">
        <v>749</v>
      </c>
      <c r="K163" t="s">
        <v>247</v>
      </c>
      <c r="L163" t="s">
        <v>248</v>
      </c>
      <c r="M163">
        <v>6</v>
      </c>
      <c r="N163" t="s">
        <v>115</v>
      </c>
      <c r="O163">
        <v>2025</v>
      </c>
      <c r="P163">
        <v>3637</v>
      </c>
      <c r="R163" t="s">
        <v>775</v>
      </c>
      <c r="S163" t="str">
        <f>IF(COUNTIF(Tabela2[PROCESSO],Tabela1[[#This Row],[codProcesso]])&gt;0,"Está","Não está")</f>
        <v>Não está</v>
      </c>
      <c r="T163" t="s">
        <v>776</v>
      </c>
      <c r="W163" t="s">
        <v>777</v>
      </c>
      <c r="X163">
        <v>12</v>
      </c>
      <c r="Y163" t="s">
        <v>54</v>
      </c>
      <c r="Z163" s="5">
        <v>20000</v>
      </c>
      <c r="AA163" s="5">
        <v>0</v>
      </c>
      <c r="AB163" s="5">
        <v>0</v>
      </c>
      <c r="AC163" s="5">
        <v>0</v>
      </c>
      <c r="AD163" s="5">
        <v>20000</v>
      </c>
      <c r="AE163" s="5">
        <v>1666.666666666667</v>
      </c>
      <c r="AF163" s="5">
        <v>20000</v>
      </c>
      <c r="AG163">
        <v>20000</v>
      </c>
      <c r="AH163">
        <v>1666.666666666667</v>
      </c>
      <c r="AI163">
        <v>20000</v>
      </c>
      <c r="AJ163">
        <v>20000</v>
      </c>
      <c r="AK163">
        <v>0</v>
      </c>
      <c r="AL163">
        <v>20000</v>
      </c>
      <c r="AM163">
        <v>20000</v>
      </c>
      <c r="AN163">
        <v>20000</v>
      </c>
      <c r="AO163" t="s">
        <v>55</v>
      </c>
      <c r="AP163" t="s">
        <v>778</v>
      </c>
      <c r="AQ163">
        <v>1</v>
      </c>
    </row>
    <row r="164" spans="1:43" x14ac:dyDescent="0.25">
      <c r="A164" t="s">
        <v>42</v>
      </c>
      <c r="B164" t="s">
        <v>1322</v>
      </c>
      <c r="C164" t="s">
        <v>1323</v>
      </c>
      <c r="D164" t="s">
        <v>45</v>
      </c>
      <c r="E164">
        <v>14</v>
      </c>
      <c r="F164">
        <v>122</v>
      </c>
      <c r="G164">
        <v>3024</v>
      </c>
      <c r="H164">
        <v>2100</v>
      </c>
      <c r="I164" t="s">
        <v>57</v>
      </c>
      <c r="J164" t="s">
        <v>1240</v>
      </c>
      <c r="K164" t="s">
        <v>65</v>
      </c>
      <c r="L164" t="s">
        <v>66</v>
      </c>
      <c r="M164">
        <v>7</v>
      </c>
      <c r="N164" t="s">
        <v>391</v>
      </c>
      <c r="O164">
        <v>2025</v>
      </c>
      <c r="P164">
        <v>11535</v>
      </c>
      <c r="Q164" t="s">
        <v>1324</v>
      </c>
      <c r="R164" t="s">
        <v>1325</v>
      </c>
      <c r="S164" t="str">
        <f>IF(COUNTIF(Tabela2[PROCESSO],Tabela1[[#This Row],[codProcesso]])&gt;0,"Está","Não está")</f>
        <v>Não está</v>
      </c>
      <c r="T164" t="s">
        <v>1326</v>
      </c>
      <c r="U164" t="s">
        <v>1236</v>
      </c>
      <c r="V164" t="s">
        <v>1327</v>
      </c>
      <c r="W164" t="s">
        <v>1237</v>
      </c>
      <c r="X164">
        <v>0</v>
      </c>
      <c r="Y164" t="s">
        <v>98</v>
      </c>
      <c r="Z164" s="5">
        <v>20000</v>
      </c>
      <c r="AA164" s="5">
        <v>0</v>
      </c>
      <c r="AB164" s="5">
        <v>0</v>
      </c>
      <c r="AC164" s="5">
        <v>0</v>
      </c>
      <c r="AD164" s="5">
        <v>20000</v>
      </c>
      <c r="AE164" s="5">
        <v>1666.666666666667</v>
      </c>
      <c r="AF164" s="5">
        <v>20000</v>
      </c>
      <c r="AG164">
        <v>20000</v>
      </c>
      <c r="AH164">
        <v>1666.666666666667</v>
      </c>
      <c r="AI164">
        <v>20000</v>
      </c>
      <c r="AJ164">
        <v>20000</v>
      </c>
      <c r="AK164">
        <v>0</v>
      </c>
      <c r="AL164">
        <v>20000</v>
      </c>
      <c r="AM164">
        <v>20000</v>
      </c>
      <c r="AN164">
        <v>20000</v>
      </c>
      <c r="AO164" t="s">
        <v>55</v>
      </c>
      <c r="AP164" t="s">
        <v>1328</v>
      </c>
      <c r="AQ164">
        <v>1</v>
      </c>
    </row>
    <row r="165" spans="1:43" x14ac:dyDescent="0.25">
      <c r="A165" t="s">
        <v>42</v>
      </c>
      <c r="B165" t="s">
        <v>43</v>
      </c>
      <c r="C165" t="s">
        <v>44</v>
      </c>
      <c r="D165" t="s">
        <v>45</v>
      </c>
      <c r="E165">
        <v>14</v>
      </c>
      <c r="F165">
        <v>122</v>
      </c>
      <c r="G165">
        <v>3024</v>
      </c>
      <c r="H165">
        <v>2100</v>
      </c>
      <c r="I165" t="s">
        <v>57</v>
      </c>
      <c r="J165" t="s">
        <v>483</v>
      </c>
      <c r="K165" t="s">
        <v>65</v>
      </c>
      <c r="L165" t="s">
        <v>66</v>
      </c>
      <c r="M165">
        <v>7</v>
      </c>
      <c r="N165" t="s">
        <v>391</v>
      </c>
      <c r="O165">
        <v>2025</v>
      </c>
      <c r="P165">
        <v>13475</v>
      </c>
      <c r="Q165" t="s">
        <v>1447</v>
      </c>
      <c r="R165" t="s">
        <v>1448</v>
      </c>
      <c r="S165" t="str">
        <f>IF(COUNTIF(Tabela2[PROCESSO],Tabela1[[#This Row],[codProcesso]])&gt;0,"Está","Não está")</f>
        <v>Não está</v>
      </c>
      <c r="T165" t="s">
        <v>1449</v>
      </c>
      <c r="U165" t="s">
        <v>1281</v>
      </c>
      <c r="V165" t="s">
        <v>1450</v>
      </c>
      <c r="W165" t="s">
        <v>1451</v>
      </c>
      <c r="X165">
        <v>0</v>
      </c>
      <c r="Y165" t="s">
        <v>98</v>
      </c>
      <c r="Z165" s="5">
        <v>19732.5</v>
      </c>
      <c r="AA165" s="5">
        <v>0</v>
      </c>
      <c r="AB165" s="5">
        <v>0</v>
      </c>
      <c r="AC165" s="5">
        <v>0</v>
      </c>
      <c r="AD165" s="5">
        <v>19732.5</v>
      </c>
      <c r="AE165" s="5">
        <v>1644.375</v>
      </c>
      <c r="AF165" s="5">
        <v>19732.5</v>
      </c>
      <c r="AG165">
        <v>19732.5</v>
      </c>
      <c r="AH165">
        <v>1644.375</v>
      </c>
      <c r="AI165">
        <v>19732.5</v>
      </c>
      <c r="AJ165">
        <v>39465</v>
      </c>
      <c r="AK165">
        <v>19732.5</v>
      </c>
      <c r="AL165">
        <v>19732.5</v>
      </c>
      <c r="AM165">
        <v>19732.5</v>
      </c>
      <c r="AN165">
        <v>0</v>
      </c>
      <c r="AO165" t="s">
        <v>55</v>
      </c>
      <c r="AP165" t="s">
        <v>1452</v>
      </c>
      <c r="AQ165">
        <v>1</v>
      </c>
    </row>
    <row r="166" spans="1:43" x14ac:dyDescent="0.25">
      <c r="A166" t="s">
        <v>42</v>
      </c>
      <c r="B166" t="s">
        <v>43</v>
      </c>
      <c r="C166" t="s">
        <v>44</v>
      </c>
      <c r="D166" t="s">
        <v>45</v>
      </c>
      <c r="E166">
        <v>14</v>
      </c>
      <c r="F166">
        <v>422</v>
      </c>
      <c r="G166">
        <v>3013</v>
      </c>
      <c r="H166">
        <v>6178</v>
      </c>
      <c r="I166" t="s">
        <v>186</v>
      </c>
      <c r="J166" t="s">
        <v>1639</v>
      </c>
      <c r="K166" t="s">
        <v>491</v>
      </c>
      <c r="L166" t="s">
        <v>492</v>
      </c>
      <c r="M166">
        <v>12</v>
      </c>
      <c r="N166" t="s">
        <v>60</v>
      </c>
      <c r="O166">
        <v>2025</v>
      </c>
      <c r="P166">
        <v>16705</v>
      </c>
      <c r="R166" t="s">
        <v>1640</v>
      </c>
      <c r="S166" t="str">
        <f>IF(COUNTIF(Tabela2[PROCESSO],Tabela1[[#This Row],[codProcesso]])&gt;0,"Está","Não está")</f>
        <v>Não está</v>
      </c>
      <c r="T166" t="s">
        <v>1641</v>
      </c>
      <c r="X166">
        <v>12</v>
      </c>
      <c r="Y166" t="s">
        <v>54</v>
      </c>
      <c r="Z166" s="5">
        <v>19200</v>
      </c>
      <c r="AA166" s="5">
        <v>0</v>
      </c>
      <c r="AB166" s="5">
        <v>0</v>
      </c>
      <c r="AC166" s="5">
        <v>0</v>
      </c>
      <c r="AD166" s="5">
        <v>19200</v>
      </c>
      <c r="AE166" s="5">
        <v>1600</v>
      </c>
      <c r="AF166" s="5">
        <v>19200</v>
      </c>
      <c r="AG166">
        <v>19200</v>
      </c>
      <c r="AH166">
        <v>1600</v>
      </c>
      <c r="AI166">
        <v>19200</v>
      </c>
      <c r="AJ166">
        <v>19200</v>
      </c>
      <c r="AK166">
        <v>0</v>
      </c>
      <c r="AL166">
        <v>19200</v>
      </c>
      <c r="AM166">
        <v>0</v>
      </c>
      <c r="AN166">
        <v>0</v>
      </c>
      <c r="AO166" t="s">
        <v>55</v>
      </c>
      <c r="AP166" t="s">
        <v>1642</v>
      </c>
      <c r="AQ166">
        <v>1</v>
      </c>
    </row>
    <row r="167" spans="1:43" x14ac:dyDescent="0.25">
      <c r="A167" t="s">
        <v>42</v>
      </c>
      <c r="B167" t="s">
        <v>43</v>
      </c>
      <c r="C167" t="s">
        <v>44</v>
      </c>
      <c r="D167" t="s">
        <v>45</v>
      </c>
      <c r="E167">
        <v>14</v>
      </c>
      <c r="F167">
        <v>422</v>
      </c>
      <c r="G167">
        <v>3013</v>
      </c>
      <c r="H167">
        <v>6178</v>
      </c>
      <c r="I167" t="s">
        <v>57</v>
      </c>
      <c r="J167" t="s">
        <v>47</v>
      </c>
      <c r="K167" t="s">
        <v>65</v>
      </c>
      <c r="L167" t="s">
        <v>66</v>
      </c>
      <c r="M167">
        <v>12</v>
      </c>
      <c r="N167" t="s">
        <v>60</v>
      </c>
      <c r="O167">
        <v>2024</v>
      </c>
      <c r="P167">
        <v>680</v>
      </c>
      <c r="Q167" t="s">
        <v>75</v>
      </c>
      <c r="R167" t="s">
        <v>76</v>
      </c>
      <c r="S167" t="str">
        <f>IF(COUNTIF(Tabela2[PROCESSO],Tabela1[[#This Row],[codProcesso]])&gt;0,"Está","Não está")</f>
        <v>Está</v>
      </c>
      <c r="T167" t="s">
        <v>77</v>
      </c>
      <c r="U167" t="s">
        <v>78</v>
      </c>
      <c r="V167" t="s">
        <v>79</v>
      </c>
      <c r="W167" t="s">
        <v>80</v>
      </c>
      <c r="X167">
        <v>25</v>
      </c>
      <c r="Y167" t="s">
        <v>73</v>
      </c>
      <c r="Z167" s="5">
        <v>18000</v>
      </c>
      <c r="AA167" s="5">
        <v>843.24</v>
      </c>
      <c r="AB167" s="5">
        <v>26035.439999999999</v>
      </c>
      <c r="AC167" s="5">
        <v>0</v>
      </c>
      <c r="AD167" s="5">
        <v>44878.68</v>
      </c>
      <c r="AE167" s="5">
        <v>1795.1472000000001</v>
      </c>
      <c r="AF167" s="5">
        <v>21541.7664</v>
      </c>
      <c r="AG167">
        <v>31415.076000000001</v>
      </c>
      <c r="AH167">
        <v>1256.60304</v>
      </c>
      <c r="AI167">
        <v>15079.23648</v>
      </c>
      <c r="AJ167">
        <v>44013.91</v>
      </c>
      <c r="AK167">
        <v>1700</v>
      </c>
      <c r="AL167">
        <v>42313.91</v>
      </c>
      <c r="AM167">
        <v>31322.02</v>
      </c>
      <c r="AN167">
        <v>31322.02</v>
      </c>
      <c r="AO167" t="s">
        <v>55</v>
      </c>
      <c r="AP167" t="s">
        <v>81</v>
      </c>
      <c r="AQ167">
        <v>0.7</v>
      </c>
    </row>
    <row r="168" spans="1:43" x14ac:dyDescent="0.25">
      <c r="A168" t="s">
        <v>42</v>
      </c>
      <c r="B168" t="s">
        <v>43</v>
      </c>
      <c r="C168" t="s">
        <v>44</v>
      </c>
      <c r="D168" t="s">
        <v>45</v>
      </c>
      <c r="E168">
        <v>14</v>
      </c>
      <c r="F168">
        <v>122</v>
      </c>
      <c r="G168">
        <v>3024</v>
      </c>
      <c r="H168">
        <v>2100</v>
      </c>
      <c r="I168" t="s">
        <v>186</v>
      </c>
      <c r="J168" t="s">
        <v>517</v>
      </c>
      <c r="K168" t="s">
        <v>491</v>
      </c>
      <c r="L168" t="s">
        <v>492</v>
      </c>
      <c r="M168">
        <v>12</v>
      </c>
      <c r="N168" t="s">
        <v>60</v>
      </c>
      <c r="O168">
        <v>2025</v>
      </c>
      <c r="P168">
        <v>2740</v>
      </c>
      <c r="Q168" t="s">
        <v>525</v>
      </c>
      <c r="R168" t="s">
        <v>526</v>
      </c>
      <c r="S168" t="str">
        <f>IF(COUNTIF(Tabela2[PROCESSO],Tabela1[[#This Row],[codProcesso]])&gt;0,"Está","Não está")</f>
        <v>Não está</v>
      </c>
      <c r="T168" t="s">
        <v>527</v>
      </c>
      <c r="U168" t="s">
        <v>442</v>
      </c>
      <c r="V168" t="s">
        <v>497</v>
      </c>
      <c r="W168" t="s">
        <v>528</v>
      </c>
      <c r="X168">
        <v>1</v>
      </c>
      <c r="Y168" t="s">
        <v>98</v>
      </c>
      <c r="Z168" s="5">
        <v>17800</v>
      </c>
      <c r="AA168" s="5">
        <v>0</v>
      </c>
      <c r="AB168" s="5">
        <v>0</v>
      </c>
      <c r="AC168" s="5">
        <v>0</v>
      </c>
      <c r="AD168" s="5">
        <v>17800</v>
      </c>
      <c r="AE168" s="5">
        <v>1483.333333333333</v>
      </c>
      <c r="AF168" s="5">
        <v>17800</v>
      </c>
      <c r="AG168">
        <v>10858</v>
      </c>
      <c r="AH168">
        <v>904.83333333333326</v>
      </c>
      <c r="AI168">
        <v>10858</v>
      </c>
      <c r="AJ168">
        <v>17800</v>
      </c>
      <c r="AK168">
        <v>0</v>
      </c>
      <c r="AL168">
        <v>17800</v>
      </c>
      <c r="AM168">
        <v>17800</v>
      </c>
      <c r="AN168">
        <v>17800</v>
      </c>
      <c r="AO168" t="s">
        <v>55</v>
      </c>
      <c r="AP168" t="s">
        <v>529</v>
      </c>
      <c r="AQ168">
        <v>0.61</v>
      </c>
    </row>
    <row r="169" spans="1:43" x14ac:dyDescent="0.25">
      <c r="A169" t="s">
        <v>42</v>
      </c>
      <c r="B169" t="s">
        <v>43</v>
      </c>
      <c r="C169" t="s">
        <v>44</v>
      </c>
      <c r="D169" t="s">
        <v>45</v>
      </c>
      <c r="E169">
        <v>14</v>
      </c>
      <c r="F169">
        <v>122</v>
      </c>
      <c r="G169">
        <v>3024</v>
      </c>
      <c r="H169">
        <v>2100</v>
      </c>
      <c r="I169" t="s">
        <v>186</v>
      </c>
      <c r="J169" t="s">
        <v>215</v>
      </c>
      <c r="K169" t="s">
        <v>247</v>
      </c>
      <c r="L169" t="s">
        <v>248</v>
      </c>
      <c r="M169">
        <v>6</v>
      </c>
      <c r="N169" t="s">
        <v>115</v>
      </c>
      <c r="O169">
        <v>2025</v>
      </c>
      <c r="P169">
        <v>5035</v>
      </c>
      <c r="R169" t="s">
        <v>1029</v>
      </c>
      <c r="S169" t="str">
        <f>IF(COUNTIF(Tabela2[PROCESSO],Tabela1[[#This Row],[codProcesso]])&gt;0,"Está","Não está")</f>
        <v>Não está</v>
      </c>
      <c r="T169" t="s">
        <v>1030</v>
      </c>
      <c r="W169" t="s">
        <v>1031</v>
      </c>
      <c r="X169">
        <v>12</v>
      </c>
      <c r="Y169" t="s">
        <v>54</v>
      </c>
      <c r="Z169" s="5">
        <v>17499</v>
      </c>
      <c r="AA169" s="5">
        <v>0</v>
      </c>
      <c r="AB169" s="5">
        <v>0</v>
      </c>
      <c r="AC169" s="5">
        <v>0</v>
      </c>
      <c r="AD169" s="5">
        <v>17499</v>
      </c>
      <c r="AE169" s="5">
        <v>1458.25</v>
      </c>
      <c r="AF169" s="5">
        <v>17499</v>
      </c>
      <c r="AG169">
        <v>17499</v>
      </c>
      <c r="AH169">
        <v>1458.25</v>
      </c>
      <c r="AI169">
        <v>17499</v>
      </c>
      <c r="AJ169">
        <v>17499</v>
      </c>
      <c r="AK169">
        <v>0</v>
      </c>
      <c r="AL169">
        <v>17499</v>
      </c>
      <c r="AM169">
        <v>17499</v>
      </c>
      <c r="AN169">
        <v>17499</v>
      </c>
      <c r="AO169" t="s">
        <v>55</v>
      </c>
      <c r="AP169" t="s">
        <v>1032</v>
      </c>
      <c r="AQ169">
        <v>1</v>
      </c>
    </row>
    <row r="170" spans="1:43" x14ac:dyDescent="0.25">
      <c r="A170" t="s">
        <v>42</v>
      </c>
      <c r="B170" t="s">
        <v>43</v>
      </c>
      <c r="C170" t="s">
        <v>44</v>
      </c>
      <c r="D170" t="s">
        <v>45</v>
      </c>
      <c r="E170">
        <v>14</v>
      </c>
      <c r="F170">
        <v>122</v>
      </c>
      <c r="G170">
        <v>3024</v>
      </c>
      <c r="H170">
        <v>2100</v>
      </c>
      <c r="I170" t="s">
        <v>57</v>
      </c>
      <c r="J170" t="s">
        <v>1841</v>
      </c>
      <c r="K170" t="s">
        <v>65</v>
      </c>
      <c r="L170" t="s">
        <v>66</v>
      </c>
      <c r="M170">
        <v>6</v>
      </c>
      <c r="N170" t="s">
        <v>115</v>
      </c>
      <c r="O170">
        <v>2025</v>
      </c>
      <c r="P170">
        <v>18222</v>
      </c>
      <c r="R170" t="s">
        <v>1845</v>
      </c>
      <c r="S170" t="str">
        <f>IF(COUNTIF(Tabela2[PROCESSO],Tabela1[[#This Row],[codProcesso]])&gt;0,"Está","Não está")</f>
        <v>Não está</v>
      </c>
      <c r="T170" t="s">
        <v>1846</v>
      </c>
      <c r="X170">
        <v>12</v>
      </c>
      <c r="Y170" t="s">
        <v>54</v>
      </c>
      <c r="Z170" s="5">
        <v>16900</v>
      </c>
      <c r="AA170" s="5">
        <v>0</v>
      </c>
      <c r="AB170" s="5">
        <v>0</v>
      </c>
      <c r="AC170" s="5">
        <v>0</v>
      </c>
      <c r="AD170" s="5">
        <v>16900</v>
      </c>
      <c r="AE170" s="5">
        <v>1408.333333333333</v>
      </c>
      <c r="AF170" s="5">
        <v>16900</v>
      </c>
      <c r="AG170">
        <v>16900</v>
      </c>
      <c r="AH170">
        <v>1408.333333333333</v>
      </c>
      <c r="AI170">
        <v>16900</v>
      </c>
      <c r="AJ170">
        <v>16900</v>
      </c>
      <c r="AK170">
        <v>0</v>
      </c>
      <c r="AL170">
        <v>16900</v>
      </c>
      <c r="AM170">
        <v>0</v>
      </c>
      <c r="AN170">
        <v>0</v>
      </c>
      <c r="AO170" t="s">
        <v>55</v>
      </c>
      <c r="AP170" t="s">
        <v>1847</v>
      </c>
      <c r="AQ170">
        <v>1</v>
      </c>
    </row>
    <row r="171" spans="1:43" x14ac:dyDescent="0.25">
      <c r="A171" t="s">
        <v>42</v>
      </c>
      <c r="B171" t="s">
        <v>43</v>
      </c>
      <c r="C171" t="s">
        <v>44</v>
      </c>
      <c r="D171" t="s">
        <v>45</v>
      </c>
      <c r="E171">
        <v>14</v>
      </c>
      <c r="F171">
        <v>422</v>
      </c>
      <c r="G171">
        <v>3013</v>
      </c>
      <c r="H171">
        <v>2053</v>
      </c>
      <c r="I171" t="s">
        <v>186</v>
      </c>
      <c r="J171" t="s">
        <v>483</v>
      </c>
      <c r="K171" t="s">
        <v>491</v>
      </c>
      <c r="L171" t="s">
        <v>492</v>
      </c>
      <c r="M171">
        <v>12</v>
      </c>
      <c r="N171" t="s">
        <v>60</v>
      </c>
      <c r="O171">
        <v>2025</v>
      </c>
      <c r="P171">
        <v>13502</v>
      </c>
      <c r="R171" t="s">
        <v>1465</v>
      </c>
      <c r="S171" t="str">
        <f>IF(COUNTIF(Tabela2[PROCESSO],Tabela1[[#This Row],[codProcesso]])&gt;0,"Está","Não está")</f>
        <v>Está</v>
      </c>
      <c r="T171" t="s">
        <v>1466</v>
      </c>
      <c r="X171">
        <v>12</v>
      </c>
      <c r="Y171" t="s">
        <v>54</v>
      </c>
      <c r="Z171" s="5">
        <v>16727</v>
      </c>
      <c r="AA171" s="5">
        <v>0</v>
      </c>
      <c r="AB171" s="5">
        <v>0</v>
      </c>
      <c r="AC171" s="5">
        <v>0</v>
      </c>
      <c r="AD171" s="5">
        <v>16727</v>
      </c>
      <c r="AE171" s="5">
        <v>1393.916666666667</v>
      </c>
      <c r="AF171" s="5">
        <v>16727</v>
      </c>
      <c r="AG171">
        <v>16727</v>
      </c>
      <c r="AH171">
        <v>1393.916666666667</v>
      </c>
      <c r="AI171">
        <v>16727</v>
      </c>
      <c r="AJ171">
        <v>16727</v>
      </c>
      <c r="AK171">
        <v>0</v>
      </c>
      <c r="AL171">
        <v>16727</v>
      </c>
      <c r="AM171">
        <v>0</v>
      </c>
      <c r="AN171">
        <v>0</v>
      </c>
      <c r="AO171" t="s">
        <v>55</v>
      </c>
      <c r="AP171" t="s">
        <v>1467</v>
      </c>
      <c r="AQ171">
        <v>1</v>
      </c>
    </row>
    <row r="172" spans="1:43" x14ac:dyDescent="0.25">
      <c r="A172" t="s">
        <v>42</v>
      </c>
      <c r="B172" t="s">
        <v>43</v>
      </c>
      <c r="C172" t="s">
        <v>44</v>
      </c>
      <c r="D172" t="s">
        <v>45</v>
      </c>
      <c r="E172">
        <v>14</v>
      </c>
      <c r="F172">
        <v>422</v>
      </c>
      <c r="G172">
        <v>3013</v>
      </c>
      <c r="H172">
        <v>6178</v>
      </c>
      <c r="I172" t="s">
        <v>57</v>
      </c>
      <c r="J172" t="s">
        <v>361</v>
      </c>
      <c r="K172" t="s">
        <v>65</v>
      </c>
      <c r="L172" t="s">
        <v>66</v>
      </c>
      <c r="M172">
        <v>12</v>
      </c>
      <c r="N172" t="s">
        <v>60</v>
      </c>
      <c r="O172">
        <v>2025</v>
      </c>
      <c r="P172">
        <v>6135</v>
      </c>
      <c r="Q172" t="s">
        <v>1051</v>
      </c>
      <c r="R172" t="s">
        <v>1052</v>
      </c>
      <c r="S172" t="str">
        <f>IF(COUNTIF(Tabela2[PROCESSO],Tabela1[[#This Row],[codProcesso]])&gt;0,"Está","Não está")</f>
        <v>Não está</v>
      </c>
      <c r="T172" t="s">
        <v>1053</v>
      </c>
      <c r="U172" t="s">
        <v>1054</v>
      </c>
      <c r="V172" t="s">
        <v>1055</v>
      </c>
      <c r="W172" t="s">
        <v>1056</v>
      </c>
      <c r="X172">
        <v>1</v>
      </c>
      <c r="Y172" t="s">
        <v>98</v>
      </c>
      <c r="Z172" s="5">
        <v>16490</v>
      </c>
      <c r="AA172" s="5">
        <v>0</v>
      </c>
      <c r="AB172" s="5">
        <v>0</v>
      </c>
      <c r="AC172" s="5">
        <v>0</v>
      </c>
      <c r="AD172" s="5">
        <v>16490</v>
      </c>
      <c r="AE172" s="5">
        <v>1374.166666666667</v>
      </c>
      <c r="AF172" s="5">
        <v>16490</v>
      </c>
      <c r="AG172">
        <v>16490</v>
      </c>
      <c r="AH172">
        <v>1374.166666666667</v>
      </c>
      <c r="AI172">
        <v>16490</v>
      </c>
      <c r="AJ172">
        <v>16490</v>
      </c>
      <c r="AK172">
        <v>0</v>
      </c>
      <c r="AL172">
        <v>16490</v>
      </c>
      <c r="AM172">
        <v>16490</v>
      </c>
      <c r="AN172">
        <v>16490</v>
      </c>
      <c r="AO172" t="s">
        <v>55</v>
      </c>
      <c r="AP172" t="s">
        <v>1057</v>
      </c>
      <c r="AQ172">
        <v>1</v>
      </c>
    </row>
    <row r="173" spans="1:43" x14ac:dyDescent="0.25">
      <c r="A173" t="s">
        <v>42</v>
      </c>
      <c r="B173" t="s">
        <v>43</v>
      </c>
      <c r="C173" t="s">
        <v>44</v>
      </c>
      <c r="D173" t="s">
        <v>45</v>
      </c>
      <c r="E173">
        <v>14</v>
      </c>
      <c r="F173">
        <v>422</v>
      </c>
      <c r="G173">
        <v>3013</v>
      </c>
      <c r="H173">
        <v>2053</v>
      </c>
      <c r="I173" t="s">
        <v>57</v>
      </c>
      <c r="J173" t="s">
        <v>749</v>
      </c>
      <c r="K173" t="s">
        <v>65</v>
      </c>
      <c r="L173" t="s">
        <v>66</v>
      </c>
      <c r="M173">
        <v>12</v>
      </c>
      <c r="N173" t="s">
        <v>60</v>
      </c>
      <c r="O173">
        <v>2020</v>
      </c>
      <c r="P173">
        <v>15344</v>
      </c>
      <c r="Q173" t="s">
        <v>750</v>
      </c>
      <c r="R173" t="s">
        <v>751</v>
      </c>
      <c r="S173" t="str">
        <f>IF(COUNTIF(Tabela2[PROCESSO],Tabela1[[#This Row],[codProcesso]])&gt;0,"Está","Não está")</f>
        <v>Está</v>
      </c>
      <c r="T173" t="s">
        <v>752</v>
      </c>
      <c r="U173" t="s">
        <v>753</v>
      </c>
      <c r="V173" t="s">
        <v>754</v>
      </c>
      <c r="W173" t="s">
        <v>755</v>
      </c>
      <c r="X173">
        <v>60</v>
      </c>
      <c r="Y173" t="s">
        <v>73</v>
      </c>
      <c r="Z173" s="5">
        <v>16032</v>
      </c>
      <c r="AA173" s="5">
        <v>0</v>
      </c>
      <c r="AB173" s="5">
        <v>75978.240000000005</v>
      </c>
      <c r="AC173" s="5">
        <v>0</v>
      </c>
      <c r="AD173" s="5">
        <v>92010.240000000005</v>
      </c>
      <c r="AE173" s="5">
        <v>1533.5039999999999</v>
      </c>
      <c r="AF173" s="5">
        <v>18402.047999999999</v>
      </c>
      <c r="AG173">
        <v>92010.240000000005</v>
      </c>
      <c r="AH173">
        <v>1533.5039999999999</v>
      </c>
      <c r="AI173">
        <v>18402.047999999999</v>
      </c>
      <c r="AJ173">
        <v>100814.72</v>
      </c>
      <c r="AK173">
        <v>87976.39</v>
      </c>
      <c r="AL173">
        <v>12838.33</v>
      </c>
      <c r="AM173">
        <v>10293.719999999999</v>
      </c>
      <c r="AN173">
        <v>10233.39</v>
      </c>
      <c r="AO173" t="s">
        <v>55</v>
      </c>
      <c r="AP173" t="s">
        <v>756</v>
      </c>
      <c r="AQ173">
        <v>1</v>
      </c>
    </row>
    <row r="174" spans="1:43" x14ac:dyDescent="0.25">
      <c r="A174" t="s">
        <v>42</v>
      </c>
      <c r="B174" t="s">
        <v>43</v>
      </c>
      <c r="C174" t="s">
        <v>44</v>
      </c>
      <c r="D174" t="s">
        <v>45</v>
      </c>
      <c r="E174">
        <v>14</v>
      </c>
      <c r="F174">
        <v>422</v>
      </c>
      <c r="G174">
        <v>3018</v>
      </c>
      <c r="H174">
        <v>4334</v>
      </c>
      <c r="I174" t="s">
        <v>57</v>
      </c>
      <c r="J174" t="s">
        <v>215</v>
      </c>
      <c r="K174" t="s">
        <v>1010</v>
      </c>
      <c r="L174" t="s">
        <v>1011</v>
      </c>
      <c r="M174">
        <v>12</v>
      </c>
      <c r="N174" t="s">
        <v>60</v>
      </c>
      <c r="O174">
        <v>2022</v>
      </c>
      <c r="P174">
        <v>32740</v>
      </c>
      <c r="Q174" t="s">
        <v>1012</v>
      </c>
      <c r="R174" t="s">
        <v>1013</v>
      </c>
      <c r="S174" t="str">
        <f>IF(COUNTIF(Tabela2[PROCESSO],Tabela1[[#This Row],[codProcesso]])&gt;0,"Está","Não está")</f>
        <v>Está</v>
      </c>
      <c r="T174" t="s">
        <v>1014</v>
      </c>
      <c r="U174" t="s">
        <v>1015</v>
      </c>
      <c r="V174" t="s">
        <v>1016</v>
      </c>
      <c r="W174" t="s">
        <v>1017</v>
      </c>
      <c r="X174">
        <v>36</v>
      </c>
      <c r="Y174" t="s">
        <v>73</v>
      </c>
      <c r="Z174" s="5">
        <v>15290</v>
      </c>
      <c r="AA174" s="5">
        <v>0</v>
      </c>
      <c r="AB174" s="5">
        <v>30580</v>
      </c>
      <c r="AC174" s="5">
        <v>0</v>
      </c>
      <c r="AD174" s="5">
        <v>45870</v>
      </c>
      <c r="AE174" s="5">
        <v>1274.166666666667</v>
      </c>
      <c r="AF174" s="5">
        <v>15290</v>
      </c>
      <c r="AG174">
        <v>45870</v>
      </c>
      <c r="AH174">
        <v>1274.166666666667</v>
      </c>
      <c r="AI174">
        <v>15290</v>
      </c>
      <c r="AJ174">
        <v>78670</v>
      </c>
      <c r="AK174">
        <v>53800</v>
      </c>
      <c r="AL174">
        <v>24870</v>
      </c>
      <c r="AM174">
        <v>13070</v>
      </c>
      <c r="AN174">
        <v>13070</v>
      </c>
      <c r="AO174" t="s">
        <v>55</v>
      </c>
      <c r="AP174" t="s">
        <v>1018</v>
      </c>
      <c r="AQ174">
        <v>1</v>
      </c>
    </row>
    <row r="175" spans="1:43" x14ac:dyDescent="0.25">
      <c r="A175" t="s">
        <v>42</v>
      </c>
      <c r="B175" t="s">
        <v>43</v>
      </c>
      <c r="C175" t="s">
        <v>44</v>
      </c>
      <c r="D175" t="s">
        <v>45</v>
      </c>
      <c r="E175">
        <v>8</v>
      </c>
      <c r="F175">
        <v>605</v>
      </c>
      <c r="G175">
        <v>3016</v>
      </c>
      <c r="H175">
        <v>4470</v>
      </c>
      <c r="I175" t="s">
        <v>186</v>
      </c>
      <c r="J175" t="s">
        <v>517</v>
      </c>
      <c r="K175" t="s">
        <v>247</v>
      </c>
      <c r="L175" t="s">
        <v>248</v>
      </c>
      <c r="M175">
        <v>6</v>
      </c>
      <c r="N175" t="s">
        <v>115</v>
      </c>
      <c r="O175">
        <v>2025</v>
      </c>
      <c r="P175">
        <v>2823</v>
      </c>
      <c r="R175" t="s">
        <v>563</v>
      </c>
      <c r="S175" t="str">
        <f>IF(COUNTIF(Tabela2[PROCESSO],Tabela1[[#This Row],[codProcesso]])&gt;0,"Está","Não está")</f>
        <v>Não está</v>
      </c>
      <c r="T175" t="s">
        <v>564</v>
      </c>
      <c r="W175" t="s">
        <v>565</v>
      </c>
      <c r="X175">
        <v>12</v>
      </c>
      <c r="Y175" t="s">
        <v>54</v>
      </c>
      <c r="Z175" s="5">
        <v>15000</v>
      </c>
      <c r="AA175" s="5">
        <v>0</v>
      </c>
      <c r="AB175" s="5">
        <v>0</v>
      </c>
      <c r="AC175" s="5">
        <v>0</v>
      </c>
      <c r="AD175" s="5">
        <v>15000</v>
      </c>
      <c r="AE175" s="5">
        <v>1250</v>
      </c>
      <c r="AF175" s="5">
        <v>15000</v>
      </c>
      <c r="AG175">
        <v>15000</v>
      </c>
      <c r="AH175">
        <v>1250</v>
      </c>
      <c r="AI175">
        <v>15000</v>
      </c>
      <c r="AJ175">
        <v>15000</v>
      </c>
      <c r="AK175">
        <v>0</v>
      </c>
      <c r="AL175">
        <v>15000</v>
      </c>
      <c r="AM175">
        <v>15000</v>
      </c>
      <c r="AN175">
        <v>15000</v>
      </c>
      <c r="AO175" t="s">
        <v>55</v>
      </c>
      <c r="AP175" t="s">
        <v>566</v>
      </c>
      <c r="AQ175">
        <v>1</v>
      </c>
    </row>
    <row r="176" spans="1:43" x14ac:dyDescent="0.25">
      <c r="A176" t="s">
        <v>42</v>
      </c>
      <c r="B176" t="s">
        <v>43</v>
      </c>
      <c r="C176" t="s">
        <v>44</v>
      </c>
      <c r="D176" t="s">
        <v>45</v>
      </c>
      <c r="E176">
        <v>14</v>
      </c>
      <c r="F176">
        <v>422</v>
      </c>
      <c r="G176">
        <v>3018</v>
      </c>
      <c r="H176">
        <v>4319</v>
      </c>
      <c r="I176" t="s">
        <v>1411</v>
      </c>
      <c r="J176" t="s">
        <v>483</v>
      </c>
      <c r="K176" t="s">
        <v>1153</v>
      </c>
      <c r="L176" t="s">
        <v>1154</v>
      </c>
      <c r="M176">
        <v>8</v>
      </c>
      <c r="N176" t="s">
        <v>50</v>
      </c>
      <c r="O176">
        <v>2025</v>
      </c>
      <c r="P176">
        <v>12899</v>
      </c>
      <c r="R176" t="s">
        <v>1412</v>
      </c>
      <c r="S176" t="str">
        <f>IF(COUNTIF(Tabela2[PROCESSO],Tabela1[[#This Row],[codProcesso]])&gt;0,"Está","Não está")</f>
        <v>Não está</v>
      </c>
      <c r="T176" t="s">
        <v>1413</v>
      </c>
      <c r="W176" t="s">
        <v>498</v>
      </c>
      <c r="X176">
        <v>12</v>
      </c>
      <c r="Y176" t="s">
        <v>54</v>
      </c>
      <c r="Z176" s="5">
        <v>15000</v>
      </c>
      <c r="AA176" s="5">
        <v>0</v>
      </c>
      <c r="AB176" s="5">
        <v>0</v>
      </c>
      <c r="AC176" s="5">
        <v>4680</v>
      </c>
      <c r="AD176" s="5">
        <v>10320</v>
      </c>
      <c r="AE176" s="5">
        <v>860</v>
      </c>
      <c r="AF176" s="5">
        <v>10320</v>
      </c>
      <c r="AG176">
        <v>10320</v>
      </c>
      <c r="AH176">
        <v>860</v>
      </c>
      <c r="AI176">
        <v>10320</v>
      </c>
      <c r="AJ176">
        <v>15000</v>
      </c>
      <c r="AK176">
        <v>4680</v>
      </c>
      <c r="AL176">
        <v>10320</v>
      </c>
      <c r="AM176">
        <v>10320</v>
      </c>
      <c r="AN176">
        <v>10320</v>
      </c>
      <c r="AO176" t="s">
        <v>55</v>
      </c>
      <c r="AP176" t="s">
        <v>1414</v>
      </c>
      <c r="AQ176">
        <v>1</v>
      </c>
    </row>
    <row r="177" spans="1:43" x14ac:dyDescent="0.25">
      <c r="A177" t="s">
        <v>42</v>
      </c>
      <c r="B177" t="s">
        <v>43</v>
      </c>
      <c r="C177" t="s">
        <v>44</v>
      </c>
      <c r="D177" t="s">
        <v>45</v>
      </c>
      <c r="E177">
        <v>14</v>
      </c>
      <c r="F177">
        <v>122</v>
      </c>
      <c r="G177">
        <v>3024</v>
      </c>
      <c r="H177">
        <v>2100</v>
      </c>
      <c r="I177" t="s">
        <v>186</v>
      </c>
      <c r="J177" t="s">
        <v>483</v>
      </c>
      <c r="K177" t="s">
        <v>247</v>
      </c>
      <c r="L177" t="s">
        <v>248</v>
      </c>
      <c r="M177">
        <v>6</v>
      </c>
      <c r="N177" t="s">
        <v>115</v>
      </c>
      <c r="O177">
        <v>2025</v>
      </c>
      <c r="P177">
        <v>3528</v>
      </c>
      <c r="R177" t="s">
        <v>737</v>
      </c>
      <c r="S177" t="str">
        <f>IF(COUNTIF(Tabela2[PROCESSO],Tabela1[[#This Row],[codProcesso]])&gt;0,"Está","Não está")</f>
        <v>Não está</v>
      </c>
      <c r="T177" t="s">
        <v>738</v>
      </c>
      <c r="W177" t="s">
        <v>739</v>
      </c>
      <c r="X177">
        <v>12</v>
      </c>
      <c r="Y177" t="s">
        <v>54</v>
      </c>
      <c r="Z177" s="5">
        <v>14877.9</v>
      </c>
      <c r="AA177" s="5">
        <v>0</v>
      </c>
      <c r="AB177" s="5">
        <v>0</v>
      </c>
      <c r="AC177" s="5">
        <v>0</v>
      </c>
      <c r="AD177" s="5">
        <v>14877.9</v>
      </c>
      <c r="AE177" s="5">
        <v>1239.825</v>
      </c>
      <c r="AF177" s="5">
        <v>14877.9</v>
      </c>
      <c r="AG177">
        <v>14877.9</v>
      </c>
      <c r="AH177">
        <v>1239.825</v>
      </c>
      <c r="AI177">
        <v>14877.9</v>
      </c>
      <c r="AJ177">
        <v>14877.9</v>
      </c>
      <c r="AK177">
        <v>0</v>
      </c>
      <c r="AL177">
        <v>14877.9</v>
      </c>
      <c r="AM177">
        <v>14877.9</v>
      </c>
      <c r="AN177">
        <v>14877.9</v>
      </c>
      <c r="AO177" t="s">
        <v>55</v>
      </c>
      <c r="AP177" t="s">
        <v>740</v>
      </c>
      <c r="AQ177">
        <v>1</v>
      </c>
    </row>
    <row r="178" spans="1:43" x14ac:dyDescent="0.25">
      <c r="A178" t="s">
        <v>42</v>
      </c>
      <c r="B178" t="s">
        <v>43</v>
      </c>
      <c r="C178" t="s">
        <v>44</v>
      </c>
      <c r="D178" t="s">
        <v>45</v>
      </c>
      <c r="E178">
        <v>14</v>
      </c>
      <c r="F178">
        <v>122</v>
      </c>
      <c r="G178">
        <v>3024</v>
      </c>
      <c r="H178">
        <v>2100</v>
      </c>
      <c r="I178" t="s">
        <v>186</v>
      </c>
      <c r="J178" t="s">
        <v>483</v>
      </c>
      <c r="K178" t="s">
        <v>247</v>
      </c>
      <c r="L178" t="s">
        <v>248</v>
      </c>
      <c r="M178">
        <v>6</v>
      </c>
      <c r="N178" t="s">
        <v>115</v>
      </c>
      <c r="O178">
        <v>2025</v>
      </c>
      <c r="P178">
        <v>3324</v>
      </c>
      <c r="R178" t="s">
        <v>686</v>
      </c>
      <c r="S178" t="str">
        <f>IF(COUNTIF(Tabela2[PROCESSO],Tabela1[[#This Row],[codProcesso]])&gt;0,"Está","Não está")</f>
        <v>Não está</v>
      </c>
      <c r="T178" t="s">
        <v>687</v>
      </c>
      <c r="W178" t="s">
        <v>688</v>
      </c>
      <c r="X178">
        <v>12</v>
      </c>
      <c r="Y178" t="s">
        <v>54</v>
      </c>
      <c r="Z178" s="5">
        <v>14563.8</v>
      </c>
      <c r="AA178" s="5">
        <v>0</v>
      </c>
      <c r="AB178" s="5">
        <v>0</v>
      </c>
      <c r="AC178" s="5">
        <v>0</v>
      </c>
      <c r="AD178" s="5">
        <v>14563.8</v>
      </c>
      <c r="AE178" s="5">
        <v>1213.6500000000001</v>
      </c>
      <c r="AF178" s="5">
        <v>14563.8</v>
      </c>
      <c r="AG178">
        <v>14563.8</v>
      </c>
      <c r="AH178">
        <v>1213.6500000000001</v>
      </c>
      <c r="AI178">
        <v>14563.8</v>
      </c>
      <c r="AJ178">
        <v>14563.8</v>
      </c>
      <c r="AK178">
        <v>0</v>
      </c>
      <c r="AL178">
        <v>14563.8</v>
      </c>
      <c r="AM178">
        <v>14563.8</v>
      </c>
      <c r="AN178">
        <v>14563.8</v>
      </c>
      <c r="AO178" t="s">
        <v>55</v>
      </c>
      <c r="AP178" t="s">
        <v>689</v>
      </c>
      <c r="AQ178">
        <v>1</v>
      </c>
    </row>
    <row r="179" spans="1:43" x14ac:dyDescent="0.25">
      <c r="A179" t="s">
        <v>42</v>
      </c>
      <c r="B179" t="s">
        <v>1322</v>
      </c>
      <c r="C179" t="s">
        <v>1323</v>
      </c>
      <c r="D179" t="s">
        <v>45</v>
      </c>
      <c r="E179">
        <v>14</v>
      </c>
      <c r="F179">
        <v>422</v>
      </c>
      <c r="G179">
        <v>3018</v>
      </c>
      <c r="H179">
        <v>4326</v>
      </c>
      <c r="I179" t="s">
        <v>57</v>
      </c>
      <c r="J179" t="s">
        <v>1600</v>
      </c>
      <c r="K179" t="s">
        <v>65</v>
      </c>
      <c r="L179" t="s">
        <v>66</v>
      </c>
      <c r="M179">
        <v>7</v>
      </c>
      <c r="N179" t="s">
        <v>391</v>
      </c>
      <c r="O179">
        <v>2025</v>
      </c>
      <c r="P179">
        <v>16682</v>
      </c>
      <c r="Q179" t="s">
        <v>1632</v>
      </c>
      <c r="R179" t="s">
        <v>1633</v>
      </c>
      <c r="S179" t="str">
        <f>IF(COUNTIF(Tabela2[PROCESSO],Tabela1[[#This Row],[codProcesso]])&gt;0,"Está","Não está")</f>
        <v>Não está</v>
      </c>
      <c r="T179" t="s">
        <v>1634</v>
      </c>
      <c r="U179" t="s">
        <v>1613</v>
      </c>
      <c r="V179" t="s">
        <v>1366</v>
      </c>
      <c r="W179" t="s">
        <v>1490</v>
      </c>
      <c r="X179">
        <v>0</v>
      </c>
      <c r="Y179" t="s">
        <v>98</v>
      </c>
      <c r="Z179" s="5">
        <v>14200</v>
      </c>
      <c r="AA179" s="5">
        <v>0</v>
      </c>
      <c r="AB179" s="5">
        <v>0</v>
      </c>
      <c r="AC179" s="5">
        <v>0</v>
      </c>
      <c r="AD179" s="5">
        <v>14200</v>
      </c>
      <c r="AE179" s="5">
        <v>1183.333333333333</v>
      </c>
      <c r="AF179" s="5">
        <v>14200</v>
      </c>
      <c r="AG179">
        <v>14200</v>
      </c>
      <c r="AH179">
        <v>1183.333333333333</v>
      </c>
      <c r="AI179">
        <v>14200</v>
      </c>
      <c r="AJ179">
        <v>14200</v>
      </c>
      <c r="AK179">
        <v>0</v>
      </c>
      <c r="AL179">
        <v>14200</v>
      </c>
      <c r="AM179">
        <v>14200</v>
      </c>
      <c r="AN179">
        <v>0</v>
      </c>
      <c r="AO179" t="s">
        <v>55</v>
      </c>
      <c r="AP179" t="s">
        <v>1635</v>
      </c>
      <c r="AQ179">
        <v>1</v>
      </c>
    </row>
    <row r="180" spans="1:43" x14ac:dyDescent="0.25">
      <c r="A180" t="s">
        <v>42</v>
      </c>
      <c r="B180" t="s">
        <v>1322</v>
      </c>
      <c r="C180" t="s">
        <v>1323</v>
      </c>
      <c r="D180" t="s">
        <v>45</v>
      </c>
      <c r="E180">
        <v>14</v>
      </c>
      <c r="F180">
        <v>422</v>
      </c>
      <c r="G180">
        <v>3018</v>
      </c>
      <c r="H180">
        <v>4326</v>
      </c>
      <c r="I180" t="s">
        <v>57</v>
      </c>
      <c r="J180" t="s">
        <v>1639</v>
      </c>
      <c r="K180" t="s">
        <v>65</v>
      </c>
      <c r="L180" t="s">
        <v>66</v>
      </c>
      <c r="M180">
        <v>7</v>
      </c>
      <c r="N180" t="s">
        <v>391</v>
      </c>
      <c r="O180">
        <v>2025</v>
      </c>
      <c r="P180">
        <v>16726</v>
      </c>
      <c r="Q180" t="s">
        <v>1646</v>
      </c>
      <c r="R180" t="s">
        <v>1647</v>
      </c>
      <c r="S180" t="str">
        <f>IF(COUNTIF(Tabela2[PROCESSO],Tabela1[[#This Row],[codProcesso]])&gt;0,"Está","Não está")</f>
        <v>Não está</v>
      </c>
      <c r="T180" t="s">
        <v>1648</v>
      </c>
      <c r="U180" t="s">
        <v>1613</v>
      </c>
      <c r="V180" t="s">
        <v>1366</v>
      </c>
      <c r="W180" t="s">
        <v>1490</v>
      </c>
      <c r="X180">
        <v>0</v>
      </c>
      <c r="Y180" t="s">
        <v>98</v>
      </c>
      <c r="Z180" s="5">
        <v>14200</v>
      </c>
      <c r="AA180" s="5">
        <v>0</v>
      </c>
      <c r="AB180" s="5">
        <v>0</v>
      </c>
      <c r="AC180" s="5">
        <v>0</v>
      </c>
      <c r="AD180" s="5">
        <v>14200</v>
      </c>
      <c r="AE180" s="5">
        <v>1183.333333333333</v>
      </c>
      <c r="AF180" s="5">
        <v>14200</v>
      </c>
      <c r="AG180">
        <v>14200</v>
      </c>
      <c r="AH180">
        <v>1183.333333333333</v>
      </c>
      <c r="AI180">
        <v>14200</v>
      </c>
      <c r="AJ180">
        <v>14200</v>
      </c>
      <c r="AK180">
        <v>0</v>
      </c>
      <c r="AL180">
        <v>14200</v>
      </c>
      <c r="AM180">
        <v>14200</v>
      </c>
      <c r="AN180">
        <v>0</v>
      </c>
      <c r="AO180" t="s">
        <v>55</v>
      </c>
      <c r="AP180" t="s">
        <v>1649</v>
      </c>
      <c r="AQ180">
        <v>1</v>
      </c>
    </row>
    <row r="181" spans="1:43" x14ac:dyDescent="0.25">
      <c r="A181" t="s">
        <v>42</v>
      </c>
      <c r="B181" t="s">
        <v>1322</v>
      </c>
      <c r="C181" t="s">
        <v>1323</v>
      </c>
      <c r="D181" t="s">
        <v>45</v>
      </c>
      <c r="E181">
        <v>14</v>
      </c>
      <c r="F181">
        <v>422</v>
      </c>
      <c r="G181">
        <v>3018</v>
      </c>
      <c r="H181">
        <v>4326</v>
      </c>
      <c r="I181" t="s">
        <v>57</v>
      </c>
      <c r="J181" t="s">
        <v>1639</v>
      </c>
      <c r="K181" t="s">
        <v>65</v>
      </c>
      <c r="L181" t="s">
        <v>66</v>
      </c>
      <c r="M181">
        <v>7</v>
      </c>
      <c r="N181" t="s">
        <v>391</v>
      </c>
      <c r="O181">
        <v>2025</v>
      </c>
      <c r="P181">
        <v>16731</v>
      </c>
      <c r="Q181" t="s">
        <v>1650</v>
      </c>
      <c r="R181" t="s">
        <v>1651</v>
      </c>
      <c r="S181" t="str">
        <f>IF(COUNTIF(Tabela2[PROCESSO],Tabela1[[#This Row],[codProcesso]])&gt;0,"Está","Não está")</f>
        <v>Não está</v>
      </c>
      <c r="T181" t="s">
        <v>1652</v>
      </c>
      <c r="U181" t="s">
        <v>1613</v>
      </c>
      <c r="V181" t="s">
        <v>1366</v>
      </c>
      <c r="W181" t="s">
        <v>1490</v>
      </c>
      <c r="X181">
        <v>0</v>
      </c>
      <c r="Y181" t="s">
        <v>98</v>
      </c>
      <c r="Z181" s="5">
        <v>14200</v>
      </c>
      <c r="AA181" s="5">
        <v>0</v>
      </c>
      <c r="AB181" s="5">
        <v>0</v>
      </c>
      <c r="AC181" s="5">
        <v>0</v>
      </c>
      <c r="AD181" s="5">
        <v>14200</v>
      </c>
      <c r="AE181" s="5">
        <v>1183.333333333333</v>
      </c>
      <c r="AF181" s="5">
        <v>14200</v>
      </c>
      <c r="AG181">
        <v>14200</v>
      </c>
      <c r="AH181">
        <v>1183.333333333333</v>
      </c>
      <c r="AI181">
        <v>14200</v>
      </c>
      <c r="AJ181">
        <v>14200</v>
      </c>
      <c r="AK181">
        <v>0</v>
      </c>
      <c r="AL181">
        <v>14200</v>
      </c>
      <c r="AM181">
        <v>14200</v>
      </c>
      <c r="AN181">
        <v>0</v>
      </c>
      <c r="AO181" t="s">
        <v>55</v>
      </c>
      <c r="AP181" t="s">
        <v>1653</v>
      </c>
      <c r="AQ181">
        <v>1</v>
      </c>
    </row>
    <row r="182" spans="1:43" x14ac:dyDescent="0.25">
      <c r="A182" t="s">
        <v>42</v>
      </c>
      <c r="B182" t="s">
        <v>1322</v>
      </c>
      <c r="C182" t="s">
        <v>1323</v>
      </c>
      <c r="D182" t="s">
        <v>45</v>
      </c>
      <c r="E182">
        <v>14</v>
      </c>
      <c r="F182">
        <v>422</v>
      </c>
      <c r="G182">
        <v>3018</v>
      </c>
      <c r="H182">
        <v>4326</v>
      </c>
      <c r="I182" t="s">
        <v>57</v>
      </c>
      <c r="J182" t="s">
        <v>1639</v>
      </c>
      <c r="K182" t="s">
        <v>65</v>
      </c>
      <c r="L182" t="s">
        <v>66</v>
      </c>
      <c r="M182">
        <v>7</v>
      </c>
      <c r="N182" t="s">
        <v>391</v>
      </c>
      <c r="O182">
        <v>2025</v>
      </c>
      <c r="P182">
        <v>16730</v>
      </c>
      <c r="R182" t="s">
        <v>1654</v>
      </c>
      <c r="S182" t="str">
        <f>IF(COUNTIF(Tabela2[PROCESSO],Tabela1[[#This Row],[codProcesso]])&gt;0,"Está","Não está")</f>
        <v>Não está</v>
      </c>
      <c r="T182" t="s">
        <v>1655</v>
      </c>
      <c r="X182">
        <v>12</v>
      </c>
      <c r="Y182" t="s">
        <v>54</v>
      </c>
      <c r="Z182" s="5">
        <v>14200</v>
      </c>
      <c r="AA182" s="5">
        <v>0</v>
      </c>
      <c r="AB182" s="5">
        <v>0</v>
      </c>
      <c r="AC182" s="5">
        <v>0</v>
      </c>
      <c r="AD182" s="5">
        <v>14200</v>
      </c>
      <c r="AE182" s="5">
        <v>1183.333333333333</v>
      </c>
      <c r="AF182" s="5">
        <v>14200</v>
      </c>
      <c r="AG182">
        <v>14200</v>
      </c>
      <c r="AH182">
        <v>1183.333333333333</v>
      </c>
      <c r="AI182">
        <v>14200</v>
      </c>
      <c r="AJ182">
        <v>14200</v>
      </c>
      <c r="AK182">
        <v>0</v>
      </c>
      <c r="AL182">
        <v>14200</v>
      </c>
      <c r="AM182">
        <v>0</v>
      </c>
      <c r="AN182">
        <v>0</v>
      </c>
      <c r="AO182" t="s">
        <v>55</v>
      </c>
      <c r="AP182" t="s">
        <v>1656</v>
      </c>
      <c r="AQ182">
        <v>1</v>
      </c>
    </row>
    <row r="183" spans="1:43" x14ac:dyDescent="0.25">
      <c r="A183" t="s">
        <v>42</v>
      </c>
      <c r="B183" t="s">
        <v>1322</v>
      </c>
      <c r="C183" t="s">
        <v>1323</v>
      </c>
      <c r="D183" t="s">
        <v>45</v>
      </c>
      <c r="E183">
        <v>14</v>
      </c>
      <c r="F183">
        <v>422</v>
      </c>
      <c r="G183">
        <v>3018</v>
      </c>
      <c r="H183">
        <v>4326</v>
      </c>
      <c r="I183" t="s">
        <v>57</v>
      </c>
      <c r="J183" t="s">
        <v>1639</v>
      </c>
      <c r="K183" t="s">
        <v>65</v>
      </c>
      <c r="L183" t="s">
        <v>66</v>
      </c>
      <c r="M183">
        <v>7</v>
      </c>
      <c r="N183" t="s">
        <v>391</v>
      </c>
      <c r="O183">
        <v>2025</v>
      </c>
      <c r="P183">
        <v>16739</v>
      </c>
      <c r="R183" t="s">
        <v>1663</v>
      </c>
      <c r="S183" t="str">
        <f>IF(COUNTIF(Tabela2[PROCESSO],Tabela1[[#This Row],[codProcesso]])&gt;0,"Está","Não está")</f>
        <v>Não está</v>
      </c>
      <c r="T183" t="s">
        <v>1664</v>
      </c>
      <c r="X183">
        <v>12</v>
      </c>
      <c r="Y183" t="s">
        <v>54</v>
      </c>
      <c r="Z183" s="5">
        <v>14200</v>
      </c>
      <c r="AA183" s="5">
        <v>0</v>
      </c>
      <c r="AB183" s="5">
        <v>0</v>
      </c>
      <c r="AC183" s="5">
        <v>0</v>
      </c>
      <c r="AD183" s="5">
        <v>14200</v>
      </c>
      <c r="AE183" s="5">
        <v>1183.333333333333</v>
      </c>
      <c r="AF183" s="5">
        <v>14200</v>
      </c>
      <c r="AG183">
        <v>14200</v>
      </c>
      <c r="AH183">
        <v>1183.333333333333</v>
      </c>
      <c r="AI183">
        <v>14200</v>
      </c>
      <c r="AJ183">
        <v>14200</v>
      </c>
      <c r="AK183">
        <v>0</v>
      </c>
      <c r="AL183">
        <v>14200</v>
      </c>
      <c r="AM183">
        <v>0</v>
      </c>
      <c r="AN183">
        <v>0</v>
      </c>
      <c r="AO183" t="s">
        <v>55</v>
      </c>
      <c r="AP183" t="s">
        <v>1665</v>
      </c>
      <c r="AQ183">
        <v>1</v>
      </c>
    </row>
    <row r="184" spans="1:43" x14ac:dyDescent="0.25">
      <c r="A184" t="s">
        <v>42</v>
      </c>
      <c r="B184" t="s">
        <v>1322</v>
      </c>
      <c r="C184" t="s">
        <v>1323</v>
      </c>
      <c r="D184" t="s">
        <v>45</v>
      </c>
      <c r="E184">
        <v>14</v>
      </c>
      <c r="F184">
        <v>422</v>
      </c>
      <c r="G184">
        <v>3018</v>
      </c>
      <c r="H184">
        <v>4326</v>
      </c>
      <c r="I184" t="s">
        <v>57</v>
      </c>
      <c r="J184" t="s">
        <v>1639</v>
      </c>
      <c r="K184" t="s">
        <v>65</v>
      </c>
      <c r="L184" t="s">
        <v>66</v>
      </c>
      <c r="M184">
        <v>7</v>
      </c>
      <c r="N184" t="s">
        <v>391</v>
      </c>
      <c r="O184">
        <v>2025</v>
      </c>
      <c r="P184">
        <v>16742</v>
      </c>
      <c r="Q184" t="s">
        <v>1688</v>
      </c>
      <c r="R184" t="s">
        <v>1689</v>
      </c>
      <c r="S184" t="str">
        <f>IF(COUNTIF(Tabela2[PROCESSO],Tabela1[[#This Row],[codProcesso]])&gt;0,"Está","Não está")</f>
        <v>Não está</v>
      </c>
      <c r="T184" t="s">
        <v>1690</v>
      </c>
      <c r="U184" t="s">
        <v>1613</v>
      </c>
      <c r="V184" t="s">
        <v>1366</v>
      </c>
      <c r="W184" t="s">
        <v>1490</v>
      </c>
      <c r="X184">
        <v>0</v>
      </c>
      <c r="Y184" t="s">
        <v>98</v>
      </c>
      <c r="Z184" s="5">
        <v>14200</v>
      </c>
      <c r="AA184" s="5">
        <v>0</v>
      </c>
      <c r="AB184" s="5">
        <v>0</v>
      </c>
      <c r="AC184" s="5">
        <v>0</v>
      </c>
      <c r="AD184" s="5">
        <v>14200</v>
      </c>
      <c r="AE184" s="5">
        <v>1183.333333333333</v>
      </c>
      <c r="AF184" s="5">
        <v>14200</v>
      </c>
      <c r="AG184">
        <v>14200</v>
      </c>
      <c r="AH184">
        <v>1183.333333333333</v>
      </c>
      <c r="AI184">
        <v>14200</v>
      </c>
      <c r="AJ184">
        <v>14200</v>
      </c>
      <c r="AK184">
        <v>0</v>
      </c>
      <c r="AL184">
        <v>14200</v>
      </c>
      <c r="AM184">
        <v>14200</v>
      </c>
      <c r="AN184">
        <v>0</v>
      </c>
      <c r="AO184" t="s">
        <v>55</v>
      </c>
      <c r="AP184" t="s">
        <v>1691</v>
      </c>
      <c r="AQ184">
        <v>1</v>
      </c>
    </row>
    <row r="185" spans="1:43" x14ac:dyDescent="0.25">
      <c r="A185" t="s">
        <v>42</v>
      </c>
      <c r="B185" t="s">
        <v>1322</v>
      </c>
      <c r="C185" t="s">
        <v>1323</v>
      </c>
      <c r="D185" t="s">
        <v>45</v>
      </c>
      <c r="E185">
        <v>14</v>
      </c>
      <c r="F185">
        <v>422</v>
      </c>
      <c r="G185">
        <v>3018</v>
      </c>
      <c r="H185">
        <v>4326</v>
      </c>
      <c r="I185" t="s">
        <v>57</v>
      </c>
      <c r="J185" t="s">
        <v>1639</v>
      </c>
      <c r="K185" t="s">
        <v>65</v>
      </c>
      <c r="L185" t="s">
        <v>66</v>
      </c>
      <c r="M185">
        <v>7</v>
      </c>
      <c r="N185" t="s">
        <v>391</v>
      </c>
      <c r="O185">
        <v>2025</v>
      </c>
      <c r="P185">
        <v>16769</v>
      </c>
      <c r="Q185" t="s">
        <v>1723</v>
      </c>
      <c r="R185" t="s">
        <v>1724</v>
      </c>
      <c r="S185" t="str">
        <f>IF(COUNTIF(Tabela2[PROCESSO],Tabela1[[#This Row],[codProcesso]])&gt;0,"Está","Não está")</f>
        <v>Não está</v>
      </c>
      <c r="T185" t="s">
        <v>1725</v>
      </c>
      <c r="U185" t="s">
        <v>1613</v>
      </c>
      <c r="V185" t="s">
        <v>1366</v>
      </c>
      <c r="W185" t="s">
        <v>1490</v>
      </c>
      <c r="X185">
        <v>0</v>
      </c>
      <c r="Y185" t="s">
        <v>98</v>
      </c>
      <c r="Z185" s="5">
        <v>14200</v>
      </c>
      <c r="AA185" s="5">
        <v>0</v>
      </c>
      <c r="AB185" s="5">
        <v>0</v>
      </c>
      <c r="AC185" s="5">
        <v>0</v>
      </c>
      <c r="AD185" s="5">
        <v>14200</v>
      </c>
      <c r="AE185" s="5">
        <v>1183.333333333333</v>
      </c>
      <c r="AF185" s="5">
        <v>14200</v>
      </c>
      <c r="AG185">
        <v>14200</v>
      </c>
      <c r="AH185">
        <v>1183.333333333333</v>
      </c>
      <c r="AI185">
        <v>14200</v>
      </c>
      <c r="AJ185">
        <v>14200</v>
      </c>
      <c r="AK185">
        <v>0</v>
      </c>
      <c r="AL185">
        <v>14200</v>
      </c>
      <c r="AM185">
        <v>14200</v>
      </c>
      <c r="AN185">
        <v>0</v>
      </c>
      <c r="AO185" t="s">
        <v>55</v>
      </c>
      <c r="AP185" t="s">
        <v>1726</v>
      </c>
      <c r="AQ185">
        <v>1</v>
      </c>
    </row>
    <row r="186" spans="1:43" x14ac:dyDescent="0.25">
      <c r="A186" t="s">
        <v>42</v>
      </c>
      <c r="B186" t="s">
        <v>1322</v>
      </c>
      <c r="C186" t="s">
        <v>1323</v>
      </c>
      <c r="D186" t="s">
        <v>45</v>
      </c>
      <c r="E186">
        <v>14</v>
      </c>
      <c r="F186">
        <v>422</v>
      </c>
      <c r="G186">
        <v>3018</v>
      </c>
      <c r="H186">
        <v>4326</v>
      </c>
      <c r="I186" t="s">
        <v>57</v>
      </c>
      <c r="J186" t="s">
        <v>1639</v>
      </c>
      <c r="K186" t="s">
        <v>65</v>
      </c>
      <c r="L186" t="s">
        <v>66</v>
      </c>
      <c r="M186">
        <v>7</v>
      </c>
      <c r="N186" t="s">
        <v>391</v>
      </c>
      <c r="O186">
        <v>2025</v>
      </c>
      <c r="P186">
        <v>16806</v>
      </c>
      <c r="R186" t="s">
        <v>1761</v>
      </c>
      <c r="S186" t="str">
        <f>IF(COUNTIF(Tabela2[PROCESSO],Tabela1[[#This Row],[codProcesso]])&gt;0,"Está","Não está")</f>
        <v>Não está</v>
      </c>
      <c r="T186" t="s">
        <v>1762</v>
      </c>
      <c r="X186">
        <v>12</v>
      </c>
      <c r="Y186" t="s">
        <v>54</v>
      </c>
      <c r="Z186" s="5">
        <v>14200</v>
      </c>
      <c r="AA186" s="5">
        <v>0</v>
      </c>
      <c r="AB186" s="5">
        <v>0</v>
      </c>
      <c r="AC186" s="5">
        <v>0</v>
      </c>
      <c r="AD186" s="5">
        <v>14200</v>
      </c>
      <c r="AE186" s="5">
        <v>1183.333333333333</v>
      </c>
      <c r="AF186" s="5">
        <v>14200</v>
      </c>
      <c r="AG186">
        <v>14200</v>
      </c>
      <c r="AH186">
        <v>1183.333333333333</v>
      </c>
      <c r="AI186">
        <v>14200</v>
      </c>
      <c r="AJ186">
        <v>14200</v>
      </c>
      <c r="AK186">
        <v>0</v>
      </c>
      <c r="AL186">
        <v>14200</v>
      </c>
      <c r="AM186">
        <v>0</v>
      </c>
      <c r="AN186">
        <v>0</v>
      </c>
      <c r="AO186" t="s">
        <v>55</v>
      </c>
      <c r="AP186" t="s">
        <v>1763</v>
      </c>
      <c r="AQ186">
        <v>1</v>
      </c>
    </row>
    <row r="187" spans="1:43" x14ac:dyDescent="0.25">
      <c r="A187" t="s">
        <v>42</v>
      </c>
      <c r="B187" t="s">
        <v>1322</v>
      </c>
      <c r="C187" t="s">
        <v>1323</v>
      </c>
      <c r="D187" t="s">
        <v>45</v>
      </c>
      <c r="E187">
        <v>14</v>
      </c>
      <c r="F187">
        <v>422</v>
      </c>
      <c r="G187">
        <v>3018</v>
      </c>
      <c r="H187">
        <v>4326</v>
      </c>
      <c r="I187" t="s">
        <v>57</v>
      </c>
      <c r="J187" t="s">
        <v>1639</v>
      </c>
      <c r="K187" t="s">
        <v>65</v>
      </c>
      <c r="L187" t="s">
        <v>66</v>
      </c>
      <c r="M187">
        <v>7</v>
      </c>
      <c r="N187" t="s">
        <v>391</v>
      </c>
      <c r="O187">
        <v>2025</v>
      </c>
      <c r="P187">
        <v>16840</v>
      </c>
      <c r="R187" t="s">
        <v>1776</v>
      </c>
      <c r="S187" t="str">
        <f>IF(COUNTIF(Tabela2[PROCESSO],Tabela1[[#This Row],[codProcesso]])&gt;0,"Está","Não está")</f>
        <v>Não está</v>
      </c>
      <c r="T187" t="s">
        <v>1777</v>
      </c>
      <c r="X187">
        <v>12</v>
      </c>
      <c r="Y187" t="s">
        <v>54</v>
      </c>
      <c r="Z187" s="5">
        <v>14200</v>
      </c>
      <c r="AA187" s="5">
        <v>0</v>
      </c>
      <c r="AB187" s="5">
        <v>0</v>
      </c>
      <c r="AC187" s="5">
        <v>0</v>
      </c>
      <c r="AD187" s="5">
        <v>14200</v>
      </c>
      <c r="AE187" s="5">
        <v>1183.333333333333</v>
      </c>
      <c r="AF187" s="5">
        <v>14200</v>
      </c>
      <c r="AG187">
        <v>14200</v>
      </c>
      <c r="AH187">
        <v>1183.333333333333</v>
      </c>
      <c r="AI187">
        <v>14200</v>
      </c>
      <c r="AJ187">
        <v>14200</v>
      </c>
      <c r="AK187">
        <v>0</v>
      </c>
      <c r="AL187">
        <v>14200</v>
      </c>
      <c r="AM187">
        <v>0</v>
      </c>
      <c r="AN187">
        <v>0</v>
      </c>
      <c r="AO187" t="s">
        <v>55</v>
      </c>
      <c r="AP187" t="s">
        <v>1778</v>
      </c>
      <c r="AQ187">
        <v>1</v>
      </c>
    </row>
    <row r="188" spans="1:43" x14ac:dyDescent="0.25">
      <c r="A188" t="s">
        <v>42</v>
      </c>
      <c r="B188" t="s">
        <v>1322</v>
      </c>
      <c r="C188" t="s">
        <v>1323</v>
      </c>
      <c r="D188" t="s">
        <v>45</v>
      </c>
      <c r="E188">
        <v>14</v>
      </c>
      <c r="F188">
        <v>422</v>
      </c>
      <c r="G188">
        <v>3018</v>
      </c>
      <c r="H188">
        <v>4326</v>
      </c>
      <c r="I188" t="s">
        <v>57</v>
      </c>
      <c r="J188" t="s">
        <v>1639</v>
      </c>
      <c r="K188" t="s">
        <v>65</v>
      </c>
      <c r="L188" t="s">
        <v>66</v>
      </c>
      <c r="M188">
        <v>7</v>
      </c>
      <c r="N188" t="s">
        <v>391</v>
      </c>
      <c r="O188">
        <v>2025</v>
      </c>
      <c r="P188">
        <v>16838</v>
      </c>
      <c r="Q188" t="s">
        <v>1779</v>
      </c>
      <c r="R188" t="s">
        <v>1780</v>
      </c>
      <c r="S188" t="str">
        <f>IF(COUNTIF(Tabela2[PROCESSO],Tabela1[[#This Row],[codProcesso]])&gt;0,"Está","Não está")</f>
        <v>Não está</v>
      </c>
      <c r="T188" t="s">
        <v>1781</v>
      </c>
      <c r="U188" t="s">
        <v>1613</v>
      </c>
      <c r="V188" t="s">
        <v>1366</v>
      </c>
      <c r="W188" t="s">
        <v>1490</v>
      </c>
      <c r="X188">
        <v>0</v>
      </c>
      <c r="Y188" t="s">
        <v>98</v>
      </c>
      <c r="Z188" s="5">
        <v>14200</v>
      </c>
      <c r="AA188" s="5">
        <v>0</v>
      </c>
      <c r="AB188" s="5">
        <v>0</v>
      </c>
      <c r="AC188" s="5">
        <v>0</v>
      </c>
      <c r="AD188" s="5">
        <v>14200</v>
      </c>
      <c r="AE188" s="5">
        <v>1183.333333333333</v>
      </c>
      <c r="AF188" s="5">
        <v>14200</v>
      </c>
      <c r="AG188">
        <v>14200</v>
      </c>
      <c r="AH188">
        <v>1183.333333333333</v>
      </c>
      <c r="AI188">
        <v>14200</v>
      </c>
      <c r="AJ188">
        <v>14200</v>
      </c>
      <c r="AK188">
        <v>0</v>
      </c>
      <c r="AL188">
        <v>14200</v>
      </c>
      <c r="AM188">
        <v>14200</v>
      </c>
      <c r="AN188">
        <v>0</v>
      </c>
      <c r="AO188" t="s">
        <v>55</v>
      </c>
      <c r="AP188" t="s">
        <v>1782</v>
      </c>
      <c r="AQ188">
        <v>1</v>
      </c>
    </row>
    <row r="189" spans="1:43" x14ac:dyDescent="0.25">
      <c r="A189" t="s">
        <v>42</v>
      </c>
      <c r="B189" t="s">
        <v>1322</v>
      </c>
      <c r="C189" t="s">
        <v>1323</v>
      </c>
      <c r="D189" t="s">
        <v>45</v>
      </c>
      <c r="E189">
        <v>14</v>
      </c>
      <c r="F189">
        <v>422</v>
      </c>
      <c r="G189">
        <v>3018</v>
      </c>
      <c r="H189">
        <v>4326</v>
      </c>
      <c r="I189" t="s">
        <v>57</v>
      </c>
      <c r="J189" t="s">
        <v>1639</v>
      </c>
      <c r="K189" t="s">
        <v>65</v>
      </c>
      <c r="L189" t="s">
        <v>66</v>
      </c>
      <c r="M189">
        <v>7</v>
      </c>
      <c r="N189" t="s">
        <v>391</v>
      </c>
      <c r="O189">
        <v>2025</v>
      </c>
      <c r="P189">
        <v>16849</v>
      </c>
      <c r="Q189" t="s">
        <v>1793</v>
      </c>
      <c r="R189" t="s">
        <v>1794</v>
      </c>
      <c r="S189" t="str">
        <f>IF(COUNTIF(Tabela2[PROCESSO],Tabela1[[#This Row],[codProcesso]])&gt;0,"Está","Não está")</f>
        <v>Não está</v>
      </c>
      <c r="T189" t="s">
        <v>1795</v>
      </c>
      <c r="U189" t="s">
        <v>1715</v>
      </c>
      <c r="V189" t="s">
        <v>1366</v>
      </c>
      <c r="W189" t="s">
        <v>1490</v>
      </c>
      <c r="X189">
        <v>0</v>
      </c>
      <c r="Y189" t="s">
        <v>98</v>
      </c>
      <c r="Z189" s="5">
        <v>14200</v>
      </c>
      <c r="AA189" s="5">
        <v>0</v>
      </c>
      <c r="AB189" s="5">
        <v>0</v>
      </c>
      <c r="AC189" s="5">
        <v>0</v>
      </c>
      <c r="AD189" s="5">
        <v>14200</v>
      </c>
      <c r="AE189" s="5">
        <v>1183.333333333333</v>
      </c>
      <c r="AF189" s="5">
        <v>14200</v>
      </c>
      <c r="AG189">
        <v>14200</v>
      </c>
      <c r="AH189">
        <v>1183.333333333333</v>
      </c>
      <c r="AI189">
        <v>14200</v>
      </c>
      <c r="AJ189">
        <v>14200</v>
      </c>
      <c r="AK189">
        <v>0</v>
      </c>
      <c r="AL189">
        <v>14200</v>
      </c>
      <c r="AM189">
        <v>0</v>
      </c>
      <c r="AN189">
        <v>0</v>
      </c>
      <c r="AO189" t="s">
        <v>55</v>
      </c>
      <c r="AP189" t="s">
        <v>1796</v>
      </c>
      <c r="AQ189">
        <v>1</v>
      </c>
    </row>
    <row r="190" spans="1:43" x14ac:dyDescent="0.25">
      <c r="A190" t="s">
        <v>42</v>
      </c>
      <c r="B190" t="s">
        <v>43</v>
      </c>
      <c r="C190" t="s">
        <v>44</v>
      </c>
      <c r="D190" t="s">
        <v>45</v>
      </c>
      <c r="E190">
        <v>14</v>
      </c>
      <c r="F190">
        <v>422</v>
      </c>
      <c r="G190">
        <v>3013</v>
      </c>
      <c r="H190">
        <v>2053</v>
      </c>
      <c r="I190" t="s">
        <v>57</v>
      </c>
      <c r="J190" t="s">
        <v>517</v>
      </c>
      <c r="K190" t="s">
        <v>65</v>
      </c>
      <c r="L190" t="s">
        <v>66</v>
      </c>
      <c r="M190">
        <v>12</v>
      </c>
      <c r="N190" t="s">
        <v>60</v>
      </c>
      <c r="O190">
        <v>2019</v>
      </c>
      <c r="P190">
        <v>19137</v>
      </c>
      <c r="Q190" t="s">
        <v>677</v>
      </c>
      <c r="R190" t="s">
        <v>678</v>
      </c>
      <c r="S190" t="str">
        <f>IF(COUNTIF(Tabela2[PROCESSO],Tabela1[[#This Row],[codProcesso]])&gt;0,"Está","Não está")</f>
        <v>Está</v>
      </c>
      <c r="T190" t="s">
        <v>679</v>
      </c>
      <c r="U190" t="s">
        <v>680</v>
      </c>
      <c r="V190" t="s">
        <v>681</v>
      </c>
      <c r="W190" t="s">
        <v>497</v>
      </c>
      <c r="X190">
        <v>67</v>
      </c>
      <c r="Y190" t="s">
        <v>98</v>
      </c>
      <c r="Z190" s="5">
        <v>14000</v>
      </c>
      <c r="AA190" s="5">
        <v>3537.3</v>
      </c>
      <c r="AB190" s="5">
        <v>59515</v>
      </c>
      <c r="AC190" s="5">
        <v>0</v>
      </c>
      <c r="AD190" s="5">
        <v>77052.3</v>
      </c>
      <c r="AE190" s="5">
        <v>1150.034328358209</v>
      </c>
      <c r="AF190" s="5">
        <v>13800.411940298511</v>
      </c>
      <c r="AG190">
        <v>77052.3</v>
      </c>
      <c r="AH190">
        <v>1150.034328358209</v>
      </c>
      <c r="AI190">
        <v>13800.411940298511</v>
      </c>
      <c r="AJ190">
        <v>100852.14</v>
      </c>
      <c r="AK190">
        <v>27996.26</v>
      </c>
      <c r="AL190">
        <v>72855.88</v>
      </c>
      <c r="AM190">
        <v>72378.2</v>
      </c>
      <c r="AN190">
        <v>72378.2</v>
      </c>
      <c r="AO190" t="s">
        <v>55</v>
      </c>
      <c r="AP190" t="s">
        <v>682</v>
      </c>
      <c r="AQ190">
        <v>1</v>
      </c>
    </row>
    <row r="191" spans="1:43" x14ac:dyDescent="0.25">
      <c r="A191" t="s">
        <v>42</v>
      </c>
      <c r="B191" t="s">
        <v>43</v>
      </c>
      <c r="C191" t="s">
        <v>44</v>
      </c>
      <c r="D191" t="s">
        <v>45</v>
      </c>
      <c r="E191">
        <v>14</v>
      </c>
      <c r="F191">
        <v>243</v>
      </c>
      <c r="G191">
        <v>3013</v>
      </c>
      <c r="H191">
        <v>2157</v>
      </c>
      <c r="I191" t="s">
        <v>57</v>
      </c>
      <c r="J191" t="s">
        <v>361</v>
      </c>
      <c r="K191" t="s">
        <v>65</v>
      </c>
      <c r="L191" t="s">
        <v>66</v>
      </c>
      <c r="M191">
        <v>12</v>
      </c>
      <c r="N191" t="s">
        <v>60</v>
      </c>
      <c r="O191">
        <v>2024</v>
      </c>
      <c r="P191">
        <v>17376</v>
      </c>
      <c r="Q191" t="s">
        <v>1091</v>
      </c>
      <c r="R191" t="s">
        <v>1092</v>
      </c>
      <c r="S191" t="str">
        <f>IF(COUNTIF(Tabela2[PROCESSO],Tabela1[[#This Row],[codProcesso]])&gt;0,"Está","Não está")</f>
        <v>Está</v>
      </c>
      <c r="T191" t="s">
        <v>1093</v>
      </c>
      <c r="U191" t="s">
        <v>1094</v>
      </c>
      <c r="V191" t="s">
        <v>827</v>
      </c>
      <c r="W191" t="s">
        <v>206</v>
      </c>
      <c r="X191">
        <v>13</v>
      </c>
      <c r="Y191" t="s">
        <v>73</v>
      </c>
      <c r="Z191" s="5">
        <v>14000</v>
      </c>
      <c r="AA191" s="5">
        <v>0</v>
      </c>
      <c r="AB191" s="5">
        <v>0</v>
      </c>
      <c r="AC191" s="5">
        <v>0</v>
      </c>
      <c r="AD191" s="5">
        <v>14000</v>
      </c>
      <c r="AE191" s="5">
        <v>1076.9230769230769</v>
      </c>
      <c r="AF191" s="5">
        <v>12923.07692307692</v>
      </c>
      <c r="AG191">
        <v>14000</v>
      </c>
      <c r="AH191">
        <v>1076.9230769230769</v>
      </c>
      <c r="AI191">
        <v>12923.07692307692</v>
      </c>
      <c r="AJ191">
        <v>21280</v>
      </c>
      <c r="AK191">
        <v>7280</v>
      </c>
      <c r="AL191">
        <v>14000</v>
      </c>
      <c r="AM191">
        <v>6720</v>
      </c>
      <c r="AN191">
        <v>6720</v>
      </c>
      <c r="AO191" t="s">
        <v>55</v>
      </c>
      <c r="AP191" t="s">
        <v>1095</v>
      </c>
      <c r="AQ191">
        <v>1</v>
      </c>
    </row>
    <row r="192" spans="1:43" x14ac:dyDescent="0.25">
      <c r="A192" t="s">
        <v>42</v>
      </c>
      <c r="B192" t="s">
        <v>43</v>
      </c>
      <c r="C192" t="s">
        <v>44</v>
      </c>
      <c r="D192" t="s">
        <v>45</v>
      </c>
      <c r="E192">
        <v>14</v>
      </c>
      <c r="F192">
        <v>422</v>
      </c>
      <c r="G192">
        <v>3007</v>
      </c>
      <c r="H192">
        <v>4320</v>
      </c>
      <c r="I192" t="s">
        <v>186</v>
      </c>
      <c r="J192" t="s">
        <v>1177</v>
      </c>
      <c r="K192" t="s">
        <v>491</v>
      </c>
      <c r="L192" t="s">
        <v>492</v>
      </c>
      <c r="M192">
        <v>12</v>
      </c>
      <c r="N192" t="s">
        <v>60</v>
      </c>
      <c r="O192">
        <v>2025</v>
      </c>
      <c r="P192">
        <v>10407</v>
      </c>
      <c r="Q192" t="s">
        <v>1233</v>
      </c>
      <c r="R192" t="s">
        <v>1234</v>
      </c>
      <c r="S192" t="str">
        <f>IF(COUNTIF(Tabela2[PROCESSO],Tabela1[[#This Row],[codProcesso]])&gt;0,"Está","Não está")</f>
        <v>Não está</v>
      </c>
      <c r="T192" t="s">
        <v>1235</v>
      </c>
      <c r="U192" t="s">
        <v>1236</v>
      </c>
      <c r="V192" t="s">
        <v>1237</v>
      </c>
      <c r="W192" t="s">
        <v>1238</v>
      </c>
      <c r="X192">
        <v>1</v>
      </c>
      <c r="Y192" t="s">
        <v>98</v>
      </c>
      <c r="Z192" s="5">
        <v>14000</v>
      </c>
      <c r="AA192" s="5">
        <v>0</v>
      </c>
      <c r="AB192" s="5">
        <v>0</v>
      </c>
      <c r="AC192" s="5">
        <v>0</v>
      </c>
      <c r="AD192" s="5">
        <v>14000</v>
      </c>
      <c r="AE192" s="5">
        <v>1166.666666666667</v>
      </c>
      <c r="AF192" s="5">
        <v>14000</v>
      </c>
      <c r="AG192">
        <v>14000</v>
      </c>
      <c r="AH192">
        <v>1166.666666666667</v>
      </c>
      <c r="AI192">
        <v>14000</v>
      </c>
      <c r="AJ192">
        <v>14000</v>
      </c>
      <c r="AK192">
        <v>0</v>
      </c>
      <c r="AL192">
        <v>14000</v>
      </c>
      <c r="AM192">
        <v>14000</v>
      </c>
      <c r="AN192">
        <v>14000</v>
      </c>
      <c r="AO192" t="s">
        <v>55</v>
      </c>
      <c r="AP192" t="s">
        <v>1239</v>
      </c>
      <c r="AQ192">
        <v>1</v>
      </c>
    </row>
    <row r="193" spans="1:43" x14ac:dyDescent="0.25">
      <c r="A193" t="s">
        <v>42</v>
      </c>
      <c r="B193" t="s">
        <v>43</v>
      </c>
      <c r="C193" t="s">
        <v>44</v>
      </c>
      <c r="D193" t="s">
        <v>45</v>
      </c>
      <c r="E193">
        <v>8</v>
      </c>
      <c r="F193">
        <v>605</v>
      </c>
      <c r="G193">
        <v>3016</v>
      </c>
      <c r="H193">
        <v>4470</v>
      </c>
      <c r="I193" t="s">
        <v>57</v>
      </c>
      <c r="J193" t="s">
        <v>215</v>
      </c>
      <c r="K193" t="s">
        <v>65</v>
      </c>
      <c r="L193" t="s">
        <v>66</v>
      </c>
      <c r="M193">
        <v>12</v>
      </c>
      <c r="N193" t="s">
        <v>60</v>
      </c>
      <c r="O193">
        <v>2024</v>
      </c>
      <c r="P193">
        <v>37929</v>
      </c>
      <c r="Q193" t="s">
        <v>1033</v>
      </c>
      <c r="R193" t="s">
        <v>1034</v>
      </c>
      <c r="S193" t="str">
        <f>IF(COUNTIF(Tabela2[PROCESSO],Tabela1[[#This Row],[codProcesso]])&gt;0,"Está","Não está")</f>
        <v>Está</v>
      </c>
      <c r="T193" t="s">
        <v>1035</v>
      </c>
      <c r="U193" t="s">
        <v>1036</v>
      </c>
      <c r="V193" t="s">
        <v>1037</v>
      </c>
      <c r="W193" t="s">
        <v>1038</v>
      </c>
      <c r="X193">
        <v>13</v>
      </c>
      <c r="Y193" t="s">
        <v>73</v>
      </c>
      <c r="Z193" s="5">
        <v>13899.96</v>
      </c>
      <c r="AA193" s="5">
        <v>0</v>
      </c>
      <c r="AB193" s="5">
        <v>0</v>
      </c>
      <c r="AC193" s="5">
        <v>0</v>
      </c>
      <c r="AD193" s="5">
        <v>13899.96</v>
      </c>
      <c r="AE193" s="5">
        <v>1069.227692307692</v>
      </c>
      <c r="AF193" s="5">
        <v>12830.732307692309</v>
      </c>
      <c r="AG193">
        <v>13899.96</v>
      </c>
      <c r="AH193">
        <v>1069.227692307692</v>
      </c>
      <c r="AI193">
        <v>12830.732307692309</v>
      </c>
      <c r="AJ193">
        <v>27799.919999999998</v>
      </c>
      <c r="AK193">
        <v>13899.96</v>
      </c>
      <c r="AL193">
        <v>13899.96</v>
      </c>
      <c r="AM193">
        <v>5791.65</v>
      </c>
      <c r="AN193">
        <v>5791.65</v>
      </c>
      <c r="AO193" t="s">
        <v>55</v>
      </c>
      <c r="AP193" t="s">
        <v>1039</v>
      </c>
      <c r="AQ193">
        <v>1</v>
      </c>
    </row>
    <row r="194" spans="1:43" x14ac:dyDescent="0.25">
      <c r="A194" t="s">
        <v>42</v>
      </c>
      <c r="B194" t="s">
        <v>43</v>
      </c>
      <c r="C194" t="s">
        <v>44</v>
      </c>
      <c r="D194" t="s">
        <v>45</v>
      </c>
      <c r="E194">
        <v>8</v>
      </c>
      <c r="F194">
        <v>605</v>
      </c>
      <c r="G194">
        <v>3016</v>
      </c>
      <c r="H194">
        <v>4470</v>
      </c>
      <c r="I194" t="s">
        <v>186</v>
      </c>
      <c r="J194" t="s">
        <v>1177</v>
      </c>
      <c r="K194" t="s">
        <v>247</v>
      </c>
      <c r="L194" t="s">
        <v>248</v>
      </c>
      <c r="M194">
        <v>6</v>
      </c>
      <c r="N194" t="s">
        <v>115</v>
      </c>
      <c r="O194">
        <v>2025</v>
      </c>
      <c r="P194">
        <v>10117</v>
      </c>
      <c r="R194" t="s">
        <v>1206</v>
      </c>
      <c r="S194" t="str">
        <f>IF(COUNTIF(Tabela2[PROCESSO],Tabela1[[#This Row],[codProcesso]])&gt;0,"Está","Não está")</f>
        <v>Não está</v>
      </c>
      <c r="T194" t="s">
        <v>1207</v>
      </c>
      <c r="W194" t="s">
        <v>1208</v>
      </c>
      <c r="X194">
        <v>12</v>
      </c>
      <c r="Y194" t="s">
        <v>54</v>
      </c>
      <c r="Z194" s="5">
        <v>13800</v>
      </c>
      <c r="AA194" s="5">
        <v>0</v>
      </c>
      <c r="AB194" s="5">
        <v>0</v>
      </c>
      <c r="AC194" s="5">
        <v>0</v>
      </c>
      <c r="AD194" s="5">
        <v>13800</v>
      </c>
      <c r="AE194" s="5">
        <v>1150</v>
      </c>
      <c r="AF194" s="5">
        <v>13800</v>
      </c>
      <c r="AG194">
        <v>13800</v>
      </c>
      <c r="AH194">
        <v>1150</v>
      </c>
      <c r="AI194">
        <v>13800</v>
      </c>
      <c r="AJ194">
        <v>13800</v>
      </c>
      <c r="AK194">
        <v>0</v>
      </c>
      <c r="AL194">
        <v>13800</v>
      </c>
      <c r="AM194">
        <v>13800</v>
      </c>
      <c r="AN194">
        <v>13800</v>
      </c>
      <c r="AO194" t="s">
        <v>55</v>
      </c>
      <c r="AP194" t="s">
        <v>1209</v>
      </c>
      <c r="AQ194">
        <v>1</v>
      </c>
    </row>
    <row r="195" spans="1:43" x14ac:dyDescent="0.25">
      <c r="A195" t="s">
        <v>42</v>
      </c>
      <c r="B195" t="s">
        <v>43</v>
      </c>
      <c r="C195" t="s">
        <v>44</v>
      </c>
      <c r="D195" t="s">
        <v>45</v>
      </c>
      <c r="E195">
        <v>8</v>
      </c>
      <c r="F195">
        <v>605</v>
      </c>
      <c r="G195">
        <v>3016</v>
      </c>
      <c r="H195">
        <v>4470</v>
      </c>
      <c r="I195" t="s">
        <v>186</v>
      </c>
      <c r="J195" t="s">
        <v>881</v>
      </c>
      <c r="K195" t="s">
        <v>491</v>
      </c>
      <c r="L195" t="s">
        <v>492</v>
      </c>
      <c r="M195">
        <v>6</v>
      </c>
      <c r="N195" t="s">
        <v>115</v>
      </c>
      <c r="O195">
        <v>2023</v>
      </c>
      <c r="P195">
        <v>37228</v>
      </c>
      <c r="Q195" t="s">
        <v>894</v>
      </c>
      <c r="R195" t="s">
        <v>895</v>
      </c>
      <c r="S195" t="str">
        <f>IF(COUNTIF(Tabela2[PROCESSO],Tabela1[[#This Row],[codProcesso]])&gt;0,"Está","Não está")</f>
        <v>Está</v>
      </c>
      <c r="T195" t="s">
        <v>896</v>
      </c>
      <c r="U195" t="s">
        <v>343</v>
      </c>
      <c r="V195" t="s">
        <v>897</v>
      </c>
      <c r="W195" t="s">
        <v>375</v>
      </c>
      <c r="X195">
        <v>24</v>
      </c>
      <c r="Y195" t="s">
        <v>73</v>
      </c>
      <c r="Z195" s="5">
        <v>13680</v>
      </c>
      <c r="AA195" s="5">
        <v>639</v>
      </c>
      <c r="AB195" s="5">
        <v>13680</v>
      </c>
      <c r="AC195" s="5">
        <v>0</v>
      </c>
      <c r="AD195" s="5">
        <v>27999</v>
      </c>
      <c r="AE195" s="5">
        <v>1166.625</v>
      </c>
      <c r="AF195" s="5">
        <v>13999.5</v>
      </c>
      <c r="AG195">
        <v>26879.040000000001</v>
      </c>
      <c r="AH195">
        <v>1119.96</v>
      </c>
      <c r="AI195">
        <v>13439.52</v>
      </c>
      <c r="AJ195">
        <v>27995.15</v>
      </c>
      <c r="AK195">
        <v>3.25</v>
      </c>
      <c r="AL195">
        <v>27991.9</v>
      </c>
      <c r="AM195">
        <v>19639.150000000001</v>
      </c>
      <c r="AN195">
        <v>19639.150000000001</v>
      </c>
      <c r="AO195" t="s">
        <v>55</v>
      </c>
      <c r="AP195" t="s">
        <v>898</v>
      </c>
      <c r="AQ195">
        <v>0.96</v>
      </c>
    </row>
    <row r="196" spans="1:43" x14ac:dyDescent="0.25">
      <c r="A196" t="s">
        <v>42</v>
      </c>
      <c r="B196" t="s">
        <v>43</v>
      </c>
      <c r="C196" t="s">
        <v>44</v>
      </c>
      <c r="D196" t="s">
        <v>45</v>
      </c>
      <c r="E196">
        <v>14</v>
      </c>
      <c r="F196">
        <v>422</v>
      </c>
      <c r="G196">
        <v>3018</v>
      </c>
      <c r="H196">
        <v>4334</v>
      </c>
      <c r="I196" t="s">
        <v>57</v>
      </c>
      <c r="J196" t="s">
        <v>517</v>
      </c>
      <c r="K196" t="s">
        <v>65</v>
      </c>
      <c r="L196" t="s">
        <v>66</v>
      </c>
      <c r="M196">
        <v>12</v>
      </c>
      <c r="N196" t="s">
        <v>60</v>
      </c>
      <c r="O196">
        <v>2023</v>
      </c>
      <c r="P196">
        <v>28568</v>
      </c>
      <c r="Q196" t="s">
        <v>567</v>
      </c>
      <c r="R196" t="s">
        <v>568</v>
      </c>
      <c r="S196" t="str">
        <f>IF(COUNTIF(Tabela2[PROCESSO],Tabela1[[#This Row],[codProcesso]])&gt;0,"Está","Não está")</f>
        <v>Está</v>
      </c>
      <c r="T196" t="s">
        <v>569</v>
      </c>
      <c r="U196" t="s">
        <v>570</v>
      </c>
      <c r="V196" t="s">
        <v>296</v>
      </c>
      <c r="W196" t="s">
        <v>571</v>
      </c>
      <c r="X196">
        <v>24</v>
      </c>
      <c r="Y196" t="s">
        <v>73</v>
      </c>
      <c r="Z196" s="5">
        <v>13440</v>
      </c>
      <c r="AA196" s="5">
        <v>339.36</v>
      </c>
      <c r="AB196" s="5">
        <v>10304</v>
      </c>
      <c r="AC196" s="5">
        <v>0</v>
      </c>
      <c r="AD196" s="5">
        <v>24083.360000000001</v>
      </c>
      <c r="AE196" s="5">
        <v>1003.473333333333</v>
      </c>
      <c r="AF196" s="5">
        <v>12041.68</v>
      </c>
      <c r="AG196">
        <v>24083.360000000001</v>
      </c>
      <c r="AH196">
        <v>1003.473333333333</v>
      </c>
      <c r="AI196">
        <v>12041.68</v>
      </c>
      <c r="AJ196">
        <v>24499.360000000001</v>
      </c>
      <c r="AK196">
        <v>476.8</v>
      </c>
      <c r="AL196">
        <v>24022.560000000001</v>
      </c>
      <c r="AM196">
        <v>20325.439999999999</v>
      </c>
      <c r="AN196">
        <v>20325.439999999999</v>
      </c>
      <c r="AO196" t="s">
        <v>55</v>
      </c>
      <c r="AP196" t="s">
        <v>572</v>
      </c>
      <c r="AQ196">
        <v>1</v>
      </c>
    </row>
    <row r="197" spans="1:43" x14ac:dyDescent="0.25">
      <c r="A197" t="s">
        <v>42</v>
      </c>
      <c r="B197" t="s">
        <v>43</v>
      </c>
      <c r="C197" t="s">
        <v>44</v>
      </c>
      <c r="D197" t="s">
        <v>45</v>
      </c>
      <c r="E197">
        <v>14</v>
      </c>
      <c r="F197">
        <v>122</v>
      </c>
      <c r="G197">
        <v>3024</v>
      </c>
      <c r="H197">
        <v>2100</v>
      </c>
      <c r="I197" t="s">
        <v>186</v>
      </c>
      <c r="J197" t="s">
        <v>483</v>
      </c>
      <c r="K197" t="s">
        <v>491</v>
      </c>
      <c r="L197" t="s">
        <v>492</v>
      </c>
      <c r="M197">
        <v>12</v>
      </c>
      <c r="N197" t="s">
        <v>60</v>
      </c>
      <c r="O197">
        <v>2025</v>
      </c>
      <c r="P197">
        <v>12990</v>
      </c>
      <c r="Q197" t="s">
        <v>1426</v>
      </c>
      <c r="R197" t="s">
        <v>1427</v>
      </c>
      <c r="S197" t="str">
        <f>IF(COUNTIF(Tabela2[PROCESSO],Tabela1[[#This Row],[codProcesso]])&gt;0,"Está","Não está")</f>
        <v>Não está</v>
      </c>
      <c r="T197" t="s">
        <v>1428</v>
      </c>
      <c r="U197" t="s">
        <v>1340</v>
      </c>
      <c r="V197" t="s">
        <v>1429</v>
      </c>
      <c r="W197" t="s">
        <v>1430</v>
      </c>
      <c r="X197">
        <v>2</v>
      </c>
      <c r="Y197" t="s">
        <v>73</v>
      </c>
      <c r="Z197" s="5">
        <v>13400</v>
      </c>
      <c r="AA197" s="5">
        <v>0</v>
      </c>
      <c r="AB197" s="5">
        <v>0</v>
      </c>
      <c r="AC197" s="5">
        <v>0</v>
      </c>
      <c r="AD197" s="5">
        <v>13400</v>
      </c>
      <c r="AE197" s="5">
        <v>1116.666666666667</v>
      </c>
      <c r="AF197" s="5">
        <v>13400</v>
      </c>
      <c r="AG197">
        <v>13400</v>
      </c>
      <c r="AH197">
        <v>1116.666666666667</v>
      </c>
      <c r="AI197">
        <v>13400</v>
      </c>
      <c r="AJ197">
        <v>13400</v>
      </c>
      <c r="AK197">
        <v>0</v>
      </c>
      <c r="AL197">
        <v>13400</v>
      </c>
      <c r="AM197">
        <v>13400</v>
      </c>
      <c r="AN197">
        <v>13400</v>
      </c>
      <c r="AO197" t="s">
        <v>55</v>
      </c>
      <c r="AP197" t="s">
        <v>1431</v>
      </c>
      <c r="AQ197">
        <v>1</v>
      </c>
    </row>
    <row r="198" spans="1:43" x14ac:dyDescent="0.25">
      <c r="A198" t="s">
        <v>42</v>
      </c>
      <c r="B198" t="s">
        <v>43</v>
      </c>
      <c r="C198" t="s">
        <v>44</v>
      </c>
      <c r="D198" t="s">
        <v>45</v>
      </c>
      <c r="E198">
        <v>14</v>
      </c>
      <c r="F198">
        <v>122</v>
      </c>
      <c r="G198">
        <v>3024</v>
      </c>
      <c r="H198">
        <v>2100</v>
      </c>
      <c r="I198" t="s">
        <v>186</v>
      </c>
      <c r="J198" t="s">
        <v>1240</v>
      </c>
      <c r="K198" t="s">
        <v>247</v>
      </c>
      <c r="L198" t="s">
        <v>248</v>
      </c>
      <c r="M198">
        <v>12</v>
      </c>
      <c r="N198" t="s">
        <v>60</v>
      </c>
      <c r="O198">
        <v>2025</v>
      </c>
      <c r="P198">
        <v>11280</v>
      </c>
      <c r="R198" t="s">
        <v>1316</v>
      </c>
      <c r="S198" t="str">
        <f>IF(COUNTIF(Tabela2[PROCESSO],Tabela1[[#This Row],[codProcesso]])&gt;0,"Está","Não está")</f>
        <v>Não está</v>
      </c>
      <c r="T198" t="s">
        <v>1317</v>
      </c>
      <c r="W198" t="s">
        <v>1101</v>
      </c>
      <c r="X198">
        <v>12</v>
      </c>
      <c r="Y198" t="s">
        <v>54</v>
      </c>
      <c r="Z198" s="5">
        <v>13200</v>
      </c>
      <c r="AA198" s="5">
        <v>0</v>
      </c>
      <c r="AB198" s="5">
        <v>0</v>
      </c>
      <c r="AC198" s="5">
        <v>0</v>
      </c>
      <c r="AD198" s="5">
        <v>13200</v>
      </c>
      <c r="AE198" s="5">
        <v>1100</v>
      </c>
      <c r="AF198" s="5">
        <v>13200</v>
      </c>
      <c r="AG198">
        <v>13200</v>
      </c>
      <c r="AH198">
        <v>1100</v>
      </c>
      <c r="AI198">
        <v>13200</v>
      </c>
      <c r="AJ198">
        <v>13200</v>
      </c>
      <c r="AK198">
        <v>0</v>
      </c>
      <c r="AL198">
        <v>13200</v>
      </c>
      <c r="AM198">
        <v>13200</v>
      </c>
      <c r="AN198">
        <v>13200</v>
      </c>
      <c r="AO198" t="s">
        <v>55</v>
      </c>
      <c r="AP198" t="s">
        <v>1318</v>
      </c>
      <c r="AQ198">
        <v>1</v>
      </c>
    </row>
    <row r="199" spans="1:43" x14ac:dyDescent="0.25">
      <c r="A199" t="s">
        <v>42</v>
      </c>
      <c r="B199" t="s">
        <v>43</v>
      </c>
      <c r="C199" t="s">
        <v>44</v>
      </c>
      <c r="D199" t="s">
        <v>45</v>
      </c>
      <c r="E199">
        <v>14</v>
      </c>
      <c r="F199">
        <v>122</v>
      </c>
      <c r="G199">
        <v>3024</v>
      </c>
      <c r="H199">
        <v>2100</v>
      </c>
      <c r="I199" t="s">
        <v>57</v>
      </c>
      <c r="J199" t="s">
        <v>1177</v>
      </c>
      <c r="K199" t="s">
        <v>65</v>
      </c>
      <c r="L199" t="s">
        <v>66</v>
      </c>
      <c r="M199">
        <v>6</v>
      </c>
      <c r="N199" t="s">
        <v>115</v>
      </c>
      <c r="O199">
        <v>2025</v>
      </c>
      <c r="P199">
        <v>10359</v>
      </c>
      <c r="Q199" t="s">
        <v>1213</v>
      </c>
      <c r="R199" t="s">
        <v>1214</v>
      </c>
      <c r="S199" t="str">
        <f>IF(COUNTIF(Tabela2[PROCESSO],Tabela1[[#This Row],[codProcesso]])&gt;0,"Está","Não está")</f>
        <v>Não está</v>
      </c>
      <c r="T199" t="s">
        <v>1215</v>
      </c>
      <c r="U199" t="s">
        <v>1216</v>
      </c>
      <c r="V199" t="s">
        <v>1217</v>
      </c>
      <c r="W199" t="s">
        <v>1218</v>
      </c>
      <c r="X199">
        <v>3</v>
      </c>
      <c r="Y199" t="s">
        <v>73</v>
      </c>
      <c r="Z199" s="5">
        <v>13029.9</v>
      </c>
      <c r="AA199" s="5">
        <v>0</v>
      </c>
      <c r="AB199" s="5">
        <v>0</v>
      </c>
      <c r="AC199" s="5">
        <v>0</v>
      </c>
      <c r="AD199" s="5">
        <v>13029.9</v>
      </c>
      <c r="AE199" s="5">
        <v>1085.825</v>
      </c>
      <c r="AF199" s="5">
        <v>13029.9</v>
      </c>
      <c r="AG199">
        <v>13029.9</v>
      </c>
      <c r="AH199">
        <v>1085.825</v>
      </c>
      <c r="AI199">
        <v>13029.9</v>
      </c>
      <c r="AJ199">
        <v>13029.9</v>
      </c>
      <c r="AK199">
        <v>0</v>
      </c>
      <c r="AL199">
        <v>13029.9</v>
      </c>
      <c r="AM199">
        <v>13029.9</v>
      </c>
      <c r="AN199">
        <v>13029.9</v>
      </c>
      <c r="AO199" t="s">
        <v>55</v>
      </c>
      <c r="AP199" t="s">
        <v>1219</v>
      </c>
      <c r="AQ199">
        <v>1</v>
      </c>
    </row>
    <row r="200" spans="1:43" x14ac:dyDescent="0.25">
      <c r="A200" t="s">
        <v>42</v>
      </c>
      <c r="B200" t="s">
        <v>1322</v>
      </c>
      <c r="C200" t="s">
        <v>1323</v>
      </c>
      <c r="D200" t="s">
        <v>45</v>
      </c>
      <c r="E200">
        <v>14</v>
      </c>
      <c r="F200">
        <v>422</v>
      </c>
      <c r="G200">
        <v>3018</v>
      </c>
      <c r="H200">
        <v>4326</v>
      </c>
      <c r="I200" t="s">
        <v>57</v>
      </c>
      <c r="J200" t="s">
        <v>1639</v>
      </c>
      <c r="K200" t="s">
        <v>65</v>
      </c>
      <c r="L200" t="s">
        <v>66</v>
      </c>
      <c r="M200">
        <v>7</v>
      </c>
      <c r="N200" t="s">
        <v>391</v>
      </c>
      <c r="O200">
        <v>2025</v>
      </c>
      <c r="P200">
        <v>16815</v>
      </c>
      <c r="Q200" t="s">
        <v>1764</v>
      </c>
      <c r="R200" t="s">
        <v>1765</v>
      </c>
      <c r="S200" t="str">
        <f>IF(COUNTIF(Tabela2[PROCESSO],Tabela1[[#This Row],[codProcesso]])&gt;0,"Está","Não está")</f>
        <v>Não está</v>
      </c>
      <c r="T200" t="s">
        <v>1766</v>
      </c>
      <c r="U200" t="s">
        <v>1613</v>
      </c>
      <c r="V200" t="s">
        <v>1366</v>
      </c>
      <c r="W200" t="s">
        <v>1490</v>
      </c>
      <c r="X200">
        <v>0</v>
      </c>
      <c r="Y200" t="s">
        <v>98</v>
      </c>
      <c r="Z200" s="5">
        <v>13000</v>
      </c>
      <c r="AA200" s="5">
        <v>0</v>
      </c>
      <c r="AB200" s="5">
        <v>0</v>
      </c>
      <c r="AC200" s="5">
        <v>0</v>
      </c>
      <c r="AD200" s="5">
        <v>13000</v>
      </c>
      <c r="AE200" s="5">
        <v>1083.333333333333</v>
      </c>
      <c r="AF200" s="5">
        <v>13000</v>
      </c>
      <c r="AG200">
        <v>13000</v>
      </c>
      <c r="AH200">
        <v>1083.333333333333</v>
      </c>
      <c r="AI200">
        <v>13000</v>
      </c>
      <c r="AJ200">
        <v>13000</v>
      </c>
      <c r="AK200">
        <v>0</v>
      </c>
      <c r="AL200">
        <v>13000</v>
      </c>
      <c r="AM200">
        <v>13000</v>
      </c>
      <c r="AN200">
        <v>0</v>
      </c>
      <c r="AO200" t="s">
        <v>55</v>
      </c>
      <c r="AP200" t="s">
        <v>1767</v>
      </c>
      <c r="AQ200">
        <v>1</v>
      </c>
    </row>
    <row r="201" spans="1:43" x14ac:dyDescent="0.25">
      <c r="A201" t="s">
        <v>42</v>
      </c>
      <c r="B201" t="s">
        <v>43</v>
      </c>
      <c r="C201" t="s">
        <v>44</v>
      </c>
      <c r="D201" t="s">
        <v>45</v>
      </c>
      <c r="E201">
        <v>14</v>
      </c>
      <c r="F201">
        <v>422</v>
      </c>
      <c r="G201">
        <v>3018</v>
      </c>
      <c r="H201">
        <v>4333</v>
      </c>
      <c r="I201" t="s">
        <v>57</v>
      </c>
      <c r="J201" t="s">
        <v>517</v>
      </c>
      <c r="K201" t="s">
        <v>65</v>
      </c>
      <c r="L201" t="s">
        <v>66</v>
      </c>
      <c r="M201">
        <v>6</v>
      </c>
      <c r="N201" t="s">
        <v>115</v>
      </c>
      <c r="O201">
        <v>2025</v>
      </c>
      <c r="P201">
        <v>2959</v>
      </c>
      <c r="Q201" t="s">
        <v>587</v>
      </c>
      <c r="R201" t="s">
        <v>588</v>
      </c>
      <c r="S201" t="str">
        <f>IF(COUNTIF(Tabela2[PROCESSO],Tabela1[[#This Row],[codProcesso]])&gt;0,"Está","Não está")</f>
        <v>Está</v>
      </c>
      <c r="T201" t="s">
        <v>589</v>
      </c>
      <c r="U201" t="s">
        <v>455</v>
      </c>
      <c r="V201" t="s">
        <v>590</v>
      </c>
      <c r="W201" t="s">
        <v>591</v>
      </c>
      <c r="X201">
        <v>12</v>
      </c>
      <c r="Y201" t="s">
        <v>73</v>
      </c>
      <c r="Z201" s="5">
        <v>12711.96</v>
      </c>
      <c r="AA201" s="5">
        <v>0</v>
      </c>
      <c r="AB201" s="5">
        <v>0</v>
      </c>
      <c r="AC201" s="5">
        <v>0</v>
      </c>
      <c r="AD201" s="5">
        <v>12711.96</v>
      </c>
      <c r="AE201" s="5">
        <v>1059.33</v>
      </c>
      <c r="AF201" s="5">
        <v>12711.96</v>
      </c>
      <c r="AG201">
        <v>12711.96</v>
      </c>
      <c r="AH201">
        <v>1059.33</v>
      </c>
      <c r="AI201">
        <v>12711.96</v>
      </c>
      <c r="AJ201">
        <v>11652.63</v>
      </c>
      <c r="AK201">
        <v>0</v>
      </c>
      <c r="AL201">
        <v>11652.63</v>
      </c>
      <c r="AM201">
        <v>3107.37</v>
      </c>
      <c r="AN201">
        <v>3107.37</v>
      </c>
      <c r="AO201" t="s">
        <v>55</v>
      </c>
      <c r="AP201" t="s">
        <v>592</v>
      </c>
      <c r="AQ201">
        <v>1</v>
      </c>
    </row>
    <row r="202" spans="1:43" x14ac:dyDescent="0.25">
      <c r="A202" t="s">
        <v>42</v>
      </c>
      <c r="B202" t="s">
        <v>43</v>
      </c>
      <c r="C202" t="s">
        <v>44</v>
      </c>
      <c r="D202" t="s">
        <v>45</v>
      </c>
      <c r="E202">
        <v>14</v>
      </c>
      <c r="F202">
        <v>122</v>
      </c>
      <c r="G202">
        <v>3024</v>
      </c>
      <c r="H202">
        <v>2100</v>
      </c>
      <c r="I202" t="s">
        <v>57</v>
      </c>
      <c r="J202" t="s">
        <v>361</v>
      </c>
      <c r="K202" t="s">
        <v>65</v>
      </c>
      <c r="L202" t="s">
        <v>66</v>
      </c>
      <c r="M202">
        <v>7</v>
      </c>
      <c r="N202" t="s">
        <v>391</v>
      </c>
      <c r="O202">
        <v>2025</v>
      </c>
      <c r="P202">
        <v>6788</v>
      </c>
      <c r="Q202" t="s">
        <v>1076</v>
      </c>
      <c r="R202" t="s">
        <v>1077</v>
      </c>
      <c r="S202" t="str">
        <f>IF(COUNTIF(Tabela2[PROCESSO],Tabela1[[#This Row],[codProcesso]])&gt;0,"Está","Não está")</f>
        <v>Está</v>
      </c>
      <c r="T202" t="s">
        <v>1078</v>
      </c>
      <c r="U202" t="s">
        <v>741</v>
      </c>
      <c r="V202" t="s">
        <v>1079</v>
      </c>
      <c r="W202" t="s">
        <v>540</v>
      </c>
      <c r="X202">
        <v>12</v>
      </c>
      <c r="Y202" t="s">
        <v>73</v>
      </c>
      <c r="Z202" s="5">
        <v>12300</v>
      </c>
      <c r="AA202" s="5">
        <v>0</v>
      </c>
      <c r="AB202" s="5">
        <v>0</v>
      </c>
      <c r="AC202" s="5">
        <v>0</v>
      </c>
      <c r="AD202" s="5">
        <v>12300</v>
      </c>
      <c r="AE202" s="5">
        <v>1025</v>
      </c>
      <c r="AF202" s="5">
        <v>12300</v>
      </c>
      <c r="AG202">
        <v>12300</v>
      </c>
      <c r="AH202">
        <v>1025</v>
      </c>
      <c r="AI202">
        <v>12300</v>
      </c>
      <c r="AJ202">
        <v>12300</v>
      </c>
      <c r="AK202">
        <v>0</v>
      </c>
      <c r="AL202">
        <v>12300</v>
      </c>
      <c r="AM202">
        <v>12300</v>
      </c>
      <c r="AN202">
        <v>12300</v>
      </c>
      <c r="AO202" t="s">
        <v>55</v>
      </c>
      <c r="AP202" t="s">
        <v>1080</v>
      </c>
      <c r="AQ202">
        <v>1</v>
      </c>
    </row>
    <row r="203" spans="1:43" x14ac:dyDescent="0.25">
      <c r="A203" t="s">
        <v>42</v>
      </c>
      <c r="B203" t="s">
        <v>43</v>
      </c>
      <c r="C203" t="s">
        <v>44</v>
      </c>
      <c r="D203" t="s">
        <v>45</v>
      </c>
      <c r="E203">
        <v>14</v>
      </c>
      <c r="F203">
        <v>122</v>
      </c>
      <c r="G203">
        <v>3024</v>
      </c>
      <c r="H203">
        <v>2100</v>
      </c>
      <c r="I203" t="s">
        <v>186</v>
      </c>
      <c r="J203" t="s">
        <v>483</v>
      </c>
      <c r="K203" t="s">
        <v>58</v>
      </c>
      <c r="L203" t="s">
        <v>59</v>
      </c>
      <c r="M203">
        <v>12</v>
      </c>
      <c r="N203" t="s">
        <v>60</v>
      </c>
      <c r="O203">
        <v>2025</v>
      </c>
      <c r="P203">
        <v>13295</v>
      </c>
      <c r="R203" t="s">
        <v>1443</v>
      </c>
      <c r="S203" t="str">
        <f>IF(COUNTIF(Tabela2[PROCESSO],Tabela1[[#This Row],[codProcesso]])&gt;0,"Está","Não está")</f>
        <v>Não está</v>
      </c>
      <c r="T203" t="s">
        <v>1444</v>
      </c>
      <c r="W203" t="s">
        <v>1238</v>
      </c>
      <c r="X203">
        <v>12</v>
      </c>
      <c r="Y203" t="s">
        <v>54</v>
      </c>
      <c r="Z203" s="5">
        <v>12002.5</v>
      </c>
      <c r="AA203" s="5">
        <v>0</v>
      </c>
      <c r="AB203" s="5">
        <v>0</v>
      </c>
      <c r="AC203" s="5">
        <v>0</v>
      </c>
      <c r="AD203" s="5">
        <v>12002.5</v>
      </c>
      <c r="AE203" s="5">
        <v>1000.208333333333</v>
      </c>
      <c r="AF203" s="5">
        <v>12002.5</v>
      </c>
      <c r="AG203">
        <v>12002.5</v>
      </c>
      <c r="AH203">
        <v>1000.208333333333</v>
      </c>
      <c r="AI203">
        <v>12002.5</v>
      </c>
      <c r="AJ203">
        <v>12002.5</v>
      </c>
      <c r="AK203">
        <v>0</v>
      </c>
      <c r="AL203">
        <v>12002.5</v>
      </c>
      <c r="AM203">
        <v>0</v>
      </c>
      <c r="AN203">
        <v>0</v>
      </c>
      <c r="AO203" t="s">
        <v>55</v>
      </c>
      <c r="AP203" t="s">
        <v>1445</v>
      </c>
      <c r="AQ203">
        <v>1</v>
      </c>
    </row>
    <row r="204" spans="1:43" x14ac:dyDescent="0.25">
      <c r="A204" t="s">
        <v>42</v>
      </c>
      <c r="B204" t="s">
        <v>43</v>
      </c>
      <c r="C204" t="s">
        <v>44</v>
      </c>
      <c r="D204" t="s">
        <v>45</v>
      </c>
      <c r="E204">
        <v>14</v>
      </c>
      <c r="F204">
        <v>122</v>
      </c>
      <c r="G204">
        <v>3024</v>
      </c>
      <c r="H204">
        <v>2100</v>
      </c>
      <c r="I204" t="s">
        <v>246</v>
      </c>
      <c r="J204" t="s">
        <v>517</v>
      </c>
      <c r="K204" t="s">
        <v>491</v>
      </c>
      <c r="L204" t="s">
        <v>492</v>
      </c>
      <c r="M204">
        <v>6</v>
      </c>
      <c r="N204" t="s">
        <v>115</v>
      </c>
      <c r="O204">
        <v>2025</v>
      </c>
      <c r="P204">
        <v>2774</v>
      </c>
      <c r="Q204" t="s">
        <v>557</v>
      </c>
      <c r="R204" t="s">
        <v>558</v>
      </c>
      <c r="S204" t="str">
        <f>IF(COUNTIF(Tabela2[PROCESSO],Tabela1[[#This Row],[codProcesso]])&gt;0,"Está","Não está")</f>
        <v>Não está</v>
      </c>
      <c r="T204" t="s">
        <v>559</v>
      </c>
      <c r="U204" t="s">
        <v>560</v>
      </c>
      <c r="V204" t="s">
        <v>532</v>
      </c>
      <c r="W204" t="s">
        <v>561</v>
      </c>
      <c r="X204">
        <v>13</v>
      </c>
      <c r="Y204" t="s">
        <v>73</v>
      </c>
      <c r="Z204" s="5">
        <v>11250</v>
      </c>
      <c r="AA204" s="5">
        <v>0</v>
      </c>
      <c r="AB204" s="5">
        <v>0</v>
      </c>
      <c r="AC204" s="5">
        <v>0</v>
      </c>
      <c r="AD204" s="5">
        <v>11250</v>
      </c>
      <c r="AE204" s="5">
        <v>865.38461538461536</v>
      </c>
      <c r="AF204" s="5">
        <v>10384.615384615379</v>
      </c>
      <c r="AG204">
        <v>11250</v>
      </c>
      <c r="AH204">
        <v>865.38461538461536</v>
      </c>
      <c r="AI204">
        <v>10384.615384615379</v>
      </c>
      <c r="AJ204">
        <v>11250</v>
      </c>
      <c r="AK204">
        <v>0</v>
      </c>
      <c r="AL204">
        <v>11250</v>
      </c>
      <c r="AM204">
        <v>11250</v>
      </c>
      <c r="AN204">
        <v>11250</v>
      </c>
      <c r="AO204" t="s">
        <v>55</v>
      </c>
      <c r="AP204" t="s">
        <v>562</v>
      </c>
      <c r="AQ204">
        <v>1</v>
      </c>
    </row>
    <row r="205" spans="1:43" x14ac:dyDescent="0.25">
      <c r="A205" t="s">
        <v>42</v>
      </c>
      <c r="B205" t="s">
        <v>43</v>
      </c>
      <c r="C205" t="s">
        <v>44</v>
      </c>
      <c r="D205" t="s">
        <v>45</v>
      </c>
      <c r="E205">
        <v>14</v>
      </c>
      <c r="F205">
        <v>122</v>
      </c>
      <c r="G205">
        <v>3024</v>
      </c>
      <c r="H205">
        <v>2100</v>
      </c>
      <c r="I205" t="s">
        <v>186</v>
      </c>
      <c r="J205" t="s">
        <v>517</v>
      </c>
      <c r="K205" t="s">
        <v>491</v>
      </c>
      <c r="L205" t="s">
        <v>492</v>
      </c>
      <c r="M205">
        <v>12</v>
      </c>
      <c r="N205" t="s">
        <v>60</v>
      </c>
      <c r="O205">
        <v>2025</v>
      </c>
      <c r="P205">
        <v>5305</v>
      </c>
      <c r="Q205" t="s">
        <v>530</v>
      </c>
      <c r="R205" t="s">
        <v>526</v>
      </c>
      <c r="S205" t="str">
        <f>IF(COUNTIF(Tabela2[PROCESSO],Tabela1[[#This Row],[codProcesso]])&gt;0,"Está","Não está")</f>
        <v>Não está</v>
      </c>
      <c r="T205" t="s">
        <v>531</v>
      </c>
      <c r="U205" t="s">
        <v>532</v>
      </c>
      <c r="V205" t="s">
        <v>533</v>
      </c>
      <c r="W205" t="s">
        <v>534</v>
      </c>
      <c r="X205">
        <v>1</v>
      </c>
      <c r="Y205" t="s">
        <v>98</v>
      </c>
      <c r="Z205" s="5">
        <v>11200</v>
      </c>
      <c r="AA205" s="5">
        <v>0</v>
      </c>
      <c r="AB205" s="5">
        <v>0</v>
      </c>
      <c r="AC205" s="5">
        <v>0</v>
      </c>
      <c r="AD205" s="5">
        <v>11200</v>
      </c>
      <c r="AE205" s="5">
        <v>933.33333333333337</v>
      </c>
      <c r="AF205" s="5">
        <v>11200</v>
      </c>
      <c r="AG205">
        <v>6832</v>
      </c>
      <c r="AH205">
        <v>569.33333333333337</v>
      </c>
      <c r="AI205">
        <v>6832</v>
      </c>
      <c r="AJ205">
        <v>11200</v>
      </c>
      <c r="AK205">
        <v>0</v>
      </c>
      <c r="AL205">
        <v>11200</v>
      </c>
      <c r="AM205">
        <v>11200</v>
      </c>
      <c r="AN205">
        <v>11200</v>
      </c>
      <c r="AO205" t="s">
        <v>55</v>
      </c>
      <c r="AP205" t="s">
        <v>529</v>
      </c>
      <c r="AQ205">
        <v>0.61</v>
      </c>
    </row>
    <row r="206" spans="1:43" x14ac:dyDescent="0.25">
      <c r="A206" t="s">
        <v>42</v>
      </c>
      <c r="B206" t="s">
        <v>1322</v>
      </c>
      <c r="C206" t="s">
        <v>1323</v>
      </c>
      <c r="D206" t="s">
        <v>45</v>
      </c>
      <c r="E206">
        <v>14</v>
      </c>
      <c r="F206">
        <v>422</v>
      </c>
      <c r="G206">
        <v>3018</v>
      </c>
      <c r="H206">
        <v>4326</v>
      </c>
      <c r="I206" t="s">
        <v>57</v>
      </c>
      <c r="J206" t="s">
        <v>1600</v>
      </c>
      <c r="K206" t="s">
        <v>65</v>
      </c>
      <c r="L206" t="s">
        <v>66</v>
      </c>
      <c r="M206">
        <v>7</v>
      </c>
      <c r="N206" t="s">
        <v>391</v>
      </c>
      <c r="O206">
        <v>2025</v>
      </c>
      <c r="P206">
        <v>16544</v>
      </c>
      <c r="R206" t="s">
        <v>1629</v>
      </c>
      <c r="S206" t="str">
        <f>IF(COUNTIF(Tabela2[PROCESSO],Tabela1[[#This Row],[codProcesso]])&gt;0,"Está","Não está")</f>
        <v>Não está</v>
      </c>
      <c r="T206" t="s">
        <v>1630</v>
      </c>
      <c r="X206">
        <v>12</v>
      </c>
      <c r="Y206" t="s">
        <v>54</v>
      </c>
      <c r="Z206" s="5">
        <v>11000</v>
      </c>
      <c r="AA206" s="5">
        <v>0</v>
      </c>
      <c r="AB206" s="5">
        <v>0</v>
      </c>
      <c r="AC206" s="5">
        <v>0</v>
      </c>
      <c r="AD206" s="5">
        <v>11000</v>
      </c>
      <c r="AE206" s="5">
        <v>916.66666666666663</v>
      </c>
      <c r="AF206" s="5">
        <v>11000</v>
      </c>
      <c r="AG206">
        <v>11000</v>
      </c>
      <c r="AH206">
        <v>916.66666666666663</v>
      </c>
      <c r="AI206">
        <v>11000</v>
      </c>
      <c r="AJ206">
        <v>11000</v>
      </c>
      <c r="AK206">
        <v>0</v>
      </c>
      <c r="AL206">
        <v>11000</v>
      </c>
      <c r="AM206">
        <v>0</v>
      </c>
      <c r="AN206">
        <v>0</v>
      </c>
      <c r="AO206" t="s">
        <v>55</v>
      </c>
      <c r="AP206" t="s">
        <v>1631</v>
      </c>
      <c r="AQ206">
        <v>1</v>
      </c>
    </row>
    <row r="207" spans="1:43" x14ac:dyDescent="0.25">
      <c r="A207" t="s">
        <v>42</v>
      </c>
      <c r="B207" t="s">
        <v>1322</v>
      </c>
      <c r="C207" t="s">
        <v>1323</v>
      </c>
      <c r="D207" t="s">
        <v>45</v>
      </c>
      <c r="E207">
        <v>14</v>
      </c>
      <c r="F207">
        <v>422</v>
      </c>
      <c r="G207">
        <v>3018</v>
      </c>
      <c r="H207">
        <v>4326</v>
      </c>
      <c r="I207" t="s">
        <v>57</v>
      </c>
      <c r="J207" t="s">
        <v>1600</v>
      </c>
      <c r="K207" t="s">
        <v>65</v>
      </c>
      <c r="L207" t="s">
        <v>66</v>
      </c>
      <c r="M207">
        <v>7</v>
      </c>
      <c r="N207" t="s">
        <v>391</v>
      </c>
      <c r="O207">
        <v>2025</v>
      </c>
      <c r="P207">
        <v>16691</v>
      </c>
      <c r="R207" t="s">
        <v>1636</v>
      </c>
      <c r="S207" t="str">
        <f>IF(COUNTIF(Tabela2[PROCESSO],Tabela1[[#This Row],[codProcesso]])&gt;0,"Está","Não está")</f>
        <v>Não está</v>
      </c>
      <c r="T207" t="s">
        <v>1637</v>
      </c>
      <c r="X207">
        <v>12</v>
      </c>
      <c r="Y207" t="s">
        <v>54</v>
      </c>
      <c r="Z207" s="5">
        <v>11000</v>
      </c>
      <c r="AA207" s="5">
        <v>0</v>
      </c>
      <c r="AB207" s="5">
        <v>0</v>
      </c>
      <c r="AC207" s="5">
        <v>0</v>
      </c>
      <c r="AD207" s="5">
        <v>11000</v>
      </c>
      <c r="AE207" s="5">
        <v>916.66666666666663</v>
      </c>
      <c r="AF207" s="5">
        <v>11000</v>
      </c>
      <c r="AG207">
        <v>11000</v>
      </c>
      <c r="AH207">
        <v>916.66666666666663</v>
      </c>
      <c r="AI207">
        <v>11000</v>
      </c>
      <c r="AJ207">
        <v>11000</v>
      </c>
      <c r="AK207">
        <v>0</v>
      </c>
      <c r="AL207">
        <v>11000</v>
      </c>
      <c r="AM207">
        <v>0</v>
      </c>
      <c r="AN207">
        <v>0</v>
      </c>
      <c r="AO207" t="s">
        <v>55</v>
      </c>
      <c r="AP207" t="s">
        <v>1638</v>
      </c>
      <c r="AQ207">
        <v>1</v>
      </c>
    </row>
    <row r="208" spans="1:43" x14ac:dyDescent="0.25">
      <c r="A208" t="s">
        <v>42</v>
      </c>
      <c r="B208" t="s">
        <v>1322</v>
      </c>
      <c r="C208" t="s">
        <v>1323</v>
      </c>
      <c r="D208" t="s">
        <v>45</v>
      </c>
      <c r="E208">
        <v>14</v>
      </c>
      <c r="F208">
        <v>422</v>
      </c>
      <c r="G208">
        <v>3018</v>
      </c>
      <c r="H208">
        <v>4326</v>
      </c>
      <c r="I208" t="s">
        <v>57</v>
      </c>
      <c r="J208" t="s">
        <v>1639</v>
      </c>
      <c r="K208" t="s">
        <v>65</v>
      </c>
      <c r="L208" t="s">
        <v>66</v>
      </c>
      <c r="M208">
        <v>7</v>
      </c>
      <c r="N208" t="s">
        <v>391</v>
      </c>
      <c r="O208">
        <v>2025</v>
      </c>
      <c r="P208">
        <v>16737</v>
      </c>
      <c r="Q208" t="s">
        <v>1674</v>
      </c>
      <c r="R208" t="s">
        <v>1675</v>
      </c>
      <c r="S208" t="str">
        <f>IF(COUNTIF(Tabela2[PROCESSO],Tabela1[[#This Row],[codProcesso]])&gt;0,"Está","Não está")</f>
        <v>Não está</v>
      </c>
      <c r="T208" t="s">
        <v>1676</v>
      </c>
      <c r="U208" t="s">
        <v>1613</v>
      </c>
      <c r="V208" t="s">
        <v>1569</v>
      </c>
      <c r="W208" t="s">
        <v>1500</v>
      </c>
      <c r="X208">
        <v>0</v>
      </c>
      <c r="Y208" t="s">
        <v>98</v>
      </c>
      <c r="Z208" s="5">
        <v>11000</v>
      </c>
      <c r="AA208" s="5">
        <v>0</v>
      </c>
      <c r="AB208" s="5">
        <v>0</v>
      </c>
      <c r="AC208" s="5">
        <v>0</v>
      </c>
      <c r="AD208" s="5">
        <v>11000</v>
      </c>
      <c r="AE208" s="5">
        <v>916.66666666666663</v>
      </c>
      <c r="AF208" s="5">
        <v>11000</v>
      </c>
      <c r="AG208">
        <v>11000</v>
      </c>
      <c r="AH208">
        <v>916.66666666666663</v>
      </c>
      <c r="AI208">
        <v>11000</v>
      </c>
      <c r="AJ208">
        <v>11000</v>
      </c>
      <c r="AK208">
        <v>0</v>
      </c>
      <c r="AL208">
        <v>11000</v>
      </c>
      <c r="AM208">
        <v>11000</v>
      </c>
      <c r="AN208">
        <v>0</v>
      </c>
      <c r="AO208" t="s">
        <v>55</v>
      </c>
      <c r="AP208" t="s">
        <v>1677</v>
      </c>
      <c r="AQ208">
        <v>1</v>
      </c>
    </row>
    <row r="209" spans="1:43" x14ac:dyDescent="0.25">
      <c r="A209" t="s">
        <v>42</v>
      </c>
      <c r="B209" t="s">
        <v>43</v>
      </c>
      <c r="C209" t="s">
        <v>44</v>
      </c>
      <c r="D209" t="s">
        <v>45</v>
      </c>
      <c r="E209">
        <v>14</v>
      </c>
      <c r="F209">
        <v>422</v>
      </c>
      <c r="G209">
        <v>3013</v>
      </c>
      <c r="H209">
        <v>2053</v>
      </c>
      <c r="I209" t="s">
        <v>186</v>
      </c>
      <c r="J209" t="s">
        <v>361</v>
      </c>
      <c r="K209" t="s">
        <v>247</v>
      </c>
      <c r="L209" t="s">
        <v>248</v>
      </c>
      <c r="M209">
        <v>6</v>
      </c>
      <c r="N209" t="s">
        <v>115</v>
      </c>
      <c r="O209">
        <v>2025</v>
      </c>
      <c r="P209">
        <v>12500</v>
      </c>
      <c r="R209" t="s">
        <v>1395</v>
      </c>
      <c r="S209" t="str">
        <f>IF(COUNTIF(Tabela2[PROCESSO],Tabela1[[#This Row],[codProcesso]])&gt;0,"Está","Não está")</f>
        <v>Não está</v>
      </c>
      <c r="T209" t="s">
        <v>1396</v>
      </c>
      <c r="W209" t="s">
        <v>1397</v>
      </c>
      <c r="X209">
        <v>12</v>
      </c>
      <c r="Y209" t="s">
        <v>54</v>
      </c>
      <c r="Z209" s="5">
        <v>10998.9</v>
      </c>
      <c r="AA209" s="5">
        <v>0</v>
      </c>
      <c r="AB209" s="5">
        <v>0</v>
      </c>
      <c r="AC209" s="5">
        <v>0</v>
      </c>
      <c r="AD209" s="5">
        <v>10998.9</v>
      </c>
      <c r="AE209" s="5">
        <v>916.57499999999993</v>
      </c>
      <c r="AF209" s="5">
        <v>10998.9</v>
      </c>
      <c r="AG209">
        <v>10998.9</v>
      </c>
      <c r="AH209">
        <v>916.57499999999993</v>
      </c>
      <c r="AI209">
        <v>10998.9</v>
      </c>
      <c r="AJ209">
        <v>10998.9</v>
      </c>
      <c r="AK209">
        <v>0</v>
      </c>
      <c r="AL209">
        <v>10998.9</v>
      </c>
      <c r="AM209">
        <v>10998.9</v>
      </c>
      <c r="AN209">
        <v>0</v>
      </c>
      <c r="AO209" t="s">
        <v>55</v>
      </c>
      <c r="AP209" t="s">
        <v>1398</v>
      </c>
      <c r="AQ209">
        <v>1</v>
      </c>
    </row>
    <row r="210" spans="1:43" x14ac:dyDescent="0.25">
      <c r="A210" t="s">
        <v>42</v>
      </c>
      <c r="B210" t="s">
        <v>43</v>
      </c>
      <c r="C210" t="s">
        <v>44</v>
      </c>
      <c r="D210" t="s">
        <v>45</v>
      </c>
      <c r="E210">
        <v>14</v>
      </c>
      <c r="F210">
        <v>122</v>
      </c>
      <c r="G210">
        <v>3024</v>
      </c>
      <c r="H210">
        <v>2100</v>
      </c>
      <c r="I210" t="s">
        <v>186</v>
      </c>
      <c r="J210" t="s">
        <v>439</v>
      </c>
      <c r="K210" t="s">
        <v>247</v>
      </c>
      <c r="L210" t="s">
        <v>248</v>
      </c>
      <c r="M210">
        <v>12</v>
      </c>
      <c r="N210" t="s">
        <v>60</v>
      </c>
      <c r="O210">
        <v>2025</v>
      </c>
      <c r="P210">
        <v>14447</v>
      </c>
      <c r="R210" t="s">
        <v>1539</v>
      </c>
      <c r="S210" t="str">
        <f>IF(COUNTIF(Tabela2[PROCESSO],Tabela1[[#This Row],[codProcesso]])&gt;0,"Está","Não está")</f>
        <v>Não está</v>
      </c>
      <c r="T210" t="s">
        <v>1540</v>
      </c>
      <c r="W210" t="s">
        <v>1490</v>
      </c>
      <c r="X210">
        <v>12</v>
      </c>
      <c r="Y210" t="s">
        <v>54</v>
      </c>
      <c r="Z210" s="5">
        <v>10550</v>
      </c>
      <c r="AA210" s="5">
        <v>0</v>
      </c>
      <c r="AB210" s="5">
        <v>0</v>
      </c>
      <c r="AC210" s="5">
        <v>0</v>
      </c>
      <c r="AD210" s="5">
        <v>10550</v>
      </c>
      <c r="AE210" s="5">
        <v>879.16666666666663</v>
      </c>
      <c r="AF210" s="5">
        <v>10550</v>
      </c>
      <c r="AG210">
        <v>10550</v>
      </c>
      <c r="AH210">
        <v>879.16666666666663</v>
      </c>
      <c r="AI210">
        <v>10550</v>
      </c>
      <c r="AJ210">
        <v>10550</v>
      </c>
      <c r="AK210">
        <v>0</v>
      </c>
      <c r="AL210">
        <v>10550</v>
      </c>
      <c r="AM210">
        <v>10550</v>
      </c>
      <c r="AN210">
        <v>10550</v>
      </c>
      <c r="AO210" t="s">
        <v>55</v>
      </c>
      <c r="AP210" t="s">
        <v>1541</v>
      </c>
      <c r="AQ210">
        <v>1</v>
      </c>
    </row>
    <row r="211" spans="1:43" x14ac:dyDescent="0.25">
      <c r="A211" t="s">
        <v>42</v>
      </c>
      <c r="B211" t="s">
        <v>43</v>
      </c>
      <c r="C211" t="s">
        <v>44</v>
      </c>
      <c r="D211" t="s">
        <v>45</v>
      </c>
      <c r="E211">
        <v>14</v>
      </c>
      <c r="F211">
        <v>122</v>
      </c>
      <c r="G211">
        <v>3024</v>
      </c>
      <c r="H211">
        <v>2100</v>
      </c>
      <c r="I211" t="s">
        <v>57</v>
      </c>
      <c r="J211" t="s">
        <v>749</v>
      </c>
      <c r="K211" t="s">
        <v>247</v>
      </c>
      <c r="L211" t="s">
        <v>248</v>
      </c>
      <c r="M211">
        <v>12</v>
      </c>
      <c r="N211" t="s">
        <v>60</v>
      </c>
      <c r="O211">
        <v>2025</v>
      </c>
      <c r="P211">
        <v>4037</v>
      </c>
      <c r="R211" t="s">
        <v>873</v>
      </c>
      <c r="S211" t="str">
        <f>IF(COUNTIF(Tabela2[PROCESSO],Tabela1[[#This Row],[codProcesso]])&gt;0,"Está","Não está")</f>
        <v>Não está</v>
      </c>
      <c r="T211" t="s">
        <v>874</v>
      </c>
      <c r="W211" t="s">
        <v>544</v>
      </c>
      <c r="X211">
        <v>12</v>
      </c>
      <c r="Y211" t="s">
        <v>54</v>
      </c>
      <c r="Z211" s="5">
        <v>10048</v>
      </c>
      <c r="AA211" s="5">
        <v>0</v>
      </c>
      <c r="AB211" s="5">
        <v>0</v>
      </c>
      <c r="AC211" s="5">
        <v>0</v>
      </c>
      <c r="AD211" s="5">
        <v>10048</v>
      </c>
      <c r="AE211" s="5">
        <v>837.33333333333337</v>
      </c>
      <c r="AF211" s="5">
        <v>10048</v>
      </c>
      <c r="AG211">
        <v>10048</v>
      </c>
      <c r="AH211">
        <v>837.33333333333337</v>
      </c>
      <c r="AI211">
        <v>10048</v>
      </c>
      <c r="AJ211">
        <v>10048</v>
      </c>
      <c r="AK211">
        <v>0</v>
      </c>
      <c r="AL211">
        <v>10048</v>
      </c>
      <c r="AM211">
        <v>10048</v>
      </c>
      <c r="AN211">
        <v>10048</v>
      </c>
      <c r="AO211" t="s">
        <v>55</v>
      </c>
      <c r="AP211" t="s">
        <v>875</v>
      </c>
      <c r="AQ211">
        <v>1</v>
      </c>
    </row>
    <row r="212" spans="1:43" x14ac:dyDescent="0.25">
      <c r="A212" t="s">
        <v>42</v>
      </c>
      <c r="B212" t="s">
        <v>43</v>
      </c>
      <c r="C212" t="s">
        <v>44</v>
      </c>
      <c r="D212" t="s">
        <v>45</v>
      </c>
      <c r="E212">
        <v>14</v>
      </c>
      <c r="F212">
        <v>122</v>
      </c>
      <c r="G212">
        <v>3024</v>
      </c>
      <c r="H212">
        <v>2100</v>
      </c>
      <c r="I212" t="s">
        <v>186</v>
      </c>
      <c r="J212" t="s">
        <v>1566</v>
      </c>
      <c r="K212" t="s">
        <v>247</v>
      </c>
      <c r="L212" t="s">
        <v>248</v>
      </c>
      <c r="M212">
        <v>12</v>
      </c>
      <c r="N212" t="s">
        <v>60</v>
      </c>
      <c r="O212">
        <v>2025</v>
      </c>
      <c r="P212">
        <v>15272</v>
      </c>
      <c r="R212" t="s">
        <v>1567</v>
      </c>
      <c r="S212" t="str">
        <f>IF(COUNTIF(Tabela2[PROCESSO],Tabela1[[#This Row],[codProcesso]])&gt;0,"Está","Não está")</f>
        <v>Não está</v>
      </c>
      <c r="T212" t="s">
        <v>1568</v>
      </c>
      <c r="W212" t="s">
        <v>1569</v>
      </c>
      <c r="X212">
        <v>12</v>
      </c>
      <c r="Y212" t="s">
        <v>54</v>
      </c>
      <c r="Z212" s="5">
        <v>10000.120000000001</v>
      </c>
      <c r="AA212" s="5">
        <v>0</v>
      </c>
      <c r="AB212" s="5">
        <v>0</v>
      </c>
      <c r="AC212" s="5">
        <v>0</v>
      </c>
      <c r="AD212" s="5">
        <v>10000.120000000001</v>
      </c>
      <c r="AE212" s="5">
        <v>833.34333333333336</v>
      </c>
      <c r="AF212" s="5">
        <v>10000.120000000001</v>
      </c>
      <c r="AG212">
        <v>10000.120000000001</v>
      </c>
      <c r="AH212">
        <v>833.34333333333336</v>
      </c>
      <c r="AI212">
        <v>10000.120000000001</v>
      </c>
      <c r="AJ212">
        <v>10000.120000000001</v>
      </c>
      <c r="AK212">
        <v>0</v>
      </c>
      <c r="AL212">
        <v>10000.120000000001</v>
      </c>
      <c r="AM212">
        <v>10000.120000000001</v>
      </c>
      <c r="AN212">
        <v>0</v>
      </c>
      <c r="AO212" t="s">
        <v>55</v>
      </c>
      <c r="AP212" t="s">
        <v>1570</v>
      </c>
      <c r="AQ212">
        <v>1</v>
      </c>
    </row>
    <row r="213" spans="1:43" x14ac:dyDescent="0.25">
      <c r="A213" t="s">
        <v>42</v>
      </c>
      <c r="B213" t="s">
        <v>1322</v>
      </c>
      <c r="C213" t="s">
        <v>1323</v>
      </c>
      <c r="D213" t="s">
        <v>45</v>
      </c>
      <c r="E213">
        <v>14</v>
      </c>
      <c r="F213">
        <v>122</v>
      </c>
      <c r="G213">
        <v>3024</v>
      </c>
      <c r="H213">
        <v>2100</v>
      </c>
      <c r="I213" t="s">
        <v>57</v>
      </c>
      <c r="J213" t="s">
        <v>1240</v>
      </c>
      <c r="K213" t="s">
        <v>65</v>
      </c>
      <c r="L213" t="s">
        <v>66</v>
      </c>
      <c r="M213">
        <v>7</v>
      </c>
      <c r="N213" t="s">
        <v>391</v>
      </c>
      <c r="O213">
        <v>2025</v>
      </c>
      <c r="P213">
        <v>11610</v>
      </c>
      <c r="Q213" t="s">
        <v>1342</v>
      </c>
      <c r="R213" t="s">
        <v>1343</v>
      </c>
      <c r="S213" t="str">
        <f>IF(COUNTIF(Tabela2[PROCESSO],Tabela1[[#This Row],[codProcesso]])&gt;0,"Está","Não está")</f>
        <v>Não está</v>
      </c>
      <c r="T213" t="s">
        <v>1344</v>
      </c>
      <c r="U213" t="s">
        <v>1236</v>
      </c>
      <c r="V213" t="s">
        <v>1237</v>
      </c>
      <c r="W213" t="s">
        <v>1332</v>
      </c>
      <c r="X213">
        <v>0</v>
      </c>
      <c r="Y213" t="s">
        <v>98</v>
      </c>
      <c r="Z213" s="5">
        <v>10000</v>
      </c>
      <c r="AA213" s="5">
        <v>0</v>
      </c>
      <c r="AB213" s="5">
        <v>0</v>
      </c>
      <c r="AC213" s="5">
        <v>0</v>
      </c>
      <c r="AD213" s="5">
        <v>10000</v>
      </c>
      <c r="AE213" s="5">
        <v>833.33333333333337</v>
      </c>
      <c r="AF213" s="5">
        <v>10000</v>
      </c>
      <c r="AG213">
        <v>10000</v>
      </c>
      <c r="AH213">
        <v>833.33333333333337</v>
      </c>
      <c r="AI213">
        <v>10000</v>
      </c>
      <c r="AJ213">
        <v>10000</v>
      </c>
      <c r="AK213">
        <v>0</v>
      </c>
      <c r="AL213">
        <v>10000</v>
      </c>
      <c r="AM213">
        <v>10000</v>
      </c>
      <c r="AN213">
        <v>10000</v>
      </c>
      <c r="AO213" t="s">
        <v>55</v>
      </c>
      <c r="AP213" t="s">
        <v>1345</v>
      </c>
      <c r="AQ213">
        <v>1</v>
      </c>
    </row>
    <row r="214" spans="1:43" x14ac:dyDescent="0.25">
      <c r="A214" t="s">
        <v>42</v>
      </c>
      <c r="B214" t="s">
        <v>43</v>
      </c>
      <c r="C214" t="s">
        <v>44</v>
      </c>
      <c r="D214" t="s">
        <v>45</v>
      </c>
      <c r="E214">
        <v>14</v>
      </c>
      <c r="F214">
        <v>122</v>
      </c>
      <c r="G214">
        <v>3024</v>
      </c>
      <c r="H214">
        <v>2100</v>
      </c>
      <c r="I214" t="s">
        <v>186</v>
      </c>
      <c r="J214" t="s">
        <v>483</v>
      </c>
      <c r="K214" t="s">
        <v>65</v>
      </c>
      <c r="L214" t="s">
        <v>66</v>
      </c>
      <c r="M214">
        <v>6</v>
      </c>
      <c r="N214" t="s">
        <v>115</v>
      </c>
      <c r="O214">
        <v>2025</v>
      </c>
      <c r="P214">
        <v>13749</v>
      </c>
      <c r="R214" t="s">
        <v>1471</v>
      </c>
      <c r="S214" t="str">
        <f>IF(COUNTIF(Tabela2[PROCESSO],Tabela1[[#This Row],[codProcesso]])&gt;0,"Está","Não está")</f>
        <v>Não está</v>
      </c>
      <c r="T214" t="s">
        <v>1472</v>
      </c>
      <c r="X214">
        <v>12</v>
      </c>
      <c r="Y214" t="s">
        <v>54</v>
      </c>
      <c r="Z214" s="5">
        <v>10000</v>
      </c>
      <c r="AA214" s="5">
        <v>0</v>
      </c>
      <c r="AB214" s="5">
        <v>0</v>
      </c>
      <c r="AC214" s="5">
        <v>0</v>
      </c>
      <c r="AD214" s="5">
        <v>10000</v>
      </c>
      <c r="AE214" s="5">
        <v>833.33333333333337</v>
      </c>
      <c r="AF214" s="5">
        <v>10000</v>
      </c>
      <c r="AG214">
        <v>10000</v>
      </c>
      <c r="AH214">
        <v>833.33333333333337</v>
      </c>
      <c r="AI214">
        <v>10000</v>
      </c>
      <c r="AJ214">
        <v>10000</v>
      </c>
      <c r="AK214">
        <v>0</v>
      </c>
      <c r="AL214">
        <v>10000</v>
      </c>
      <c r="AM214">
        <v>0</v>
      </c>
      <c r="AN214">
        <v>0</v>
      </c>
      <c r="AO214" t="s">
        <v>55</v>
      </c>
      <c r="AP214" t="s">
        <v>1473</v>
      </c>
      <c r="AQ214">
        <v>1</v>
      </c>
    </row>
    <row r="215" spans="1:43" x14ac:dyDescent="0.25">
      <c r="A215" t="s">
        <v>42</v>
      </c>
      <c r="B215" t="s">
        <v>1322</v>
      </c>
      <c r="C215" t="s">
        <v>1323</v>
      </c>
      <c r="D215" t="s">
        <v>45</v>
      </c>
      <c r="E215">
        <v>14</v>
      </c>
      <c r="F215">
        <v>422</v>
      </c>
      <c r="G215">
        <v>3018</v>
      </c>
      <c r="H215">
        <v>4326</v>
      </c>
      <c r="I215" t="s">
        <v>57</v>
      </c>
      <c r="J215" t="s">
        <v>1639</v>
      </c>
      <c r="K215" t="s">
        <v>65</v>
      </c>
      <c r="L215" t="s">
        <v>66</v>
      </c>
      <c r="M215">
        <v>7</v>
      </c>
      <c r="N215" t="s">
        <v>391</v>
      </c>
      <c r="O215">
        <v>2025</v>
      </c>
      <c r="P215">
        <v>16755</v>
      </c>
      <c r="R215" t="s">
        <v>1706</v>
      </c>
      <c r="S215" t="str">
        <f>IF(COUNTIF(Tabela2[PROCESSO],Tabela1[[#This Row],[codProcesso]])&gt;0,"Está","Não está")</f>
        <v>Não está</v>
      </c>
      <c r="T215" t="s">
        <v>1707</v>
      </c>
      <c r="X215">
        <v>12</v>
      </c>
      <c r="Y215" t="s">
        <v>54</v>
      </c>
      <c r="Z215" s="5">
        <v>10000</v>
      </c>
      <c r="AA215" s="5">
        <v>0</v>
      </c>
      <c r="AB215" s="5">
        <v>0</v>
      </c>
      <c r="AC215" s="5">
        <v>0</v>
      </c>
      <c r="AD215" s="5">
        <v>10000</v>
      </c>
      <c r="AE215" s="5">
        <v>833.33333333333337</v>
      </c>
      <c r="AF215" s="5">
        <v>10000</v>
      </c>
      <c r="AG215">
        <v>10000</v>
      </c>
      <c r="AH215">
        <v>833.33333333333337</v>
      </c>
      <c r="AI215">
        <v>10000</v>
      </c>
      <c r="AJ215">
        <v>10000</v>
      </c>
      <c r="AK215">
        <v>0</v>
      </c>
      <c r="AL215">
        <v>10000</v>
      </c>
      <c r="AM215">
        <v>0</v>
      </c>
      <c r="AN215">
        <v>0</v>
      </c>
      <c r="AO215" t="s">
        <v>55</v>
      </c>
      <c r="AP215" t="s">
        <v>1708</v>
      </c>
      <c r="AQ215">
        <v>1</v>
      </c>
    </row>
    <row r="216" spans="1:43" x14ac:dyDescent="0.25">
      <c r="A216" t="s">
        <v>42</v>
      </c>
      <c r="B216" t="s">
        <v>1322</v>
      </c>
      <c r="C216" t="s">
        <v>1323</v>
      </c>
      <c r="D216" t="s">
        <v>45</v>
      </c>
      <c r="E216">
        <v>14</v>
      </c>
      <c r="F216">
        <v>422</v>
      </c>
      <c r="G216">
        <v>3018</v>
      </c>
      <c r="H216">
        <v>4326</v>
      </c>
      <c r="I216" t="s">
        <v>57</v>
      </c>
      <c r="J216" t="s">
        <v>1639</v>
      </c>
      <c r="K216" t="s">
        <v>65</v>
      </c>
      <c r="L216" t="s">
        <v>66</v>
      </c>
      <c r="M216">
        <v>7</v>
      </c>
      <c r="N216" t="s">
        <v>391</v>
      </c>
      <c r="O216">
        <v>2025</v>
      </c>
      <c r="P216">
        <v>16777</v>
      </c>
      <c r="R216" t="s">
        <v>1742</v>
      </c>
      <c r="S216" t="str">
        <f>IF(COUNTIF(Tabela2[PROCESSO],Tabela1[[#This Row],[codProcesso]])&gt;0,"Está","Não está")</f>
        <v>Não está</v>
      </c>
      <c r="T216" t="s">
        <v>1743</v>
      </c>
      <c r="X216">
        <v>12</v>
      </c>
      <c r="Y216" t="s">
        <v>54</v>
      </c>
      <c r="Z216" s="5">
        <v>10000</v>
      </c>
      <c r="AA216" s="5">
        <v>0</v>
      </c>
      <c r="AB216" s="5">
        <v>0</v>
      </c>
      <c r="AC216" s="5">
        <v>0</v>
      </c>
      <c r="AD216" s="5">
        <v>10000</v>
      </c>
      <c r="AE216" s="5">
        <v>833.33333333333337</v>
      </c>
      <c r="AF216" s="5">
        <v>10000</v>
      </c>
      <c r="AG216">
        <v>10000</v>
      </c>
      <c r="AH216">
        <v>833.33333333333337</v>
      </c>
      <c r="AI216">
        <v>10000</v>
      </c>
      <c r="AJ216">
        <v>10000</v>
      </c>
      <c r="AK216">
        <v>0</v>
      </c>
      <c r="AL216">
        <v>10000</v>
      </c>
      <c r="AM216">
        <v>0</v>
      </c>
      <c r="AN216">
        <v>0</v>
      </c>
      <c r="AO216" t="s">
        <v>55</v>
      </c>
      <c r="AP216" t="s">
        <v>1744</v>
      </c>
      <c r="AQ216">
        <v>1</v>
      </c>
    </row>
    <row r="217" spans="1:43" x14ac:dyDescent="0.25">
      <c r="A217" t="s">
        <v>42</v>
      </c>
      <c r="B217" t="s">
        <v>1322</v>
      </c>
      <c r="C217" t="s">
        <v>1323</v>
      </c>
      <c r="D217" t="s">
        <v>45</v>
      </c>
      <c r="E217">
        <v>14</v>
      </c>
      <c r="F217">
        <v>422</v>
      </c>
      <c r="G217">
        <v>3018</v>
      </c>
      <c r="H217">
        <v>4326</v>
      </c>
      <c r="I217" t="s">
        <v>57</v>
      </c>
      <c r="J217" t="s">
        <v>1639</v>
      </c>
      <c r="K217" t="s">
        <v>65</v>
      </c>
      <c r="L217" t="s">
        <v>66</v>
      </c>
      <c r="M217">
        <v>7</v>
      </c>
      <c r="N217" t="s">
        <v>391</v>
      </c>
      <c r="O217">
        <v>2025</v>
      </c>
      <c r="P217">
        <v>16789</v>
      </c>
      <c r="Q217" t="s">
        <v>1751</v>
      </c>
      <c r="R217" t="s">
        <v>1752</v>
      </c>
      <c r="S217" t="str">
        <f>IF(COUNTIF(Tabela2[PROCESSO],Tabela1[[#This Row],[codProcesso]])&gt;0,"Está","Não está")</f>
        <v>Não está</v>
      </c>
      <c r="T217" t="s">
        <v>1753</v>
      </c>
      <c r="U217" t="s">
        <v>1715</v>
      </c>
      <c r="V217" t="s">
        <v>1672</v>
      </c>
      <c r="W217" t="s">
        <v>1490</v>
      </c>
      <c r="X217">
        <v>0</v>
      </c>
      <c r="Y217" t="s">
        <v>98</v>
      </c>
      <c r="Z217" s="5">
        <v>10000</v>
      </c>
      <c r="AA217" s="5">
        <v>0</v>
      </c>
      <c r="AB217" s="5">
        <v>0</v>
      </c>
      <c r="AC217" s="5">
        <v>0</v>
      </c>
      <c r="AD217" s="5">
        <v>10000</v>
      </c>
      <c r="AE217" s="5">
        <v>833.33333333333337</v>
      </c>
      <c r="AF217" s="5">
        <v>10000</v>
      </c>
      <c r="AG217">
        <v>10000</v>
      </c>
      <c r="AH217">
        <v>833.33333333333337</v>
      </c>
      <c r="AI217">
        <v>10000</v>
      </c>
      <c r="AJ217">
        <v>10000</v>
      </c>
      <c r="AK217">
        <v>0</v>
      </c>
      <c r="AL217">
        <v>10000</v>
      </c>
      <c r="AM217">
        <v>10000</v>
      </c>
      <c r="AN217">
        <v>0</v>
      </c>
      <c r="AO217" t="s">
        <v>55</v>
      </c>
      <c r="AP217" t="s">
        <v>1754</v>
      </c>
      <c r="AQ217">
        <v>1</v>
      </c>
    </row>
    <row r="218" spans="1:43" x14ac:dyDescent="0.25">
      <c r="A218" t="s">
        <v>42</v>
      </c>
      <c r="B218" t="s">
        <v>43</v>
      </c>
      <c r="C218" t="s">
        <v>44</v>
      </c>
      <c r="D218" t="s">
        <v>45</v>
      </c>
      <c r="E218">
        <v>14</v>
      </c>
      <c r="F218">
        <v>122</v>
      </c>
      <c r="G218">
        <v>3024</v>
      </c>
      <c r="H218">
        <v>2100</v>
      </c>
      <c r="I218" t="s">
        <v>186</v>
      </c>
      <c r="J218" t="s">
        <v>1566</v>
      </c>
      <c r="K218" t="s">
        <v>247</v>
      </c>
      <c r="L218" t="s">
        <v>248</v>
      </c>
      <c r="M218">
        <v>6</v>
      </c>
      <c r="N218" t="s">
        <v>115</v>
      </c>
      <c r="O218">
        <v>2025</v>
      </c>
      <c r="P218">
        <v>15706</v>
      </c>
      <c r="R218" t="s">
        <v>1593</v>
      </c>
      <c r="S218" t="str">
        <f>IF(COUNTIF(Tabela2[PROCESSO],Tabela1[[#This Row],[codProcesso]])&gt;0,"Está","Não está")</f>
        <v>Não está</v>
      </c>
      <c r="T218" t="s">
        <v>1594</v>
      </c>
      <c r="X218">
        <v>12</v>
      </c>
      <c r="Y218" t="s">
        <v>54</v>
      </c>
      <c r="Z218" s="5">
        <v>9999.6</v>
      </c>
      <c r="AA218" s="5">
        <v>0</v>
      </c>
      <c r="AB218" s="5">
        <v>0</v>
      </c>
      <c r="AC218" s="5">
        <v>0</v>
      </c>
      <c r="AD218" s="5">
        <v>9999.6</v>
      </c>
      <c r="AE218" s="5">
        <v>833.30000000000007</v>
      </c>
      <c r="AF218" s="5">
        <v>9999.6</v>
      </c>
      <c r="AG218">
        <v>9999.6</v>
      </c>
      <c r="AH218">
        <v>833.30000000000007</v>
      </c>
      <c r="AI218">
        <v>9999.6</v>
      </c>
      <c r="AJ218">
        <v>9999.6</v>
      </c>
      <c r="AK218">
        <v>0</v>
      </c>
      <c r="AL218">
        <v>9999.6</v>
      </c>
      <c r="AM218">
        <v>0</v>
      </c>
      <c r="AN218">
        <v>0</v>
      </c>
      <c r="AO218" t="s">
        <v>55</v>
      </c>
      <c r="AP218" t="s">
        <v>1595</v>
      </c>
      <c r="AQ218">
        <v>1</v>
      </c>
    </row>
    <row r="219" spans="1:43" x14ac:dyDescent="0.25">
      <c r="A219" t="s">
        <v>42</v>
      </c>
      <c r="B219" t="s">
        <v>43</v>
      </c>
      <c r="C219" t="s">
        <v>44</v>
      </c>
      <c r="D219" t="s">
        <v>45</v>
      </c>
      <c r="E219">
        <v>14</v>
      </c>
      <c r="F219">
        <v>122</v>
      </c>
      <c r="G219">
        <v>3024</v>
      </c>
      <c r="H219">
        <v>2100</v>
      </c>
      <c r="I219" t="s">
        <v>186</v>
      </c>
      <c r="J219" t="s">
        <v>517</v>
      </c>
      <c r="K219" t="s">
        <v>247</v>
      </c>
      <c r="L219" t="s">
        <v>248</v>
      </c>
      <c r="M219">
        <v>6</v>
      </c>
      <c r="N219" t="s">
        <v>115</v>
      </c>
      <c r="O219">
        <v>2025</v>
      </c>
      <c r="P219">
        <v>2772</v>
      </c>
      <c r="R219" t="s">
        <v>542</v>
      </c>
      <c r="S219" t="str">
        <f>IF(COUNTIF(Tabela2[PROCESSO],Tabela1[[#This Row],[codProcesso]])&gt;0,"Está","Não está")</f>
        <v>Não está</v>
      </c>
      <c r="T219" t="s">
        <v>543</v>
      </c>
      <c r="W219" t="s">
        <v>544</v>
      </c>
      <c r="X219">
        <v>12</v>
      </c>
      <c r="Y219" t="s">
        <v>54</v>
      </c>
      <c r="Z219" s="5">
        <v>9995.2000000000007</v>
      </c>
      <c r="AA219" s="5">
        <v>0</v>
      </c>
      <c r="AB219" s="5">
        <v>0</v>
      </c>
      <c r="AC219" s="5">
        <v>0</v>
      </c>
      <c r="AD219" s="5">
        <v>9995.2000000000007</v>
      </c>
      <c r="AE219" s="5">
        <v>832.93333333333339</v>
      </c>
      <c r="AF219" s="5">
        <v>9995.2000000000007</v>
      </c>
      <c r="AG219">
        <v>9995.2000000000007</v>
      </c>
      <c r="AH219">
        <v>832.93333333333339</v>
      </c>
      <c r="AI219">
        <v>9995.2000000000007</v>
      </c>
      <c r="AJ219">
        <v>9995.2000000000007</v>
      </c>
      <c r="AK219">
        <v>0</v>
      </c>
      <c r="AL219">
        <v>9995.2000000000007</v>
      </c>
      <c r="AM219">
        <v>9995.2000000000007</v>
      </c>
      <c r="AN219">
        <v>9995.2000000000007</v>
      </c>
      <c r="AO219" t="s">
        <v>55</v>
      </c>
      <c r="AP219" t="s">
        <v>545</v>
      </c>
      <c r="AQ219">
        <v>1</v>
      </c>
    </row>
    <row r="220" spans="1:43" x14ac:dyDescent="0.25">
      <c r="A220" t="s">
        <v>42</v>
      </c>
      <c r="B220" t="s">
        <v>43</v>
      </c>
      <c r="C220" t="s">
        <v>44</v>
      </c>
      <c r="D220" t="s">
        <v>45</v>
      </c>
      <c r="E220">
        <v>14</v>
      </c>
      <c r="F220">
        <v>422</v>
      </c>
      <c r="G220">
        <v>3018</v>
      </c>
      <c r="H220">
        <v>4318</v>
      </c>
      <c r="I220" t="s">
        <v>57</v>
      </c>
      <c r="J220" t="s">
        <v>1566</v>
      </c>
      <c r="K220" t="s">
        <v>58</v>
      </c>
      <c r="L220" t="s">
        <v>59</v>
      </c>
      <c r="M220">
        <v>12</v>
      </c>
      <c r="N220" t="s">
        <v>60</v>
      </c>
      <c r="O220">
        <v>2025</v>
      </c>
      <c r="P220">
        <v>15460</v>
      </c>
      <c r="R220" t="s">
        <v>1574</v>
      </c>
      <c r="S220" t="str">
        <f>IF(COUNTIF(Tabela2[PROCESSO],Tabela1[[#This Row],[codProcesso]])&gt;0,"Está","Não está")</f>
        <v>Não está</v>
      </c>
      <c r="T220" t="s">
        <v>1575</v>
      </c>
      <c r="X220">
        <v>12</v>
      </c>
      <c r="Y220" t="s">
        <v>54</v>
      </c>
      <c r="Z220" s="5">
        <v>9894</v>
      </c>
      <c r="AA220" s="5">
        <v>0</v>
      </c>
      <c r="AB220" s="5">
        <v>0</v>
      </c>
      <c r="AC220" s="5">
        <v>0</v>
      </c>
      <c r="AD220" s="5">
        <v>9894</v>
      </c>
      <c r="AE220" s="5">
        <v>824.5</v>
      </c>
      <c r="AF220" s="5">
        <v>9894</v>
      </c>
      <c r="AG220">
        <v>9894</v>
      </c>
      <c r="AH220">
        <v>824.5</v>
      </c>
      <c r="AI220">
        <v>9894</v>
      </c>
      <c r="AJ220">
        <v>9894</v>
      </c>
      <c r="AK220">
        <v>0</v>
      </c>
      <c r="AL220">
        <v>9894</v>
      </c>
      <c r="AM220">
        <v>0</v>
      </c>
      <c r="AN220">
        <v>0</v>
      </c>
      <c r="AO220" t="s">
        <v>55</v>
      </c>
      <c r="AP220" t="s">
        <v>1576</v>
      </c>
      <c r="AQ220">
        <v>1</v>
      </c>
    </row>
    <row r="221" spans="1:43" x14ac:dyDescent="0.25">
      <c r="A221" t="s">
        <v>42</v>
      </c>
      <c r="B221" t="s">
        <v>43</v>
      </c>
      <c r="C221" t="s">
        <v>44</v>
      </c>
      <c r="D221" t="s">
        <v>45</v>
      </c>
      <c r="E221">
        <v>14</v>
      </c>
      <c r="F221">
        <v>122</v>
      </c>
      <c r="G221">
        <v>3024</v>
      </c>
      <c r="H221">
        <v>2100</v>
      </c>
      <c r="I221" t="s">
        <v>186</v>
      </c>
      <c r="J221" t="s">
        <v>749</v>
      </c>
      <c r="K221" t="s">
        <v>491</v>
      </c>
      <c r="L221" t="s">
        <v>492</v>
      </c>
      <c r="M221">
        <v>12</v>
      </c>
      <c r="N221" t="s">
        <v>60</v>
      </c>
      <c r="O221">
        <v>2025</v>
      </c>
      <c r="P221">
        <v>7170</v>
      </c>
      <c r="Q221" t="s">
        <v>876</v>
      </c>
      <c r="R221" t="s">
        <v>877</v>
      </c>
      <c r="S221" t="str">
        <f>IF(COUNTIF(Tabela2[PROCESSO],Tabela1[[#This Row],[codProcesso]])&gt;0,"Está","Não está")</f>
        <v>Não está</v>
      </c>
      <c r="T221" t="s">
        <v>878</v>
      </c>
      <c r="U221" t="s">
        <v>747</v>
      </c>
      <c r="V221" t="s">
        <v>675</v>
      </c>
      <c r="W221" t="s">
        <v>879</v>
      </c>
      <c r="X221">
        <v>2</v>
      </c>
      <c r="Y221" t="s">
        <v>98</v>
      </c>
      <c r="Z221" s="5">
        <v>9700</v>
      </c>
      <c r="AA221" s="5">
        <v>0</v>
      </c>
      <c r="AB221" s="5">
        <v>0</v>
      </c>
      <c r="AC221" s="5">
        <v>0</v>
      </c>
      <c r="AD221" s="5">
        <v>9700</v>
      </c>
      <c r="AE221" s="5">
        <v>808.33333333333337</v>
      </c>
      <c r="AF221" s="5">
        <v>9700</v>
      </c>
      <c r="AG221">
        <v>0</v>
      </c>
      <c r="AH221">
        <v>0</v>
      </c>
      <c r="AI221">
        <v>0</v>
      </c>
      <c r="AJ221">
        <v>9700</v>
      </c>
      <c r="AK221">
        <v>0</v>
      </c>
      <c r="AL221">
        <v>9700</v>
      </c>
      <c r="AM221">
        <v>1700</v>
      </c>
      <c r="AN221">
        <v>1700</v>
      </c>
      <c r="AO221" t="s">
        <v>55</v>
      </c>
      <c r="AP221" t="s">
        <v>880</v>
      </c>
      <c r="AQ221">
        <v>0</v>
      </c>
    </row>
    <row r="222" spans="1:43" x14ac:dyDescent="0.25">
      <c r="A222" t="s">
        <v>42</v>
      </c>
      <c r="B222" t="s">
        <v>43</v>
      </c>
      <c r="C222" t="s">
        <v>44</v>
      </c>
      <c r="D222" t="s">
        <v>45</v>
      </c>
      <c r="E222">
        <v>14</v>
      </c>
      <c r="F222">
        <v>422</v>
      </c>
      <c r="G222">
        <v>3018</v>
      </c>
      <c r="H222">
        <v>4326</v>
      </c>
      <c r="I222" t="s">
        <v>57</v>
      </c>
      <c r="J222" t="s">
        <v>47</v>
      </c>
      <c r="K222" t="s">
        <v>58</v>
      </c>
      <c r="L222" t="s">
        <v>59</v>
      </c>
      <c r="M222">
        <v>12</v>
      </c>
      <c r="N222" t="s">
        <v>60</v>
      </c>
      <c r="O222">
        <v>2025</v>
      </c>
      <c r="P222">
        <v>1021</v>
      </c>
      <c r="R222" t="s">
        <v>183</v>
      </c>
      <c r="S222" t="str">
        <f>IF(COUNTIF(Tabela2[PROCESSO],Tabela1[[#This Row],[codProcesso]])&gt;0,"Está","Não está")</f>
        <v>Não está</v>
      </c>
      <c r="T222" t="s">
        <v>184</v>
      </c>
      <c r="W222" t="s">
        <v>147</v>
      </c>
      <c r="X222">
        <v>12</v>
      </c>
      <c r="Y222" t="s">
        <v>54</v>
      </c>
      <c r="Z222" s="5">
        <v>9002</v>
      </c>
      <c r="AA222" s="5">
        <v>0</v>
      </c>
      <c r="AB222" s="5">
        <v>0</v>
      </c>
      <c r="AC222" s="5">
        <v>0</v>
      </c>
      <c r="AD222" s="5">
        <v>9002</v>
      </c>
      <c r="AE222" s="5">
        <v>750.16666666666663</v>
      </c>
      <c r="AF222" s="5">
        <v>9002</v>
      </c>
      <c r="AG222">
        <v>9002</v>
      </c>
      <c r="AH222">
        <v>750.16666666666663</v>
      </c>
      <c r="AI222">
        <v>9002</v>
      </c>
      <c r="AJ222">
        <v>9002</v>
      </c>
      <c r="AK222">
        <v>0</v>
      </c>
      <c r="AL222">
        <v>9002</v>
      </c>
      <c r="AM222">
        <v>9002</v>
      </c>
      <c r="AN222">
        <v>9002</v>
      </c>
      <c r="AO222" t="s">
        <v>55</v>
      </c>
      <c r="AP222" t="s">
        <v>185</v>
      </c>
      <c r="AQ222">
        <v>1</v>
      </c>
    </row>
    <row r="223" spans="1:43" x14ac:dyDescent="0.25">
      <c r="A223" t="s">
        <v>42</v>
      </c>
      <c r="B223" t="s">
        <v>1322</v>
      </c>
      <c r="C223" t="s">
        <v>1323</v>
      </c>
      <c r="D223" t="s">
        <v>45</v>
      </c>
      <c r="E223">
        <v>14</v>
      </c>
      <c r="F223">
        <v>422</v>
      </c>
      <c r="G223">
        <v>3018</v>
      </c>
      <c r="H223">
        <v>4326</v>
      </c>
      <c r="I223" t="s">
        <v>57</v>
      </c>
      <c r="J223" t="s">
        <v>1814</v>
      </c>
      <c r="K223" t="s">
        <v>65</v>
      </c>
      <c r="L223" t="s">
        <v>66</v>
      </c>
      <c r="M223">
        <v>7</v>
      </c>
      <c r="N223" t="s">
        <v>391</v>
      </c>
      <c r="O223">
        <v>2025</v>
      </c>
      <c r="P223">
        <v>16915</v>
      </c>
      <c r="R223" t="s">
        <v>1829</v>
      </c>
      <c r="S223" t="str">
        <f>IF(COUNTIF(Tabela2[PROCESSO],Tabela1[[#This Row],[codProcesso]])&gt;0,"Está","Não está")</f>
        <v>Não está</v>
      </c>
      <c r="T223" t="s">
        <v>1830</v>
      </c>
      <c r="X223">
        <v>12</v>
      </c>
      <c r="Y223" t="s">
        <v>54</v>
      </c>
      <c r="Z223" s="5">
        <v>9000</v>
      </c>
      <c r="AA223" s="5">
        <v>0</v>
      </c>
      <c r="AB223" s="5">
        <v>0</v>
      </c>
      <c r="AC223" s="5">
        <v>0</v>
      </c>
      <c r="AD223" s="5">
        <v>9000</v>
      </c>
      <c r="AE223" s="5">
        <v>750</v>
      </c>
      <c r="AF223" s="5">
        <v>9000</v>
      </c>
      <c r="AG223">
        <v>9000</v>
      </c>
      <c r="AH223">
        <v>750</v>
      </c>
      <c r="AI223">
        <v>9000</v>
      </c>
      <c r="AJ223">
        <v>9000</v>
      </c>
      <c r="AK223">
        <v>0</v>
      </c>
      <c r="AL223">
        <v>9000</v>
      </c>
      <c r="AM223">
        <v>0</v>
      </c>
      <c r="AN223">
        <v>0</v>
      </c>
      <c r="AO223" t="s">
        <v>55</v>
      </c>
      <c r="AP223" t="s">
        <v>1831</v>
      </c>
      <c r="AQ223">
        <v>1</v>
      </c>
    </row>
    <row r="224" spans="1:43" x14ac:dyDescent="0.25">
      <c r="A224" t="s">
        <v>42</v>
      </c>
      <c r="B224" t="s">
        <v>43</v>
      </c>
      <c r="C224" t="s">
        <v>44</v>
      </c>
      <c r="D224" t="s">
        <v>45</v>
      </c>
      <c r="E224">
        <v>14</v>
      </c>
      <c r="F224">
        <v>122</v>
      </c>
      <c r="G224">
        <v>3024</v>
      </c>
      <c r="H224">
        <v>2100</v>
      </c>
      <c r="I224" t="s">
        <v>186</v>
      </c>
      <c r="J224" t="s">
        <v>749</v>
      </c>
      <c r="K224" t="s">
        <v>247</v>
      </c>
      <c r="L224" t="s">
        <v>248</v>
      </c>
      <c r="M224">
        <v>6</v>
      </c>
      <c r="N224" t="s">
        <v>115</v>
      </c>
      <c r="O224">
        <v>2025</v>
      </c>
      <c r="P224">
        <v>3800</v>
      </c>
      <c r="R224" t="s">
        <v>800</v>
      </c>
      <c r="S224" t="str">
        <f>IF(COUNTIF(Tabela2[PROCESSO],Tabela1[[#This Row],[codProcesso]])&gt;0,"Está","Não está")</f>
        <v>Não está</v>
      </c>
      <c r="T224" t="s">
        <v>801</v>
      </c>
      <c r="W224" t="s">
        <v>455</v>
      </c>
      <c r="X224">
        <v>12</v>
      </c>
      <c r="Y224" t="s">
        <v>54</v>
      </c>
      <c r="Z224" s="5">
        <v>8550</v>
      </c>
      <c r="AA224" s="5">
        <v>0</v>
      </c>
      <c r="AB224" s="5">
        <v>0</v>
      </c>
      <c r="AC224" s="5">
        <v>0</v>
      </c>
      <c r="AD224" s="5">
        <v>8550</v>
      </c>
      <c r="AE224" s="5">
        <v>712.5</v>
      </c>
      <c r="AF224" s="5">
        <v>8550</v>
      </c>
      <c r="AG224">
        <v>8550</v>
      </c>
      <c r="AH224">
        <v>712.5</v>
      </c>
      <c r="AI224">
        <v>8550</v>
      </c>
      <c r="AJ224">
        <v>8550</v>
      </c>
      <c r="AK224">
        <v>0</v>
      </c>
      <c r="AL224">
        <v>8550</v>
      </c>
      <c r="AM224">
        <v>8550</v>
      </c>
      <c r="AN224">
        <v>8550</v>
      </c>
      <c r="AO224" t="s">
        <v>55</v>
      </c>
      <c r="AP224" t="s">
        <v>802</v>
      </c>
      <c r="AQ224">
        <v>1</v>
      </c>
    </row>
    <row r="225" spans="1:43" x14ac:dyDescent="0.25">
      <c r="A225" t="s">
        <v>42</v>
      </c>
      <c r="B225" t="s">
        <v>43</v>
      </c>
      <c r="C225" t="s">
        <v>44</v>
      </c>
      <c r="D225" t="s">
        <v>45</v>
      </c>
      <c r="E225">
        <v>14</v>
      </c>
      <c r="F225">
        <v>422</v>
      </c>
      <c r="G225">
        <v>3013</v>
      </c>
      <c r="H225">
        <v>2431</v>
      </c>
      <c r="I225" t="s">
        <v>57</v>
      </c>
      <c r="J225" t="s">
        <v>1600</v>
      </c>
      <c r="K225" t="s">
        <v>65</v>
      </c>
      <c r="L225" t="s">
        <v>66</v>
      </c>
      <c r="M225">
        <v>12</v>
      </c>
      <c r="N225" t="s">
        <v>60</v>
      </c>
      <c r="O225">
        <v>2025</v>
      </c>
      <c r="P225">
        <v>16189</v>
      </c>
      <c r="R225" t="s">
        <v>1623</v>
      </c>
      <c r="S225" t="str">
        <f>IF(COUNTIF(Tabela2[PROCESSO],Tabela1[[#This Row],[codProcesso]])&gt;0,"Está","Não está")</f>
        <v>Não está</v>
      </c>
      <c r="T225" t="s">
        <v>1624</v>
      </c>
      <c r="X225">
        <v>12</v>
      </c>
      <c r="Y225" t="s">
        <v>54</v>
      </c>
      <c r="Z225" s="5">
        <v>8545.36</v>
      </c>
      <c r="AA225" s="5">
        <v>0</v>
      </c>
      <c r="AB225" s="5">
        <v>0</v>
      </c>
      <c r="AC225" s="5">
        <v>0</v>
      </c>
      <c r="AD225" s="5">
        <v>8545.36</v>
      </c>
      <c r="AE225" s="5">
        <v>712.11333333333334</v>
      </c>
      <c r="AF225" s="5">
        <v>8545.36</v>
      </c>
      <c r="AG225">
        <v>8545.36</v>
      </c>
      <c r="AH225">
        <v>712.11333333333334</v>
      </c>
      <c r="AI225">
        <v>8545.36</v>
      </c>
      <c r="AJ225">
        <v>8545.36</v>
      </c>
      <c r="AK225">
        <v>0</v>
      </c>
      <c r="AL225">
        <v>8545.36</v>
      </c>
      <c r="AM225">
        <v>0</v>
      </c>
      <c r="AN225">
        <v>0</v>
      </c>
      <c r="AO225" t="s">
        <v>55</v>
      </c>
      <c r="AP225" t="s">
        <v>1625</v>
      </c>
      <c r="AQ225">
        <v>1</v>
      </c>
    </row>
    <row r="226" spans="1:43" x14ac:dyDescent="0.25">
      <c r="A226" t="s">
        <v>42</v>
      </c>
      <c r="B226" t="s">
        <v>43</v>
      </c>
      <c r="C226" t="s">
        <v>44</v>
      </c>
      <c r="D226" t="s">
        <v>45</v>
      </c>
      <c r="E226">
        <v>14</v>
      </c>
      <c r="F226">
        <v>422</v>
      </c>
      <c r="G226">
        <v>3013</v>
      </c>
      <c r="H226">
        <v>6178</v>
      </c>
      <c r="I226" t="s">
        <v>186</v>
      </c>
      <c r="J226" t="s">
        <v>361</v>
      </c>
      <c r="K226" t="s">
        <v>491</v>
      </c>
      <c r="L226" t="s">
        <v>492</v>
      </c>
      <c r="M226">
        <v>6</v>
      </c>
      <c r="N226" t="s">
        <v>115</v>
      </c>
      <c r="O226">
        <v>2025</v>
      </c>
      <c r="P226">
        <v>12775</v>
      </c>
      <c r="Q226" t="s">
        <v>1406</v>
      </c>
      <c r="R226" t="s">
        <v>1407</v>
      </c>
      <c r="S226" t="str">
        <f>IF(COUNTIF(Tabela2[PROCESSO],Tabela1[[#This Row],[codProcesso]])&gt;0,"Está","Não está")</f>
        <v>Não está</v>
      </c>
      <c r="T226" t="s">
        <v>1408</v>
      </c>
      <c r="U226" t="s">
        <v>879</v>
      </c>
      <c r="V226" t="s">
        <v>1409</v>
      </c>
      <c r="W226" t="s">
        <v>498</v>
      </c>
      <c r="X226">
        <v>7</v>
      </c>
      <c r="Y226" t="s">
        <v>73</v>
      </c>
      <c r="Z226" s="5">
        <v>8357</v>
      </c>
      <c r="AA226" s="5">
        <v>0</v>
      </c>
      <c r="AB226" s="5">
        <v>0</v>
      </c>
      <c r="AC226" s="5">
        <v>0</v>
      </c>
      <c r="AD226" s="5">
        <v>8357</v>
      </c>
      <c r="AE226" s="5">
        <v>696.41666666666663</v>
      </c>
      <c r="AF226" s="5">
        <v>8357</v>
      </c>
      <c r="AG226">
        <v>8357</v>
      </c>
      <c r="AH226">
        <v>696.41666666666663</v>
      </c>
      <c r="AI226">
        <v>8357</v>
      </c>
      <c r="AJ226">
        <v>8357</v>
      </c>
      <c r="AK226">
        <v>0</v>
      </c>
      <c r="AL226">
        <v>8357</v>
      </c>
      <c r="AM226">
        <v>2205.5</v>
      </c>
      <c r="AN226">
        <v>0</v>
      </c>
      <c r="AO226" t="s">
        <v>55</v>
      </c>
      <c r="AP226" t="s">
        <v>1410</v>
      </c>
      <c r="AQ226">
        <v>1</v>
      </c>
    </row>
    <row r="227" spans="1:43" x14ac:dyDescent="0.25">
      <c r="A227" t="s">
        <v>42</v>
      </c>
      <c r="B227" t="s">
        <v>43</v>
      </c>
      <c r="C227" t="s">
        <v>44</v>
      </c>
      <c r="D227" t="s">
        <v>45</v>
      </c>
      <c r="E227">
        <v>14</v>
      </c>
      <c r="F227">
        <v>122</v>
      </c>
      <c r="G227">
        <v>3024</v>
      </c>
      <c r="H227">
        <v>2100</v>
      </c>
      <c r="I227" t="s">
        <v>186</v>
      </c>
      <c r="J227" t="s">
        <v>483</v>
      </c>
      <c r="K227" t="s">
        <v>247</v>
      </c>
      <c r="L227" t="s">
        <v>248</v>
      </c>
      <c r="M227">
        <v>6</v>
      </c>
      <c r="N227" t="s">
        <v>115</v>
      </c>
      <c r="O227">
        <v>2025</v>
      </c>
      <c r="P227">
        <v>3530</v>
      </c>
      <c r="R227" t="s">
        <v>737</v>
      </c>
      <c r="S227" t="str">
        <f>IF(COUNTIF(Tabela2[PROCESSO],Tabela1[[#This Row],[codProcesso]])&gt;0,"Está","Não está")</f>
        <v>Não está</v>
      </c>
      <c r="T227" t="s">
        <v>738</v>
      </c>
      <c r="W227" t="s">
        <v>741</v>
      </c>
      <c r="X227">
        <v>12</v>
      </c>
      <c r="Y227" t="s">
        <v>54</v>
      </c>
      <c r="Z227" s="5">
        <v>8167.3</v>
      </c>
      <c r="AA227" s="5">
        <v>0</v>
      </c>
      <c r="AB227" s="5">
        <v>0</v>
      </c>
      <c r="AC227" s="5">
        <v>0</v>
      </c>
      <c r="AD227" s="5">
        <v>8167.3</v>
      </c>
      <c r="AE227" s="5">
        <v>680.60833333333335</v>
      </c>
      <c r="AF227" s="5">
        <v>8167.3</v>
      </c>
      <c r="AG227">
        <v>8167.3</v>
      </c>
      <c r="AH227">
        <v>680.60833333333335</v>
      </c>
      <c r="AI227">
        <v>8167.3</v>
      </c>
      <c r="AJ227">
        <v>8167.3</v>
      </c>
      <c r="AK227">
        <v>0</v>
      </c>
      <c r="AL227">
        <v>8167.3</v>
      </c>
      <c r="AM227">
        <v>8167.3</v>
      </c>
      <c r="AN227">
        <v>8167.3</v>
      </c>
      <c r="AO227" t="s">
        <v>55</v>
      </c>
      <c r="AP227" t="s">
        <v>740</v>
      </c>
      <c r="AQ227">
        <v>1</v>
      </c>
    </row>
    <row r="228" spans="1:43" x14ac:dyDescent="0.25">
      <c r="A228" t="s">
        <v>42</v>
      </c>
      <c r="B228" t="s">
        <v>43</v>
      </c>
      <c r="C228" t="s">
        <v>44</v>
      </c>
      <c r="D228" t="s">
        <v>45</v>
      </c>
      <c r="E228">
        <v>14</v>
      </c>
      <c r="F228">
        <v>122</v>
      </c>
      <c r="G228">
        <v>3024</v>
      </c>
      <c r="H228">
        <v>2100</v>
      </c>
      <c r="I228" t="s">
        <v>186</v>
      </c>
      <c r="J228" t="s">
        <v>483</v>
      </c>
      <c r="K228" t="s">
        <v>247</v>
      </c>
      <c r="L228" t="s">
        <v>248</v>
      </c>
      <c r="M228">
        <v>6</v>
      </c>
      <c r="N228" t="s">
        <v>115</v>
      </c>
      <c r="O228">
        <v>2025</v>
      </c>
      <c r="P228">
        <v>3533</v>
      </c>
      <c r="R228" t="s">
        <v>737</v>
      </c>
      <c r="S228" t="str">
        <f>IF(COUNTIF(Tabela2[PROCESSO],Tabela1[[#This Row],[codProcesso]])&gt;0,"Está","Não está")</f>
        <v>Não está</v>
      </c>
      <c r="T228" t="s">
        <v>738</v>
      </c>
      <c r="W228" t="s">
        <v>741</v>
      </c>
      <c r="X228">
        <v>12</v>
      </c>
      <c r="Y228" t="s">
        <v>54</v>
      </c>
      <c r="Z228" s="5">
        <v>8000</v>
      </c>
      <c r="AA228" s="5">
        <v>0</v>
      </c>
      <c r="AB228" s="5">
        <v>0</v>
      </c>
      <c r="AC228" s="5">
        <v>0</v>
      </c>
      <c r="AD228" s="5">
        <v>8000</v>
      </c>
      <c r="AE228" s="5">
        <v>666.66666666666663</v>
      </c>
      <c r="AF228" s="5">
        <v>8000</v>
      </c>
      <c r="AG228">
        <v>8000</v>
      </c>
      <c r="AH228">
        <v>666.66666666666663</v>
      </c>
      <c r="AI228">
        <v>8000</v>
      </c>
      <c r="AJ228">
        <v>8000</v>
      </c>
      <c r="AK228">
        <v>0</v>
      </c>
      <c r="AL228">
        <v>8000</v>
      </c>
      <c r="AM228">
        <v>8000</v>
      </c>
      <c r="AN228">
        <v>8000</v>
      </c>
      <c r="AO228" t="s">
        <v>55</v>
      </c>
      <c r="AP228" t="s">
        <v>740</v>
      </c>
      <c r="AQ228">
        <v>1</v>
      </c>
    </row>
    <row r="229" spans="1:43" x14ac:dyDescent="0.25">
      <c r="A229" t="s">
        <v>42</v>
      </c>
      <c r="B229" t="s">
        <v>1322</v>
      </c>
      <c r="C229" t="s">
        <v>1323</v>
      </c>
      <c r="D229" t="s">
        <v>45</v>
      </c>
      <c r="E229">
        <v>14</v>
      </c>
      <c r="F229">
        <v>422</v>
      </c>
      <c r="G229">
        <v>3018</v>
      </c>
      <c r="H229">
        <v>4326</v>
      </c>
      <c r="I229" t="s">
        <v>57</v>
      </c>
      <c r="J229" t="s">
        <v>1639</v>
      </c>
      <c r="K229" t="s">
        <v>65</v>
      </c>
      <c r="L229" t="s">
        <v>66</v>
      </c>
      <c r="M229">
        <v>7</v>
      </c>
      <c r="N229" t="s">
        <v>391</v>
      </c>
      <c r="O229">
        <v>2025</v>
      </c>
      <c r="P229">
        <v>16732</v>
      </c>
      <c r="R229" t="s">
        <v>1657</v>
      </c>
      <c r="S229" t="str">
        <f>IF(COUNTIF(Tabela2[PROCESSO],Tabela1[[#This Row],[codProcesso]])&gt;0,"Está","Não está")</f>
        <v>Não está</v>
      </c>
      <c r="T229" t="s">
        <v>1658</v>
      </c>
      <c r="X229">
        <v>12</v>
      </c>
      <c r="Y229" t="s">
        <v>54</v>
      </c>
      <c r="Z229" s="5">
        <v>8000</v>
      </c>
      <c r="AA229" s="5">
        <v>0</v>
      </c>
      <c r="AB229" s="5">
        <v>0</v>
      </c>
      <c r="AC229" s="5">
        <v>0</v>
      </c>
      <c r="AD229" s="5">
        <v>8000</v>
      </c>
      <c r="AE229" s="5">
        <v>666.66666666666663</v>
      </c>
      <c r="AF229" s="5">
        <v>8000</v>
      </c>
      <c r="AG229">
        <v>8000</v>
      </c>
      <c r="AH229">
        <v>666.66666666666663</v>
      </c>
      <c r="AI229">
        <v>8000</v>
      </c>
      <c r="AJ229">
        <v>8000</v>
      </c>
      <c r="AK229">
        <v>0</v>
      </c>
      <c r="AL229">
        <v>8000</v>
      </c>
      <c r="AM229">
        <v>0</v>
      </c>
      <c r="AN229">
        <v>0</v>
      </c>
      <c r="AO229" t="s">
        <v>55</v>
      </c>
      <c r="AP229" t="s">
        <v>1659</v>
      </c>
      <c r="AQ229">
        <v>1</v>
      </c>
    </row>
    <row r="230" spans="1:43" x14ac:dyDescent="0.25">
      <c r="A230" t="s">
        <v>42</v>
      </c>
      <c r="B230" t="s">
        <v>1322</v>
      </c>
      <c r="C230" t="s">
        <v>1323</v>
      </c>
      <c r="D230" t="s">
        <v>45</v>
      </c>
      <c r="E230">
        <v>14</v>
      </c>
      <c r="F230">
        <v>422</v>
      </c>
      <c r="G230">
        <v>3018</v>
      </c>
      <c r="H230">
        <v>4326</v>
      </c>
      <c r="I230" t="s">
        <v>57</v>
      </c>
      <c r="J230" t="s">
        <v>1639</v>
      </c>
      <c r="K230" t="s">
        <v>65</v>
      </c>
      <c r="L230" t="s">
        <v>66</v>
      </c>
      <c r="M230">
        <v>7</v>
      </c>
      <c r="N230" t="s">
        <v>391</v>
      </c>
      <c r="O230">
        <v>2025</v>
      </c>
      <c r="P230">
        <v>16753</v>
      </c>
      <c r="Q230" t="s">
        <v>1699</v>
      </c>
      <c r="R230" t="s">
        <v>1700</v>
      </c>
      <c r="S230" t="str">
        <f>IF(COUNTIF(Tabela2[PROCESSO],Tabela1[[#This Row],[codProcesso]])&gt;0,"Está","Não está")</f>
        <v>Não está</v>
      </c>
      <c r="T230" t="s">
        <v>1701</v>
      </c>
      <c r="U230" t="s">
        <v>1613</v>
      </c>
      <c r="V230" t="s">
        <v>1366</v>
      </c>
      <c r="W230" t="s">
        <v>1500</v>
      </c>
      <c r="X230">
        <v>0</v>
      </c>
      <c r="Y230" t="s">
        <v>98</v>
      </c>
      <c r="Z230" s="5">
        <v>8000</v>
      </c>
      <c r="AA230" s="5">
        <v>0</v>
      </c>
      <c r="AB230" s="5">
        <v>0</v>
      </c>
      <c r="AC230" s="5">
        <v>0</v>
      </c>
      <c r="AD230" s="5">
        <v>8000</v>
      </c>
      <c r="AE230" s="5">
        <v>666.66666666666663</v>
      </c>
      <c r="AF230" s="5">
        <v>8000</v>
      </c>
      <c r="AG230">
        <v>8000</v>
      </c>
      <c r="AH230">
        <v>666.66666666666663</v>
      </c>
      <c r="AI230">
        <v>8000</v>
      </c>
      <c r="AJ230">
        <v>8000</v>
      </c>
      <c r="AK230">
        <v>0</v>
      </c>
      <c r="AL230">
        <v>8000</v>
      </c>
      <c r="AM230">
        <v>0</v>
      </c>
      <c r="AN230">
        <v>0</v>
      </c>
      <c r="AO230" t="s">
        <v>55</v>
      </c>
      <c r="AP230" t="s">
        <v>1702</v>
      </c>
      <c r="AQ230">
        <v>1</v>
      </c>
    </row>
    <row r="231" spans="1:43" x14ac:dyDescent="0.25">
      <c r="A231" t="s">
        <v>42</v>
      </c>
      <c r="B231" t="s">
        <v>1322</v>
      </c>
      <c r="C231" t="s">
        <v>1323</v>
      </c>
      <c r="D231" t="s">
        <v>45</v>
      </c>
      <c r="E231">
        <v>14</v>
      </c>
      <c r="F231">
        <v>422</v>
      </c>
      <c r="G231">
        <v>3018</v>
      </c>
      <c r="H231">
        <v>4326</v>
      </c>
      <c r="I231" t="s">
        <v>57</v>
      </c>
      <c r="J231" t="s">
        <v>1639</v>
      </c>
      <c r="K231" t="s">
        <v>65</v>
      </c>
      <c r="L231" t="s">
        <v>66</v>
      </c>
      <c r="M231">
        <v>7</v>
      </c>
      <c r="N231" t="s">
        <v>391</v>
      </c>
      <c r="O231">
        <v>2025</v>
      </c>
      <c r="P231">
        <v>16771</v>
      </c>
      <c r="R231" t="s">
        <v>1731</v>
      </c>
      <c r="S231" t="str">
        <f>IF(COUNTIF(Tabela2[PROCESSO],Tabela1[[#This Row],[codProcesso]])&gt;0,"Está","Não está")</f>
        <v>Não está</v>
      </c>
      <c r="T231" t="s">
        <v>1732</v>
      </c>
      <c r="X231">
        <v>12</v>
      </c>
      <c r="Y231" t="s">
        <v>54</v>
      </c>
      <c r="Z231" s="5">
        <v>8000</v>
      </c>
      <c r="AA231" s="5">
        <v>0</v>
      </c>
      <c r="AB231" s="5">
        <v>0</v>
      </c>
      <c r="AC231" s="5">
        <v>0</v>
      </c>
      <c r="AD231" s="5">
        <v>8000</v>
      </c>
      <c r="AE231" s="5">
        <v>666.66666666666663</v>
      </c>
      <c r="AF231" s="5">
        <v>8000</v>
      </c>
      <c r="AG231">
        <v>8000</v>
      </c>
      <c r="AH231">
        <v>666.66666666666663</v>
      </c>
      <c r="AI231">
        <v>8000</v>
      </c>
      <c r="AJ231">
        <v>8000</v>
      </c>
      <c r="AK231">
        <v>0</v>
      </c>
      <c r="AL231">
        <v>8000</v>
      </c>
      <c r="AM231">
        <v>0</v>
      </c>
      <c r="AN231">
        <v>0</v>
      </c>
      <c r="AO231" t="s">
        <v>55</v>
      </c>
      <c r="AP231" t="s">
        <v>1733</v>
      </c>
      <c r="AQ231">
        <v>1</v>
      </c>
    </row>
    <row r="232" spans="1:43" x14ac:dyDescent="0.25">
      <c r="A232" t="s">
        <v>42</v>
      </c>
      <c r="B232" t="s">
        <v>43</v>
      </c>
      <c r="C232" t="s">
        <v>44</v>
      </c>
      <c r="D232" t="s">
        <v>45</v>
      </c>
      <c r="E232">
        <v>8</v>
      </c>
      <c r="F232">
        <v>605</v>
      </c>
      <c r="G232">
        <v>3016</v>
      </c>
      <c r="H232">
        <v>4470</v>
      </c>
      <c r="I232" t="s">
        <v>57</v>
      </c>
      <c r="J232" t="s">
        <v>1240</v>
      </c>
      <c r="K232" t="s">
        <v>65</v>
      </c>
      <c r="L232" t="s">
        <v>66</v>
      </c>
      <c r="M232">
        <v>6</v>
      </c>
      <c r="N232" t="s">
        <v>115</v>
      </c>
      <c r="O232">
        <v>2025</v>
      </c>
      <c r="P232">
        <v>10786</v>
      </c>
      <c r="R232" t="s">
        <v>1296</v>
      </c>
      <c r="S232" t="str">
        <f>IF(COUNTIF(Tabela2[PROCESSO],Tabela1[[#This Row],[codProcesso]])&gt;0,"Está","Não está")</f>
        <v>Não está</v>
      </c>
      <c r="T232" t="s">
        <v>1297</v>
      </c>
      <c r="X232">
        <v>12</v>
      </c>
      <c r="Y232" t="s">
        <v>54</v>
      </c>
      <c r="Z232" s="5">
        <v>7500</v>
      </c>
      <c r="AA232" s="5">
        <v>0</v>
      </c>
      <c r="AB232" s="5">
        <v>0</v>
      </c>
      <c r="AC232" s="5">
        <v>0</v>
      </c>
      <c r="AD232" s="5">
        <v>7500</v>
      </c>
      <c r="AE232" s="5">
        <v>625</v>
      </c>
      <c r="AF232" s="5">
        <v>7500</v>
      </c>
      <c r="AG232">
        <v>7500</v>
      </c>
      <c r="AH232">
        <v>625</v>
      </c>
      <c r="AI232">
        <v>7500</v>
      </c>
      <c r="AJ232">
        <v>7500</v>
      </c>
      <c r="AK232">
        <v>0</v>
      </c>
      <c r="AL232">
        <v>7500</v>
      </c>
      <c r="AM232">
        <v>0</v>
      </c>
      <c r="AN232">
        <v>0</v>
      </c>
      <c r="AO232" t="s">
        <v>55</v>
      </c>
      <c r="AP232" t="s">
        <v>1298</v>
      </c>
      <c r="AQ232">
        <v>1</v>
      </c>
    </row>
    <row r="233" spans="1:43" x14ac:dyDescent="0.25">
      <c r="A233" t="s">
        <v>42</v>
      </c>
      <c r="B233" t="s">
        <v>1322</v>
      </c>
      <c r="C233" t="s">
        <v>1323</v>
      </c>
      <c r="D233" t="s">
        <v>45</v>
      </c>
      <c r="E233">
        <v>14</v>
      </c>
      <c r="F233">
        <v>422</v>
      </c>
      <c r="G233">
        <v>3018</v>
      </c>
      <c r="H233">
        <v>4326</v>
      </c>
      <c r="I233" t="s">
        <v>57</v>
      </c>
      <c r="J233" t="s">
        <v>1639</v>
      </c>
      <c r="K233" t="s">
        <v>65</v>
      </c>
      <c r="L233" t="s">
        <v>66</v>
      </c>
      <c r="M233">
        <v>7</v>
      </c>
      <c r="N233" t="s">
        <v>391</v>
      </c>
      <c r="O233">
        <v>2025</v>
      </c>
      <c r="P233">
        <v>16736</v>
      </c>
      <c r="R233" t="s">
        <v>1660</v>
      </c>
      <c r="S233" t="str">
        <f>IF(COUNTIF(Tabela2[PROCESSO],Tabela1[[#This Row],[codProcesso]])&gt;0,"Está","Não está")</f>
        <v>Não está</v>
      </c>
      <c r="T233" t="s">
        <v>1661</v>
      </c>
      <c r="X233">
        <v>12</v>
      </c>
      <c r="Y233" t="s">
        <v>54</v>
      </c>
      <c r="Z233" s="5">
        <v>7100</v>
      </c>
      <c r="AA233" s="5">
        <v>0</v>
      </c>
      <c r="AB233" s="5">
        <v>0</v>
      </c>
      <c r="AC233" s="5">
        <v>0</v>
      </c>
      <c r="AD233" s="5">
        <v>7100</v>
      </c>
      <c r="AE233" s="5">
        <v>591.66666666666663</v>
      </c>
      <c r="AF233" s="5">
        <v>7100</v>
      </c>
      <c r="AG233">
        <v>7100</v>
      </c>
      <c r="AH233">
        <v>591.66666666666663</v>
      </c>
      <c r="AI233">
        <v>7100</v>
      </c>
      <c r="AJ233">
        <v>7100</v>
      </c>
      <c r="AK233">
        <v>0</v>
      </c>
      <c r="AL233">
        <v>7100</v>
      </c>
      <c r="AM233">
        <v>0</v>
      </c>
      <c r="AN233">
        <v>0</v>
      </c>
      <c r="AO233" t="s">
        <v>55</v>
      </c>
      <c r="AP233" t="s">
        <v>1662</v>
      </c>
      <c r="AQ233">
        <v>1</v>
      </c>
    </row>
    <row r="234" spans="1:43" x14ac:dyDescent="0.25">
      <c r="A234" t="s">
        <v>42</v>
      </c>
      <c r="B234" t="s">
        <v>1322</v>
      </c>
      <c r="C234" t="s">
        <v>1323</v>
      </c>
      <c r="D234" t="s">
        <v>45</v>
      </c>
      <c r="E234">
        <v>14</v>
      </c>
      <c r="F234">
        <v>422</v>
      </c>
      <c r="G234">
        <v>3018</v>
      </c>
      <c r="H234">
        <v>4326</v>
      </c>
      <c r="I234" t="s">
        <v>57</v>
      </c>
      <c r="J234" t="s">
        <v>1639</v>
      </c>
      <c r="K234" t="s">
        <v>65</v>
      </c>
      <c r="L234" t="s">
        <v>66</v>
      </c>
      <c r="M234">
        <v>7</v>
      </c>
      <c r="N234" t="s">
        <v>391</v>
      </c>
      <c r="O234">
        <v>2025</v>
      </c>
      <c r="P234">
        <v>16772</v>
      </c>
      <c r="Q234" t="s">
        <v>1734</v>
      </c>
      <c r="R234" t="s">
        <v>1735</v>
      </c>
      <c r="S234" t="str">
        <f>IF(COUNTIF(Tabela2[PROCESSO],Tabela1[[#This Row],[codProcesso]])&gt;0,"Está","Não está")</f>
        <v>Não está</v>
      </c>
      <c r="T234" t="s">
        <v>1736</v>
      </c>
      <c r="U234" t="s">
        <v>1715</v>
      </c>
      <c r="V234" t="s">
        <v>1366</v>
      </c>
      <c r="W234" t="s">
        <v>1500</v>
      </c>
      <c r="X234">
        <v>0</v>
      </c>
      <c r="Y234" t="s">
        <v>98</v>
      </c>
      <c r="Z234" s="5">
        <v>7100</v>
      </c>
      <c r="AA234" s="5">
        <v>0</v>
      </c>
      <c r="AB234" s="5">
        <v>0</v>
      </c>
      <c r="AC234" s="5">
        <v>0</v>
      </c>
      <c r="AD234" s="5">
        <v>7100</v>
      </c>
      <c r="AE234" s="5">
        <v>591.66666666666663</v>
      </c>
      <c r="AF234" s="5">
        <v>7100</v>
      </c>
      <c r="AG234">
        <v>7100</v>
      </c>
      <c r="AH234">
        <v>591.66666666666663</v>
      </c>
      <c r="AI234">
        <v>7100</v>
      </c>
      <c r="AJ234">
        <v>7100</v>
      </c>
      <c r="AK234">
        <v>0</v>
      </c>
      <c r="AL234">
        <v>7100</v>
      </c>
      <c r="AM234">
        <v>7100</v>
      </c>
      <c r="AN234">
        <v>0</v>
      </c>
      <c r="AO234" t="s">
        <v>55</v>
      </c>
      <c r="AP234" t="s">
        <v>1737</v>
      </c>
      <c r="AQ234">
        <v>1</v>
      </c>
    </row>
    <row r="235" spans="1:43" x14ac:dyDescent="0.25">
      <c r="A235" t="s">
        <v>42</v>
      </c>
      <c r="B235" t="s">
        <v>1322</v>
      </c>
      <c r="C235" t="s">
        <v>1323</v>
      </c>
      <c r="D235" t="s">
        <v>45</v>
      </c>
      <c r="E235">
        <v>14</v>
      </c>
      <c r="F235">
        <v>422</v>
      </c>
      <c r="G235">
        <v>3018</v>
      </c>
      <c r="H235">
        <v>4326</v>
      </c>
      <c r="I235" t="s">
        <v>57</v>
      </c>
      <c r="J235" t="s">
        <v>1639</v>
      </c>
      <c r="K235" t="s">
        <v>65</v>
      </c>
      <c r="L235" t="s">
        <v>66</v>
      </c>
      <c r="M235">
        <v>7</v>
      </c>
      <c r="N235" t="s">
        <v>391</v>
      </c>
      <c r="O235">
        <v>2025</v>
      </c>
      <c r="P235">
        <v>16825</v>
      </c>
      <c r="Q235" t="s">
        <v>1768</v>
      </c>
      <c r="R235" t="s">
        <v>1769</v>
      </c>
      <c r="S235" t="str">
        <f>IF(COUNTIF(Tabela2[PROCESSO],Tabela1[[#This Row],[codProcesso]])&gt;0,"Está","Não está")</f>
        <v>Não está</v>
      </c>
      <c r="T235" t="s">
        <v>1770</v>
      </c>
      <c r="U235" t="s">
        <v>1613</v>
      </c>
      <c r="V235" t="s">
        <v>1366</v>
      </c>
      <c r="W235" t="s">
        <v>1500</v>
      </c>
      <c r="X235">
        <v>0</v>
      </c>
      <c r="Y235" t="s">
        <v>98</v>
      </c>
      <c r="Z235" s="5">
        <v>7100</v>
      </c>
      <c r="AA235" s="5">
        <v>0</v>
      </c>
      <c r="AB235" s="5">
        <v>0</v>
      </c>
      <c r="AC235" s="5">
        <v>0</v>
      </c>
      <c r="AD235" s="5">
        <v>7100</v>
      </c>
      <c r="AE235" s="5">
        <v>591.66666666666663</v>
      </c>
      <c r="AF235" s="5">
        <v>7100</v>
      </c>
      <c r="AG235">
        <v>7100</v>
      </c>
      <c r="AH235">
        <v>591.66666666666663</v>
      </c>
      <c r="AI235">
        <v>7100</v>
      </c>
      <c r="AJ235">
        <v>7100</v>
      </c>
      <c r="AK235">
        <v>0</v>
      </c>
      <c r="AL235">
        <v>7100</v>
      </c>
      <c r="AM235">
        <v>7100</v>
      </c>
      <c r="AN235">
        <v>0</v>
      </c>
      <c r="AO235" t="s">
        <v>55</v>
      </c>
      <c r="AP235" t="s">
        <v>1771</v>
      </c>
      <c r="AQ235">
        <v>1</v>
      </c>
    </row>
    <row r="236" spans="1:43" x14ac:dyDescent="0.25">
      <c r="A236" t="s">
        <v>42</v>
      </c>
      <c r="B236" t="s">
        <v>1322</v>
      </c>
      <c r="C236" t="s">
        <v>1323</v>
      </c>
      <c r="D236" t="s">
        <v>45</v>
      </c>
      <c r="E236">
        <v>14</v>
      </c>
      <c r="F236">
        <v>422</v>
      </c>
      <c r="G236">
        <v>3018</v>
      </c>
      <c r="H236">
        <v>4326</v>
      </c>
      <c r="I236" t="s">
        <v>57</v>
      </c>
      <c r="J236" t="s">
        <v>1639</v>
      </c>
      <c r="K236" t="s">
        <v>65</v>
      </c>
      <c r="L236" t="s">
        <v>66</v>
      </c>
      <c r="M236">
        <v>7</v>
      </c>
      <c r="N236" t="s">
        <v>391</v>
      </c>
      <c r="O236">
        <v>2025</v>
      </c>
      <c r="P236">
        <v>16854</v>
      </c>
      <c r="Q236" t="s">
        <v>1800</v>
      </c>
      <c r="R236" t="s">
        <v>1801</v>
      </c>
      <c r="S236" t="str">
        <f>IF(COUNTIF(Tabela2[PROCESSO],Tabela1[[#This Row],[codProcesso]])&gt;0,"Está","Não está")</f>
        <v>Não está</v>
      </c>
      <c r="T236" t="s">
        <v>1802</v>
      </c>
      <c r="U236" t="s">
        <v>1613</v>
      </c>
      <c r="V236" t="s">
        <v>1366</v>
      </c>
      <c r="W236" t="s">
        <v>1500</v>
      </c>
      <c r="X236">
        <v>0</v>
      </c>
      <c r="Y236" t="s">
        <v>98</v>
      </c>
      <c r="Z236" s="5">
        <v>7100</v>
      </c>
      <c r="AA236" s="5">
        <v>0</v>
      </c>
      <c r="AB236" s="5">
        <v>0</v>
      </c>
      <c r="AC236" s="5">
        <v>0</v>
      </c>
      <c r="AD236" s="5">
        <v>7100</v>
      </c>
      <c r="AE236" s="5">
        <v>591.66666666666663</v>
      </c>
      <c r="AF236" s="5">
        <v>7100</v>
      </c>
      <c r="AG236">
        <v>7100</v>
      </c>
      <c r="AH236">
        <v>591.66666666666663</v>
      </c>
      <c r="AI236">
        <v>7100</v>
      </c>
      <c r="AJ236">
        <v>7100</v>
      </c>
      <c r="AK236">
        <v>0</v>
      </c>
      <c r="AL236">
        <v>7100</v>
      </c>
      <c r="AM236">
        <v>7100</v>
      </c>
      <c r="AN236">
        <v>0</v>
      </c>
      <c r="AO236" t="s">
        <v>55</v>
      </c>
      <c r="AP236" t="s">
        <v>1803</v>
      </c>
      <c r="AQ236">
        <v>1</v>
      </c>
    </row>
    <row r="237" spans="1:43" x14ac:dyDescent="0.25">
      <c r="A237" t="s">
        <v>42</v>
      </c>
      <c r="B237" t="s">
        <v>1322</v>
      </c>
      <c r="C237" t="s">
        <v>1323</v>
      </c>
      <c r="D237" t="s">
        <v>45</v>
      </c>
      <c r="E237">
        <v>14</v>
      </c>
      <c r="F237">
        <v>422</v>
      </c>
      <c r="G237">
        <v>3018</v>
      </c>
      <c r="H237">
        <v>4326</v>
      </c>
      <c r="I237" t="s">
        <v>57</v>
      </c>
      <c r="J237" t="s">
        <v>1814</v>
      </c>
      <c r="K237" t="s">
        <v>65</v>
      </c>
      <c r="L237" t="s">
        <v>66</v>
      </c>
      <c r="M237">
        <v>7</v>
      </c>
      <c r="N237" t="s">
        <v>391</v>
      </c>
      <c r="O237">
        <v>2025</v>
      </c>
      <c r="P237">
        <v>16874</v>
      </c>
      <c r="Q237" t="s">
        <v>1818</v>
      </c>
      <c r="R237" t="s">
        <v>1819</v>
      </c>
      <c r="S237" t="str">
        <f>IF(COUNTIF(Tabela2[PROCESSO],Tabela1[[#This Row],[codProcesso]])&gt;0,"Está","Não está")</f>
        <v>Não está</v>
      </c>
      <c r="T237" t="s">
        <v>1820</v>
      </c>
      <c r="U237" t="s">
        <v>1715</v>
      </c>
      <c r="V237" t="s">
        <v>1672</v>
      </c>
      <c r="W237" t="s">
        <v>1569</v>
      </c>
      <c r="X237">
        <v>0</v>
      </c>
      <c r="Y237" t="s">
        <v>98</v>
      </c>
      <c r="Z237" s="5">
        <v>7100</v>
      </c>
      <c r="AA237" s="5">
        <v>0</v>
      </c>
      <c r="AB237" s="5">
        <v>0</v>
      </c>
      <c r="AC237" s="5">
        <v>0</v>
      </c>
      <c r="AD237" s="5">
        <v>7100</v>
      </c>
      <c r="AE237" s="5">
        <v>591.66666666666663</v>
      </c>
      <c r="AF237" s="5">
        <v>7100</v>
      </c>
      <c r="AG237">
        <v>7100</v>
      </c>
      <c r="AH237">
        <v>591.66666666666663</v>
      </c>
      <c r="AI237">
        <v>7100</v>
      </c>
      <c r="AJ237">
        <v>7100</v>
      </c>
      <c r="AK237">
        <v>0</v>
      </c>
      <c r="AL237">
        <v>7100</v>
      </c>
      <c r="AM237">
        <v>0</v>
      </c>
      <c r="AN237">
        <v>0</v>
      </c>
      <c r="AO237" t="s">
        <v>55</v>
      </c>
      <c r="AP237" t="s">
        <v>1821</v>
      </c>
      <c r="AQ237">
        <v>1</v>
      </c>
    </row>
    <row r="238" spans="1:43" x14ac:dyDescent="0.25">
      <c r="A238" t="s">
        <v>42</v>
      </c>
      <c r="B238" t="s">
        <v>43</v>
      </c>
      <c r="C238" t="s">
        <v>44</v>
      </c>
      <c r="D238" t="s">
        <v>45</v>
      </c>
      <c r="E238">
        <v>14</v>
      </c>
      <c r="F238">
        <v>122</v>
      </c>
      <c r="G238">
        <v>3024</v>
      </c>
      <c r="H238">
        <v>2100</v>
      </c>
      <c r="I238" t="s">
        <v>186</v>
      </c>
      <c r="J238" t="s">
        <v>749</v>
      </c>
      <c r="K238" t="s">
        <v>58</v>
      </c>
      <c r="L238" t="s">
        <v>59</v>
      </c>
      <c r="M238">
        <v>12</v>
      </c>
      <c r="N238" t="s">
        <v>60</v>
      </c>
      <c r="O238">
        <v>2025</v>
      </c>
      <c r="P238">
        <v>7267</v>
      </c>
      <c r="R238" t="s">
        <v>1118</v>
      </c>
      <c r="S238" t="str">
        <f>IF(COUNTIF(Tabela2[PROCESSO],Tabela1[[#This Row],[codProcesso]])&gt;0,"Está","Não está")</f>
        <v>Não está</v>
      </c>
      <c r="T238" t="s">
        <v>1119</v>
      </c>
      <c r="W238" t="s">
        <v>1116</v>
      </c>
      <c r="X238">
        <v>12</v>
      </c>
      <c r="Y238" t="s">
        <v>54</v>
      </c>
      <c r="Z238" s="5">
        <v>7000</v>
      </c>
      <c r="AA238" s="5">
        <v>0</v>
      </c>
      <c r="AB238" s="5">
        <v>0</v>
      </c>
      <c r="AC238" s="5">
        <v>0</v>
      </c>
      <c r="AD238" s="5">
        <v>7000</v>
      </c>
      <c r="AE238" s="5">
        <v>583.33333333333337</v>
      </c>
      <c r="AF238" s="5">
        <v>7000</v>
      </c>
      <c r="AG238">
        <v>7000</v>
      </c>
      <c r="AH238">
        <v>583.33333333333337</v>
      </c>
      <c r="AI238">
        <v>7000</v>
      </c>
      <c r="AJ238">
        <v>7000</v>
      </c>
      <c r="AK238">
        <v>0</v>
      </c>
      <c r="AL238">
        <v>7000</v>
      </c>
      <c r="AM238">
        <v>7000</v>
      </c>
      <c r="AN238">
        <v>7000</v>
      </c>
      <c r="AO238" t="s">
        <v>55</v>
      </c>
      <c r="AP238" t="s">
        <v>1120</v>
      </c>
      <c r="AQ238">
        <v>1</v>
      </c>
    </row>
    <row r="239" spans="1:43" x14ac:dyDescent="0.25">
      <c r="A239" t="s">
        <v>42</v>
      </c>
      <c r="B239" t="s">
        <v>43</v>
      </c>
      <c r="C239" t="s">
        <v>44</v>
      </c>
      <c r="D239" t="s">
        <v>45</v>
      </c>
      <c r="E239">
        <v>14</v>
      </c>
      <c r="F239">
        <v>122</v>
      </c>
      <c r="G239">
        <v>3024</v>
      </c>
      <c r="H239">
        <v>2100</v>
      </c>
      <c r="I239" t="s">
        <v>246</v>
      </c>
      <c r="J239" t="s">
        <v>439</v>
      </c>
      <c r="K239" t="s">
        <v>491</v>
      </c>
      <c r="L239" t="s">
        <v>492</v>
      </c>
      <c r="M239">
        <v>6</v>
      </c>
      <c r="N239" t="s">
        <v>115</v>
      </c>
      <c r="O239">
        <v>2025</v>
      </c>
      <c r="P239">
        <v>14165</v>
      </c>
      <c r="Q239" t="s">
        <v>1502</v>
      </c>
      <c r="R239" t="s">
        <v>1503</v>
      </c>
      <c r="S239" t="str">
        <f>IF(COUNTIF(Tabela2[PROCESSO],Tabela1[[#This Row],[codProcesso]])&gt;0,"Está","Não está")</f>
        <v>Não está</v>
      </c>
      <c r="T239" t="s">
        <v>1504</v>
      </c>
      <c r="U239" t="s">
        <v>854</v>
      </c>
      <c r="V239" t="s">
        <v>1429</v>
      </c>
      <c r="W239" t="s">
        <v>1505</v>
      </c>
      <c r="X239">
        <v>12</v>
      </c>
      <c r="Y239" t="s">
        <v>73</v>
      </c>
      <c r="Z239" s="5">
        <v>6953</v>
      </c>
      <c r="AA239" s="5">
        <v>0</v>
      </c>
      <c r="AB239" s="5">
        <v>0</v>
      </c>
      <c r="AC239" s="5">
        <v>0</v>
      </c>
      <c r="AD239" s="5">
        <v>6953</v>
      </c>
      <c r="AE239" s="5">
        <v>579.41666666666663</v>
      </c>
      <c r="AF239" s="5">
        <v>6953</v>
      </c>
      <c r="AG239">
        <v>6953</v>
      </c>
      <c r="AH239">
        <v>579.41666666666663</v>
      </c>
      <c r="AI239">
        <v>6953</v>
      </c>
      <c r="AJ239">
        <v>6953</v>
      </c>
      <c r="AK239">
        <v>0</v>
      </c>
      <c r="AL239">
        <v>6953</v>
      </c>
      <c r="AM239">
        <v>6953</v>
      </c>
      <c r="AN239">
        <v>0</v>
      </c>
      <c r="AO239" t="s">
        <v>55</v>
      </c>
      <c r="AP239" t="s">
        <v>1506</v>
      </c>
      <c r="AQ239">
        <v>1</v>
      </c>
    </row>
    <row r="240" spans="1:43" x14ac:dyDescent="0.25">
      <c r="A240" t="s">
        <v>42</v>
      </c>
      <c r="B240" t="s">
        <v>43</v>
      </c>
      <c r="C240" t="s">
        <v>44</v>
      </c>
      <c r="D240" t="s">
        <v>45</v>
      </c>
      <c r="E240">
        <v>14</v>
      </c>
      <c r="F240">
        <v>122</v>
      </c>
      <c r="G240">
        <v>3024</v>
      </c>
      <c r="H240">
        <v>2100</v>
      </c>
      <c r="I240" t="s">
        <v>186</v>
      </c>
      <c r="J240" t="s">
        <v>749</v>
      </c>
      <c r="K240" t="s">
        <v>247</v>
      </c>
      <c r="L240" t="s">
        <v>248</v>
      </c>
      <c r="M240">
        <v>6</v>
      </c>
      <c r="N240" t="s">
        <v>115</v>
      </c>
      <c r="O240">
        <v>2025</v>
      </c>
      <c r="P240">
        <v>3656</v>
      </c>
      <c r="R240" t="s">
        <v>782</v>
      </c>
      <c r="S240" t="str">
        <f>IF(COUNTIF(Tabela2[PROCESSO],Tabela1[[#This Row],[codProcesso]])&gt;0,"Está","Não está")</f>
        <v>Não está</v>
      </c>
      <c r="T240" t="s">
        <v>783</v>
      </c>
      <c r="W240" t="s">
        <v>455</v>
      </c>
      <c r="X240">
        <v>12</v>
      </c>
      <c r="Y240" t="s">
        <v>54</v>
      </c>
      <c r="Z240" s="5">
        <v>6900</v>
      </c>
      <c r="AA240" s="5">
        <v>0</v>
      </c>
      <c r="AB240" s="5">
        <v>0</v>
      </c>
      <c r="AC240" s="5">
        <v>0</v>
      </c>
      <c r="AD240" s="5">
        <v>6900</v>
      </c>
      <c r="AE240" s="5">
        <v>575</v>
      </c>
      <c r="AF240" s="5">
        <v>6900</v>
      </c>
      <c r="AG240">
        <v>6900</v>
      </c>
      <c r="AH240">
        <v>575</v>
      </c>
      <c r="AI240">
        <v>6900</v>
      </c>
      <c r="AJ240">
        <v>6900</v>
      </c>
      <c r="AK240">
        <v>0</v>
      </c>
      <c r="AL240">
        <v>6900</v>
      </c>
      <c r="AM240">
        <v>6900</v>
      </c>
      <c r="AN240">
        <v>6900</v>
      </c>
      <c r="AO240" t="s">
        <v>55</v>
      </c>
      <c r="AP240" t="s">
        <v>784</v>
      </c>
      <c r="AQ240">
        <v>1</v>
      </c>
    </row>
    <row r="241" spans="1:43" x14ac:dyDescent="0.25">
      <c r="A241" t="s">
        <v>42</v>
      </c>
      <c r="B241" t="s">
        <v>43</v>
      </c>
      <c r="C241" t="s">
        <v>44</v>
      </c>
      <c r="D241" t="s">
        <v>45</v>
      </c>
      <c r="E241">
        <v>14</v>
      </c>
      <c r="F241">
        <v>122</v>
      </c>
      <c r="G241">
        <v>3024</v>
      </c>
      <c r="H241">
        <v>2100</v>
      </c>
      <c r="I241" t="s">
        <v>186</v>
      </c>
      <c r="J241" t="s">
        <v>483</v>
      </c>
      <c r="K241" t="s">
        <v>247</v>
      </c>
      <c r="L241" t="s">
        <v>248</v>
      </c>
      <c r="M241">
        <v>6</v>
      </c>
      <c r="N241" t="s">
        <v>115</v>
      </c>
      <c r="O241">
        <v>2025</v>
      </c>
      <c r="P241">
        <v>13978</v>
      </c>
      <c r="R241" t="s">
        <v>1474</v>
      </c>
      <c r="S241" t="str">
        <f>IF(COUNTIF(Tabela2[PROCESSO],Tabela1[[#This Row],[codProcesso]])&gt;0,"Está","Não está")</f>
        <v>Não está</v>
      </c>
      <c r="T241" t="s">
        <v>1475</v>
      </c>
      <c r="W241" t="s">
        <v>1429</v>
      </c>
      <c r="X241">
        <v>12</v>
      </c>
      <c r="Y241" t="s">
        <v>54</v>
      </c>
      <c r="Z241" s="5">
        <v>6800</v>
      </c>
      <c r="AA241" s="5">
        <v>0</v>
      </c>
      <c r="AB241" s="5">
        <v>0</v>
      </c>
      <c r="AC241" s="5">
        <v>0</v>
      </c>
      <c r="AD241" s="5">
        <v>6800</v>
      </c>
      <c r="AE241" s="5">
        <v>566.66666666666663</v>
      </c>
      <c r="AF241" s="5">
        <v>6800</v>
      </c>
      <c r="AG241">
        <v>6800</v>
      </c>
      <c r="AH241">
        <v>566.66666666666663</v>
      </c>
      <c r="AI241">
        <v>6800</v>
      </c>
      <c r="AJ241">
        <v>6800</v>
      </c>
      <c r="AK241">
        <v>0</v>
      </c>
      <c r="AL241">
        <v>6800</v>
      </c>
      <c r="AM241">
        <v>6800</v>
      </c>
      <c r="AN241">
        <v>6800</v>
      </c>
      <c r="AO241" t="s">
        <v>55</v>
      </c>
      <c r="AP241" t="s">
        <v>1476</v>
      </c>
      <c r="AQ241">
        <v>1</v>
      </c>
    </row>
    <row r="242" spans="1:43" x14ac:dyDescent="0.25">
      <c r="A242" t="s">
        <v>42</v>
      </c>
      <c r="B242" t="s">
        <v>43</v>
      </c>
      <c r="C242" t="s">
        <v>44</v>
      </c>
      <c r="D242" t="s">
        <v>45</v>
      </c>
      <c r="E242">
        <v>14</v>
      </c>
      <c r="F242">
        <v>422</v>
      </c>
      <c r="G242">
        <v>3013</v>
      </c>
      <c r="H242">
        <v>2431</v>
      </c>
      <c r="I242" t="s">
        <v>57</v>
      </c>
      <c r="J242" t="s">
        <v>1814</v>
      </c>
      <c r="K242" t="s">
        <v>690</v>
      </c>
      <c r="L242" t="s">
        <v>691</v>
      </c>
      <c r="M242">
        <v>12</v>
      </c>
      <c r="N242" t="s">
        <v>60</v>
      </c>
      <c r="O242">
        <v>2025</v>
      </c>
      <c r="P242">
        <v>16921</v>
      </c>
      <c r="R242" t="s">
        <v>1832</v>
      </c>
      <c r="S242" t="str">
        <f>IF(COUNTIF(Tabela2[PROCESSO],Tabela1[[#This Row],[codProcesso]])&gt;0,"Está","Não está")</f>
        <v>Não está</v>
      </c>
      <c r="T242" t="s">
        <v>1833</v>
      </c>
      <c r="X242">
        <v>12</v>
      </c>
      <c r="Y242" t="s">
        <v>54</v>
      </c>
      <c r="Z242" s="5">
        <v>6751.5</v>
      </c>
      <c r="AA242" s="5">
        <v>0</v>
      </c>
      <c r="AB242" s="5">
        <v>0</v>
      </c>
      <c r="AC242" s="5">
        <v>0</v>
      </c>
      <c r="AD242" s="5">
        <v>6751.5</v>
      </c>
      <c r="AE242" s="5">
        <v>562.625</v>
      </c>
      <c r="AF242" s="5">
        <v>6751.5</v>
      </c>
      <c r="AG242">
        <v>6751.5</v>
      </c>
      <c r="AH242">
        <v>562.625</v>
      </c>
      <c r="AI242">
        <v>6751.5</v>
      </c>
      <c r="AJ242">
        <v>6751.5</v>
      </c>
      <c r="AK242">
        <v>0</v>
      </c>
      <c r="AL242">
        <v>6751.5</v>
      </c>
      <c r="AM242">
        <v>0</v>
      </c>
      <c r="AN242">
        <v>0</v>
      </c>
      <c r="AO242" t="s">
        <v>55</v>
      </c>
      <c r="AP242" t="s">
        <v>1834</v>
      </c>
      <c r="AQ242">
        <v>1</v>
      </c>
    </row>
    <row r="243" spans="1:43" x14ac:dyDescent="0.25">
      <c r="A243" t="s">
        <v>42</v>
      </c>
      <c r="B243" t="s">
        <v>43</v>
      </c>
      <c r="C243" t="s">
        <v>44</v>
      </c>
      <c r="D243" t="s">
        <v>45</v>
      </c>
      <c r="E243">
        <v>14</v>
      </c>
      <c r="F243">
        <v>122</v>
      </c>
      <c r="G243">
        <v>3024</v>
      </c>
      <c r="H243">
        <v>2100</v>
      </c>
      <c r="I243" t="s">
        <v>186</v>
      </c>
      <c r="J243" t="s">
        <v>483</v>
      </c>
      <c r="K243" t="s">
        <v>491</v>
      </c>
      <c r="L243" t="s">
        <v>492</v>
      </c>
      <c r="M243">
        <v>6</v>
      </c>
      <c r="N243" t="s">
        <v>115</v>
      </c>
      <c r="O243">
        <v>2025</v>
      </c>
      <c r="P243">
        <v>2689</v>
      </c>
      <c r="Q243" t="s">
        <v>493</v>
      </c>
      <c r="R243" t="s">
        <v>494</v>
      </c>
      <c r="S243" t="str">
        <f>IF(COUNTIF(Tabela2[PROCESSO],Tabela1[[#This Row],[codProcesso]])&gt;0,"Está","Não está")</f>
        <v>Está</v>
      </c>
      <c r="T243" t="s">
        <v>495</v>
      </c>
      <c r="U243" t="s">
        <v>496</v>
      </c>
      <c r="V243" t="s">
        <v>497</v>
      </c>
      <c r="W243" t="s">
        <v>498</v>
      </c>
      <c r="X243">
        <v>10</v>
      </c>
      <c r="Y243" t="s">
        <v>73</v>
      </c>
      <c r="Z243" s="5">
        <v>6649.9</v>
      </c>
      <c r="AA243" s="5">
        <v>0</v>
      </c>
      <c r="AB243" s="5">
        <v>0</v>
      </c>
      <c r="AC243" s="5">
        <v>0</v>
      </c>
      <c r="AD243" s="5">
        <v>6649.9</v>
      </c>
      <c r="AE243" s="5">
        <v>554.1583333333333</v>
      </c>
      <c r="AF243" s="5">
        <v>6649.9</v>
      </c>
      <c r="AG243">
        <v>6649.9</v>
      </c>
      <c r="AH243">
        <v>554.1583333333333</v>
      </c>
      <c r="AI243">
        <v>6649.9</v>
      </c>
      <c r="AJ243">
        <v>6649.9</v>
      </c>
      <c r="AK243">
        <v>0</v>
      </c>
      <c r="AL243">
        <v>6649.9</v>
      </c>
      <c r="AM243">
        <v>1907</v>
      </c>
      <c r="AN243">
        <v>1759</v>
      </c>
      <c r="AO243" t="s">
        <v>55</v>
      </c>
      <c r="AP243" t="s">
        <v>499</v>
      </c>
      <c r="AQ243">
        <v>1</v>
      </c>
    </row>
    <row r="244" spans="1:43" x14ac:dyDescent="0.25">
      <c r="A244" t="s">
        <v>42</v>
      </c>
      <c r="B244" t="s">
        <v>43</v>
      </c>
      <c r="C244" t="s">
        <v>44</v>
      </c>
      <c r="D244" t="s">
        <v>45</v>
      </c>
      <c r="E244">
        <v>14</v>
      </c>
      <c r="F244">
        <v>422</v>
      </c>
      <c r="G244">
        <v>3018</v>
      </c>
      <c r="H244">
        <v>4326</v>
      </c>
      <c r="I244" t="s">
        <v>57</v>
      </c>
      <c r="J244" t="s">
        <v>47</v>
      </c>
      <c r="K244" t="s">
        <v>58</v>
      </c>
      <c r="L244" t="s">
        <v>59</v>
      </c>
      <c r="M244">
        <v>12</v>
      </c>
      <c r="N244" t="s">
        <v>60</v>
      </c>
      <c r="O244">
        <v>2025</v>
      </c>
      <c r="P244">
        <v>490</v>
      </c>
      <c r="R244" t="s">
        <v>61</v>
      </c>
      <c r="S244" t="str">
        <f>IF(COUNTIF(Tabela2[PROCESSO],Tabela1[[#This Row],[codProcesso]])&gt;0,"Está","Não está")</f>
        <v>Não está</v>
      </c>
      <c r="T244" t="s">
        <v>62</v>
      </c>
      <c r="W244" t="s">
        <v>63</v>
      </c>
      <c r="X244">
        <v>12</v>
      </c>
      <c r="Y244" t="s">
        <v>54</v>
      </c>
      <c r="Z244" s="5">
        <v>6596</v>
      </c>
      <c r="AA244" s="5">
        <v>0</v>
      </c>
      <c r="AB244" s="5">
        <v>0</v>
      </c>
      <c r="AC244" s="5">
        <v>0</v>
      </c>
      <c r="AD244" s="5">
        <v>6596</v>
      </c>
      <c r="AE244" s="5">
        <v>549.66666666666663</v>
      </c>
      <c r="AF244" s="5">
        <v>6596</v>
      </c>
      <c r="AG244">
        <v>6596</v>
      </c>
      <c r="AH244">
        <v>549.66666666666663</v>
      </c>
      <c r="AI244">
        <v>6596</v>
      </c>
      <c r="AJ244">
        <v>6596</v>
      </c>
      <c r="AK244">
        <v>0</v>
      </c>
      <c r="AL244">
        <v>6596</v>
      </c>
      <c r="AM244">
        <v>6596</v>
      </c>
      <c r="AN244">
        <v>6596</v>
      </c>
      <c r="AO244" t="s">
        <v>55</v>
      </c>
      <c r="AP244" t="s">
        <v>64</v>
      </c>
      <c r="AQ244">
        <v>1</v>
      </c>
    </row>
    <row r="245" spans="1:43" x14ac:dyDescent="0.25">
      <c r="A245" t="s">
        <v>42</v>
      </c>
      <c r="B245" t="s">
        <v>43</v>
      </c>
      <c r="C245" t="s">
        <v>44</v>
      </c>
      <c r="D245" t="s">
        <v>45</v>
      </c>
      <c r="E245">
        <v>14</v>
      </c>
      <c r="F245">
        <v>422</v>
      </c>
      <c r="G245">
        <v>3013</v>
      </c>
      <c r="H245">
        <v>4322</v>
      </c>
      <c r="I245" t="s">
        <v>57</v>
      </c>
      <c r="J245" t="s">
        <v>361</v>
      </c>
      <c r="K245" t="s">
        <v>58</v>
      </c>
      <c r="L245" t="s">
        <v>59</v>
      </c>
      <c r="M245">
        <v>12</v>
      </c>
      <c r="N245" t="s">
        <v>60</v>
      </c>
      <c r="O245">
        <v>2025</v>
      </c>
      <c r="P245">
        <v>12748</v>
      </c>
      <c r="R245" t="s">
        <v>1402</v>
      </c>
      <c r="S245" t="str">
        <f>IF(COUNTIF(Tabela2[PROCESSO],Tabela1[[#This Row],[codProcesso]])&gt;0,"Está","Não está")</f>
        <v>Não está</v>
      </c>
      <c r="T245" t="s">
        <v>1403</v>
      </c>
      <c r="W245" t="s">
        <v>1404</v>
      </c>
      <c r="X245">
        <v>12</v>
      </c>
      <c r="Y245" t="s">
        <v>54</v>
      </c>
      <c r="Z245" s="5">
        <v>6596</v>
      </c>
      <c r="AA245" s="5">
        <v>0</v>
      </c>
      <c r="AB245" s="5">
        <v>0</v>
      </c>
      <c r="AC245" s="5">
        <v>0</v>
      </c>
      <c r="AD245" s="5">
        <v>6596</v>
      </c>
      <c r="AE245" s="5">
        <v>549.66666666666663</v>
      </c>
      <c r="AF245" s="5">
        <v>6596</v>
      </c>
      <c r="AG245">
        <v>6596</v>
      </c>
      <c r="AH245">
        <v>549.66666666666663</v>
      </c>
      <c r="AI245">
        <v>6596</v>
      </c>
      <c r="AJ245">
        <v>6596</v>
      </c>
      <c r="AK245">
        <v>0</v>
      </c>
      <c r="AL245">
        <v>6596</v>
      </c>
      <c r="AM245">
        <v>6596</v>
      </c>
      <c r="AN245">
        <v>0</v>
      </c>
      <c r="AO245" t="s">
        <v>55</v>
      </c>
      <c r="AP245" t="s">
        <v>1405</v>
      </c>
      <c r="AQ245">
        <v>1</v>
      </c>
    </row>
    <row r="246" spans="1:43" x14ac:dyDescent="0.25">
      <c r="A246" t="s">
        <v>42</v>
      </c>
      <c r="B246" t="s">
        <v>1322</v>
      </c>
      <c r="C246" t="s">
        <v>1323</v>
      </c>
      <c r="D246" t="s">
        <v>45</v>
      </c>
      <c r="E246">
        <v>14</v>
      </c>
      <c r="F246">
        <v>422</v>
      </c>
      <c r="G246">
        <v>3018</v>
      </c>
      <c r="H246">
        <v>4326</v>
      </c>
      <c r="I246" t="s">
        <v>57</v>
      </c>
      <c r="J246" t="s">
        <v>1639</v>
      </c>
      <c r="K246" t="s">
        <v>65</v>
      </c>
      <c r="L246" t="s">
        <v>66</v>
      </c>
      <c r="M246">
        <v>7</v>
      </c>
      <c r="N246" t="s">
        <v>391</v>
      </c>
      <c r="O246">
        <v>2025</v>
      </c>
      <c r="P246">
        <v>16743</v>
      </c>
      <c r="Q246" t="s">
        <v>1669</v>
      </c>
      <c r="R246" t="s">
        <v>1670</v>
      </c>
      <c r="S246" t="str">
        <f>IF(COUNTIF(Tabela2[PROCESSO],Tabela1[[#This Row],[codProcesso]])&gt;0,"Está","Não está")</f>
        <v>Não está</v>
      </c>
      <c r="T246" t="s">
        <v>1671</v>
      </c>
      <c r="U246" t="s">
        <v>1613</v>
      </c>
      <c r="V246" t="s">
        <v>1672</v>
      </c>
      <c r="W246" t="s">
        <v>1569</v>
      </c>
      <c r="X246">
        <v>0</v>
      </c>
      <c r="Y246" t="s">
        <v>98</v>
      </c>
      <c r="Z246" s="5">
        <v>6500</v>
      </c>
      <c r="AA246" s="5">
        <v>0</v>
      </c>
      <c r="AB246" s="5">
        <v>0</v>
      </c>
      <c r="AC246" s="5">
        <v>0</v>
      </c>
      <c r="AD246" s="5">
        <v>6500</v>
      </c>
      <c r="AE246" s="5">
        <v>541.66666666666663</v>
      </c>
      <c r="AF246" s="5">
        <v>6500</v>
      </c>
      <c r="AG246">
        <v>6500</v>
      </c>
      <c r="AH246">
        <v>541.66666666666663</v>
      </c>
      <c r="AI246">
        <v>6500</v>
      </c>
      <c r="AJ246">
        <v>6500</v>
      </c>
      <c r="AK246">
        <v>0</v>
      </c>
      <c r="AL246">
        <v>6500</v>
      </c>
      <c r="AM246">
        <v>6500</v>
      </c>
      <c r="AN246">
        <v>0</v>
      </c>
      <c r="AO246" t="s">
        <v>55</v>
      </c>
      <c r="AP246" t="s">
        <v>1673</v>
      </c>
      <c r="AQ246">
        <v>1</v>
      </c>
    </row>
    <row r="247" spans="1:43" x14ac:dyDescent="0.25">
      <c r="A247" t="s">
        <v>42</v>
      </c>
      <c r="B247" t="s">
        <v>1322</v>
      </c>
      <c r="C247" t="s">
        <v>1323</v>
      </c>
      <c r="D247" t="s">
        <v>45</v>
      </c>
      <c r="E247">
        <v>14</v>
      </c>
      <c r="F247">
        <v>422</v>
      </c>
      <c r="G247">
        <v>3018</v>
      </c>
      <c r="H247">
        <v>4326</v>
      </c>
      <c r="I247" t="s">
        <v>57</v>
      </c>
      <c r="J247" t="s">
        <v>1639</v>
      </c>
      <c r="K247" t="s">
        <v>65</v>
      </c>
      <c r="L247" t="s">
        <v>66</v>
      </c>
      <c r="M247">
        <v>7</v>
      </c>
      <c r="N247" t="s">
        <v>391</v>
      </c>
      <c r="O247">
        <v>2025</v>
      </c>
      <c r="P247">
        <v>16750</v>
      </c>
      <c r="Q247" t="s">
        <v>1692</v>
      </c>
      <c r="R247" t="s">
        <v>1693</v>
      </c>
      <c r="S247" t="str">
        <f>IF(COUNTIF(Tabela2[PROCESSO],Tabela1[[#This Row],[codProcesso]])&gt;0,"Está","Não está")</f>
        <v>Não está</v>
      </c>
      <c r="T247" t="s">
        <v>1694</v>
      </c>
      <c r="U247" t="s">
        <v>1613</v>
      </c>
      <c r="V247" t="s">
        <v>1672</v>
      </c>
      <c r="W247" t="s">
        <v>1569</v>
      </c>
      <c r="X247">
        <v>0</v>
      </c>
      <c r="Y247" t="s">
        <v>98</v>
      </c>
      <c r="Z247" s="5">
        <v>6500</v>
      </c>
      <c r="AA247" s="5">
        <v>0</v>
      </c>
      <c r="AB247" s="5">
        <v>0</v>
      </c>
      <c r="AC247" s="5">
        <v>0</v>
      </c>
      <c r="AD247" s="5">
        <v>6500</v>
      </c>
      <c r="AE247" s="5">
        <v>541.66666666666663</v>
      </c>
      <c r="AF247" s="5">
        <v>6500</v>
      </c>
      <c r="AG247">
        <v>6500</v>
      </c>
      <c r="AH247">
        <v>541.66666666666663</v>
      </c>
      <c r="AI247">
        <v>6500</v>
      </c>
      <c r="AJ247">
        <v>6500</v>
      </c>
      <c r="AK247">
        <v>0</v>
      </c>
      <c r="AL247">
        <v>6500</v>
      </c>
      <c r="AM247">
        <v>0</v>
      </c>
      <c r="AN247">
        <v>0</v>
      </c>
      <c r="AO247" t="s">
        <v>55</v>
      </c>
      <c r="AP247" t="s">
        <v>1695</v>
      </c>
      <c r="AQ247">
        <v>1</v>
      </c>
    </row>
    <row r="248" spans="1:43" x14ac:dyDescent="0.25">
      <c r="A248" t="s">
        <v>42</v>
      </c>
      <c r="B248" t="s">
        <v>1322</v>
      </c>
      <c r="C248" t="s">
        <v>1323</v>
      </c>
      <c r="D248" t="s">
        <v>45</v>
      </c>
      <c r="E248">
        <v>14</v>
      </c>
      <c r="F248">
        <v>422</v>
      </c>
      <c r="G248">
        <v>3018</v>
      </c>
      <c r="H248">
        <v>4326</v>
      </c>
      <c r="I248" t="s">
        <v>57</v>
      </c>
      <c r="J248" t="s">
        <v>1639</v>
      </c>
      <c r="K248" t="s">
        <v>65</v>
      </c>
      <c r="L248" t="s">
        <v>66</v>
      </c>
      <c r="M248">
        <v>7</v>
      </c>
      <c r="N248" t="s">
        <v>391</v>
      </c>
      <c r="O248">
        <v>2025</v>
      </c>
      <c r="P248">
        <v>16764</v>
      </c>
      <c r="Q248" t="s">
        <v>1712</v>
      </c>
      <c r="R248" t="s">
        <v>1713</v>
      </c>
      <c r="S248" t="str">
        <f>IF(COUNTIF(Tabela2[PROCESSO],Tabela1[[#This Row],[codProcesso]])&gt;0,"Está","Não está")</f>
        <v>Não está</v>
      </c>
      <c r="T248" t="s">
        <v>1714</v>
      </c>
      <c r="U248" t="s">
        <v>1715</v>
      </c>
      <c r="V248" t="s">
        <v>1366</v>
      </c>
      <c r="W248" t="s">
        <v>1500</v>
      </c>
      <c r="X248">
        <v>0</v>
      </c>
      <c r="Y248" t="s">
        <v>98</v>
      </c>
      <c r="Z248" s="5">
        <v>6500</v>
      </c>
      <c r="AA248" s="5">
        <v>0</v>
      </c>
      <c r="AB248" s="5">
        <v>0</v>
      </c>
      <c r="AC248" s="5">
        <v>0</v>
      </c>
      <c r="AD248" s="5">
        <v>6500</v>
      </c>
      <c r="AE248" s="5">
        <v>541.66666666666663</v>
      </c>
      <c r="AF248" s="5">
        <v>6500</v>
      </c>
      <c r="AG248">
        <v>6500</v>
      </c>
      <c r="AH248">
        <v>541.66666666666663</v>
      </c>
      <c r="AI248">
        <v>6500</v>
      </c>
      <c r="AJ248">
        <v>6500</v>
      </c>
      <c r="AK248">
        <v>0</v>
      </c>
      <c r="AL248">
        <v>6500</v>
      </c>
      <c r="AM248">
        <v>6500</v>
      </c>
      <c r="AN248">
        <v>0</v>
      </c>
      <c r="AO248" t="s">
        <v>55</v>
      </c>
      <c r="AP248" t="s">
        <v>1716</v>
      </c>
      <c r="AQ248">
        <v>1</v>
      </c>
    </row>
    <row r="249" spans="1:43" x14ac:dyDescent="0.25">
      <c r="A249" t="s">
        <v>42</v>
      </c>
      <c r="B249" t="s">
        <v>43</v>
      </c>
      <c r="C249" t="s">
        <v>44</v>
      </c>
      <c r="D249" t="s">
        <v>45</v>
      </c>
      <c r="E249">
        <v>14</v>
      </c>
      <c r="F249">
        <v>122</v>
      </c>
      <c r="G249">
        <v>3024</v>
      </c>
      <c r="H249">
        <v>2100</v>
      </c>
      <c r="I249" t="s">
        <v>57</v>
      </c>
      <c r="J249" t="s">
        <v>215</v>
      </c>
      <c r="K249" t="s">
        <v>58</v>
      </c>
      <c r="L249" t="s">
        <v>59</v>
      </c>
      <c r="M249">
        <v>12</v>
      </c>
      <c r="N249" t="s">
        <v>60</v>
      </c>
      <c r="O249">
        <v>2025</v>
      </c>
      <c r="P249">
        <v>5322</v>
      </c>
      <c r="R249" t="s">
        <v>1026</v>
      </c>
      <c r="S249" t="str">
        <f>IF(COUNTIF(Tabela2[PROCESSO],Tabela1[[#This Row],[codProcesso]])&gt;0,"Está","Não está")</f>
        <v>Não está</v>
      </c>
      <c r="T249" t="s">
        <v>1027</v>
      </c>
      <c r="W249" t="s">
        <v>560</v>
      </c>
      <c r="X249">
        <v>12</v>
      </c>
      <c r="Y249" t="s">
        <v>54</v>
      </c>
      <c r="Z249" s="5">
        <v>6280</v>
      </c>
      <c r="AA249" s="5">
        <v>0</v>
      </c>
      <c r="AB249" s="5">
        <v>0</v>
      </c>
      <c r="AC249" s="5">
        <v>0</v>
      </c>
      <c r="AD249" s="5">
        <v>6280</v>
      </c>
      <c r="AE249" s="5">
        <v>523.33333333333337</v>
      </c>
      <c r="AF249" s="5">
        <v>6280</v>
      </c>
      <c r="AG249">
        <v>6280</v>
      </c>
      <c r="AH249">
        <v>523.33333333333337</v>
      </c>
      <c r="AI249">
        <v>6280</v>
      </c>
      <c r="AJ249">
        <v>6280</v>
      </c>
      <c r="AK249">
        <v>0</v>
      </c>
      <c r="AL249">
        <v>6280</v>
      </c>
      <c r="AM249">
        <v>6280</v>
      </c>
      <c r="AN249">
        <v>6280</v>
      </c>
      <c r="AO249" t="s">
        <v>55</v>
      </c>
      <c r="AP249" t="s">
        <v>1028</v>
      </c>
      <c r="AQ249">
        <v>1</v>
      </c>
    </row>
    <row r="250" spans="1:43" x14ac:dyDescent="0.25">
      <c r="A250" t="s">
        <v>42</v>
      </c>
      <c r="B250" t="s">
        <v>43</v>
      </c>
      <c r="C250" t="s">
        <v>44</v>
      </c>
      <c r="D250" t="s">
        <v>45</v>
      </c>
      <c r="E250">
        <v>14</v>
      </c>
      <c r="F250">
        <v>122</v>
      </c>
      <c r="G250">
        <v>3024</v>
      </c>
      <c r="H250">
        <v>2100</v>
      </c>
      <c r="I250" t="s">
        <v>186</v>
      </c>
      <c r="J250" t="s">
        <v>749</v>
      </c>
      <c r="K250" t="s">
        <v>247</v>
      </c>
      <c r="L250" t="s">
        <v>248</v>
      </c>
      <c r="M250">
        <v>6</v>
      </c>
      <c r="N250" t="s">
        <v>115</v>
      </c>
      <c r="O250">
        <v>2025</v>
      </c>
      <c r="P250">
        <v>3670</v>
      </c>
      <c r="R250" t="s">
        <v>782</v>
      </c>
      <c r="S250" t="str">
        <f>IF(COUNTIF(Tabela2[PROCESSO],Tabela1[[#This Row],[codProcesso]])&gt;0,"Está","Não está")</f>
        <v>Não está</v>
      </c>
      <c r="T250" t="s">
        <v>785</v>
      </c>
      <c r="W250" t="s">
        <v>455</v>
      </c>
      <c r="X250">
        <v>12</v>
      </c>
      <c r="Y250" t="s">
        <v>54</v>
      </c>
      <c r="Z250" s="5">
        <v>5916.75</v>
      </c>
      <c r="AA250" s="5">
        <v>0</v>
      </c>
      <c r="AB250" s="5">
        <v>0</v>
      </c>
      <c r="AC250" s="5">
        <v>0</v>
      </c>
      <c r="AD250" s="5">
        <v>5916.75</v>
      </c>
      <c r="AE250" s="5">
        <v>493.0625</v>
      </c>
      <c r="AF250" s="5">
        <v>5916.75</v>
      </c>
      <c r="AG250">
        <v>5916.75</v>
      </c>
      <c r="AH250">
        <v>493.0625</v>
      </c>
      <c r="AI250">
        <v>5916.75</v>
      </c>
      <c r="AJ250">
        <v>5916.75</v>
      </c>
      <c r="AK250">
        <v>0</v>
      </c>
      <c r="AL250">
        <v>5916.75</v>
      </c>
      <c r="AM250">
        <v>5916.75</v>
      </c>
      <c r="AN250">
        <v>5916.75</v>
      </c>
      <c r="AO250" t="s">
        <v>55</v>
      </c>
      <c r="AP250" t="s">
        <v>784</v>
      </c>
      <c r="AQ250">
        <v>1</v>
      </c>
    </row>
    <row r="251" spans="1:43" x14ac:dyDescent="0.25">
      <c r="A251" t="s">
        <v>42</v>
      </c>
      <c r="B251" t="s">
        <v>90</v>
      </c>
      <c r="C251" t="s">
        <v>91</v>
      </c>
      <c r="D251" t="s">
        <v>45</v>
      </c>
      <c r="E251">
        <v>8</v>
      </c>
      <c r="F251">
        <v>605</v>
      </c>
      <c r="G251">
        <v>3016</v>
      </c>
      <c r="H251">
        <v>4470</v>
      </c>
      <c r="I251" t="s">
        <v>57</v>
      </c>
      <c r="J251" t="s">
        <v>483</v>
      </c>
      <c r="K251" t="s">
        <v>65</v>
      </c>
      <c r="L251" t="s">
        <v>66</v>
      </c>
      <c r="M251">
        <v>6</v>
      </c>
      <c r="N251" t="s">
        <v>115</v>
      </c>
      <c r="O251">
        <v>2023</v>
      </c>
      <c r="P251">
        <v>25968</v>
      </c>
      <c r="Q251" t="s">
        <v>702</v>
      </c>
      <c r="R251" t="s">
        <v>703</v>
      </c>
      <c r="S251" t="str">
        <f>IF(COUNTIF(Tabela2[PROCESSO],Tabela1[[#This Row],[codProcesso]])&gt;0,"Está","Não está")</f>
        <v>Está</v>
      </c>
      <c r="T251" t="s">
        <v>704</v>
      </c>
      <c r="U251" t="s">
        <v>705</v>
      </c>
      <c r="V251" t="s">
        <v>706</v>
      </c>
      <c r="W251" t="s">
        <v>707</v>
      </c>
      <c r="X251">
        <v>24</v>
      </c>
      <c r="Y251" t="s">
        <v>73</v>
      </c>
      <c r="Z251" s="5">
        <v>5899.04</v>
      </c>
      <c r="AA251" s="5">
        <v>204.48</v>
      </c>
      <c r="AB251" s="5">
        <v>5899.04</v>
      </c>
      <c r="AC251" s="5">
        <v>0</v>
      </c>
      <c r="AD251" s="5">
        <v>12002.56</v>
      </c>
      <c r="AE251" s="5">
        <v>500.10666666666663</v>
      </c>
      <c r="AF251" s="5">
        <v>6001.28</v>
      </c>
      <c r="AG251">
        <v>12002.56</v>
      </c>
      <c r="AH251">
        <v>500.10666666666663</v>
      </c>
      <c r="AI251">
        <v>6001.28</v>
      </c>
      <c r="AJ251">
        <v>15790.44</v>
      </c>
      <c r="AK251">
        <v>4987.6499999999996</v>
      </c>
      <c r="AL251">
        <v>10802.79</v>
      </c>
      <c r="AM251">
        <v>9304.77</v>
      </c>
      <c r="AN251">
        <v>8874.56</v>
      </c>
      <c r="AO251" t="s">
        <v>55</v>
      </c>
      <c r="AP251" t="s">
        <v>708</v>
      </c>
      <c r="AQ251">
        <v>1</v>
      </c>
    </row>
    <row r="252" spans="1:43" x14ac:dyDescent="0.25">
      <c r="A252" t="s">
        <v>42</v>
      </c>
      <c r="B252" t="s">
        <v>43</v>
      </c>
      <c r="C252" t="s">
        <v>44</v>
      </c>
      <c r="D252" t="s">
        <v>45</v>
      </c>
      <c r="E252">
        <v>14</v>
      </c>
      <c r="F252">
        <v>122</v>
      </c>
      <c r="G252">
        <v>3024</v>
      </c>
      <c r="H252">
        <v>2100</v>
      </c>
      <c r="I252" t="s">
        <v>186</v>
      </c>
      <c r="J252" t="s">
        <v>361</v>
      </c>
      <c r="K252" t="s">
        <v>491</v>
      </c>
      <c r="L252" t="s">
        <v>492</v>
      </c>
      <c r="M252">
        <v>12</v>
      </c>
      <c r="N252" t="s">
        <v>60</v>
      </c>
      <c r="O252">
        <v>2025</v>
      </c>
      <c r="P252">
        <v>6992</v>
      </c>
      <c r="R252" t="s">
        <v>1088</v>
      </c>
      <c r="S252" t="str">
        <f>IF(COUNTIF(Tabela2[PROCESSO],Tabela1[[#This Row],[codProcesso]])&gt;0,"Está","Não está")</f>
        <v>Não está</v>
      </c>
      <c r="T252" t="s">
        <v>1089</v>
      </c>
      <c r="X252">
        <v>12</v>
      </c>
      <c r="Y252" t="s">
        <v>54</v>
      </c>
      <c r="Z252" s="5">
        <v>5810</v>
      </c>
      <c r="AA252" s="5">
        <v>0</v>
      </c>
      <c r="AB252" s="5">
        <v>0</v>
      </c>
      <c r="AC252" s="5">
        <v>0</v>
      </c>
      <c r="AD252" s="5">
        <v>5810</v>
      </c>
      <c r="AE252" s="5">
        <v>484.16666666666669</v>
      </c>
      <c r="AF252" s="5">
        <v>5810</v>
      </c>
      <c r="AG252">
        <v>5810</v>
      </c>
      <c r="AH252">
        <v>484.16666666666669</v>
      </c>
      <c r="AI252">
        <v>5810</v>
      </c>
      <c r="AJ252">
        <v>5810</v>
      </c>
      <c r="AK252">
        <v>0</v>
      </c>
      <c r="AL252">
        <v>5810</v>
      </c>
      <c r="AM252">
        <v>0</v>
      </c>
      <c r="AN252">
        <v>0</v>
      </c>
      <c r="AO252" t="s">
        <v>55</v>
      </c>
      <c r="AP252" t="s">
        <v>1090</v>
      </c>
      <c r="AQ252">
        <v>1</v>
      </c>
    </row>
    <row r="253" spans="1:43" x14ac:dyDescent="0.25">
      <c r="A253" t="s">
        <v>42</v>
      </c>
      <c r="B253" t="s">
        <v>43</v>
      </c>
      <c r="C253" t="s">
        <v>44</v>
      </c>
      <c r="D253" t="s">
        <v>45</v>
      </c>
      <c r="E253">
        <v>14</v>
      </c>
      <c r="F253">
        <v>422</v>
      </c>
      <c r="G253">
        <v>3018</v>
      </c>
      <c r="H253">
        <v>4318</v>
      </c>
      <c r="I253" t="s">
        <v>57</v>
      </c>
      <c r="J253" t="s">
        <v>1600</v>
      </c>
      <c r="K253" t="s">
        <v>58</v>
      </c>
      <c r="L253" t="s">
        <v>59</v>
      </c>
      <c r="M253">
        <v>12</v>
      </c>
      <c r="N253" t="s">
        <v>60</v>
      </c>
      <c r="O253">
        <v>2025</v>
      </c>
      <c r="P253">
        <v>16284</v>
      </c>
      <c r="R253" t="s">
        <v>1626</v>
      </c>
      <c r="S253" t="str">
        <f>IF(COUNTIF(Tabela2[PROCESSO],Tabela1[[#This Row],[codProcesso]])&gt;0,"Está","Não está")</f>
        <v>Não está</v>
      </c>
      <c r="T253" t="s">
        <v>1627</v>
      </c>
      <c r="W253" t="s">
        <v>1434</v>
      </c>
      <c r="X253">
        <v>12</v>
      </c>
      <c r="Y253" t="s">
        <v>54</v>
      </c>
      <c r="Z253" s="5">
        <v>5702.24</v>
      </c>
      <c r="AA253" s="5">
        <v>0</v>
      </c>
      <c r="AB253" s="5">
        <v>0</v>
      </c>
      <c r="AC253" s="5">
        <v>0</v>
      </c>
      <c r="AD253" s="5">
        <v>5702.24</v>
      </c>
      <c r="AE253" s="5">
        <v>475.18666666666672</v>
      </c>
      <c r="AF253" s="5">
        <v>5702.24</v>
      </c>
      <c r="AG253">
        <v>5702.24</v>
      </c>
      <c r="AH253">
        <v>475.18666666666672</v>
      </c>
      <c r="AI253">
        <v>5702.24</v>
      </c>
      <c r="AJ253">
        <v>5702.24</v>
      </c>
      <c r="AK253">
        <v>0</v>
      </c>
      <c r="AL253">
        <v>5702.24</v>
      </c>
      <c r="AM253">
        <v>5702.24</v>
      </c>
      <c r="AN253">
        <v>0</v>
      </c>
      <c r="AO253" t="s">
        <v>55</v>
      </c>
      <c r="AP253" t="s">
        <v>1628</v>
      </c>
      <c r="AQ253">
        <v>1</v>
      </c>
    </row>
    <row r="254" spans="1:43" x14ac:dyDescent="0.25">
      <c r="A254" t="s">
        <v>42</v>
      </c>
      <c r="B254" t="s">
        <v>43</v>
      </c>
      <c r="C254" t="s">
        <v>44</v>
      </c>
      <c r="D254" t="s">
        <v>45</v>
      </c>
      <c r="E254">
        <v>14</v>
      </c>
      <c r="F254">
        <v>243</v>
      </c>
      <c r="G254">
        <v>3013</v>
      </c>
      <c r="H254">
        <v>2157</v>
      </c>
      <c r="I254" t="s">
        <v>1050</v>
      </c>
      <c r="J254" t="s">
        <v>1566</v>
      </c>
      <c r="K254" t="s">
        <v>1138</v>
      </c>
      <c r="L254" t="s">
        <v>1139</v>
      </c>
      <c r="M254">
        <v>8</v>
      </c>
      <c r="N254" t="s">
        <v>50</v>
      </c>
      <c r="O254">
        <v>2025</v>
      </c>
      <c r="P254">
        <v>15804</v>
      </c>
      <c r="R254" t="s">
        <v>1596</v>
      </c>
      <c r="S254" t="str">
        <f>IF(COUNTIF(Tabela2[PROCESSO],Tabela1[[#This Row],[codProcesso]])&gt;0,"Está","Não está")</f>
        <v>Não está</v>
      </c>
      <c r="T254" t="s">
        <v>1597</v>
      </c>
      <c r="W254" t="s">
        <v>1598</v>
      </c>
      <c r="X254">
        <v>12</v>
      </c>
      <c r="Y254" t="s">
        <v>54</v>
      </c>
      <c r="Z254" s="5">
        <v>5000</v>
      </c>
      <c r="AA254" s="5">
        <v>0</v>
      </c>
      <c r="AB254" s="5">
        <v>0</v>
      </c>
      <c r="AC254" s="5">
        <v>0</v>
      </c>
      <c r="AD254" s="5">
        <v>5000</v>
      </c>
      <c r="AE254" s="5">
        <v>416.66666666666669</v>
      </c>
      <c r="AF254" s="5">
        <v>5000</v>
      </c>
      <c r="AG254">
        <v>5000</v>
      </c>
      <c r="AH254">
        <v>416.66666666666669</v>
      </c>
      <c r="AI254">
        <v>5000</v>
      </c>
      <c r="AJ254">
        <v>3941.89</v>
      </c>
      <c r="AK254">
        <v>0</v>
      </c>
      <c r="AL254">
        <v>3941.89</v>
      </c>
      <c r="AM254">
        <v>3941.89</v>
      </c>
      <c r="AN254">
        <v>3941.89</v>
      </c>
      <c r="AO254" t="s">
        <v>55</v>
      </c>
      <c r="AP254" t="s">
        <v>1599</v>
      </c>
      <c r="AQ254">
        <v>1</v>
      </c>
    </row>
    <row r="255" spans="1:43" x14ac:dyDescent="0.25">
      <c r="A255" t="s">
        <v>42</v>
      </c>
      <c r="B255" t="s">
        <v>1322</v>
      </c>
      <c r="C255" t="s">
        <v>1323</v>
      </c>
      <c r="D255" t="s">
        <v>45</v>
      </c>
      <c r="E255">
        <v>14</v>
      </c>
      <c r="F255">
        <v>422</v>
      </c>
      <c r="G255">
        <v>3018</v>
      </c>
      <c r="H255">
        <v>4326</v>
      </c>
      <c r="I255" t="s">
        <v>57</v>
      </c>
      <c r="J255" t="s">
        <v>1639</v>
      </c>
      <c r="K255" t="s">
        <v>65</v>
      </c>
      <c r="L255" t="s">
        <v>66</v>
      </c>
      <c r="M255">
        <v>7</v>
      </c>
      <c r="N255" t="s">
        <v>391</v>
      </c>
      <c r="O255">
        <v>2025</v>
      </c>
      <c r="P255">
        <v>16741</v>
      </c>
      <c r="R255" t="s">
        <v>1685</v>
      </c>
      <c r="S255" t="str">
        <f>IF(COUNTIF(Tabela2[PROCESSO],Tabela1[[#This Row],[codProcesso]])&gt;0,"Está","Não está")</f>
        <v>Não está</v>
      </c>
      <c r="T255" t="s">
        <v>1686</v>
      </c>
      <c r="X255">
        <v>12</v>
      </c>
      <c r="Y255" t="s">
        <v>54</v>
      </c>
      <c r="Z255" s="5">
        <v>5000</v>
      </c>
      <c r="AA255" s="5">
        <v>0</v>
      </c>
      <c r="AB255" s="5">
        <v>0</v>
      </c>
      <c r="AC255" s="5">
        <v>0</v>
      </c>
      <c r="AD255" s="5">
        <v>5000</v>
      </c>
      <c r="AE255" s="5">
        <v>416.66666666666669</v>
      </c>
      <c r="AF255" s="5">
        <v>5000</v>
      </c>
      <c r="AG255">
        <v>5000</v>
      </c>
      <c r="AH255">
        <v>416.66666666666669</v>
      </c>
      <c r="AI255">
        <v>5000</v>
      </c>
      <c r="AJ255">
        <v>5000</v>
      </c>
      <c r="AK255">
        <v>0</v>
      </c>
      <c r="AL255">
        <v>5000</v>
      </c>
      <c r="AM255">
        <v>0</v>
      </c>
      <c r="AN255">
        <v>0</v>
      </c>
      <c r="AO255" t="s">
        <v>55</v>
      </c>
      <c r="AP255" t="s">
        <v>1687</v>
      </c>
      <c r="AQ255">
        <v>1</v>
      </c>
    </row>
    <row r="256" spans="1:43" x14ac:dyDescent="0.25">
      <c r="A256" t="s">
        <v>42</v>
      </c>
      <c r="B256" t="s">
        <v>1322</v>
      </c>
      <c r="C256" t="s">
        <v>1323</v>
      </c>
      <c r="D256" t="s">
        <v>45</v>
      </c>
      <c r="E256">
        <v>14</v>
      </c>
      <c r="F256">
        <v>422</v>
      </c>
      <c r="G256">
        <v>3018</v>
      </c>
      <c r="H256">
        <v>4326</v>
      </c>
      <c r="I256" t="s">
        <v>57</v>
      </c>
      <c r="J256" t="s">
        <v>1639</v>
      </c>
      <c r="K256" t="s">
        <v>65</v>
      </c>
      <c r="L256" t="s">
        <v>66</v>
      </c>
      <c r="M256">
        <v>7</v>
      </c>
      <c r="N256" t="s">
        <v>391</v>
      </c>
      <c r="O256">
        <v>2025</v>
      </c>
      <c r="P256">
        <v>16773</v>
      </c>
      <c r="Q256" t="s">
        <v>1738</v>
      </c>
      <c r="R256" t="s">
        <v>1739</v>
      </c>
      <c r="S256" t="str">
        <f>IF(COUNTIF(Tabela2[PROCESSO],Tabela1[[#This Row],[codProcesso]])&gt;0,"Está","Não está")</f>
        <v>Não está</v>
      </c>
      <c r="T256" t="s">
        <v>1740</v>
      </c>
      <c r="U256" t="s">
        <v>1715</v>
      </c>
      <c r="V256" t="s">
        <v>1366</v>
      </c>
      <c r="W256" t="s">
        <v>1500</v>
      </c>
      <c r="X256">
        <v>0</v>
      </c>
      <c r="Y256" t="s">
        <v>98</v>
      </c>
      <c r="Z256" s="5">
        <v>5000</v>
      </c>
      <c r="AA256" s="5">
        <v>0</v>
      </c>
      <c r="AB256" s="5">
        <v>0</v>
      </c>
      <c r="AC256" s="5">
        <v>0</v>
      </c>
      <c r="AD256" s="5">
        <v>5000</v>
      </c>
      <c r="AE256" s="5">
        <v>416.66666666666669</v>
      </c>
      <c r="AF256" s="5">
        <v>5000</v>
      </c>
      <c r="AG256">
        <v>5000</v>
      </c>
      <c r="AH256">
        <v>416.66666666666669</v>
      </c>
      <c r="AI256">
        <v>5000</v>
      </c>
      <c r="AJ256">
        <v>5000</v>
      </c>
      <c r="AK256">
        <v>0</v>
      </c>
      <c r="AL256">
        <v>5000</v>
      </c>
      <c r="AM256">
        <v>0</v>
      </c>
      <c r="AN256">
        <v>0</v>
      </c>
      <c r="AO256" t="s">
        <v>55</v>
      </c>
      <c r="AP256" t="s">
        <v>1741</v>
      </c>
      <c r="AQ256">
        <v>1</v>
      </c>
    </row>
    <row r="257" spans="1:43" x14ac:dyDescent="0.25">
      <c r="A257" t="s">
        <v>42</v>
      </c>
      <c r="B257" t="s">
        <v>1322</v>
      </c>
      <c r="C257" t="s">
        <v>1323</v>
      </c>
      <c r="D257" t="s">
        <v>45</v>
      </c>
      <c r="E257">
        <v>14</v>
      </c>
      <c r="F257">
        <v>422</v>
      </c>
      <c r="G257">
        <v>3018</v>
      </c>
      <c r="H257">
        <v>4326</v>
      </c>
      <c r="I257" t="s">
        <v>57</v>
      </c>
      <c r="J257" t="s">
        <v>1639</v>
      </c>
      <c r="K257" t="s">
        <v>65</v>
      </c>
      <c r="L257" t="s">
        <v>66</v>
      </c>
      <c r="M257">
        <v>7</v>
      </c>
      <c r="N257" t="s">
        <v>391</v>
      </c>
      <c r="O257">
        <v>2025</v>
      </c>
      <c r="P257">
        <v>16830</v>
      </c>
      <c r="Q257" t="s">
        <v>1772</v>
      </c>
      <c r="R257" t="s">
        <v>1773</v>
      </c>
      <c r="S257" t="str">
        <f>IF(COUNTIF(Tabela2[PROCESSO],Tabela1[[#This Row],[codProcesso]])&gt;0,"Está","Não está")</f>
        <v>Não está</v>
      </c>
      <c r="T257" t="s">
        <v>1774</v>
      </c>
      <c r="U257" t="s">
        <v>1613</v>
      </c>
      <c r="V257" t="s">
        <v>1569</v>
      </c>
      <c r="W257" t="s">
        <v>1500</v>
      </c>
      <c r="X257">
        <v>0</v>
      </c>
      <c r="Y257" t="s">
        <v>98</v>
      </c>
      <c r="Z257" s="5">
        <v>5000</v>
      </c>
      <c r="AA257" s="5">
        <v>0</v>
      </c>
      <c r="AB257" s="5">
        <v>0</v>
      </c>
      <c r="AC257" s="5">
        <v>0</v>
      </c>
      <c r="AD257" s="5">
        <v>5000</v>
      </c>
      <c r="AE257" s="5">
        <v>416.66666666666669</v>
      </c>
      <c r="AF257" s="5">
        <v>5000</v>
      </c>
      <c r="AG257">
        <v>5000</v>
      </c>
      <c r="AH257">
        <v>416.66666666666669</v>
      </c>
      <c r="AI257">
        <v>5000</v>
      </c>
      <c r="AJ257">
        <v>5000</v>
      </c>
      <c r="AK257">
        <v>0</v>
      </c>
      <c r="AL257">
        <v>5000</v>
      </c>
      <c r="AM257">
        <v>5000</v>
      </c>
      <c r="AN257">
        <v>0</v>
      </c>
      <c r="AO257" t="s">
        <v>55</v>
      </c>
      <c r="AP257" t="s">
        <v>1775</v>
      </c>
      <c r="AQ257">
        <v>1</v>
      </c>
    </row>
    <row r="258" spans="1:43" x14ac:dyDescent="0.25">
      <c r="A258" t="s">
        <v>42</v>
      </c>
      <c r="B258" t="s">
        <v>1322</v>
      </c>
      <c r="C258" t="s">
        <v>1323</v>
      </c>
      <c r="D258" t="s">
        <v>45</v>
      </c>
      <c r="E258">
        <v>14</v>
      </c>
      <c r="F258">
        <v>422</v>
      </c>
      <c r="G258">
        <v>3018</v>
      </c>
      <c r="H258">
        <v>4326</v>
      </c>
      <c r="I258" t="s">
        <v>57</v>
      </c>
      <c r="J258" t="s">
        <v>1639</v>
      </c>
      <c r="K258" t="s">
        <v>65</v>
      </c>
      <c r="L258" t="s">
        <v>66</v>
      </c>
      <c r="M258">
        <v>7</v>
      </c>
      <c r="N258" t="s">
        <v>391</v>
      </c>
      <c r="O258">
        <v>2025</v>
      </c>
      <c r="P258">
        <v>16843</v>
      </c>
      <c r="Q258" t="s">
        <v>1783</v>
      </c>
      <c r="R258" t="s">
        <v>1784</v>
      </c>
      <c r="S258" t="str">
        <f>IF(COUNTIF(Tabela2[PROCESSO],Tabela1[[#This Row],[codProcesso]])&gt;0,"Está","Não está")</f>
        <v>Não está</v>
      </c>
      <c r="T258" t="s">
        <v>1785</v>
      </c>
      <c r="U258" t="s">
        <v>1613</v>
      </c>
      <c r="V258" t="s">
        <v>1672</v>
      </c>
      <c r="W258" t="s">
        <v>1500</v>
      </c>
      <c r="X258">
        <v>0</v>
      </c>
      <c r="Y258" t="s">
        <v>98</v>
      </c>
      <c r="Z258" s="5">
        <v>5000</v>
      </c>
      <c r="AA258" s="5">
        <v>0</v>
      </c>
      <c r="AB258" s="5">
        <v>0</v>
      </c>
      <c r="AC258" s="5">
        <v>0</v>
      </c>
      <c r="AD258" s="5">
        <v>5000</v>
      </c>
      <c r="AE258" s="5">
        <v>416.66666666666669</v>
      </c>
      <c r="AF258" s="5">
        <v>5000</v>
      </c>
      <c r="AG258">
        <v>5000</v>
      </c>
      <c r="AH258">
        <v>416.66666666666669</v>
      </c>
      <c r="AI258">
        <v>5000</v>
      </c>
      <c r="AJ258">
        <v>5000</v>
      </c>
      <c r="AK258">
        <v>0</v>
      </c>
      <c r="AL258">
        <v>5000</v>
      </c>
      <c r="AM258">
        <v>0</v>
      </c>
      <c r="AN258">
        <v>0</v>
      </c>
      <c r="AO258" t="s">
        <v>55</v>
      </c>
      <c r="AP258" t="s">
        <v>1786</v>
      </c>
      <c r="AQ258">
        <v>1</v>
      </c>
    </row>
    <row r="259" spans="1:43" x14ac:dyDescent="0.25">
      <c r="A259" t="s">
        <v>42</v>
      </c>
      <c r="B259" t="s">
        <v>1322</v>
      </c>
      <c r="C259" t="s">
        <v>1323</v>
      </c>
      <c r="D259" t="s">
        <v>45</v>
      </c>
      <c r="E259">
        <v>14</v>
      </c>
      <c r="F259">
        <v>422</v>
      </c>
      <c r="G259">
        <v>3018</v>
      </c>
      <c r="H259">
        <v>4326</v>
      </c>
      <c r="I259" t="s">
        <v>57</v>
      </c>
      <c r="J259" t="s">
        <v>1639</v>
      </c>
      <c r="K259" t="s">
        <v>65</v>
      </c>
      <c r="L259" t="s">
        <v>66</v>
      </c>
      <c r="M259">
        <v>7</v>
      </c>
      <c r="N259" t="s">
        <v>391</v>
      </c>
      <c r="O259">
        <v>2025</v>
      </c>
      <c r="P259">
        <v>16850</v>
      </c>
      <c r="R259" t="s">
        <v>1787</v>
      </c>
      <c r="S259" t="str">
        <f>IF(COUNTIF(Tabela2[PROCESSO],Tabela1[[#This Row],[codProcesso]])&gt;0,"Está","Não está")</f>
        <v>Não está</v>
      </c>
      <c r="T259" t="s">
        <v>1788</v>
      </c>
      <c r="X259">
        <v>12</v>
      </c>
      <c r="Y259" t="s">
        <v>54</v>
      </c>
      <c r="Z259" s="5">
        <v>5000</v>
      </c>
      <c r="AA259" s="5">
        <v>0</v>
      </c>
      <c r="AB259" s="5">
        <v>0</v>
      </c>
      <c r="AC259" s="5">
        <v>0</v>
      </c>
      <c r="AD259" s="5">
        <v>5000</v>
      </c>
      <c r="AE259" s="5">
        <v>416.66666666666669</v>
      </c>
      <c r="AF259" s="5">
        <v>5000</v>
      </c>
      <c r="AG259">
        <v>5000</v>
      </c>
      <c r="AH259">
        <v>416.66666666666669</v>
      </c>
      <c r="AI259">
        <v>5000</v>
      </c>
      <c r="AJ259">
        <v>5000</v>
      </c>
      <c r="AK259">
        <v>0</v>
      </c>
      <c r="AL259">
        <v>5000</v>
      </c>
      <c r="AM259">
        <v>0</v>
      </c>
      <c r="AN259">
        <v>0</v>
      </c>
      <c r="AO259" t="s">
        <v>55</v>
      </c>
      <c r="AP259" t="s">
        <v>1789</v>
      </c>
      <c r="AQ259">
        <v>1</v>
      </c>
    </row>
    <row r="260" spans="1:43" x14ac:dyDescent="0.25">
      <c r="A260" t="s">
        <v>42</v>
      </c>
      <c r="B260" t="s">
        <v>1322</v>
      </c>
      <c r="C260" t="s">
        <v>1323</v>
      </c>
      <c r="D260" t="s">
        <v>45</v>
      </c>
      <c r="E260">
        <v>14</v>
      </c>
      <c r="F260">
        <v>422</v>
      </c>
      <c r="G260">
        <v>3018</v>
      </c>
      <c r="H260">
        <v>4326</v>
      </c>
      <c r="I260" t="s">
        <v>57</v>
      </c>
      <c r="J260" t="s">
        <v>1639</v>
      </c>
      <c r="K260" t="s">
        <v>65</v>
      </c>
      <c r="L260" t="s">
        <v>66</v>
      </c>
      <c r="M260">
        <v>7</v>
      </c>
      <c r="N260" t="s">
        <v>391</v>
      </c>
      <c r="O260">
        <v>2025</v>
      </c>
      <c r="P260">
        <v>16863</v>
      </c>
      <c r="Q260" t="s">
        <v>1810</v>
      </c>
      <c r="R260" t="s">
        <v>1811</v>
      </c>
      <c r="S260" t="str">
        <f>IF(COUNTIF(Tabela2[PROCESSO],Tabela1[[#This Row],[codProcesso]])&gt;0,"Está","Não está")</f>
        <v>Não está</v>
      </c>
      <c r="T260" t="s">
        <v>1812</v>
      </c>
      <c r="U260" t="s">
        <v>1715</v>
      </c>
      <c r="V260" t="s">
        <v>1672</v>
      </c>
      <c r="W260" t="s">
        <v>1569</v>
      </c>
      <c r="X260">
        <v>0</v>
      </c>
      <c r="Y260" t="s">
        <v>98</v>
      </c>
      <c r="Z260" s="5">
        <v>5000</v>
      </c>
      <c r="AA260" s="5">
        <v>0</v>
      </c>
      <c r="AB260" s="5">
        <v>0</v>
      </c>
      <c r="AC260" s="5">
        <v>0</v>
      </c>
      <c r="AD260" s="5">
        <v>5000</v>
      </c>
      <c r="AE260" s="5">
        <v>416.66666666666669</v>
      </c>
      <c r="AF260" s="5">
        <v>5000</v>
      </c>
      <c r="AG260">
        <v>5000</v>
      </c>
      <c r="AH260">
        <v>416.66666666666669</v>
      </c>
      <c r="AI260">
        <v>5000</v>
      </c>
      <c r="AJ260">
        <v>5000</v>
      </c>
      <c r="AK260">
        <v>0</v>
      </c>
      <c r="AL260">
        <v>5000</v>
      </c>
      <c r="AM260">
        <v>5000</v>
      </c>
      <c r="AN260">
        <v>0</v>
      </c>
      <c r="AO260" t="s">
        <v>55</v>
      </c>
      <c r="AP260" t="s">
        <v>1813</v>
      </c>
      <c r="AQ260">
        <v>1</v>
      </c>
    </row>
    <row r="261" spans="1:43" x14ac:dyDescent="0.25">
      <c r="A261" t="s">
        <v>42</v>
      </c>
      <c r="B261" t="s">
        <v>43</v>
      </c>
      <c r="C261" t="s">
        <v>44</v>
      </c>
      <c r="D261" t="s">
        <v>45</v>
      </c>
      <c r="E261">
        <v>14</v>
      </c>
      <c r="F261">
        <v>422</v>
      </c>
      <c r="G261">
        <v>3013</v>
      </c>
      <c r="H261">
        <v>2053</v>
      </c>
      <c r="I261" t="s">
        <v>186</v>
      </c>
      <c r="J261" t="s">
        <v>1240</v>
      </c>
      <c r="K261" t="s">
        <v>58</v>
      </c>
      <c r="L261" t="s">
        <v>59</v>
      </c>
      <c r="M261">
        <v>6</v>
      </c>
      <c r="N261" t="s">
        <v>115</v>
      </c>
      <c r="O261">
        <v>2025</v>
      </c>
      <c r="P261">
        <v>11576</v>
      </c>
      <c r="R261" t="s">
        <v>1338</v>
      </c>
      <c r="S261" t="str">
        <f>IF(COUNTIF(Tabela2[PROCESSO],Tabela1[[#This Row],[codProcesso]])&gt;0,"Está","Não está")</f>
        <v>Não está</v>
      </c>
      <c r="T261" t="s">
        <v>1339</v>
      </c>
      <c r="W261" t="s">
        <v>1340</v>
      </c>
      <c r="X261">
        <v>12</v>
      </c>
      <c r="Y261" t="s">
        <v>54</v>
      </c>
      <c r="Z261" s="5">
        <v>4757.5</v>
      </c>
      <c r="AA261" s="5">
        <v>0</v>
      </c>
      <c r="AB261" s="5">
        <v>0</v>
      </c>
      <c r="AC261" s="5">
        <v>0</v>
      </c>
      <c r="AD261" s="5">
        <v>4757.5</v>
      </c>
      <c r="AE261" s="5">
        <v>396.45833333333331</v>
      </c>
      <c r="AF261" s="5">
        <v>4757.5</v>
      </c>
      <c r="AG261">
        <v>4757.5</v>
      </c>
      <c r="AH261">
        <v>396.45833333333331</v>
      </c>
      <c r="AI261">
        <v>4757.5</v>
      </c>
      <c r="AJ261">
        <v>4757.5</v>
      </c>
      <c r="AK261">
        <v>0</v>
      </c>
      <c r="AL261">
        <v>4757.5</v>
      </c>
      <c r="AM261">
        <v>4757.5</v>
      </c>
      <c r="AN261">
        <v>4757.5</v>
      </c>
      <c r="AO261" t="s">
        <v>55</v>
      </c>
      <c r="AP261" t="s">
        <v>1341</v>
      </c>
      <c r="AQ261">
        <v>1</v>
      </c>
    </row>
    <row r="262" spans="1:43" x14ac:dyDescent="0.25">
      <c r="A262" t="s">
        <v>42</v>
      </c>
      <c r="B262" t="s">
        <v>43</v>
      </c>
      <c r="C262" t="s">
        <v>44</v>
      </c>
      <c r="D262" t="s">
        <v>45</v>
      </c>
      <c r="E262">
        <v>14</v>
      </c>
      <c r="F262">
        <v>122</v>
      </c>
      <c r="G262">
        <v>3024</v>
      </c>
      <c r="H262">
        <v>2100</v>
      </c>
      <c r="I262" t="s">
        <v>57</v>
      </c>
      <c r="J262" t="s">
        <v>483</v>
      </c>
      <c r="K262" t="s">
        <v>58</v>
      </c>
      <c r="L262" t="s">
        <v>59</v>
      </c>
      <c r="M262">
        <v>12</v>
      </c>
      <c r="N262" t="s">
        <v>60</v>
      </c>
      <c r="O262">
        <v>2025</v>
      </c>
      <c r="P262">
        <v>2738</v>
      </c>
      <c r="R262" t="s">
        <v>514</v>
      </c>
      <c r="S262" t="str">
        <f>IF(COUNTIF(Tabela2[PROCESSO],Tabela1[[#This Row],[codProcesso]])&gt;0,"Está","Não está")</f>
        <v>Não está</v>
      </c>
      <c r="T262" t="s">
        <v>515</v>
      </c>
      <c r="W262" t="s">
        <v>251</v>
      </c>
      <c r="X262">
        <v>12</v>
      </c>
      <c r="Y262" t="s">
        <v>54</v>
      </c>
      <c r="Z262" s="5">
        <v>4501</v>
      </c>
      <c r="AA262" s="5">
        <v>0</v>
      </c>
      <c r="AB262" s="5">
        <v>0</v>
      </c>
      <c r="AC262" s="5">
        <v>0</v>
      </c>
      <c r="AD262" s="5">
        <v>4501</v>
      </c>
      <c r="AE262" s="5">
        <v>375.08333333333331</v>
      </c>
      <c r="AF262" s="5">
        <v>4501</v>
      </c>
      <c r="AG262">
        <v>4501</v>
      </c>
      <c r="AH262">
        <v>375.08333333333331</v>
      </c>
      <c r="AI262">
        <v>4501</v>
      </c>
      <c r="AJ262">
        <v>4501</v>
      </c>
      <c r="AK262">
        <v>0</v>
      </c>
      <c r="AL262">
        <v>4501</v>
      </c>
      <c r="AM262">
        <v>4501</v>
      </c>
      <c r="AN262">
        <v>4501</v>
      </c>
      <c r="AO262" t="s">
        <v>55</v>
      </c>
      <c r="AP262" t="s">
        <v>516</v>
      </c>
      <c r="AQ262">
        <v>1</v>
      </c>
    </row>
    <row r="263" spans="1:43" x14ac:dyDescent="0.25">
      <c r="A263" t="s">
        <v>42</v>
      </c>
      <c r="B263" t="s">
        <v>43</v>
      </c>
      <c r="C263" t="s">
        <v>44</v>
      </c>
      <c r="D263" t="s">
        <v>45</v>
      </c>
      <c r="E263">
        <v>14</v>
      </c>
      <c r="F263">
        <v>122</v>
      </c>
      <c r="G263">
        <v>3024</v>
      </c>
      <c r="H263">
        <v>2100</v>
      </c>
      <c r="I263" t="s">
        <v>57</v>
      </c>
      <c r="J263" t="s">
        <v>749</v>
      </c>
      <c r="K263" t="s">
        <v>58</v>
      </c>
      <c r="L263" t="s">
        <v>59</v>
      </c>
      <c r="M263">
        <v>12</v>
      </c>
      <c r="N263" t="s">
        <v>60</v>
      </c>
      <c r="O263">
        <v>2025</v>
      </c>
      <c r="P263">
        <v>8542</v>
      </c>
      <c r="R263" t="s">
        <v>1150</v>
      </c>
      <c r="S263" t="str">
        <f>IF(COUNTIF(Tabela2[PROCESSO],Tabela1[[#This Row],[codProcesso]])&gt;0,"Está","Não está")</f>
        <v>Não está</v>
      </c>
      <c r="T263" t="s">
        <v>1151</v>
      </c>
      <c r="W263" t="s">
        <v>962</v>
      </c>
      <c r="X263">
        <v>12</v>
      </c>
      <c r="Y263" t="s">
        <v>54</v>
      </c>
      <c r="Z263" s="5">
        <v>4501</v>
      </c>
      <c r="AA263" s="5">
        <v>0</v>
      </c>
      <c r="AB263" s="5">
        <v>0</v>
      </c>
      <c r="AC263" s="5">
        <v>0</v>
      </c>
      <c r="AD263" s="5">
        <v>4501</v>
      </c>
      <c r="AE263" s="5">
        <v>375.08333333333331</v>
      </c>
      <c r="AF263" s="5">
        <v>4501</v>
      </c>
      <c r="AG263">
        <v>4501</v>
      </c>
      <c r="AH263">
        <v>375.08333333333331</v>
      </c>
      <c r="AI263">
        <v>4501</v>
      </c>
      <c r="AJ263">
        <v>4501</v>
      </c>
      <c r="AK263">
        <v>0</v>
      </c>
      <c r="AL263">
        <v>4501</v>
      </c>
      <c r="AM263">
        <v>4501</v>
      </c>
      <c r="AN263">
        <v>4501</v>
      </c>
      <c r="AO263" t="s">
        <v>55</v>
      </c>
      <c r="AP263" t="s">
        <v>1152</v>
      </c>
      <c r="AQ263">
        <v>1</v>
      </c>
    </row>
    <row r="264" spans="1:43" x14ac:dyDescent="0.25">
      <c r="A264" t="s">
        <v>42</v>
      </c>
      <c r="B264" t="s">
        <v>43</v>
      </c>
      <c r="C264" t="s">
        <v>44</v>
      </c>
      <c r="D264" t="s">
        <v>45</v>
      </c>
      <c r="E264">
        <v>14</v>
      </c>
      <c r="F264">
        <v>122</v>
      </c>
      <c r="G264">
        <v>3024</v>
      </c>
      <c r="H264">
        <v>2100</v>
      </c>
      <c r="I264" t="s">
        <v>186</v>
      </c>
      <c r="J264" t="s">
        <v>483</v>
      </c>
      <c r="K264" t="s">
        <v>491</v>
      </c>
      <c r="L264" t="s">
        <v>492</v>
      </c>
      <c r="M264">
        <v>12</v>
      </c>
      <c r="N264" t="s">
        <v>60</v>
      </c>
      <c r="O264">
        <v>2025</v>
      </c>
      <c r="P264">
        <v>12986</v>
      </c>
      <c r="Q264" t="s">
        <v>1420</v>
      </c>
      <c r="R264" t="s">
        <v>1421</v>
      </c>
      <c r="S264" t="str">
        <f>IF(COUNTIF(Tabela2[PROCESSO],Tabela1[[#This Row],[codProcesso]])&gt;0,"Está","Não está")</f>
        <v>Não está</v>
      </c>
      <c r="T264" t="s">
        <v>1422</v>
      </c>
      <c r="U264" t="s">
        <v>1352</v>
      </c>
      <c r="V264" t="s">
        <v>1423</v>
      </c>
      <c r="W264" t="s">
        <v>1424</v>
      </c>
      <c r="X264">
        <v>2</v>
      </c>
      <c r="Y264" t="s">
        <v>73</v>
      </c>
      <c r="Z264" s="5">
        <v>4500</v>
      </c>
      <c r="AA264" s="5">
        <v>0</v>
      </c>
      <c r="AB264" s="5">
        <v>0</v>
      </c>
      <c r="AC264" s="5">
        <v>0</v>
      </c>
      <c r="AD264" s="5">
        <v>4500</v>
      </c>
      <c r="AE264" s="5">
        <v>375</v>
      </c>
      <c r="AF264" s="5">
        <v>4500</v>
      </c>
      <c r="AG264">
        <v>4500</v>
      </c>
      <c r="AH264">
        <v>375</v>
      </c>
      <c r="AI264">
        <v>4500</v>
      </c>
      <c r="AJ264">
        <v>4500</v>
      </c>
      <c r="AK264">
        <v>0</v>
      </c>
      <c r="AL264">
        <v>4500</v>
      </c>
      <c r="AM264">
        <v>4500</v>
      </c>
      <c r="AN264">
        <v>4500</v>
      </c>
      <c r="AO264" t="s">
        <v>55</v>
      </c>
      <c r="AP264" t="s">
        <v>1425</v>
      </c>
      <c r="AQ264">
        <v>1</v>
      </c>
    </row>
    <row r="265" spans="1:43" x14ac:dyDescent="0.25">
      <c r="A265" t="s">
        <v>42</v>
      </c>
      <c r="B265" t="s">
        <v>43</v>
      </c>
      <c r="C265" t="s">
        <v>44</v>
      </c>
      <c r="D265" t="s">
        <v>45</v>
      </c>
      <c r="E265">
        <v>14</v>
      </c>
      <c r="F265">
        <v>422</v>
      </c>
      <c r="G265">
        <v>3013</v>
      </c>
      <c r="H265">
        <v>2431</v>
      </c>
      <c r="I265" t="s">
        <v>57</v>
      </c>
      <c r="J265" t="s">
        <v>1566</v>
      </c>
      <c r="K265" t="s">
        <v>58</v>
      </c>
      <c r="L265" t="s">
        <v>59</v>
      </c>
      <c r="M265">
        <v>12</v>
      </c>
      <c r="N265" t="s">
        <v>60</v>
      </c>
      <c r="O265">
        <v>2025</v>
      </c>
      <c r="P265">
        <v>15439</v>
      </c>
      <c r="R265" t="s">
        <v>1571</v>
      </c>
      <c r="S265" t="str">
        <f>IF(COUNTIF(Tabela2[PROCESSO],Tabela1[[#This Row],[codProcesso]])&gt;0,"Está","Não está")</f>
        <v>Não está</v>
      </c>
      <c r="T265" t="s">
        <v>1572</v>
      </c>
      <c r="W265" t="s">
        <v>1460</v>
      </c>
      <c r="X265">
        <v>12</v>
      </c>
      <c r="Y265" t="s">
        <v>54</v>
      </c>
      <c r="Z265" s="5">
        <v>4287.3999999999996</v>
      </c>
      <c r="AA265" s="5">
        <v>0</v>
      </c>
      <c r="AB265" s="5">
        <v>0</v>
      </c>
      <c r="AC265" s="5">
        <v>0</v>
      </c>
      <c r="AD265" s="5">
        <v>4287.3999999999996</v>
      </c>
      <c r="AE265" s="5">
        <v>357.2833333333333</v>
      </c>
      <c r="AF265" s="5">
        <v>4287.3999999999996</v>
      </c>
      <c r="AG265">
        <v>4287.3999999999996</v>
      </c>
      <c r="AH265">
        <v>357.2833333333333</v>
      </c>
      <c r="AI265">
        <v>4287.3999999999996</v>
      </c>
      <c r="AJ265">
        <v>4287.3999999999996</v>
      </c>
      <c r="AK265">
        <v>0</v>
      </c>
      <c r="AL265">
        <v>4287.3999999999996</v>
      </c>
      <c r="AM265">
        <v>4287.3999999999996</v>
      </c>
      <c r="AN265">
        <v>0</v>
      </c>
      <c r="AO265" t="s">
        <v>55</v>
      </c>
      <c r="AP265" t="s">
        <v>1573</v>
      </c>
      <c r="AQ265">
        <v>1</v>
      </c>
    </row>
    <row r="266" spans="1:43" x14ac:dyDescent="0.25">
      <c r="A266" t="s">
        <v>42</v>
      </c>
      <c r="B266" t="s">
        <v>43</v>
      </c>
      <c r="C266" t="s">
        <v>44</v>
      </c>
      <c r="D266" t="s">
        <v>45</v>
      </c>
      <c r="E266">
        <v>14</v>
      </c>
      <c r="F266">
        <v>422</v>
      </c>
      <c r="G266">
        <v>3018</v>
      </c>
      <c r="H266">
        <v>2142</v>
      </c>
      <c r="I266" t="s">
        <v>940</v>
      </c>
      <c r="J266" t="s">
        <v>881</v>
      </c>
      <c r="K266" t="s">
        <v>58</v>
      </c>
      <c r="L266" t="s">
        <v>59</v>
      </c>
      <c r="M266">
        <v>6</v>
      </c>
      <c r="N266" t="s">
        <v>115</v>
      </c>
      <c r="O266">
        <v>2025</v>
      </c>
      <c r="P266">
        <v>4392</v>
      </c>
      <c r="R266" t="s">
        <v>941</v>
      </c>
      <c r="S266" t="str">
        <f>IF(COUNTIF(Tabela2[PROCESSO],Tabela1[[#This Row],[codProcesso]])&gt;0,"Está","Não está")</f>
        <v>Não está</v>
      </c>
      <c r="T266" t="s">
        <v>942</v>
      </c>
      <c r="X266">
        <v>12</v>
      </c>
      <c r="Y266" t="s">
        <v>54</v>
      </c>
      <c r="Z266" s="5">
        <v>4217.95</v>
      </c>
      <c r="AA266" s="5">
        <v>0</v>
      </c>
      <c r="AB266" s="5">
        <v>0</v>
      </c>
      <c r="AC266" s="5">
        <v>0</v>
      </c>
      <c r="AD266" s="5">
        <v>4217.95</v>
      </c>
      <c r="AE266" s="5">
        <v>351.49583333333328</v>
      </c>
      <c r="AF266" s="5">
        <v>4217.95</v>
      </c>
      <c r="AG266">
        <v>4217.95</v>
      </c>
      <c r="AH266">
        <v>351.49583333333328</v>
      </c>
      <c r="AI266">
        <v>4217.95</v>
      </c>
      <c r="AJ266">
        <v>4217.95</v>
      </c>
      <c r="AK266">
        <v>0</v>
      </c>
      <c r="AL266">
        <v>4217.95</v>
      </c>
      <c r="AM266">
        <v>0</v>
      </c>
      <c r="AN266">
        <v>0</v>
      </c>
      <c r="AO266" t="s">
        <v>55</v>
      </c>
      <c r="AP266" t="s">
        <v>943</v>
      </c>
      <c r="AQ266">
        <v>1</v>
      </c>
    </row>
    <row r="267" spans="1:43" x14ac:dyDescent="0.25">
      <c r="A267" t="s">
        <v>42</v>
      </c>
      <c r="B267" t="s">
        <v>43</v>
      </c>
      <c r="C267" t="s">
        <v>44</v>
      </c>
      <c r="D267" t="s">
        <v>45</v>
      </c>
      <c r="E267">
        <v>8</v>
      </c>
      <c r="F267">
        <v>605</v>
      </c>
      <c r="G267">
        <v>3016</v>
      </c>
      <c r="H267">
        <v>4470</v>
      </c>
      <c r="I267" t="s">
        <v>57</v>
      </c>
      <c r="J267" t="s">
        <v>1240</v>
      </c>
      <c r="K267" t="s">
        <v>65</v>
      </c>
      <c r="L267" t="s">
        <v>66</v>
      </c>
      <c r="M267">
        <v>6</v>
      </c>
      <c r="N267" t="s">
        <v>115</v>
      </c>
      <c r="O267">
        <v>2025</v>
      </c>
      <c r="P267">
        <v>10757</v>
      </c>
      <c r="R267" t="s">
        <v>1274</v>
      </c>
      <c r="S267" t="str">
        <f>IF(COUNTIF(Tabela2[PROCESSO],Tabela1[[#This Row],[codProcesso]])&gt;0,"Está","Não está")</f>
        <v>Está</v>
      </c>
      <c r="T267" t="s">
        <v>1275</v>
      </c>
      <c r="X267">
        <v>12</v>
      </c>
      <c r="Y267" t="s">
        <v>54</v>
      </c>
      <c r="Z267" s="5">
        <v>4216</v>
      </c>
      <c r="AA267" s="5">
        <v>0</v>
      </c>
      <c r="AB267" s="5">
        <v>0</v>
      </c>
      <c r="AC267" s="5">
        <v>0</v>
      </c>
      <c r="AD267" s="5">
        <v>4216</v>
      </c>
      <c r="AE267" s="5">
        <v>351.33333333333331</v>
      </c>
      <c r="AF267" s="5">
        <v>4216</v>
      </c>
      <c r="AG267">
        <v>4216</v>
      </c>
      <c r="AH267">
        <v>351.33333333333331</v>
      </c>
      <c r="AI267">
        <v>4216</v>
      </c>
      <c r="AJ267">
        <v>4216</v>
      </c>
      <c r="AK267">
        <v>0</v>
      </c>
      <c r="AL267">
        <v>4216</v>
      </c>
      <c r="AM267">
        <v>0</v>
      </c>
      <c r="AN267">
        <v>0</v>
      </c>
      <c r="AO267" t="s">
        <v>55</v>
      </c>
      <c r="AP267" t="s">
        <v>1276</v>
      </c>
      <c r="AQ267">
        <v>1</v>
      </c>
    </row>
    <row r="268" spans="1:43" x14ac:dyDescent="0.25">
      <c r="A268" t="s">
        <v>42</v>
      </c>
      <c r="B268" t="s">
        <v>43</v>
      </c>
      <c r="C268" t="s">
        <v>44</v>
      </c>
      <c r="D268" t="s">
        <v>45</v>
      </c>
      <c r="E268">
        <v>14</v>
      </c>
      <c r="F268">
        <v>422</v>
      </c>
      <c r="G268">
        <v>3018</v>
      </c>
      <c r="H268">
        <v>4333</v>
      </c>
      <c r="I268" t="s">
        <v>57</v>
      </c>
      <c r="J268" t="s">
        <v>369</v>
      </c>
      <c r="K268" t="s">
        <v>65</v>
      </c>
      <c r="L268" t="s">
        <v>66</v>
      </c>
      <c r="M268">
        <v>12</v>
      </c>
      <c r="N268" t="s">
        <v>60</v>
      </c>
      <c r="O268">
        <v>2024</v>
      </c>
      <c r="P268">
        <v>33670</v>
      </c>
      <c r="Q268" t="s">
        <v>370</v>
      </c>
      <c r="R268" t="s">
        <v>371</v>
      </c>
      <c r="S268" t="str">
        <f>IF(COUNTIF(Tabela2[PROCESSO],Tabela1[[#This Row],[codProcesso]])&gt;0,"Está","Não está")</f>
        <v>Está</v>
      </c>
      <c r="T268" t="s">
        <v>372</v>
      </c>
      <c r="U268" t="s">
        <v>373</v>
      </c>
      <c r="V268" t="s">
        <v>374</v>
      </c>
      <c r="W268" t="s">
        <v>375</v>
      </c>
      <c r="X268">
        <v>13</v>
      </c>
      <c r="Y268" t="s">
        <v>73</v>
      </c>
      <c r="Z268" s="5">
        <v>4000</v>
      </c>
      <c r="AA268" s="5">
        <v>0</v>
      </c>
      <c r="AB268" s="5">
        <v>0</v>
      </c>
      <c r="AC268" s="5">
        <v>0</v>
      </c>
      <c r="AD268" s="5">
        <v>4000</v>
      </c>
      <c r="AE268" s="5">
        <v>307.69230769230768</v>
      </c>
      <c r="AF268" s="5">
        <v>3692.3076923076919</v>
      </c>
      <c r="AG268">
        <v>4000</v>
      </c>
      <c r="AH268">
        <v>307.69230769230768</v>
      </c>
      <c r="AI268">
        <v>3692.3076923076919</v>
      </c>
      <c r="AJ268">
        <v>4000</v>
      </c>
      <c r="AK268">
        <v>1750</v>
      </c>
      <c r="AL268">
        <v>2250</v>
      </c>
      <c r="AM268">
        <v>2000</v>
      </c>
      <c r="AN268">
        <v>2000</v>
      </c>
      <c r="AO268" t="s">
        <v>55</v>
      </c>
      <c r="AP268" t="s">
        <v>376</v>
      </c>
      <c r="AQ268">
        <v>1</v>
      </c>
    </row>
    <row r="269" spans="1:43" x14ac:dyDescent="0.25">
      <c r="A269" t="s">
        <v>42</v>
      </c>
      <c r="B269" t="s">
        <v>1322</v>
      </c>
      <c r="C269" t="s">
        <v>1323</v>
      </c>
      <c r="D269" t="s">
        <v>45</v>
      </c>
      <c r="E269">
        <v>14</v>
      </c>
      <c r="F269">
        <v>422</v>
      </c>
      <c r="G269">
        <v>3018</v>
      </c>
      <c r="H269">
        <v>4326</v>
      </c>
      <c r="I269" t="s">
        <v>57</v>
      </c>
      <c r="J269" t="s">
        <v>1639</v>
      </c>
      <c r="K269" t="s">
        <v>65</v>
      </c>
      <c r="L269" t="s">
        <v>66</v>
      </c>
      <c r="M269">
        <v>7</v>
      </c>
      <c r="N269" t="s">
        <v>391</v>
      </c>
      <c r="O269">
        <v>2025</v>
      </c>
      <c r="P269">
        <v>16794</v>
      </c>
      <c r="R269" t="s">
        <v>1755</v>
      </c>
      <c r="S269" t="str">
        <f>IF(COUNTIF(Tabela2[PROCESSO],Tabela1[[#This Row],[codProcesso]])&gt;0,"Está","Não está")</f>
        <v>Não está</v>
      </c>
      <c r="T269" t="s">
        <v>1756</v>
      </c>
      <c r="X269">
        <v>12</v>
      </c>
      <c r="Y269" t="s">
        <v>54</v>
      </c>
      <c r="Z269" s="5">
        <v>4000</v>
      </c>
      <c r="AA269" s="5">
        <v>0</v>
      </c>
      <c r="AB269" s="5">
        <v>0</v>
      </c>
      <c r="AC269" s="5">
        <v>0</v>
      </c>
      <c r="AD269" s="5">
        <v>4000</v>
      </c>
      <c r="AE269" s="5">
        <v>333.33333333333331</v>
      </c>
      <c r="AF269" s="5">
        <v>4000</v>
      </c>
      <c r="AG269">
        <v>4000</v>
      </c>
      <c r="AH269">
        <v>333.33333333333331</v>
      </c>
      <c r="AI269">
        <v>4000</v>
      </c>
      <c r="AJ269">
        <v>4000</v>
      </c>
      <c r="AK269">
        <v>0</v>
      </c>
      <c r="AL269">
        <v>4000</v>
      </c>
      <c r="AM269">
        <v>0</v>
      </c>
      <c r="AN269">
        <v>0</v>
      </c>
      <c r="AO269" t="s">
        <v>55</v>
      </c>
      <c r="AP269" t="s">
        <v>1757</v>
      </c>
      <c r="AQ269">
        <v>1</v>
      </c>
    </row>
    <row r="270" spans="1:43" x14ac:dyDescent="0.25">
      <c r="A270" t="s">
        <v>42</v>
      </c>
      <c r="B270" t="s">
        <v>43</v>
      </c>
      <c r="C270" t="s">
        <v>44</v>
      </c>
      <c r="D270" t="s">
        <v>45</v>
      </c>
      <c r="E270">
        <v>14</v>
      </c>
      <c r="F270">
        <v>422</v>
      </c>
      <c r="G270">
        <v>3013</v>
      </c>
      <c r="H270">
        <v>6178</v>
      </c>
      <c r="I270" t="s">
        <v>57</v>
      </c>
      <c r="J270" t="s">
        <v>1600</v>
      </c>
      <c r="K270" t="s">
        <v>65</v>
      </c>
      <c r="L270" t="s">
        <v>66</v>
      </c>
      <c r="M270">
        <v>12</v>
      </c>
      <c r="N270" t="s">
        <v>60</v>
      </c>
      <c r="O270">
        <v>2025</v>
      </c>
      <c r="P270">
        <v>15998</v>
      </c>
      <c r="Q270" t="s">
        <v>1610</v>
      </c>
      <c r="R270" t="s">
        <v>1611</v>
      </c>
      <c r="S270" t="str">
        <f>IF(COUNTIF(Tabela2[PROCESSO],Tabela1[[#This Row],[codProcesso]])&gt;0,"Está","Não está")</f>
        <v>Não está</v>
      </c>
      <c r="T270" t="s">
        <v>1612</v>
      </c>
      <c r="U270" t="s">
        <v>1559</v>
      </c>
      <c r="V270" t="s">
        <v>1613</v>
      </c>
      <c r="W270" t="s">
        <v>1614</v>
      </c>
      <c r="X270">
        <v>1</v>
      </c>
      <c r="Y270" t="s">
        <v>73</v>
      </c>
      <c r="Z270" s="5">
        <v>3957.6</v>
      </c>
      <c r="AA270" s="5">
        <v>0</v>
      </c>
      <c r="AB270" s="5">
        <v>0</v>
      </c>
      <c r="AC270" s="5">
        <v>0</v>
      </c>
      <c r="AD270" s="5">
        <v>3957.6</v>
      </c>
      <c r="AE270" s="5">
        <v>329.8</v>
      </c>
      <c r="AF270" s="5">
        <v>3957.6</v>
      </c>
      <c r="AG270">
        <v>3957.6</v>
      </c>
      <c r="AH270">
        <v>329.8</v>
      </c>
      <c r="AI270">
        <v>3957.6</v>
      </c>
      <c r="AJ270">
        <v>3957.6</v>
      </c>
      <c r="AK270">
        <v>0</v>
      </c>
      <c r="AL270">
        <v>3957.6</v>
      </c>
      <c r="AM270">
        <v>0</v>
      </c>
      <c r="AN270">
        <v>0</v>
      </c>
      <c r="AO270" t="s">
        <v>55</v>
      </c>
      <c r="AP270" t="s">
        <v>1615</v>
      </c>
      <c r="AQ270">
        <v>1</v>
      </c>
    </row>
    <row r="271" spans="1:43" x14ac:dyDescent="0.25">
      <c r="A271" t="s">
        <v>42</v>
      </c>
      <c r="B271" t="s">
        <v>43</v>
      </c>
      <c r="C271" t="s">
        <v>44</v>
      </c>
      <c r="D271" t="s">
        <v>45</v>
      </c>
      <c r="E271">
        <v>14</v>
      </c>
      <c r="F271">
        <v>422</v>
      </c>
      <c r="G271">
        <v>3013</v>
      </c>
      <c r="H271">
        <v>6178</v>
      </c>
      <c r="I271" t="s">
        <v>57</v>
      </c>
      <c r="J271" t="s">
        <v>1848</v>
      </c>
      <c r="K271" t="s">
        <v>65</v>
      </c>
      <c r="L271" t="s">
        <v>66</v>
      </c>
      <c r="M271">
        <v>6</v>
      </c>
      <c r="N271" t="s">
        <v>115</v>
      </c>
      <c r="O271">
        <v>2025</v>
      </c>
      <c r="P271">
        <v>19901</v>
      </c>
      <c r="R271" t="s">
        <v>1859</v>
      </c>
      <c r="S271" t="str">
        <f>IF(COUNTIF(Tabela2[PROCESSO],Tabela1[[#This Row],[codProcesso]])&gt;0,"Está","Não está")</f>
        <v>Não está</v>
      </c>
      <c r="T271" t="s">
        <v>1860</v>
      </c>
      <c r="X271">
        <v>12</v>
      </c>
      <c r="Y271" t="s">
        <v>54</v>
      </c>
      <c r="Z271" s="5">
        <v>3879.52</v>
      </c>
      <c r="AA271" s="5">
        <v>0</v>
      </c>
      <c r="AB271" s="5">
        <v>0</v>
      </c>
      <c r="AC271" s="5">
        <v>0</v>
      </c>
      <c r="AD271" s="5">
        <v>3879.52</v>
      </c>
      <c r="AE271" s="5">
        <v>323.29333333333341</v>
      </c>
      <c r="AF271" s="5">
        <v>3879.52</v>
      </c>
      <c r="AG271">
        <v>3879.52</v>
      </c>
      <c r="AH271">
        <v>323.29333333333341</v>
      </c>
      <c r="AI271">
        <v>3879.52</v>
      </c>
      <c r="AJ271">
        <v>3879.52</v>
      </c>
      <c r="AK271">
        <v>0</v>
      </c>
      <c r="AL271">
        <v>3879.52</v>
      </c>
      <c r="AM271">
        <v>0</v>
      </c>
      <c r="AN271">
        <v>0</v>
      </c>
      <c r="AO271" t="s">
        <v>55</v>
      </c>
      <c r="AP271" t="s">
        <v>1861</v>
      </c>
      <c r="AQ271">
        <v>1</v>
      </c>
    </row>
    <row r="272" spans="1:43" x14ac:dyDescent="0.25">
      <c r="A272" t="s">
        <v>42</v>
      </c>
      <c r="B272" t="s">
        <v>43</v>
      </c>
      <c r="C272" t="s">
        <v>44</v>
      </c>
      <c r="D272" t="s">
        <v>45</v>
      </c>
      <c r="E272">
        <v>14</v>
      </c>
      <c r="F272">
        <v>122</v>
      </c>
      <c r="G272">
        <v>3024</v>
      </c>
      <c r="H272">
        <v>2100</v>
      </c>
      <c r="I272" t="s">
        <v>186</v>
      </c>
      <c r="J272" t="s">
        <v>1814</v>
      </c>
      <c r="K272" t="s">
        <v>247</v>
      </c>
      <c r="L272" t="s">
        <v>248</v>
      </c>
      <c r="M272">
        <v>6</v>
      </c>
      <c r="N272" t="s">
        <v>115</v>
      </c>
      <c r="O272">
        <v>2025</v>
      </c>
      <c r="P272">
        <v>16925</v>
      </c>
      <c r="R272" t="s">
        <v>1835</v>
      </c>
      <c r="S272" t="str">
        <f>IF(COUNTIF(Tabela2[PROCESSO],Tabela1[[#This Row],[codProcesso]])&gt;0,"Está","Não está")</f>
        <v>Não está</v>
      </c>
      <c r="T272" t="s">
        <v>1836</v>
      </c>
      <c r="X272">
        <v>12</v>
      </c>
      <c r="Y272" t="s">
        <v>54</v>
      </c>
      <c r="Z272" s="5">
        <v>3800</v>
      </c>
      <c r="AA272" s="5">
        <v>0</v>
      </c>
      <c r="AB272" s="5">
        <v>0</v>
      </c>
      <c r="AC272" s="5">
        <v>0</v>
      </c>
      <c r="AD272" s="5">
        <v>3800</v>
      </c>
      <c r="AE272" s="5">
        <v>316.66666666666669</v>
      </c>
      <c r="AF272" s="5">
        <v>3800</v>
      </c>
      <c r="AG272">
        <v>3800</v>
      </c>
      <c r="AH272">
        <v>316.66666666666669</v>
      </c>
      <c r="AI272">
        <v>3800</v>
      </c>
      <c r="AJ272">
        <v>3800</v>
      </c>
      <c r="AK272">
        <v>0</v>
      </c>
      <c r="AL272">
        <v>3800</v>
      </c>
      <c r="AM272">
        <v>0</v>
      </c>
      <c r="AN272">
        <v>0</v>
      </c>
      <c r="AO272" t="s">
        <v>55</v>
      </c>
      <c r="AP272" t="s">
        <v>1837</v>
      </c>
      <c r="AQ272">
        <v>1</v>
      </c>
    </row>
    <row r="273" spans="1:43" x14ac:dyDescent="0.25">
      <c r="A273" t="s">
        <v>42</v>
      </c>
      <c r="B273" t="s">
        <v>43</v>
      </c>
      <c r="C273" t="s">
        <v>44</v>
      </c>
      <c r="D273" t="s">
        <v>45</v>
      </c>
      <c r="E273">
        <v>8</v>
      </c>
      <c r="F273">
        <v>605</v>
      </c>
      <c r="G273">
        <v>3016</v>
      </c>
      <c r="H273">
        <v>4470</v>
      </c>
      <c r="I273" t="s">
        <v>186</v>
      </c>
      <c r="J273" t="s">
        <v>1177</v>
      </c>
      <c r="K273" t="s">
        <v>247</v>
      </c>
      <c r="L273" t="s">
        <v>248</v>
      </c>
      <c r="M273">
        <v>6</v>
      </c>
      <c r="N273" t="s">
        <v>115</v>
      </c>
      <c r="O273">
        <v>2025</v>
      </c>
      <c r="P273">
        <v>9997</v>
      </c>
      <c r="R273" t="s">
        <v>1200</v>
      </c>
      <c r="S273" t="str">
        <f>IF(COUNTIF(Tabela2[PROCESSO],Tabela1[[#This Row],[codProcesso]])&gt;0,"Está","Não está")</f>
        <v>Não está</v>
      </c>
      <c r="T273" t="s">
        <v>1201</v>
      </c>
      <c r="W273" t="s">
        <v>1190</v>
      </c>
      <c r="X273">
        <v>12</v>
      </c>
      <c r="Y273" t="s">
        <v>54</v>
      </c>
      <c r="Z273" s="5">
        <v>3729.7</v>
      </c>
      <c r="AA273" s="5">
        <v>0</v>
      </c>
      <c r="AB273" s="5">
        <v>0</v>
      </c>
      <c r="AC273" s="5">
        <v>0</v>
      </c>
      <c r="AD273" s="5">
        <v>3729.7</v>
      </c>
      <c r="AE273" s="5">
        <v>310.80833333333328</v>
      </c>
      <c r="AF273" s="5">
        <v>3729.7</v>
      </c>
      <c r="AG273">
        <v>3729.7</v>
      </c>
      <c r="AH273">
        <v>310.80833333333328</v>
      </c>
      <c r="AI273">
        <v>3729.7</v>
      </c>
      <c r="AJ273">
        <v>3729.7</v>
      </c>
      <c r="AK273">
        <v>0</v>
      </c>
      <c r="AL273">
        <v>3729.7</v>
      </c>
      <c r="AM273">
        <v>3729.7</v>
      </c>
      <c r="AN273">
        <v>3729.7</v>
      </c>
      <c r="AO273" t="s">
        <v>55</v>
      </c>
      <c r="AP273" t="s">
        <v>1202</v>
      </c>
      <c r="AQ273">
        <v>1</v>
      </c>
    </row>
    <row r="274" spans="1:43" x14ac:dyDescent="0.25">
      <c r="A274" t="s">
        <v>42</v>
      </c>
      <c r="B274" t="s">
        <v>43</v>
      </c>
      <c r="C274" t="s">
        <v>44</v>
      </c>
      <c r="D274" t="s">
        <v>45</v>
      </c>
      <c r="E274">
        <v>14</v>
      </c>
      <c r="F274">
        <v>122</v>
      </c>
      <c r="G274">
        <v>3024</v>
      </c>
      <c r="H274">
        <v>2100</v>
      </c>
      <c r="I274" t="s">
        <v>186</v>
      </c>
      <c r="J274" t="s">
        <v>405</v>
      </c>
      <c r="K274" t="s">
        <v>247</v>
      </c>
      <c r="L274" t="s">
        <v>248</v>
      </c>
      <c r="M274">
        <v>6</v>
      </c>
      <c r="N274" t="s">
        <v>115</v>
      </c>
      <c r="O274">
        <v>2025</v>
      </c>
      <c r="P274">
        <v>2408</v>
      </c>
      <c r="R274" t="s">
        <v>413</v>
      </c>
      <c r="S274" t="str">
        <f>IF(COUNTIF(Tabela2[PROCESSO],Tabela1[[#This Row],[codProcesso]])&gt;0,"Está","Não está")</f>
        <v>Não está</v>
      </c>
      <c r="T274" t="s">
        <v>414</v>
      </c>
      <c r="W274" t="s">
        <v>415</v>
      </c>
      <c r="X274">
        <v>12</v>
      </c>
      <c r="Y274" t="s">
        <v>54</v>
      </c>
      <c r="Z274" s="5">
        <v>3690</v>
      </c>
      <c r="AA274" s="5">
        <v>0</v>
      </c>
      <c r="AB274" s="5">
        <v>0</v>
      </c>
      <c r="AC274" s="5">
        <v>0</v>
      </c>
      <c r="AD274" s="5">
        <v>3690</v>
      </c>
      <c r="AE274" s="5">
        <v>307.5</v>
      </c>
      <c r="AF274" s="5">
        <v>3690</v>
      </c>
      <c r="AG274">
        <v>3690</v>
      </c>
      <c r="AH274">
        <v>307.5</v>
      </c>
      <c r="AI274">
        <v>3690</v>
      </c>
      <c r="AJ274">
        <v>3690</v>
      </c>
      <c r="AK274">
        <v>0</v>
      </c>
      <c r="AL274">
        <v>3690</v>
      </c>
      <c r="AM274">
        <v>3690</v>
      </c>
      <c r="AN274">
        <v>3690</v>
      </c>
      <c r="AO274" t="s">
        <v>55</v>
      </c>
      <c r="AP274" t="s">
        <v>416</v>
      </c>
      <c r="AQ274">
        <v>1</v>
      </c>
    </row>
    <row r="275" spans="1:43" x14ac:dyDescent="0.25">
      <c r="A275" t="s">
        <v>42</v>
      </c>
      <c r="B275" t="s">
        <v>43</v>
      </c>
      <c r="C275" t="s">
        <v>44</v>
      </c>
      <c r="D275" t="s">
        <v>45</v>
      </c>
      <c r="E275">
        <v>14</v>
      </c>
      <c r="F275">
        <v>422</v>
      </c>
      <c r="G275">
        <v>3013</v>
      </c>
      <c r="H275">
        <v>2053</v>
      </c>
      <c r="I275" t="s">
        <v>57</v>
      </c>
      <c r="J275" t="s">
        <v>749</v>
      </c>
      <c r="K275" t="s">
        <v>58</v>
      </c>
      <c r="L275" t="s">
        <v>59</v>
      </c>
      <c r="M275">
        <v>12</v>
      </c>
      <c r="N275" t="s">
        <v>60</v>
      </c>
      <c r="O275">
        <v>2025</v>
      </c>
      <c r="P275">
        <v>7256</v>
      </c>
      <c r="R275" t="s">
        <v>1110</v>
      </c>
      <c r="S275" t="str">
        <f>IF(COUNTIF(Tabela2[PROCESSO],Tabela1[[#This Row],[codProcesso]])&gt;0,"Está","Não está")</f>
        <v>Não está</v>
      </c>
      <c r="T275" t="s">
        <v>1111</v>
      </c>
      <c r="W275" t="s">
        <v>1112</v>
      </c>
      <c r="X275">
        <v>12</v>
      </c>
      <c r="Y275" t="s">
        <v>54</v>
      </c>
      <c r="Z275" s="5">
        <v>3600.8</v>
      </c>
      <c r="AA275" s="5">
        <v>0</v>
      </c>
      <c r="AB275" s="5">
        <v>0</v>
      </c>
      <c r="AC275" s="5">
        <v>0</v>
      </c>
      <c r="AD275" s="5">
        <v>3600.8</v>
      </c>
      <c r="AE275" s="5">
        <v>300.06666666666672</v>
      </c>
      <c r="AF275" s="5">
        <v>3600.8</v>
      </c>
      <c r="AG275">
        <v>3600.8</v>
      </c>
      <c r="AH275">
        <v>300.06666666666672</v>
      </c>
      <c r="AI275">
        <v>3600.8</v>
      </c>
      <c r="AJ275">
        <v>3600.8</v>
      </c>
      <c r="AK275">
        <v>0</v>
      </c>
      <c r="AL275">
        <v>3600.8</v>
      </c>
      <c r="AM275">
        <v>3600.8</v>
      </c>
      <c r="AN275">
        <v>3600.8</v>
      </c>
      <c r="AO275" t="s">
        <v>55</v>
      </c>
      <c r="AP275" t="s">
        <v>1113</v>
      </c>
      <c r="AQ275">
        <v>1</v>
      </c>
    </row>
    <row r="276" spans="1:43" x14ac:dyDescent="0.25">
      <c r="A276" t="s">
        <v>42</v>
      </c>
      <c r="B276" t="s">
        <v>43</v>
      </c>
      <c r="C276" t="s">
        <v>44</v>
      </c>
      <c r="D276" t="s">
        <v>45</v>
      </c>
      <c r="E276">
        <v>14</v>
      </c>
      <c r="F276">
        <v>422</v>
      </c>
      <c r="G276">
        <v>3018</v>
      </c>
      <c r="H276">
        <v>4334</v>
      </c>
      <c r="I276" t="s">
        <v>57</v>
      </c>
      <c r="J276" t="s">
        <v>881</v>
      </c>
      <c r="K276" t="s">
        <v>65</v>
      </c>
      <c r="L276" t="s">
        <v>66</v>
      </c>
      <c r="M276">
        <v>6</v>
      </c>
      <c r="N276" t="s">
        <v>115</v>
      </c>
      <c r="O276">
        <v>2022</v>
      </c>
      <c r="P276">
        <v>22484</v>
      </c>
      <c r="Q276" t="s">
        <v>951</v>
      </c>
      <c r="R276" t="s">
        <v>952</v>
      </c>
      <c r="S276" t="str">
        <f>IF(COUNTIF(Tabela2[PROCESSO],Tabela1[[#This Row],[codProcesso]])&gt;0,"Está","Não está")</f>
        <v>Está</v>
      </c>
      <c r="T276" t="s">
        <v>953</v>
      </c>
      <c r="U276" t="s">
        <v>954</v>
      </c>
      <c r="V276" t="s">
        <v>955</v>
      </c>
      <c r="W276" t="s">
        <v>956</v>
      </c>
      <c r="X276">
        <v>36</v>
      </c>
      <c r="Y276" t="s">
        <v>73</v>
      </c>
      <c r="Z276" s="5">
        <v>3594</v>
      </c>
      <c r="AA276" s="5">
        <v>0</v>
      </c>
      <c r="AB276" s="5">
        <v>7188</v>
      </c>
      <c r="AC276" s="5">
        <v>0</v>
      </c>
      <c r="AD276" s="5">
        <v>10782</v>
      </c>
      <c r="AE276" s="5">
        <v>299.5</v>
      </c>
      <c r="AF276" s="5">
        <v>3594</v>
      </c>
      <c r="AG276">
        <v>10782</v>
      </c>
      <c r="AH276">
        <v>299.5</v>
      </c>
      <c r="AI276">
        <v>3594</v>
      </c>
      <c r="AJ276">
        <v>12439.48</v>
      </c>
      <c r="AK276">
        <v>3365.35</v>
      </c>
      <c r="AL276">
        <v>9074.1299999999992</v>
      </c>
      <c r="AM276">
        <v>8225.5499999999993</v>
      </c>
      <c r="AN276">
        <v>8225.5499999999993</v>
      </c>
      <c r="AO276" t="s">
        <v>55</v>
      </c>
      <c r="AP276" t="s">
        <v>957</v>
      </c>
      <c r="AQ276">
        <v>1</v>
      </c>
    </row>
    <row r="277" spans="1:43" x14ac:dyDescent="0.25">
      <c r="A277" t="s">
        <v>42</v>
      </c>
      <c r="B277" t="s">
        <v>43</v>
      </c>
      <c r="C277" t="s">
        <v>44</v>
      </c>
      <c r="D277" t="s">
        <v>45</v>
      </c>
      <c r="E277">
        <v>14</v>
      </c>
      <c r="F277">
        <v>122</v>
      </c>
      <c r="G277">
        <v>3024</v>
      </c>
      <c r="H277">
        <v>2100</v>
      </c>
      <c r="I277" t="s">
        <v>186</v>
      </c>
      <c r="J277" t="s">
        <v>749</v>
      </c>
      <c r="K277" t="s">
        <v>247</v>
      </c>
      <c r="L277" t="s">
        <v>248</v>
      </c>
      <c r="M277">
        <v>6</v>
      </c>
      <c r="N277" t="s">
        <v>115</v>
      </c>
      <c r="O277">
        <v>2025</v>
      </c>
      <c r="P277">
        <v>3639</v>
      </c>
      <c r="R277" t="s">
        <v>779</v>
      </c>
      <c r="S277" t="str">
        <f>IF(COUNTIF(Tabela2[PROCESSO],Tabela1[[#This Row],[codProcesso]])&gt;0,"Está","Não está")</f>
        <v>Não está</v>
      </c>
      <c r="T277" t="s">
        <v>780</v>
      </c>
      <c r="W277" t="s">
        <v>590</v>
      </c>
      <c r="X277">
        <v>12</v>
      </c>
      <c r="Y277" t="s">
        <v>54</v>
      </c>
      <c r="Z277" s="5">
        <v>3500</v>
      </c>
      <c r="AA277" s="5">
        <v>0</v>
      </c>
      <c r="AB277" s="5">
        <v>0</v>
      </c>
      <c r="AC277" s="5">
        <v>0</v>
      </c>
      <c r="AD277" s="5">
        <v>3500</v>
      </c>
      <c r="AE277" s="5">
        <v>291.66666666666669</v>
      </c>
      <c r="AF277" s="5">
        <v>3500</v>
      </c>
      <c r="AG277">
        <v>3500</v>
      </c>
      <c r="AH277">
        <v>291.66666666666669</v>
      </c>
      <c r="AI277">
        <v>3500</v>
      </c>
      <c r="AJ277">
        <v>3500</v>
      </c>
      <c r="AK277">
        <v>0</v>
      </c>
      <c r="AL277">
        <v>3500</v>
      </c>
      <c r="AM277">
        <v>3500</v>
      </c>
      <c r="AN277">
        <v>3500</v>
      </c>
      <c r="AO277" t="s">
        <v>55</v>
      </c>
      <c r="AP277" t="s">
        <v>781</v>
      </c>
      <c r="AQ277">
        <v>1</v>
      </c>
    </row>
    <row r="278" spans="1:43" x14ac:dyDescent="0.25">
      <c r="A278" t="s">
        <v>42</v>
      </c>
      <c r="B278" t="s">
        <v>43</v>
      </c>
      <c r="C278" t="s">
        <v>44</v>
      </c>
      <c r="D278" t="s">
        <v>45</v>
      </c>
      <c r="E278">
        <v>14</v>
      </c>
      <c r="F278">
        <v>122</v>
      </c>
      <c r="G278">
        <v>3024</v>
      </c>
      <c r="H278">
        <v>2100</v>
      </c>
      <c r="I278" t="s">
        <v>57</v>
      </c>
      <c r="J278" t="s">
        <v>361</v>
      </c>
      <c r="K278" t="s">
        <v>65</v>
      </c>
      <c r="L278" t="s">
        <v>66</v>
      </c>
      <c r="M278">
        <v>7</v>
      </c>
      <c r="N278" t="s">
        <v>391</v>
      </c>
      <c r="O278">
        <v>2025</v>
      </c>
      <c r="P278">
        <v>11774</v>
      </c>
      <c r="Q278" t="s">
        <v>1383</v>
      </c>
      <c r="R278" t="s">
        <v>1384</v>
      </c>
      <c r="S278" t="str">
        <f>IF(COUNTIF(Tabela2[PROCESSO],Tabela1[[#This Row],[codProcesso]])&gt;0,"Está","Não está")</f>
        <v>Não está</v>
      </c>
      <c r="T278" t="s">
        <v>1385</v>
      </c>
      <c r="U278" t="s">
        <v>1360</v>
      </c>
      <c r="V278" t="s">
        <v>1370</v>
      </c>
      <c r="W278" t="s">
        <v>1361</v>
      </c>
      <c r="X278">
        <v>1</v>
      </c>
      <c r="Y278" t="s">
        <v>98</v>
      </c>
      <c r="Z278" s="5">
        <v>3500</v>
      </c>
      <c r="AA278" s="5">
        <v>0</v>
      </c>
      <c r="AB278" s="5">
        <v>0</v>
      </c>
      <c r="AC278" s="5">
        <v>0</v>
      </c>
      <c r="AD278" s="5">
        <v>3500</v>
      </c>
      <c r="AE278" s="5">
        <v>291.66666666666669</v>
      </c>
      <c r="AF278" s="5">
        <v>3500</v>
      </c>
      <c r="AG278">
        <v>3500</v>
      </c>
      <c r="AH278">
        <v>291.66666666666669</v>
      </c>
      <c r="AI278">
        <v>3500</v>
      </c>
      <c r="AJ278">
        <v>3500</v>
      </c>
      <c r="AK278">
        <v>0</v>
      </c>
      <c r="AL278">
        <v>3500</v>
      </c>
      <c r="AM278">
        <v>3500</v>
      </c>
      <c r="AN278">
        <v>3500</v>
      </c>
      <c r="AO278" t="s">
        <v>55</v>
      </c>
      <c r="AP278" t="s">
        <v>1386</v>
      </c>
      <c r="AQ278">
        <v>1</v>
      </c>
    </row>
    <row r="279" spans="1:43" x14ac:dyDescent="0.25">
      <c r="A279" t="s">
        <v>42</v>
      </c>
      <c r="B279" t="s">
        <v>43</v>
      </c>
      <c r="C279" t="s">
        <v>44</v>
      </c>
      <c r="D279" t="s">
        <v>45</v>
      </c>
      <c r="E279">
        <v>8</v>
      </c>
      <c r="F279">
        <v>605</v>
      </c>
      <c r="G279">
        <v>3016</v>
      </c>
      <c r="H279">
        <v>4470</v>
      </c>
      <c r="I279" t="s">
        <v>1050</v>
      </c>
      <c r="J279" t="s">
        <v>1600</v>
      </c>
      <c r="K279" t="s">
        <v>208</v>
      </c>
      <c r="L279" t="s">
        <v>209</v>
      </c>
      <c r="M279">
        <v>7</v>
      </c>
      <c r="N279" t="s">
        <v>391</v>
      </c>
      <c r="O279">
        <v>2025</v>
      </c>
      <c r="P279">
        <v>16192</v>
      </c>
      <c r="R279" t="s">
        <v>1619</v>
      </c>
      <c r="S279" t="str">
        <f>IF(COUNTIF(Tabela2[PROCESSO],Tabela1[[#This Row],[codProcesso]])&gt;0,"Está","Não está")</f>
        <v>Não está</v>
      </c>
      <c r="T279" t="s">
        <v>1620</v>
      </c>
      <c r="W279" t="s">
        <v>1621</v>
      </c>
      <c r="X279">
        <v>12</v>
      </c>
      <c r="Y279" t="s">
        <v>54</v>
      </c>
      <c r="Z279" s="5">
        <v>3433.58</v>
      </c>
      <c r="AA279" s="5">
        <v>0</v>
      </c>
      <c r="AB279" s="5">
        <v>0</v>
      </c>
      <c r="AC279" s="5">
        <v>0</v>
      </c>
      <c r="AD279" s="5">
        <v>3433.58</v>
      </c>
      <c r="AE279" s="5">
        <v>286.13166666666672</v>
      </c>
      <c r="AF279" s="5">
        <v>3433.58</v>
      </c>
      <c r="AG279">
        <v>3433.58</v>
      </c>
      <c r="AH279">
        <v>286.13166666666672</v>
      </c>
      <c r="AI279">
        <v>3433.58</v>
      </c>
      <c r="AJ279">
        <v>1781.02</v>
      </c>
      <c r="AK279">
        <v>0</v>
      </c>
      <c r="AL279">
        <v>1781.02</v>
      </c>
      <c r="AM279">
        <v>1781.02</v>
      </c>
      <c r="AN279">
        <v>0</v>
      </c>
      <c r="AO279" t="s">
        <v>55</v>
      </c>
      <c r="AP279" t="s">
        <v>1622</v>
      </c>
      <c r="AQ279">
        <v>1</v>
      </c>
    </row>
    <row r="280" spans="1:43" x14ac:dyDescent="0.25">
      <c r="A280" t="s">
        <v>42</v>
      </c>
      <c r="B280" t="s">
        <v>43</v>
      </c>
      <c r="C280" t="s">
        <v>44</v>
      </c>
      <c r="D280" t="s">
        <v>45</v>
      </c>
      <c r="E280">
        <v>14</v>
      </c>
      <c r="F280">
        <v>122</v>
      </c>
      <c r="G280">
        <v>3024</v>
      </c>
      <c r="H280">
        <v>2100</v>
      </c>
      <c r="I280" t="s">
        <v>186</v>
      </c>
      <c r="J280" t="s">
        <v>439</v>
      </c>
      <c r="K280" t="s">
        <v>247</v>
      </c>
      <c r="L280" t="s">
        <v>248</v>
      </c>
      <c r="M280">
        <v>6</v>
      </c>
      <c r="N280" t="s">
        <v>115</v>
      </c>
      <c r="O280">
        <v>2025</v>
      </c>
      <c r="P280">
        <v>2477</v>
      </c>
      <c r="R280" t="s">
        <v>450</v>
      </c>
      <c r="S280" t="str">
        <f>IF(COUNTIF(Tabela2[PROCESSO],Tabela1[[#This Row],[codProcesso]])&gt;0,"Está","Não está")</f>
        <v>Não está</v>
      </c>
      <c r="T280" t="s">
        <v>454</v>
      </c>
      <c r="W280" t="s">
        <v>455</v>
      </c>
      <c r="X280">
        <v>12</v>
      </c>
      <c r="Y280" t="s">
        <v>54</v>
      </c>
      <c r="Z280" s="5">
        <v>3389.95</v>
      </c>
      <c r="AA280" s="5">
        <v>0</v>
      </c>
      <c r="AB280" s="5">
        <v>0</v>
      </c>
      <c r="AC280" s="5">
        <v>0</v>
      </c>
      <c r="AD280" s="5">
        <v>3389.95</v>
      </c>
      <c r="AE280" s="5">
        <v>282.49583333333328</v>
      </c>
      <c r="AF280" s="5">
        <v>3389.95</v>
      </c>
      <c r="AG280">
        <v>3389.95</v>
      </c>
      <c r="AH280">
        <v>282.49583333333328</v>
      </c>
      <c r="AI280">
        <v>3389.95</v>
      </c>
      <c r="AJ280">
        <v>4841.2299999999996</v>
      </c>
      <c r="AK280">
        <v>1451.28</v>
      </c>
      <c r="AL280">
        <v>3389.95</v>
      </c>
      <c r="AM280">
        <v>3389.95</v>
      </c>
      <c r="AN280">
        <v>3389.95</v>
      </c>
      <c r="AO280" t="s">
        <v>55</v>
      </c>
      <c r="AP280" t="s">
        <v>453</v>
      </c>
      <c r="AQ280">
        <v>1</v>
      </c>
    </row>
    <row r="281" spans="1:43" x14ac:dyDescent="0.25">
      <c r="A281" t="s">
        <v>42</v>
      </c>
      <c r="B281" t="s">
        <v>43</v>
      </c>
      <c r="C281" t="s">
        <v>44</v>
      </c>
      <c r="D281" t="s">
        <v>45</v>
      </c>
      <c r="E281">
        <v>14</v>
      </c>
      <c r="F281">
        <v>422</v>
      </c>
      <c r="G281">
        <v>3018</v>
      </c>
      <c r="H281">
        <v>2051</v>
      </c>
      <c r="I281" t="s">
        <v>57</v>
      </c>
      <c r="J281" t="s">
        <v>47</v>
      </c>
      <c r="K281" t="s">
        <v>58</v>
      </c>
      <c r="L281" t="s">
        <v>59</v>
      </c>
      <c r="M281">
        <v>12</v>
      </c>
      <c r="N281" t="s">
        <v>60</v>
      </c>
      <c r="O281">
        <v>2025</v>
      </c>
      <c r="P281">
        <v>946</v>
      </c>
      <c r="R281" t="s">
        <v>145</v>
      </c>
      <c r="S281" t="str">
        <f>IF(COUNTIF(Tabela2[PROCESSO],Tabela1[[#This Row],[codProcesso]])&gt;0,"Está","Não está")</f>
        <v>Não está</v>
      </c>
      <c r="T281" t="s">
        <v>146</v>
      </c>
      <c r="W281" t="s">
        <v>147</v>
      </c>
      <c r="X281">
        <v>12</v>
      </c>
      <c r="Y281" t="s">
        <v>54</v>
      </c>
      <c r="Z281" s="5">
        <v>3298</v>
      </c>
      <c r="AA281" s="5">
        <v>0</v>
      </c>
      <c r="AB281" s="5">
        <v>0</v>
      </c>
      <c r="AC281" s="5">
        <v>0</v>
      </c>
      <c r="AD281" s="5">
        <v>3298</v>
      </c>
      <c r="AE281" s="5">
        <v>274.83333333333331</v>
      </c>
      <c r="AF281" s="5">
        <v>3298</v>
      </c>
      <c r="AG281">
        <v>3298</v>
      </c>
      <c r="AH281">
        <v>274.83333333333331</v>
      </c>
      <c r="AI281">
        <v>3298</v>
      </c>
      <c r="AJ281">
        <v>3298</v>
      </c>
      <c r="AK281">
        <v>0</v>
      </c>
      <c r="AL281">
        <v>3298</v>
      </c>
      <c r="AM281">
        <v>3298</v>
      </c>
      <c r="AN281">
        <v>3298</v>
      </c>
      <c r="AO281" t="s">
        <v>55</v>
      </c>
      <c r="AP281" t="s">
        <v>148</v>
      </c>
      <c r="AQ281">
        <v>1</v>
      </c>
    </row>
    <row r="282" spans="1:43" x14ac:dyDescent="0.25">
      <c r="A282" t="s">
        <v>42</v>
      </c>
      <c r="B282" t="s">
        <v>43</v>
      </c>
      <c r="C282" t="s">
        <v>44</v>
      </c>
      <c r="D282" t="s">
        <v>45</v>
      </c>
      <c r="E282">
        <v>14</v>
      </c>
      <c r="F282">
        <v>122</v>
      </c>
      <c r="G282">
        <v>3024</v>
      </c>
      <c r="H282">
        <v>2100</v>
      </c>
      <c r="I282" t="s">
        <v>57</v>
      </c>
      <c r="J282" t="s">
        <v>749</v>
      </c>
      <c r="K282" t="s">
        <v>58</v>
      </c>
      <c r="L282" t="s">
        <v>59</v>
      </c>
      <c r="M282">
        <v>12</v>
      </c>
      <c r="N282" t="s">
        <v>60</v>
      </c>
      <c r="O282">
        <v>2025</v>
      </c>
      <c r="P282">
        <v>3985</v>
      </c>
      <c r="R282" t="s">
        <v>870</v>
      </c>
      <c r="S282" t="str">
        <f>IF(COUNTIF(Tabela2[PROCESSO],Tabela1[[#This Row],[codProcesso]])&gt;0,"Está","Não está")</f>
        <v>Não está</v>
      </c>
      <c r="T282" t="s">
        <v>871</v>
      </c>
      <c r="W282" t="s">
        <v>532</v>
      </c>
      <c r="X282">
        <v>12</v>
      </c>
      <c r="Y282" t="s">
        <v>54</v>
      </c>
      <c r="Z282" s="5">
        <v>3298</v>
      </c>
      <c r="AA282" s="5">
        <v>0</v>
      </c>
      <c r="AB282" s="5">
        <v>0</v>
      </c>
      <c r="AC282" s="5">
        <v>0</v>
      </c>
      <c r="AD282" s="5">
        <v>3298</v>
      </c>
      <c r="AE282" s="5">
        <v>274.83333333333331</v>
      </c>
      <c r="AF282" s="5">
        <v>3298</v>
      </c>
      <c r="AG282">
        <v>3298</v>
      </c>
      <c r="AH282">
        <v>274.83333333333331</v>
      </c>
      <c r="AI282">
        <v>3298</v>
      </c>
      <c r="AJ282">
        <v>3298</v>
      </c>
      <c r="AK282">
        <v>0</v>
      </c>
      <c r="AL282">
        <v>3298</v>
      </c>
      <c r="AM282">
        <v>3298</v>
      </c>
      <c r="AN282">
        <v>3298</v>
      </c>
      <c r="AO282" t="s">
        <v>55</v>
      </c>
      <c r="AP282" t="s">
        <v>872</v>
      </c>
      <c r="AQ282">
        <v>1</v>
      </c>
    </row>
    <row r="283" spans="1:43" x14ac:dyDescent="0.25">
      <c r="A283" t="s">
        <v>42</v>
      </c>
      <c r="B283" t="s">
        <v>43</v>
      </c>
      <c r="C283" t="s">
        <v>44</v>
      </c>
      <c r="D283" t="s">
        <v>45</v>
      </c>
      <c r="E283">
        <v>14</v>
      </c>
      <c r="F283">
        <v>422</v>
      </c>
      <c r="G283">
        <v>3013</v>
      </c>
      <c r="H283">
        <v>6178</v>
      </c>
      <c r="I283" t="s">
        <v>186</v>
      </c>
      <c r="J283" t="s">
        <v>517</v>
      </c>
      <c r="K283" t="s">
        <v>491</v>
      </c>
      <c r="L283" t="s">
        <v>492</v>
      </c>
      <c r="M283">
        <v>12</v>
      </c>
      <c r="N283" t="s">
        <v>60</v>
      </c>
      <c r="O283">
        <v>2025</v>
      </c>
      <c r="P283">
        <v>3284</v>
      </c>
      <c r="Q283" t="s">
        <v>672</v>
      </c>
      <c r="R283" t="s">
        <v>673</v>
      </c>
      <c r="S283" t="str">
        <f>IF(COUNTIF(Tabela2[PROCESSO],Tabela1[[#This Row],[codProcesso]])&gt;0,"Está","Não está")</f>
        <v>Não está</v>
      </c>
      <c r="T283" t="s">
        <v>674</v>
      </c>
      <c r="U283" t="s">
        <v>496</v>
      </c>
      <c r="V283" t="s">
        <v>452</v>
      </c>
      <c r="W283" t="s">
        <v>675</v>
      </c>
      <c r="X283">
        <v>1</v>
      </c>
      <c r="Y283" t="s">
        <v>98</v>
      </c>
      <c r="Z283" s="5">
        <v>3250</v>
      </c>
      <c r="AA283" s="5">
        <v>0</v>
      </c>
      <c r="AB283" s="5">
        <v>0</v>
      </c>
      <c r="AC283" s="5">
        <v>0</v>
      </c>
      <c r="AD283" s="5">
        <v>3250</v>
      </c>
      <c r="AE283" s="5">
        <v>270.83333333333331</v>
      </c>
      <c r="AF283" s="5">
        <v>3250</v>
      </c>
      <c r="AG283">
        <v>3250</v>
      </c>
      <c r="AH283">
        <v>270.83333333333331</v>
      </c>
      <c r="AI283">
        <v>3250</v>
      </c>
      <c r="AJ283">
        <v>3250</v>
      </c>
      <c r="AK283">
        <v>0</v>
      </c>
      <c r="AL283">
        <v>3250</v>
      </c>
      <c r="AM283">
        <v>3250</v>
      </c>
      <c r="AN283">
        <v>3250</v>
      </c>
      <c r="AO283" t="s">
        <v>55</v>
      </c>
      <c r="AP283" t="s">
        <v>676</v>
      </c>
      <c r="AQ283">
        <v>1</v>
      </c>
    </row>
    <row r="284" spans="1:43" x14ac:dyDescent="0.25">
      <c r="A284" t="s">
        <v>42</v>
      </c>
      <c r="B284" t="s">
        <v>43</v>
      </c>
      <c r="C284" t="s">
        <v>44</v>
      </c>
      <c r="D284" t="s">
        <v>45</v>
      </c>
      <c r="E284">
        <v>8</v>
      </c>
      <c r="F284">
        <v>605</v>
      </c>
      <c r="G284">
        <v>3016</v>
      </c>
      <c r="H284">
        <v>4470</v>
      </c>
      <c r="I284" t="s">
        <v>186</v>
      </c>
      <c r="J284" t="s">
        <v>1566</v>
      </c>
      <c r="K284" t="s">
        <v>247</v>
      </c>
      <c r="L284" t="s">
        <v>248</v>
      </c>
      <c r="M284">
        <v>6</v>
      </c>
      <c r="N284" t="s">
        <v>115</v>
      </c>
      <c r="O284">
        <v>2025</v>
      </c>
      <c r="P284">
        <v>15506</v>
      </c>
      <c r="R284" t="s">
        <v>1577</v>
      </c>
      <c r="S284" t="str">
        <f>IF(COUNTIF(Tabela2[PROCESSO],Tabela1[[#This Row],[codProcesso]])&gt;0,"Está","Não está")</f>
        <v>Não está</v>
      </c>
      <c r="T284" t="s">
        <v>1578</v>
      </c>
      <c r="W284" t="s">
        <v>1500</v>
      </c>
      <c r="X284">
        <v>12</v>
      </c>
      <c r="Y284" t="s">
        <v>54</v>
      </c>
      <c r="Z284" s="5">
        <v>3250</v>
      </c>
      <c r="AA284" s="5">
        <v>0</v>
      </c>
      <c r="AB284" s="5">
        <v>0</v>
      </c>
      <c r="AC284" s="5">
        <v>0</v>
      </c>
      <c r="AD284" s="5">
        <v>3250</v>
      </c>
      <c r="AE284" s="5">
        <v>270.83333333333331</v>
      </c>
      <c r="AF284" s="5">
        <v>3250</v>
      </c>
      <c r="AG284">
        <v>3250</v>
      </c>
      <c r="AH284">
        <v>270.83333333333331</v>
      </c>
      <c r="AI284">
        <v>3250</v>
      </c>
      <c r="AJ284">
        <v>3250</v>
      </c>
      <c r="AK284">
        <v>0</v>
      </c>
      <c r="AL284">
        <v>3250</v>
      </c>
      <c r="AM284">
        <v>3250</v>
      </c>
      <c r="AN284">
        <v>0</v>
      </c>
      <c r="AO284" t="s">
        <v>55</v>
      </c>
      <c r="AP284" t="s">
        <v>1579</v>
      </c>
      <c r="AQ284">
        <v>1</v>
      </c>
    </row>
    <row r="285" spans="1:43" x14ac:dyDescent="0.25">
      <c r="A285" t="s">
        <v>42</v>
      </c>
      <c r="B285" t="s">
        <v>43</v>
      </c>
      <c r="C285" t="s">
        <v>44</v>
      </c>
      <c r="D285" t="s">
        <v>45</v>
      </c>
      <c r="E285">
        <v>14</v>
      </c>
      <c r="F285">
        <v>122</v>
      </c>
      <c r="G285">
        <v>3024</v>
      </c>
      <c r="H285">
        <v>2100</v>
      </c>
      <c r="I285" t="s">
        <v>186</v>
      </c>
      <c r="J285" t="s">
        <v>483</v>
      </c>
      <c r="K285" t="s">
        <v>247</v>
      </c>
      <c r="L285" t="s">
        <v>248</v>
      </c>
      <c r="M285">
        <v>6</v>
      </c>
      <c r="N285" t="s">
        <v>115</v>
      </c>
      <c r="O285">
        <v>2025</v>
      </c>
      <c r="P285">
        <v>13479</v>
      </c>
      <c r="R285" t="s">
        <v>1458</v>
      </c>
      <c r="S285" t="str">
        <f>IF(COUNTIF(Tabela2[PROCESSO],Tabela1[[#This Row],[codProcesso]])&gt;0,"Está","Não está")</f>
        <v>Não está</v>
      </c>
      <c r="T285" t="s">
        <v>1459</v>
      </c>
      <c r="W285" t="s">
        <v>1460</v>
      </c>
      <c r="X285">
        <v>12</v>
      </c>
      <c r="Y285" t="s">
        <v>54</v>
      </c>
      <c r="Z285" s="5">
        <v>3099</v>
      </c>
      <c r="AA285" s="5">
        <v>0</v>
      </c>
      <c r="AB285" s="5">
        <v>0</v>
      </c>
      <c r="AC285" s="5">
        <v>0</v>
      </c>
      <c r="AD285" s="5">
        <v>3099</v>
      </c>
      <c r="AE285" s="5">
        <v>258.25</v>
      </c>
      <c r="AF285" s="5">
        <v>3099</v>
      </c>
      <c r="AG285">
        <v>3099</v>
      </c>
      <c r="AH285">
        <v>258.25</v>
      </c>
      <c r="AI285">
        <v>3099</v>
      </c>
      <c r="AJ285">
        <v>3099</v>
      </c>
      <c r="AK285">
        <v>0</v>
      </c>
      <c r="AL285">
        <v>3099</v>
      </c>
      <c r="AM285">
        <v>3099</v>
      </c>
      <c r="AN285">
        <v>0</v>
      </c>
      <c r="AO285" t="s">
        <v>55</v>
      </c>
      <c r="AP285" t="s">
        <v>1461</v>
      </c>
      <c r="AQ285">
        <v>1</v>
      </c>
    </row>
    <row r="286" spans="1:43" x14ac:dyDescent="0.25">
      <c r="A286" t="s">
        <v>42</v>
      </c>
      <c r="B286" t="s">
        <v>43</v>
      </c>
      <c r="C286" t="s">
        <v>44</v>
      </c>
      <c r="D286" t="s">
        <v>45</v>
      </c>
      <c r="E286">
        <v>14</v>
      </c>
      <c r="F286">
        <v>422</v>
      </c>
      <c r="G286">
        <v>3013</v>
      </c>
      <c r="H286">
        <v>4322</v>
      </c>
      <c r="I286" t="s">
        <v>1220</v>
      </c>
      <c r="J286" t="s">
        <v>361</v>
      </c>
      <c r="K286" t="s">
        <v>65</v>
      </c>
      <c r="L286" t="s">
        <v>66</v>
      </c>
      <c r="M286">
        <v>7</v>
      </c>
      <c r="N286" t="s">
        <v>391</v>
      </c>
      <c r="O286">
        <v>2025</v>
      </c>
      <c r="P286">
        <v>11778</v>
      </c>
      <c r="Q286" t="s">
        <v>1387</v>
      </c>
      <c r="R286" t="s">
        <v>1388</v>
      </c>
      <c r="S286" t="str">
        <f>IF(COUNTIF(Tabela2[PROCESSO],Tabela1[[#This Row],[codProcesso]])&gt;0,"Está","Não está")</f>
        <v>Não está</v>
      </c>
      <c r="T286" t="s">
        <v>1389</v>
      </c>
      <c r="U286" t="s">
        <v>1360</v>
      </c>
      <c r="V286" t="s">
        <v>1370</v>
      </c>
      <c r="W286" t="s">
        <v>1390</v>
      </c>
      <c r="X286">
        <v>0</v>
      </c>
      <c r="Y286" t="s">
        <v>98</v>
      </c>
      <c r="Z286" s="5">
        <v>3000</v>
      </c>
      <c r="AA286" s="5">
        <v>0</v>
      </c>
      <c r="AB286" s="5">
        <v>0</v>
      </c>
      <c r="AC286" s="5">
        <v>0</v>
      </c>
      <c r="AD286" s="5">
        <v>3000</v>
      </c>
      <c r="AE286" s="5">
        <v>250</v>
      </c>
      <c r="AF286" s="5">
        <v>3000</v>
      </c>
      <c r="AG286">
        <v>3000</v>
      </c>
      <c r="AH286">
        <v>250</v>
      </c>
      <c r="AI286">
        <v>3000</v>
      </c>
      <c r="AJ286">
        <v>3000</v>
      </c>
      <c r="AK286">
        <v>0</v>
      </c>
      <c r="AL286">
        <v>3000</v>
      </c>
      <c r="AM286">
        <v>3000</v>
      </c>
      <c r="AN286">
        <v>3000</v>
      </c>
      <c r="AO286" t="s">
        <v>55</v>
      </c>
      <c r="AP286" t="s">
        <v>1391</v>
      </c>
      <c r="AQ286">
        <v>1</v>
      </c>
    </row>
    <row r="287" spans="1:43" x14ac:dyDescent="0.25">
      <c r="A287" t="s">
        <v>42</v>
      </c>
      <c r="B287" t="s">
        <v>43</v>
      </c>
      <c r="C287" t="s">
        <v>44</v>
      </c>
      <c r="D287" t="s">
        <v>45</v>
      </c>
      <c r="E287">
        <v>14</v>
      </c>
      <c r="F287">
        <v>422</v>
      </c>
      <c r="G287">
        <v>3018</v>
      </c>
      <c r="H287">
        <v>2142</v>
      </c>
      <c r="I287" t="s">
        <v>1220</v>
      </c>
      <c r="J287" t="s">
        <v>439</v>
      </c>
      <c r="K287" t="s">
        <v>65</v>
      </c>
      <c r="L287" t="s">
        <v>66</v>
      </c>
      <c r="M287">
        <v>7</v>
      </c>
      <c r="N287" t="s">
        <v>391</v>
      </c>
      <c r="O287">
        <v>2025</v>
      </c>
      <c r="P287">
        <v>14024</v>
      </c>
      <c r="Q287" t="s">
        <v>1486</v>
      </c>
      <c r="R287" t="s">
        <v>1487</v>
      </c>
      <c r="S287" t="str">
        <f>IF(COUNTIF(Tabela2[PROCESSO],Tabela1[[#This Row],[codProcesso]])&gt;0,"Está","Não está")</f>
        <v>Não está</v>
      </c>
      <c r="T287" t="s">
        <v>1488</v>
      </c>
      <c r="U287" t="s">
        <v>1489</v>
      </c>
      <c r="V287" t="s">
        <v>1429</v>
      </c>
      <c r="W287" t="s">
        <v>1490</v>
      </c>
      <c r="X287">
        <v>1</v>
      </c>
      <c r="Y287" t="s">
        <v>98</v>
      </c>
      <c r="Z287" s="5">
        <v>3000</v>
      </c>
      <c r="AA287" s="5">
        <v>0</v>
      </c>
      <c r="AB287" s="5">
        <v>0</v>
      </c>
      <c r="AC287" s="5">
        <v>0</v>
      </c>
      <c r="AD287" s="5">
        <v>3000</v>
      </c>
      <c r="AE287" s="5">
        <v>250</v>
      </c>
      <c r="AF287" s="5">
        <v>3000</v>
      </c>
      <c r="AG287">
        <v>3000</v>
      </c>
      <c r="AH287">
        <v>250</v>
      </c>
      <c r="AI287">
        <v>3000</v>
      </c>
      <c r="AJ287">
        <v>3000</v>
      </c>
      <c r="AK287">
        <v>0</v>
      </c>
      <c r="AL287">
        <v>3000</v>
      </c>
      <c r="AM287">
        <v>3000</v>
      </c>
      <c r="AN287">
        <v>3000</v>
      </c>
      <c r="AO287" t="s">
        <v>55</v>
      </c>
      <c r="AP287" t="s">
        <v>1491</v>
      </c>
      <c r="AQ287">
        <v>1</v>
      </c>
    </row>
    <row r="288" spans="1:43" x14ac:dyDescent="0.25">
      <c r="A288" t="s">
        <v>42</v>
      </c>
      <c r="B288" t="s">
        <v>1322</v>
      </c>
      <c r="C288" t="s">
        <v>1323</v>
      </c>
      <c r="D288" t="s">
        <v>45</v>
      </c>
      <c r="E288">
        <v>14</v>
      </c>
      <c r="F288">
        <v>422</v>
      </c>
      <c r="G288">
        <v>3018</v>
      </c>
      <c r="H288">
        <v>4326</v>
      </c>
      <c r="I288" t="s">
        <v>57</v>
      </c>
      <c r="J288" t="s">
        <v>1639</v>
      </c>
      <c r="K288" t="s">
        <v>65</v>
      </c>
      <c r="L288" t="s">
        <v>66</v>
      </c>
      <c r="M288">
        <v>7</v>
      </c>
      <c r="N288" t="s">
        <v>391</v>
      </c>
      <c r="O288">
        <v>2025</v>
      </c>
      <c r="P288">
        <v>16752</v>
      </c>
      <c r="R288" t="s">
        <v>1696</v>
      </c>
      <c r="S288" t="str">
        <f>IF(COUNTIF(Tabela2[PROCESSO],Tabela1[[#This Row],[codProcesso]])&gt;0,"Está","Não está")</f>
        <v>Não está</v>
      </c>
      <c r="T288" t="s">
        <v>1697</v>
      </c>
      <c r="X288">
        <v>12</v>
      </c>
      <c r="Y288" t="s">
        <v>54</v>
      </c>
      <c r="Z288" s="5">
        <v>3000</v>
      </c>
      <c r="AA288" s="5">
        <v>0</v>
      </c>
      <c r="AB288" s="5">
        <v>0</v>
      </c>
      <c r="AC288" s="5">
        <v>0</v>
      </c>
      <c r="AD288" s="5">
        <v>3000</v>
      </c>
      <c r="AE288" s="5">
        <v>250</v>
      </c>
      <c r="AF288" s="5">
        <v>3000</v>
      </c>
      <c r="AG288">
        <v>3000</v>
      </c>
      <c r="AH288">
        <v>250</v>
      </c>
      <c r="AI288">
        <v>3000</v>
      </c>
      <c r="AJ288">
        <v>3000</v>
      </c>
      <c r="AK288">
        <v>0</v>
      </c>
      <c r="AL288">
        <v>3000</v>
      </c>
      <c r="AM288">
        <v>0</v>
      </c>
      <c r="AN288">
        <v>0</v>
      </c>
      <c r="AO288" t="s">
        <v>55</v>
      </c>
      <c r="AP288" t="s">
        <v>1698</v>
      </c>
      <c r="AQ288">
        <v>1</v>
      </c>
    </row>
    <row r="289" spans="1:43" x14ac:dyDescent="0.25">
      <c r="A289" t="s">
        <v>42</v>
      </c>
      <c r="B289" t="s">
        <v>1322</v>
      </c>
      <c r="C289" t="s">
        <v>1323</v>
      </c>
      <c r="D289" t="s">
        <v>45</v>
      </c>
      <c r="E289">
        <v>14</v>
      </c>
      <c r="F289">
        <v>422</v>
      </c>
      <c r="G289">
        <v>3018</v>
      </c>
      <c r="H289">
        <v>4326</v>
      </c>
      <c r="I289" t="s">
        <v>57</v>
      </c>
      <c r="J289" t="s">
        <v>1639</v>
      </c>
      <c r="K289" t="s">
        <v>65</v>
      </c>
      <c r="L289" t="s">
        <v>66</v>
      </c>
      <c r="M289">
        <v>7</v>
      </c>
      <c r="N289" t="s">
        <v>391</v>
      </c>
      <c r="O289">
        <v>2025</v>
      </c>
      <c r="P289">
        <v>16775</v>
      </c>
      <c r="R289" t="s">
        <v>1748</v>
      </c>
      <c r="S289" t="str">
        <f>IF(COUNTIF(Tabela2[PROCESSO],Tabela1[[#This Row],[codProcesso]])&gt;0,"Está","Não está")</f>
        <v>Não está</v>
      </c>
      <c r="T289" t="s">
        <v>1749</v>
      </c>
      <c r="X289">
        <v>12</v>
      </c>
      <c r="Y289" t="s">
        <v>54</v>
      </c>
      <c r="Z289" s="5">
        <v>3000</v>
      </c>
      <c r="AA289" s="5">
        <v>0</v>
      </c>
      <c r="AB289" s="5">
        <v>0</v>
      </c>
      <c r="AC289" s="5">
        <v>0</v>
      </c>
      <c r="AD289" s="5">
        <v>3000</v>
      </c>
      <c r="AE289" s="5">
        <v>250</v>
      </c>
      <c r="AF289" s="5">
        <v>3000</v>
      </c>
      <c r="AG289">
        <v>3000</v>
      </c>
      <c r="AH289">
        <v>250</v>
      </c>
      <c r="AI289">
        <v>3000</v>
      </c>
      <c r="AJ289">
        <v>3000</v>
      </c>
      <c r="AK289">
        <v>0</v>
      </c>
      <c r="AL289">
        <v>3000</v>
      </c>
      <c r="AM289">
        <v>0</v>
      </c>
      <c r="AN289">
        <v>0</v>
      </c>
      <c r="AO289" t="s">
        <v>55</v>
      </c>
      <c r="AP289" t="s">
        <v>1750</v>
      </c>
      <c r="AQ289">
        <v>1</v>
      </c>
    </row>
    <row r="290" spans="1:43" x14ac:dyDescent="0.25">
      <c r="A290" t="s">
        <v>42</v>
      </c>
      <c r="B290" t="s">
        <v>43</v>
      </c>
      <c r="C290" t="s">
        <v>44</v>
      </c>
      <c r="D290" t="s">
        <v>45</v>
      </c>
      <c r="E290">
        <v>14</v>
      </c>
      <c r="F290">
        <v>422</v>
      </c>
      <c r="G290">
        <v>3013</v>
      </c>
      <c r="H290">
        <v>2053</v>
      </c>
      <c r="I290" t="s">
        <v>57</v>
      </c>
      <c r="J290" t="s">
        <v>361</v>
      </c>
      <c r="K290" t="s">
        <v>65</v>
      </c>
      <c r="L290" t="s">
        <v>66</v>
      </c>
      <c r="M290">
        <v>6</v>
      </c>
      <c r="N290" t="s">
        <v>115</v>
      </c>
      <c r="O290">
        <v>2025</v>
      </c>
      <c r="P290">
        <v>12366</v>
      </c>
      <c r="R290" t="s">
        <v>1392</v>
      </c>
      <c r="S290" t="str">
        <f>IF(COUNTIF(Tabela2[PROCESSO],Tabela1[[#This Row],[codProcesso]])&gt;0,"Está","Não está")</f>
        <v>Está</v>
      </c>
      <c r="T290" t="s">
        <v>1393</v>
      </c>
      <c r="X290">
        <v>12</v>
      </c>
      <c r="Y290" t="s">
        <v>54</v>
      </c>
      <c r="Z290" s="5">
        <v>2997</v>
      </c>
      <c r="AA290" s="5">
        <v>0</v>
      </c>
      <c r="AB290" s="5">
        <v>0</v>
      </c>
      <c r="AC290" s="5">
        <v>0</v>
      </c>
      <c r="AD290" s="5">
        <v>2997</v>
      </c>
      <c r="AE290" s="5">
        <v>249.75</v>
      </c>
      <c r="AF290" s="5">
        <v>2997</v>
      </c>
      <c r="AG290">
        <v>2997</v>
      </c>
      <c r="AH290">
        <v>249.75</v>
      </c>
      <c r="AI290">
        <v>2997</v>
      </c>
      <c r="AJ290">
        <v>2997</v>
      </c>
      <c r="AK290">
        <v>0</v>
      </c>
      <c r="AL290">
        <v>2997</v>
      </c>
      <c r="AM290">
        <v>0</v>
      </c>
      <c r="AN290">
        <v>0</v>
      </c>
      <c r="AO290" t="s">
        <v>55</v>
      </c>
      <c r="AP290" t="s">
        <v>1394</v>
      </c>
      <c r="AQ290">
        <v>1</v>
      </c>
    </row>
    <row r="291" spans="1:43" x14ac:dyDescent="0.25">
      <c r="A291" t="s">
        <v>42</v>
      </c>
      <c r="B291" t="s">
        <v>43</v>
      </c>
      <c r="C291" t="s">
        <v>44</v>
      </c>
      <c r="D291" t="s">
        <v>45</v>
      </c>
      <c r="E291">
        <v>14</v>
      </c>
      <c r="F291">
        <v>122</v>
      </c>
      <c r="G291">
        <v>3024</v>
      </c>
      <c r="H291">
        <v>2100</v>
      </c>
      <c r="I291" t="s">
        <v>57</v>
      </c>
      <c r="J291" t="s">
        <v>361</v>
      </c>
      <c r="K291" t="s">
        <v>58</v>
      </c>
      <c r="L291" t="s">
        <v>59</v>
      </c>
      <c r="M291">
        <v>12</v>
      </c>
      <c r="N291" t="s">
        <v>60</v>
      </c>
      <c r="O291">
        <v>2025</v>
      </c>
      <c r="P291">
        <v>9426</v>
      </c>
      <c r="R291" t="s">
        <v>1174</v>
      </c>
      <c r="S291" t="str">
        <f>IF(COUNTIF(Tabela2[PROCESSO],Tabela1[[#This Row],[codProcesso]])&gt;0,"Está","Não está")</f>
        <v>Não está</v>
      </c>
      <c r="T291" t="s">
        <v>1175</v>
      </c>
      <c r="W291" t="s">
        <v>1001</v>
      </c>
      <c r="X291">
        <v>12</v>
      </c>
      <c r="Y291" t="s">
        <v>54</v>
      </c>
      <c r="Z291" s="5">
        <v>2638.4</v>
      </c>
      <c r="AA291" s="5">
        <v>0</v>
      </c>
      <c r="AB291" s="5">
        <v>0</v>
      </c>
      <c r="AC291" s="5">
        <v>0</v>
      </c>
      <c r="AD291" s="5">
        <v>2638.4</v>
      </c>
      <c r="AE291" s="5">
        <v>219.8666666666667</v>
      </c>
      <c r="AF291" s="5">
        <v>2638.4</v>
      </c>
      <c r="AG291">
        <v>2638.4</v>
      </c>
      <c r="AH291">
        <v>219.8666666666667</v>
      </c>
      <c r="AI291">
        <v>2638.4</v>
      </c>
      <c r="AJ291">
        <v>2638.4</v>
      </c>
      <c r="AK291">
        <v>0</v>
      </c>
      <c r="AL291">
        <v>2638.4</v>
      </c>
      <c r="AM291">
        <v>2308.6</v>
      </c>
      <c r="AN291">
        <v>2308.6</v>
      </c>
      <c r="AO291" t="s">
        <v>55</v>
      </c>
      <c r="AP291" t="s">
        <v>1176</v>
      </c>
      <c r="AQ291">
        <v>1</v>
      </c>
    </row>
    <row r="292" spans="1:43" x14ac:dyDescent="0.25">
      <c r="A292" t="s">
        <v>42</v>
      </c>
      <c r="B292" t="s">
        <v>43</v>
      </c>
      <c r="C292" t="s">
        <v>44</v>
      </c>
      <c r="D292" t="s">
        <v>45</v>
      </c>
      <c r="E292">
        <v>8</v>
      </c>
      <c r="F292">
        <v>605</v>
      </c>
      <c r="G292">
        <v>3016</v>
      </c>
      <c r="H292">
        <v>4470</v>
      </c>
      <c r="I292" t="s">
        <v>186</v>
      </c>
      <c r="J292" t="s">
        <v>1177</v>
      </c>
      <c r="K292" t="s">
        <v>247</v>
      </c>
      <c r="L292" t="s">
        <v>248</v>
      </c>
      <c r="M292">
        <v>6</v>
      </c>
      <c r="N292" t="s">
        <v>115</v>
      </c>
      <c r="O292">
        <v>2025</v>
      </c>
      <c r="P292">
        <v>10030</v>
      </c>
      <c r="R292" t="s">
        <v>1203</v>
      </c>
      <c r="S292" t="str">
        <f>IF(COUNTIF(Tabela2[PROCESSO],Tabela1[[#This Row],[codProcesso]])&gt;0,"Está","Não está")</f>
        <v>Não está</v>
      </c>
      <c r="T292" t="s">
        <v>1204</v>
      </c>
      <c r="X292">
        <v>12</v>
      </c>
      <c r="Y292" t="s">
        <v>54</v>
      </c>
      <c r="Z292" s="5">
        <v>2579.9</v>
      </c>
      <c r="AA292" s="5">
        <v>0</v>
      </c>
      <c r="AB292" s="5">
        <v>0</v>
      </c>
      <c r="AC292" s="5">
        <v>0</v>
      </c>
      <c r="AD292" s="5">
        <v>2579.9</v>
      </c>
      <c r="AE292" s="5">
        <v>214.9916666666667</v>
      </c>
      <c r="AF292" s="5">
        <v>2579.9</v>
      </c>
      <c r="AG292">
        <v>2579.9</v>
      </c>
      <c r="AH292">
        <v>214.9916666666667</v>
      </c>
      <c r="AI292">
        <v>2579.9</v>
      </c>
      <c r="AJ292">
        <v>2579.9</v>
      </c>
      <c r="AK292">
        <v>0</v>
      </c>
      <c r="AL292">
        <v>2579.9</v>
      </c>
      <c r="AM292">
        <v>0</v>
      </c>
      <c r="AN292">
        <v>0</v>
      </c>
      <c r="AO292" t="s">
        <v>55</v>
      </c>
      <c r="AP292" t="s">
        <v>1205</v>
      </c>
      <c r="AQ292">
        <v>1</v>
      </c>
    </row>
    <row r="293" spans="1:43" x14ac:dyDescent="0.25">
      <c r="A293" t="s">
        <v>42</v>
      </c>
      <c r="B293" t="s">
        <v>43</v>
      </c>
      <c r="C293" t="s">
        <v>44</v>
      </c>
      <c r="D293" t="s">
        <v>45</v>
      </c>
      <c r="E293">
        <v>14</v>
      </c>
      <c r="F293">
        <v>126</v>
      </c>
      <c r="G293">
        <v>3011</v>
      </c>
      <c r="H293">
        <v>2818</v>
      </c>
      <c r="I293" t="s">
        <v>82</v>
      </c>
      <c r="J293" t="s">
        <v>1240</v>
      </c>
      <c r="K293" t="s">
        <v>65</v>
      </c>
      <c r="L293" t="s">
        <v>66</v>
      </c>
      <c r="M293">
        <v>6</v>
      </c>
      <c r="N293" t="s">
        <v>115</v>
      </c>
      <c r="O293">
        <v>2025</v>
      </c>
      <c r="P293">
        <v>10781</v>
      </c>
      <c r="Q293" t="s">
        <v>1277</v>
      </c>
      <c r="R293" t="s">
        <v>1278</v>
      </c>
      <c r="S293" t="str">
        <f>IF(COUNTIF(Tabela2[PROCESSO],Tabela1[[#This Row],[codProcesso]])&gt;0,"Está","Não está")</f>
        <v>Está</v>
      </c>
      <c r="T293" t="s">
        <v>1279</v>
      </c>
      <c r="U293" t="s">
        <v>1280</v>
      </c>
      <c r="V293" t="s">
        <v>1281</v>
      </c>
      <c r="W293" t="s">
        <v>1282</v>
      </c>
      <c r="X293">
        <v>12</v>
      </c>
      <c r="Y293" t="s">
        <v>73</v>
      </c>
      <c r="Z293" s="5">
        <v>2558</v>
      </c>
      <c r="AA293" s="5">
        <v>0</v>
      </c>
      <c r="AB293" s="5">
        <v>0</v>
      </c>
      <c r="AC293" s="5">
        <v>0</v>
      </c>
      <c r="AD293" s="5">
        <v>2558</v>
      </c>
      <c r="AE293" s="5">
        <v>213.16666666666671</v>
      </c>
      <c r="AF293" s="5">
        <v>2558</v>
      </c>
      <c r="AG293">
        <v>2558</v>
      </c>
      <c r="AH293">
        <v>213.16666666666671</v>
      </c>
      <c r="AI293">
        <v>2558</v>
      </c>
      <c r="AJ293">
        <v>2558</v>
      </c>
      <c r="AK293">
        <v>0</v>
      </c>
      <c r="AL293">
        <v>2558</v>
      </c>
      <c r="AM293">
        <v>2558</v>
      </c>
      <c r="AN293">
        <v>2558</v>
      </c>
      <c r="AO293" t="s">
        <v>55</v>
      </c>
      <c r="AP293" t="s">
        <v>1283</v>
      </c>
      <c r="AQ293">
        <v>1</v>
      </c>
    </row>
    <row r="294" spans="1:43" x14ac:dyDescent="0.25">
      <c r="A294" t="s">
        <v>42</v>
      </c>
      <c r="B294" t="s">
        <v>43</v>
      </c>
      <c r="C294" t="s">
        <v>44</v>
      </c>
      <c r="D294" t="s">
        <v>45</v>
      </c>
      <c r="E294">
        <v>14</v>
      </c>
      <c r="F294">
        <v>122</v>
      </c>
      <c r="G294">
        <v>3024</v>
      </c>
      <c r="H294">
        <v>2100</v>
      </c>
      <c r="I294" t="s">
        <v>57</v>
      </c>
      <c r="J294" t="s">
        <v>439</v>
      </c>
      <c r="K294" t="s">
        <v>247</v>
      </c>
      <c r="L294" t="s">
        <v>248</v>
      </c>
      <c r="M294">
        <v>12</v>
      </c>
      <c r="N294" t="s">
        <v>60</v>
      </c>
      <c r="O294">
        <v>2025</v>
      </c>
      <c r="P294">
        <v>13993</v>
      </c>
      <c r="R294" t="s">
        <v>1480</v>
      </c>
      <c r="S294" t="str">
        <f>IF(COUNTIF(Tabela2[PROCESSO],Tabela1[[#This Row],[codProcesso]])&gt;0,"Está","Não está")</f>
        <v>Não está</v>
      </c>
      <c r="T294" t="s">
        <v>1481</v>
      </c>
      <c r="W294" t="s">
        <v>1429</v>
      </c>
      <c r="X294">
        <v>12</v>
      </c>
      <c r="Y294" t="s">
        <v>54</v>
      </c>
      <c r="Z294" s="5">
        <v>2512</v>
      </c>
      <c r="AA294" s="5">
        <v>0</v>
      </c>
      <c r="AB294" s="5">
        <v>0</v>
      </c>
      <c r="AC294" s="5">
        <v>0</v>
      </c>
      <c r="AD294" s="5">
        <v>2512</v>
      </c>
      <c r="AE294" s="5">
        <v>209.33333333333329</v>
      </c>
      <c r="AF294" s="5">
        <v>2512</v>
      </c>
      <c r="AG294">
        <v>2512</v>
      </c>
      <c r="AH294">
        <v>209.33333333333329</v>
      </c>
      <c r="AI294">
        <v>2512</v>
      </c>
      <c r="AJ294">
        <v>2512</v>
      </c>
      <c r="AK294">
        <v>0</v>
      </c>
      <c r="AL294">
        <v>2512</v>
      </c>
      <c r="AM294">
        <v>2512</v>
      </c>
      <c r="AN294">
        <v>2512</v>
      </c>
      <c r="AO294" t="s">
        <v>55</v>
      </c>
      <c r="AP294" t="s">
        <v>1482</v>
      </c>
      <c r="AQ294">
        <v>1</v>
      </c>
    </row>
    <row r="295" spans="1:43" x14ac:dyDescent="0.25">
      <c r="A295" t="s">
        <v>42</v>
      </c>
      <c r="B295" t="s">
        <v>43</v>
      </c>
      <c r="C295" t="s">
        <v>44</v>
      </c>
      <c r="D295" t="s">
        <v>45</v>
      </c>
      <c r="E295">
        <v>14</v>
      </c>
      <c r="F295">
        <v>122</v>
      </c>
      <c r="G295">
        <v>3024</v>
      </c>
      <c r="H295">
        <v>2100</v>
      </c>
      <c r="I295" t="s">
        <v>57</v>
      </c>
      <c r="J295" t="s">
        <v>439</v>
      </c>
      <c r="K295" t="s">
        <v>247</v>
      </c>
      <c r="L295" t="s">
        <v>248</v>
      </c>
      <c r="M295">
        <v>12</v>
      </c>
      <c r="N295" t="s">
        <v>60</v>
      </c>
      <c r="O295">
        <v>2025</v>
      </c>
      <c r="P295">
        <v>14003</v>
      </c>
      <c r="R295" t="s">
        <v>1483</v>
      </c>
      <c r="S295" t="str">
        <f>IF(COUNTIF(Tabela2[PROCESSO],Tabela1[[#This Row],[codProcesso]])&gt;0,"Está","Não está")</f>
        <v>Não está</v>
      </c>
      <c r="T295" t="s">
        <v>1484</v>
      </c>
      <c r="W295" t="s">
        <v>1409</v>
      </c>
      <c r="X295">
        <v>12</v>
      </c>
      <c r="Y295" t="s">
        <v>54</v>
      </c>
      <c r="Z295" s="5">
        <v>2512</v>
      </c>
      <c r="AA295" s="5">
        <v>0</v>
      </c>
      <c r="AB295" s="5">
        <v>0</v>
      </c>
      <c r="AC295" s="5">
        <v>0</v>
      </c>
      <c r="AD295" s="5">
        <v>2512</v>
      </c>
      <c r="AE295" s="5">
        <v>209.33333333333329</v>
      </c>
      <c r="AF295" s="5">
        <v>2512</v>
      </c>
      <c r="AG295">
        <v>2512</v>
      </c>
      <c r="AH295">
        <v>209.33333333333329</v>
      </c>
      <c r="AI295">
        <v>2512</v>
      </c>
      <c r="AJ295">
        <v>2512</v>
      </c>
      <c r="AK295">
        <v>0</v>
      </c>
      <c r="AL295">
        <v>2512</v>
      </c>
      <c r="AM295">
        <v>2512</v>
      </c>
      <c r="AN295">
        <v>2512</v>
      </c>
      <c r="AO295" t="s">
        <v>55</v>
      </c>
      <c r="AP295" t="s">
        <v>1485</v>
      </c>
      <c r="AQ295">
        <v>1</v>
      </c>
    </row>
    <row r="296" spans="1:43" x14ac:dyDescent="0.25">
      <c r="A296" t="s">
        <v>42</v>
      </c>
      <c r="B296" t="s">
        <v>43</v>
      </c>
      <c r="C296" t="s">
        <v>44</v>
      </c>
      <c r="D296" t="s">
        <v>45</v>
      </c>
      <c r="E296">
        <v>14</v>
      </c>
      <c r="F296">
        <v>422</v>
      </c>
      <c r="G296">
        <v>3013</v>
      </c>
      <c r="H296">
        <v>2431</v>
      </c>
      <c r="I296" t="s">
        <v>57</v>
      </c>
      <c r="J296" t="s">
        <v>1639</v>
      </c>
      <c r="K296" t="s">
        <v>690</v>
      </c>
      <c r="L296" t="s">
        <v>691</v>
      </c>
      <c r="M296">
        <v>12</v>
      </c>
      <c r="N296" t="s">
        <v>60</v>
      </c>
      <c r="O296">
        <v>2025</v>
      </c>
      <c r="P296">
        <v>16852</v>
      </c>
      <c r="R296" t="s">
        <v>1797</v>
      </c>
      <c r="S296" t="str">
        <f>IF(COUNTIF(Tabela2[PROCESSO],Tabela1[[#This Row],[codProcesso]])&gt;0,"Está","Não está")</f>
        <v>Não está</v>
      </c>
      <c r="T296" t="s">
        <v>1798</v>
      </c>
      <c r="X296">
        <v>12</v>
      </c>
      <c r="Y296" t="s">
        <v>54</v>
      </c>
      <c r="Z296" s="5">
        <v>2512</v>
      </c>
      <c r="AA296" s="5">
        <v>0</v>
      </c>
      <c r="AB296" s="5">
        <v>0</v>
      </c>
      <c r="AC296" s="5">
        <v>0</v>
      </c>
      <c r="AD296" s="5">
        <v>2512</v>
      </c>
      <c r="AE296" s="5">
        <v>209.33333333333329</v>
      </c>
      <c r="AF296" s="5">
        <v>2512</v>
      </c>
      <c r="AG296">
        <v>2512</v>
      </c>
      <c r="AH296">
        <v>209.33333333333329</v>
      </c>
      <c r="AI296">
        <v>2512</v>
      </c>
      <c r="AJ296">
        <v>2512</v>
      </c>
      <c r="AK296">
        <v>0</v>
      </c>
      <c r="AL296">
        <v>2512</v>
      </c>
      <c r="AM296">
        <v>0</v>
      </c>
      <c r="AN296">
        <v>0</v>
      </c>
      <c r="AO296" t="s">
        <v>55</v>
      </c>
      <c r="AP296" t="s">
        <v>1799</v>
      </c>
      <c r="AQ296">
        <v>1</v>
      </c>
    </row>
    <row r="297" spans="1:43" x14ac:dyDescent="0.25">
      <c r="A297" t="s">
        <v>42</v>
      </c>
      <c r="B297" t="s">
        <v>43</v>
      </c>
      <c r="C297" t="s">
        <v>44</v>
      </c>
      <c r="D297" t="s">
        <v>45</v>
      </c>
      <c r="E297">
        <v>14</v>
      </c>
      <c r="F297">
        <v>122</v>
      </c>
      <c r="G297">
        <v>3024</v>
      </c>
      <c r="H297">
        <v>2100</v>
      </c>
      <c r="I297" t="s">
        <v>186</v>
      </c>
      <c r="J297" t="s">
        <v>1240</v>
      </c>
      <c r="K297" t="s">
        <v>690</v>
      </c>
      <c r="L297" t="s">
        <v>691</v>
      </c>
      <c r="M297">
        <v>12</v>
      </c>
      <c r="N297" t="s">
        <v>60</v>
      </c>
      <c r="O297">
        <v>2025</v>
      </c>
      <c r="P297">
        <v>11287</v>
      </c>
      <c r="R297" t="s">
        <v>1319</v>
      </c>
      <c r="S297" t="str">
        <f>IF(COUNTIF(Tabela2[PROCESSO],Tabela1[[#This Row],[codProcesso]])&gt;0,"Está","Não está")</f>
        <v>Não está</v>
      </c>
      <c r="T297" t="s">
        <v>1320</v>
      </c>
      <c r="X297">
        <v>12</v>
      </c>
      <c r="Y297" t="s">
        <v>54</v>
      </c>
      <c r="Z297" s="5">
        <v>2475</v>
      </c>
      <c r="AA297" s="5">
        <v>0</v>
      </c>
      <c r="AB297" s="5">
        <v>0</v>
      </c>
      <c r="AC297" s="5">
        <v>0</v>
      </c>
      <c r="AD297" s="5">
        <v>2475</v>
      </c>
      <c r="AE297" s="5">
        <v>206.25</v>
      </c>
      <c r="AF297" s="5">
        <v>2475</v>
      </c>
      <c r="AG297">
        <v>2475</v>
      </c>
      <c r="AH297">
        <v>206.25</v>
      </c>
      <c r="AI297">
        <v>2475</v>
      </c>
      <c r="AJ297">
        <v>2475</v>
      </c>
      <c r="AK297">
        <v>0</v>
      </c>
      <c r="AL297">
        <v>2475</v>
      </c>
      <c r="AM297">
        <v>0</v>
      </c>
      <c r="AN297">
        <v>0</v>
      </c>
      <c r="AO297" t="s">
        <v>55</v>
      </c>
      <c r="AP297" t="s">
        <v>1321</v>
      </c>
      <c r="AQ297">
        <v>1</v>
      </c>
    </row>
    <row r="298" spans="1:43" x14ac:dyDescent="0.25">
      <c r="A298" t="s">
        <v>42</v>
      </c>
      <c r="B298" t="s">
        <v>43</v>
      </c>
      <c r="C298" t="s">
        <v>44</v>
      </c>
      <c r="D298" t="s">
        <v>45</v>
      </c>
      <c r="E298">
        <v>14</v>
      </c>
      <c r="F298">
        <v>122</v>
      </c>
      <c r="G298">
        <v>3024</v>
      </c>
      <c r="H298">
        <v>2100</v>
      </c>
      <c r="I298" t="s">
        <v>57</v>
      </c>
      <c r="J298" t="s">
        <v>1600</v>
      </c>
      <c r="K298" t="s">
        <v>58</v>
      </c>
      <c r="L298" t="s">
        <v>59</v>
      </c>
      <c r="M298">
        <v>12</v>
      </c>
      <c r="N298" t="s">
        <v>60</v>
      </c>
      <c r="O298">
        <v>2025</v>
      </c>
      <c r="P298">
        <v>16032</v>
      </c>
      <c r="R298" t="s">
        <v>1616</v>
      </c>
      <c r="S298" t="str">
        <f>IF(COUNTIF(Tabela2[PROCESSO],Tabela1[[#This Row],[codProcesso]])&gt;0,"Está","Não está")</f>
        <v>Não está</v>
      </c>
      <c r="T298" t="s">
        <v>1617</v>
      </c>
      <c r="W298" t="s">
        <v>1613</v>
      </c>
      <c r="X298">
        <v>12</v>
      </c>
      <c r="Y298" t="s">
        <v>54</v>
      </c>
      <c r="Z298" s="5">
        <v>2308.6</v>
      </c>
      <c r="AA298" s="5">
        <v>0</v>
      </c>
      <c r="AB298" s="5">
        <v>0</v>
      </c>
      <c r="AC298" s="5">
        <v>0</v>
      </c>
      <c r="AD298" s="5">
        <v>2308.6</v>
      </c>
      <c r="AE298" s="5">
        <v>192.3833333333333</v>
      </c>
      <c r="AF298" s="5">
        <v>2308.6</v>
      </c>
      <c r="AG298">
        <v>2308.6</v>
      </c>
      <c r="AH298">
        <v>192.3833333333333</v>
      </c>
      <c r="AI298">
        <v>2308.6</v>
      </c>
      <c r="AJ298">
        <v>2308.6</v>
      </c>
      <c r="AK298">
        <v>0</v>
      </c>
      <c r="AL298">
        <v>2308.6</v>
      </c>
      <c r="AM298">
        <v>2308.6</v>
      </c>
      <c r="AN298">
        <v>0</v>
      </c>
      <c r="AO298" t="s">
        <v>55</v>
      </c>
      <c r="AP298" t="s">
        <v>1618</v>
      </c>
      <c r="AQ298">
        <v>1</v>
      </c>
    </row>
    <row r="299" spans="1:43" x14ac:dyDescent="0.25">
      <c r="A299" t="s">
        <v>42</v>
      </c>
      <c r="B299" t="s">
        <v>43</v>
      </c>
      <c r="C299" t="s">
        <v>44</v>
      </c>
      <c r="D299" t="s">
        <v>45</v>
      </c>
      <c r="E299">
        <v>14</v>
      </c>
      <c r="F299">
        <v>122</v>
      </c>
      <c r="G299">
        <v>3024</v>
      </c>
      <c r="H299">
        <v>2100</v>
      </c>
      <c r="I299" t="s">
        <v>57</v>
      </c>
      <c r="J299" t="s">
        <v>749</v>
      </c>
      <c r="K299" t="s">
        <v>1153</v>
      </c>
      <c r="L299" t="s">
        <v>1154</v>
      </c>
      <c r="M299">
        <v>7</v>
      </c>
      <c r="N299" t="s">
        <v>391</v>
      </c>
      <c r="O299">
        <v>2025</v>
      </c>
      <c r="P299">
        <v>9194</v>
      </c>
      <c r="R299" t="s">
        <v>1165</v>
      </c>
      <c r="S299" t="str">
        <f>IF(COUNTIF(Tabela2[PROCESSO],Tabela1[[#This Row],[codProcesso]])&gt;0,"Está","Não está")</f>
        <v>Não está</v>
      </c>
      <c r="T299" t="s">
        <v>1166</v>
      </c>
      <c r="W299" t="s">
        <v>1157</v>
      </c>
      <c r="X299">
        <v>12</v>
      </c>
      <c r="Y299" t="s">
        <v>54</v>
      </c>
      <c r="Z299" s="5">
        <v>2210.9</v>
      </c>
      <c r="AA299" s="5">
        <v>0</v>
      </c>
      <c r="AB299" s="5">
        <v>0</v>
      </c>
      <c r="AC299" s="5">
        <v>0</v>
      </c>
      <c r="AD299" s="5">
        <v>2210.9</v>
      </c>
      <c r="AE299" s="5">
        <v>184.2416666666667</v>
      </c>
      <c r="AF299" s="5">
        <v>2210.9</v>
      </c>
      <c r="AG299">
        <v>2210.9</v>
      </c>
      <c r="AH299">
        <v>184.2416666666667</v>
      </c>
      <c r="AI299">
        <v>2210.9</v>
      </c>
      <c r="AJ299">
        <v>2210.9</v>
      </c>
      <c r="AK299">
        <v>0</v>
      </c>
      <c r="AL299">
        <v>2210.9</v>
      </c>
      <c r="AM299">
        <v>2210.9</v>
      </c>
      <c r="AN299">
        <v>2210.9</v>
      </c>
      <c r="AO299" t="s">
        <v>55</v>
      </c>
      <c r="AP299" t="s">
        <v>1167</v>
      </c>
      <c r="AQ299">
        <v>1</v>
      </c>
    </row>
    <row r="300" spans="1:43" x14ac:dyDescent="0.25">
      <c r="A300" t="s">
        <v>42</v>
      </c>
      <c r="B300" t="s">
        <v>43</v>
      </c>
      <c r="C300" t="s">
        <v>44</v>
      </c>
      <c r="D300" t="s">
        <v>45</v>
      </c>
      <c r="E300">
        <v>14</v>
      </c>
      <c r="F300">
        <v>122</v>
      </c>
      <c r="G300">
        <v>3024</v>
      </c>
      <c r="H300">
        <v>2100</v>
      </c>
      <c r="I300" t="s">
        <v>186</v>
      </c>
      <c r="J300" t="s">
        <v>517</v>
      </c>
      <c r="K300" t="s">
        <v>491</v>
      </c>
      <c r="L300" t="s">
        <v>492</v>
      </c>
      <c r="M300">
        <v>12</v>
      </c>
      <c r="N300" t="s">
        <v>60</v>
      </c>
      <c r="O300">
        <v>2025</v>
      </c>
      <c r="P300">
        <v>5047</v>
      </c>
      <c r="R300" t="s">
        <v>618</v>
      </c>
      <c r="S300" t="str">
        <f>IF(COUNTIF(Tabela2[PROCESSO],Tabela1[[#This Row],[codProcesso]])&gt;0,"Está","Não está")</f>
        <v>Não está</v>
      </c>
      <c r="T300" t="s">
        <v>621</v>
      </c>
      <c r="X300">
        <v>12</v>
      </c>
      <c r="Y300" t="s">
        <v>54</v>
      </c>
      <c r="Z300" s="5">
        <v>2140</v>
      </c>
      <c r="AA300" s="5">
        <v>0</v>
      </c>
      <c r="AB300" s="5">
        <v>0</v>
      </c>
      <c r="AC300" s="5">
        <v>0</v>
      </c>
      <c r="AD300" s="5">
        <v>2140</v>
      </c>
      <c r="AE300" s="5">
        <v>178.33333333333329</v>
      </c>
      <c r="AF300" s="5">
        <v>2140</v>
      </c>
      <c r="AG300">
        <v>513.6</v>
      </c>
      <c r="AH300">
        <v>42.8</v>
      </c>
      <c r="AI300">
        <v>513.6</v>
      </c>
      <c r="AJ300">
        <v>2140</v>
      </c>
      <c r="AK300">
        <v>0</v>
      </c>
      <c r="AL300">
        <v>2140</v>
      </c>
      <c r="AM300">
        <v>0</v>
      </c>
      <c r="AN300">
        <v>0</v>
      </c>
      <c r="AO300" t="s">
        <v>55</v>
      </c>
      <c r="AP300" t="s">
        <v>620</v>
      </c>
      <c r="AQ300">
        <v>0.24</v>
      </c>
    </row>
    <row r="301" spans="1:43" x14ac:dyDescent="0.25">
      <c r="A301" t="s">
        <v>42</v>
      </c>
      <c r="B301" t="s">
        <v>43</v>
      </c>
      <c r="C301" t="s">
        <v>44</v>
      </c>
      <c r="D301" t="s">
        <v>45</v>
      </c>
      <c r="E301">
        <v>14</v>
      </c>
      <c r="F301">
        <v>422</v>
      </c>
      <c r="G301">
        <v>3013</v>
      </c>
      <c r="H301">
        <v>2053</v>
      </c>
      <c r="I301" t="s">
        <v>57</v>
      </c>
      <c r="J301" t="s">
        <v>749</v>
      </c>
      <c r="K301" t="s">
        <v>65</v>
      </c>
      <c r="L301" t="s">
        <v>66</v>
      </c>
      <c r="M301">
        <v>12</v>
      </c>
      <c r="N301" t="s">
        <v>60</v>
      </c>
      <c r="O301">
        <v>2023</v>
      </c>
      <c r="P301">
        <v>6212</v>
      </c>
      <c r="Q301" t="s">
        <v>1121</v>
      </c>
      <c r="R301" t="s">
        <v>1122</v>
      </c>
      <c r="S301" t="str">
        <f>IF(COUNTIF(Tabela2[PROCESSO],Tabela1[[#This Row],[codProcesso]])&gt;0,"Está","Não está")</f>
        <v>Está</v>
      </c>
      <c r="T301" t="s">
        <v>1123</v>
      </c>
      <c r="U301" t="s">
        <v>105</v>
      </c>
      <c r="V301" t="s">
        <v>106</v>
      </c>
      <c r="W301" t="s">
        <v>1124</v>
      </c>
      <c r="X301">
        <v>37</v>
      </c>
      <c r="Y301" t="s">
        <v>73</v>
      </c>
      <c r="Z301" s="5">
        <v>2046.32</v>
      </c>
      <c r="AA301" s="5">
        <v>0</v>
      </c>
      <c r="AB301" s="5">
        <v>4492.6400000000003</v>
      </c>
      <c r="AC301" s="5">
        <v>0</v>
      </c>
      <c r="AD301" s="5">
        <v>6538.96</v>
      </c>
      <c r="AE301" s="5">
        <v>176.72864864864869</v>
      </c>
      <c r="AF301" s="5">
        <v>2120.7437837837838</v>
      </c>
      <c r="AG301">
        <v>3007.9216000000001</v>
      </c>
      <c r="AH301">
        <v>81.295178378378381</v>
      </c>
      <c r="AI301">
        <v>975.54214054054057</v>
      </c>
      <c r="AJ301">
        <v>6818.96</v>
      </c>
      <c r="AK301">
        <v>2206.3200000000002</v>
      </c>
      <c r="AL301">
        <v>4612.6400000000003</v>
      </c>
      <c r="AM301">
        <v>3229.48</v>
      </c>
      <c r="AN301">
        <v>3229.48</v>
      </c>
      <c r="AO301" t="s">
        <v>55</v>
      </c>
      <c r="AP301" t="s">
        <v>1125</v>
      </c>
      <c r="AQ301">
        <v>0.46</v>
      </c>
    </row>
    <row r="302" spans="1:43" x14ac:dyDescent="0.25">
      <c r="A302" t="s">
        <v>42</v>
      </c>
      <c r="B302" t="s">
        <v>43</v>
      </c>
      <c r="C302" t="s">
        <v>44</v>
      </c>
      <c r="D302" t="s">
        <v>45</v>
      </c>
      <c r="E302">
        <v>14</v>
      </c>
      <c r="F302">
        <v>422</v>
      </c>
      <c r="G302">
        <v>3023</v>
      </c>
      <c r="H302">
        <v>4321</v>
      </c>
      <c r="I302" t="s">
        <v>57</v>
      </c>
      <c r="J302" t="s">
        <v>439</v>
      </c>
      <c r="K302" t="s">
        <v>58</v>
      </c>
      <c r="L302" t="s">
        <v>59</v>
      </c>
      <c r="M302">
        <v>12</v>
      </c>
      <c r="N302" t="s">
        <v>60</v>
      </c>
      <c r="O302">
        <v>2025</v>
      </c>
      <c r="P302">
        <v>2482</v>
      </c>
      <c r="R302" t="s">
        <v>440</v>
      </c>
      <c r="S302" t="str">
        <f>IF(COUNTIF(Tabela2[PROCESSO],Tabela1[[#This Row],[codProcesso]])&gt;0,"Está","Não está")</f>
        <v>Não está</v>
      </c>
      <c r="T302" t="s">
        <v>441</v>
      </c>
      <c r="W302" t="s">
        <v>442</v>
      </c>
      <c r="X302">
        <v>12</v>
      </c>
      <c r="Y302" t="s">
        <v>54</v>
      </c>
      <c r="Z302" s="5">
        <v>2009.6</v>
      </c>
      <c r="AA302" s="5">
        <v>0</v>
      </c>
      <c r="AB302" s="5">
        <v>0</v>
      </c>
      <c r="AC302" s="5">
        <v>0</v>
      </c>
      <c r="AD302" s="5">
        <v>2009.6</v>
      </c>
      <c r="AE302" s="5">
        <v>167.4666666666667</v>
      </c>
      <c r="AF302" s="5">
        <v>2009.6</v>
      </c>
      <c r="AG302">
        <v>2009.6</v>
      </c>
      <c r="AH302">
        <v>167.4666666666667</v>
      </c>
      <c r="AI302">
        <v>2009.6</v>
      </c>
      <c r="AJ302">
        <v>2009.6</v>
      </c>
      <c r="AK302">
        <v>0</v>
      </c>
      <c r="AL302">
        <v>2009.6</v>
      </c>
      <c r="AM302">
        <v>2009.6</v>
      </c>
      <c r="AN302">
        <v>2009.6</v>
      </c>
      <c r="AO302" t="s">
        <v>55</v>
      </c>
      <c r="AP302" t="s">
        <v>443</v>
      </c>
      <c r="AQ302">
        <v>1</v>
      </c>
    </row>
    <row r="303" spans="1:43" x14ac:dyDescent="0.25">
      <c r="A303" t="s">
        <v>42</v>
      </c>
      <c r="B303" t="s">
        <v>43</v>
      </c>
      <c r="C303" t="s">
        <v>44</v>
      </c>
      <c r="D303" t="s">
        <v>45</v>
      </c>
      <c r="E303">
        <v>14</v>
      </c>
      <c r="F303">
        <v>422</v>
      </c>
      <c r="G303">
        <v>3013</v>
      </c>
      <c r="H303">
        <v>2431</v>
      </c>
      <c r="I303" t="s">
        <v>57</v>
      </c>
      <c r="J303" t="s">
        <v>881</v>
      </c>
      <c r="K303" t="s">
        <v>58</v>
      </c>
      <c r="L303" t="s">
        <v>59</v>
      </c>
      <c r="M303">
        <v>12</v>
      </c>
      <c r="N303" t="s">
        <v>60</v>
      </c>
      <c r="O303">
        <v>2025</v>
      </c>
      <c r="P303">
        <v>4800</v>
      </c>
      <c r="R303" t="s">
        <v>991</v>
      </c>
      <c r="S303" t="str">
        <f>IF(COUNTIF(Tabela2[PROCESSO],Tabela1[[#This Row],[codProcesso]])&gt;0,"Está","Não está")</f>
        <v>Não está</v>
      </c>
      <c r="T303" t="s">
        <v>992</v>
      </c>
      <c r="W303" t="s">
        <v>993</v>
      </c>
      <c r="X303">
        <v>12</v>
      </c>
      <c r="Y303" t="s">
        <v>54</v>
      </c>
      <c r="Z303" s="5">
        <v>2009.6</v>
      </c>
      <c r="AA303" s="5">
        <v>0</v>
      </c>
      <c r="AB303" s="5">
        <v>0</v>
      </c>
      <c r="AC303" s="5">
        <v>0</v>
      </c>
      <c r="AD303" s="5">
        <v>2009.6</v>
      </c>
      <c r="AE303" s="5">
        <v>167.4666666666667</v>
      </c>
      <c r="AF303" s="5">
        <v>2009.6</v>
      </c>
      <c r="AG303">
        <v>2009.6</v>
      </c>
      <c r="AH303">
        <v>167.4666666666667</v>
      </c>
      <c r="AI303">
        <v>2009.6</v>
      </c>
      <c r="AJ303">
        <v>2009.6</v>
      </c>
      <c r="AK303">
        <v>0</v>
      </c>
      <c r="AL303">
        <v>2009.6</v>
      </c>
      <c r="AM303">
        <v>2009.6</v>
      </c>
      <c r="AN303">
        <v>2009.6</v>
      </c>
      <c r="AO303" t="s">
        <v>55</v>
      </c>
      <c r="AP303" t="s">
        <v>994</v>
      </c>
      <c r="AQ303">
        <v>1</v>
      </c>
    </row>
    <row r="304" spans="1:43" x14ac:dyDescent="0.25">
      <c r="A304" t="s">
        <v>42</v>
      </c>
      <c r="B304" t="s">
        <v>43</v>
      </c>
      <c r="C304" t="s">
        <v>44</v>
      </c>
      <c r="D304" t="s">
        <v>45</v>
      </c>
      <c r="E304">
        <v>14</v>
      </c>
      <c r="F304">
        <v>122</v>
      </c>
      <c r="G304">
        <v>3024</v>
      </c>
      <c r="H304">
        <v>2100</v>
      </c>
      <c r="I304" t="s">
        <v>57</v>
      </c>
      <c r="J304" t="s">
        <v>749</v>
      </c>
      <c r="K304" t="s">
        <v>58</v>
      </c>
      <c r="L304" t="s">
        <v>59</v>
      </c>
      <c r="M304">
        <v>12</v>
      </c>
      <c r="N304" t="s">
        <v>60</v>
      </c>
      <c r="O304">
        <v>2025</v>
      </c>
      <c r="P304">
        <v>9198</v>
      </c>
      <c r="R304" t="s">
        <v>1171</v>
      </c>
      <c r="S304" t="str">
        <f>IF(COUNTIF(Tabela2[PROCESSO],Tabela1[[#This Row],[codProcesso]])&gt;0,"Está","Não está")</f>
        <v>Não está</v>
      </c>
      <c r="T304" t="s">
        <v>1172</v>
      </c>
      <c r="W304" t="s">
        <v>415</v>
      </c>
      <c r="X304">
        <v>12</v>
      </c>
      <c r="Y304" t="s">
        <v>54</v>
      </c>
      <c r="Z304" s="5">
        <v>2009.6</v>
      </c>
      <c r="AA304" s="5">
        <v>0</v>
      </c>
      <c r="AB304" s="5">
        <v>0</v>
      </c>
      <c r="AC304" s="5">
        <v>0</v>
      </c>
      <c r="AD304" s="5">
        <v>2009.6</v>
      </c>
      <c r="AE304" s="5">
        <v>167.4666666666667</v>
      </c>
      <c r="AF304" s="5">
        <v>2009.6</v>
      </c>
      <c r="AG304">
        <v>2009.6</v>
      </c>
      <c r="AH304">
        <v>167.4666666666667</v>
      </c>
      <c r="AI304">
        <v>2009.6</v>
      </c>
      <c r="AJ304">
        <v>2009.6</v>
      </c>
      <c r="AK304">
        <v>0</v>
      </c>
      <c r="AL304">
        <v>2009.6</v>
      </c>
      <c r="AM304">
        <v>2009.6</v>
      </c>
      <c r="AN304">
        <v>2009.6</v>
      </c>
      <c r="AO304" t="s">
        <v>55</v>
      </c>
      <c r="AP304" t="s">
        <v>1173</v>
      </c>
      <c r="AQ304">
        <v>1</v>
      </c>
    </row>
    <row r="305" spans="1:43" x14ac:dyDescent="0.25">
      <c r="A305" t="s">
        <v>42</v>
      </c>
      <c r="B305" t="s">
        <v>43</v>
      </c>
      <c r="C305" t="s">
        <v>44</v>
      </c>
      <c r="D305" t="s">
        <v>45</v>
      </c>
      <c r="E305">
        <v>14</v>
      </c>
      <c r="F305">
        <v>422</v>
      </c>
      <c r="G305">
        <v>3013</v>
      </c>
      <c r="H305">
        <v>2431</v>
      </c>
      <c r="I305" t="s">
        <v>57</v>
      </c>
      <c r="J305" t="s">
        <v>1240</v>
      </c>
      <c r="K305" t="s">
        <v>58</v>
      </c>
      <c r="L305" t="s">
        <v>59</v>
      </c>
      <c r="M305">
        <v>12</v>
      </c>
      <c r="N305" t="s">
        <v>60</v>
      </c>
      <c r="O305">
        <v>2025</v>
      </c>
      <c r="P305">
        <v>11161</v>
      </c>
      <c r="R305" t="s">
        <v>1305</v>
      </c>
      <c r="S305" t="str">
        <f>IF(COUNTIF(Tabela2[PROCESSO],Tabela1[[#This Row],[codProcesso]])&gt;0,"Está","Não está")</f>
        <v>Não está</v>
      </c>
      <c r="T305" t="s">
        <v>1306</v>
      </c>
      <c r="W305" t="s">
        <v>1280</v>
      </c>
      <c r="X305">
        <v>12</v>
      </c>
      <c r="Y305" t="s">
        <v>54</v>
      </c>
      <c r="Z305" s="5">
        <v>2009.6</v>
      </c>
      <c r="AA305" s="5">
        <v>0</v>
      </c>
      <c r="AB305" s="5">
        <v>0</v>
      </c>
      <c r="AC305" s="5">
        <v>0</v>
      </c>
      <c r="AD305" s="5">
        <v>2009.6</v>
      </c>
      <c r="AE305" s="5">
        <v>167.4666666666667</v>
      </c>
      <c r="AF305" s="5">
        <v>2009.6</v>
      </c>
      <c r="AG305">
        <v>2009.6</v>
      </c>
      <c r="AH305">
        <v>167.4666666666667</v>
      </c>
      <c r="AI305">
        <v>2009.6</v>
      </c>
      <c r="AJ305">
        <v>2009.6</v>
      </c>
      <c r="AK305">
        <v>0</v>
      </c>
      <c r="AL305">
        <v>2009.6</v>
      </c>
      <c r="AM305">
        <v>2009.6</v>
      </c>
      <c r="AN305">
        <v>2009.6</v>
      </c>
      <c r="AO305" t="s">
        <v>55</v>
      </c>
      <c r="AP305" t="s">
        <v>1307</v>
      </c>
      <c r="AQ305">
        <v>1</v>
      </c>
    </row>
    <row r="306" spans="1:43" x14ac:dyDescent="0.25">
      <c r="A306" t="s">
        <v>42</v>
      </c>
      <c r="B306" t="s">
        <v>43</v>
      </c>
      <c r="C306" t="s">
        <v>44</v>
      </c>
      <c r="D306" t="s">
        <v>45</v>
      </c>
      <c r="E306">
        <v>14</v>
      </c>
      <c r="F306">
        <v>422</v>
      </c>
      <c r="G306">
        <v>3013</v>
      </c>
      <c r="H306">
        <v>2431</v>
      </c>
      <c r="I306" t="s">
        <v>57</v>
      </c>
      <c r="J306" t="s">
        <v>439</v>
      </c>
      <c r="K306" t="s">
        <v>247</v>
      </c>
      <c r="L306" t="s">
        <v>248</v>
      </c>
      <c r="M306">
        <v>12</v>
      </c>
      <c r="N306" t="s">
        <v>60</v>
      </c>
      <c r="O306">
        <v>2025</v>
      </c>
      <c r="P306">
        <v>14393</v>
      </c>
      <c r="R306" t="s">
        <v>1533</v>
      </c>
      <c r="S306" t="str">
        <f>IF(COUNTIF(Tabela2[PROCESSO],Tabela1[[#This Row],[codProcesso]])&gt;0,"Está","Não está")</f>
        <v>Não está</v>
      </c>
      <c r="T306" t="s">
        <v>1534</v>
      </c>
      <c r="X306">
        <v>12</v>
      </c>
      <c r="Y306" t="s">
        <v>54</v>
      </c>
      <c r="Z306" s="5">
        <v>2009.6</v>
      </c>
      <c r="AA306" s="5">
        <v>0</v>
      </c>
      <c r="AB306" s="5">
        <v>0</v>
      </c>
      <c r="AC306" s="5">
        <v>0</v>
      </c>
      <c r="AD306" s="5">
        <v>2009.6</v>
      </c>
      <c r="AE306" s="5">
        <v>167.4666666666667</v>
      </c>
      <c r="AF306" s="5">
        <v>2009.6</v>
      </c>
      <c r="AG306">
        <v>2009.6</v>
      </c>
      <c r="AH306">
        <v>167.4666666666667</v>
      </c>
      <c r="AI306">
        <v>2009.6</v>
      </c>
      <c r="AJ306">
        <v>2009.6</v>
      </c>
      <c r="AK306">
        <v>0</v>
      </c>
      <c r="AL306">
        <v>2009.6</v>
      </c>
      <c r="AM306">
        <v>0</v>
      </c>
      <c r="AN306">
        <v>0</v>
      </c>
      <c r="AO306" t="s">
        <v>55</v>
      </c>
      <c r="AP306" t="s">
        <v>1535</v>
      </c>
      <c r="AQ306">
        <v>1</v>
      </c>
    </row>
    <row r="307" spans="1:43" x14ac:dyDescent="0.25">
      <c r="A307" t="s">
        <v>42</v>
      </c>
      <c r="B307" t="s">
        <v>43</v>
      </c>
      <c r="C307" t="s">
        <v>44</v>
      </c>
      <c r="D307" t="s">
        <v>45</v>
      </c>
      <c r="E307">
        <v>14</v>
      </c>
      <c r="F307">
        <v>422</v>
      </c>
      <c r="G307">
        <v>3013</v>
      </c>
      <c r="H307">
        <v>4322</v>
      </c>
      <c r="I307" t="s">
        <v>1220</v>
      </c>
      <c r="J307" t="s">
        <v>361</v>
      </c>
      <c r="K307" t="s">
        <v>65</v>
      </c>
      <c r="L307" t="s">
        <v>66</v>
      </c>
      <c r="M307">
        <v>7</v>
      </c>
      <c r="N307" t="s">
        <v>391</v>
      </c>
      <c r="O307">
        <v>2025</v>
      </c>
      <c r="P307">
        <v>11752</v>
      </c>
      <c r="Q307" t="s">
        <v>1357</v>
      </c>
      <c r="R307" t="s">
        <v>1358</v>
      </c>
      <c r="S307" t="str">
        <f>IF(COUNTIF(Tabela2[PROCESSO],Tabela1[[#This Row],[codProcesso]])&gt;0,"Está","Não está")</f>
        <v>Não está</v>
      </c>
      <c r="T307" t="s">
        <v>1359</v>
      </c>
      <c r="U307" t="s">
        <v>1360</v>
      </c>
      <c r="V307" t="s">
        <v>854</v>
      </c>
      <c r="W307" t="s">
        <v>1361</v>
      </c>
      <c r="X307">
        <v>1</v>
      </c>
      <c r="Y307" t="s">
        <v>98</v>
      </c>
      <c r="Z307" s="5">
        <v>2000</v>
      </c>
      <c r="AA307" s="5">
        <v>0</v>
      </c>
      <c r="AB307" s="5">
        <v>0</v>
      </c>
      <c r="AC307" s="5">
        <v>0</v>
      </c>
      <c r="AD307" s="5">
        <v>2000</v>
      </c>
      <c r="AE307" s="5">
        <v>166.66666666666671</v>
      </c>
      <c r="AF307" s="5">
        <v>2000</v>
      </c>
      <c r="AG307">
        <v>2000</v>
      </c>
      <c r="AH307">
        <v>166.66666666666671</v>
      </c>
      <c r="AI307">
        <v>2000</v>
      </c>
      <c r="AJ307">
        <v>2000</v>
      </c>
      <c r="AK307">
        <v>0</v>
      </c>
      <c r="AL307">
        <v>2000</v>
      </c>
      <c r="AM307">
        <v>2000</v>
      </c>
      <c r="AN307">
        <v>2000</v>
      </c>
      <c r="AO307" t="s">
        <v>55</v>
      </c>
      <c r="AP307" t="s">
        <v>1362</v>
      </c>
      <c r="AQ307">
        <v>1</v>
      </c>
    </row>
    <row r="308" spans="1:43" x14ac:dyDescent="0.25">
      <c r="A308" t="s">
        <v>42</v>
      </c>
      <c r="B308" t="s">
        <v>1322</v>
      </c>
      <c r="C308" t="s">
        <v>1323</v>
      </c>
      <c r="D308" t="s">
        <v>45</v>
      </c>
      <c r="E308">
        <v>14</v>
      </c>
      <c r="F308">
        <v>422</v>
      </c>
      <c r="G308">
        <v>3018</v>
      </c>
      <c r="H308">
        <v>4326</v>
      </c>
      <c r="I308" t="s">
        <v>57</v>
      </c>
      <c r="J308" t="s">
        <v>1639</v>
      </c>
      <c r="K308" t="s">
        <v>65</v>
      </c>
      <c r="L308" t="s">
        <v>66</v>
      </c>
      <c r="M308">
        <v>7</v>
      </c>
      <c r="N308" t="s">
        <v>391</v>
      </c>
      <c r="O308">
        <v>2025</v>
      </c>
      <c r="P308">
        <v>16719</v>
      </c>
      <c r="R308" t="s">
        <v>1643</v>
      </c>
      <c r="S308" t="str">
        <f>IF(COUNTIF(Tabela2[PROCESSO],Tabela1[[#This Row],[codProcesso]])&gt;0,"Está","Não está")</f>
        <v>Não está</v>
      </c>
      <c r="T308" t="s">
        <v>1644</v>
      </c>
      <c r="X308">
        <v>12</v>
      </c>
      <c r="Y308" t="s">
        <v>54</v>
      </c>
      <c r="Z308" s="5">
        <v>2000</v>
      </c>
      <c r="AA308" s="5">
        <v>0</v>
      </c>
      <c r="AB308" s="5">
        <v>0</v>
      </c>
      <c r="AC308" s="5">
        <v>0</v>
      </c>
      <c r="AD308" s="5">
        <v>2000</v>
      </c>
      <c r="AE308" s="5">
        <v>166.66666666666671</v>
      </c>
      <c r="AF308" s="5">
        <v>2000</v>
      </c>
      <c r="AG308">
        <v>2000</v>
      </c>
      <c r="AH308">
        <v>166.66666666666671</v>
      </c>
      <c r="AI308">
        <v>2000</v>
      </c>
      <c r="AJ308">
        <v>2000</v>
      </c>
      <c r="AK308">
        <v>0</v>
      </c>
      <c r="AL308">
        <v>2000</v>
      </c>
      <c r="AM308">
        <v>0</v>
      </c>
      <c r="AN308">
        <v>0</v>
      </c>
      <c r="AO308" t="s">
        <v>55</v>
      </c>
      <c r="AP308" t="s">
        <v>1645</v>
      </c>
      <c r="AQ308">
        <v>1</v>
      </c>
    </row>
    <row r="309" spans="1:43" x14ac:dyDescent="0.25">
      <c r="A309" t="s">
        <v>42</v>
      </c>
      <c r="B309" t="s">
        <v>1322</v>
      </c>
      <c r="C309" t="s">
        <v>1323</v>
      </c>
      <c r="D309" t="s">
        <v>45</v>
      </c>
      <c r="E309">
        <v>14</v>
      </c>
      <c r="F309">
        <v>422</v>
      </c>
      <c r="G309">
        <v>3018</v>
      </c>
      <c r="H309">
        <v>4326</v>
      </c>
      <c r="I309" t="s">
        <v>57</v>
      </c>
      <c r="J309" t="s">
        <v>1639</v>
      </c>
      <c r="K309" t="s">
        <v>65</v>
      </c>
      <c r="L309" t="s">
        <v>66</v>
      </c>
      <c r="M309">
        <v>7</v>
      </c>
      <c r="N309" t="s">
        <v>391</v>
      </c>
      <c r="O309">
        <v>2025</v>
      </c>
      <c r="P309">
        <v>16735</v>
      </c>
      <c r="R309" t="s">
        <v>1666</v>
      </c>
      <c r="S309" t="str">
        <f>IF(COUNTIF(Tabela2[PROCESSO],Tabela1[[#This Row],[codProcesso]])&gt;0,"Está","Não está")</f>
        <v>Não está</v>
      </c>
      <c r="T309" t="s">
        <v>1667</v>
      </c>
      <c r="X309">
        <v>12</v>
      </c>
      <c r="Y309" t="s">
        <v>54</v>
      </c>
      <c r="Z309" s="5">
        <v>2000</v>
      </c>
      <c r="AA309" s="5">
        <v>0</v>
      </c>
      <c r="AB309" s="5">
        <v>0</v>
      </c>
      <c r="AC309" s="5">
        <v>0</v>
      </c>
      <c r="AD309" s="5">
        <v>2000</v>
      </c>
      <c r="AE309" s="5">
        <v>166.66666666666671</v>
      </c>
      <c r="AF309" s="5">
        <v>2000</v>
      </c>
      <c r="AG309">
        <v>2000</v>
      </c>
      <c r="AH309">
        <v>166.66666666666671</v>
      </c>
      <c r="AI309">
        <v>2000</v>
      </c>
      <c r="AJ309">
        <v>2000</v>
      </c>
      <c r="AK309">
        <v>0</v>
      </c>
      <c r="AL309">
        <v>2000</v>
      </c>
      <c r="AM309">
        <v>0</v>
      </c>
      <c r="AN309">
        <v>0</v>
      </c>
      <c r="AO309" t="s">
        <v>55</v>
      </c>
      <c r="AP309" t="s">
        <v>1668</v>
      </c>
      <c r="AQ309">
        <v>1</v>
      </c>
    </row>
    <row r="310" spans="1:43" x14ac:dyDescent="0.25">
      <c r="A310" t="s">
        <v>42</v>
      </c>
      <c r="B310" t="s">
        <v>1322</v>
      </c>
      <c r="C310" t="s">
        <v>1323</v>
      </c>
      <c r="D310" t="s">
        <v>45</v>
      </c>
      <c r="E310">
        <v>14</v>
      </c>
      <c r="F310">
        <v>422</v>
      </c>
      <c r="G310">
        <v>3018</v>
      </c>
      <c r="H310">
        <v>4326</v>
      </c>
      <c r="I310" t="s">
        <v>57</v>
      </c>
      <c r="J310" t="s">
        <v>1639</v>
      </c>
      <c r="K310" t="s">
        <v>65</v>
      </c>
      <c r="L310" t="s">
        <v>66</v>
      </c>
      <c r="M310">
        <v>7</v>
      </c>
      <c r="N310" t="s">
        <v>391</v>
      </c>
      <c r="O310">
        <v>2025</v>
      </c>
      <c r="P310">
        <v>16802</v>
      </c>
      <c r="R310" t="s">
        <v>1758</v>
      </c>
      <c r="S310" t="str">
        <f>IF(COUNTIF(Tabela2[PROCESSO],Tabela1[[#This Row],[codProcesso]])&gt;0,"Está","Não está")</f>
        <v>Não está</v>
      </c>
      <c r="T310" t="s">
        <v>1759</v>
      </c>
      <c r="X310">
        <v>12</v>
      </c>
      <c r="Y310" t="s">
        <v>54</v>
      </c>
      <c r="Z310" s="5">
        <v>2000</v>
      </c>
      <c r="AA310" s="5">
        <v>0</v>
      </c>
      <c r="AB310" s="5">
        <v>0</v>
      </c>
      <c r="AC310" s="5">
        <v>0</v>
      </c>
      <c r="AD310" s="5">
        <v>2000</v>
      </c>
      <c r="AE310" s="5">
        <v>166.66666666666671</v>
      </c>
      <c r="AF310" s="5">
        <v>2000</v>
      </c>
      <c r="AG310">
        <v>2000</v>
      </c>
      <c r="AH310">
        <v>166.66666666666671</v>
      </c>
      <c r="AI310">
        <v>2000</v>
      </c>
      <c r="AJ310">
        <v>2000</v>
      </c>
      <c r="AK310">
        <v>0</v>
      </c>
      <c r="AL310">
        <v>2000</v>
      </c>
      <c r="AM310">
        <v>0</v>
      </c>
      <c r="AN310">
        <v>0</v>
      </c>
      <c r="AO310" t="s">
        <v>55</v>
      </c>
      <c r="AP310" t="s">
        <v>1760</v>
      </c>
      <c r="AQ310">
        <v>1</v>
      </c>
    </row>
    <row r="311" spans="1:43" x14ac:dyDescent="0.25">
      <c r="A311" t="s">
        <v>42</v>
      </c>
      <c r="B311" t="s">
        <v>43</v>
      </c>
      <c r="C311" t="s">
        <v>44</v>
      </c>
      <c r="D311" t="s">
        <v>45</v>
      </c>
      <c r="E311">
        <v>14</v>
      </c>
      <c r="F311">
        <v>422</v>
      </c>
      <c r="G311">
        <v>3013</v>
      </c>
      <c r="H311">
        <v>2431</v>
      </c>
      <c r="I311" t="s">
        <v>57</v>
      </c>
      <c r="J311" t="s">
        <v>1566</v>
      </c>
      <c r="K311" t="s">
        <v>65</v>
      </c>
      <c r="L311" t="s">
        <v>66</v>
      </c>
      <c r="M311">
        <v>12</v>
      </c>
      <c r="N311" t="s">
        <v>60</v>
      </c>
      <c r="O311">
        <v>2025</v>
      </c>
      <c r="P311">
        <v>15700</v>
      </c>
      <c r="R311" t="s">
        <v>1585</v>
      </c>
      <c r="S311" t="str">
        <f>IF(COUNTIF(Tabela2[PROCESSO],Tabela1[[#This Row],[codProcesso]])&gt;0,"Está","Não está")</f>
        <v>Não está</v>
      </c>
      <c r="T311" t="s">
        <v>1586</v>
      </c>
      <c r="X311">
        <v>12</v>
      </c>
      <c r="Y311" t="s">
        <v>54</v>
      </c>
      <c r="Z311" s="5">
        <v>1833.76</v>
      </c>
      <c r="AA311" s="5">
        <v>0</v>
      </c>
      <c r="AB311" s="5">
        <v>0</v>
      </c>
      <c r="AC311" s="5">
        <v>0</v>
      </c>
      <c r="AD311" s="5">
        <v>1833.76</v>
      </c>
      <c r="AE311" s="5">
        <v>152.8133333333333</v>
      </c>
      <c r="AF311" s="5">
        <v>1833.76</v>
      </c>
      <c r="AG311">
        <v>1833.76</v>
      </c>
      <c r="AH311">
        <v>152.8133333333333</v>
      </c>
      <c r="AI311">
        <v>1833.76</v>
      </c>
      <c r="AJ311">
        <v>1833.76</v>
      </c>
      <c r="AK311">
        <v>0</v>
      </c>
      <c r="AL311">
        <v>1833.76</v>
      </c>
      <c r="AM311">
        <v>0</v>
      </c>
      <c r="AN311">
        <v>0</v>
      </c>
      <c r="AO311" t="s">
        <v>55</v>
      </c>
      <c r="AP311" t="s">
        <v>1587</v>
      </c>
      <c r="AQ311">
        <v>1</v>
      </c>
    </row>
    <row r="312" spans="1:43" x14ac:dyDescent="0.25">
      <c r="A312" t="s">
        <v>42</v>
      </c>
      <c r="B312" t="s">
        <v>43</v>
      </c>
      <c r="C312" t="s">
        <v>44</v>
      </c>
      <c r="D312" t="s">
        <v>45</v>
      </c>
      <c r="E312">
        <v>14</v>
      </c>
      <c r="F312">
        <v>122</v>
      </c>
      <c r="G312">
        <v>3024</v>
      </c>
      <c r="H312">
        <v>2100</v>
      </c>
      <c r="I312" t="s">
        <v>57</v>
      </c>
      <c r="J312" t="s">
        <v>1177</v>
      </c>
      <c r="K312" t="s">
        <v>58</v>
      </c>
      <c r="L312" t="s">
        <v>59</v>
      </c>
      <c r="M312">
        <v>12</v>
      </c>
      <c r="N312" t="s">
        <v>60</v>
      </c>
      <c r="O312">
        <v>2025</v>
      </c>
      <c r="P312">
        <v>9540</v>
      </c>
      <c r="R312" t="s">
        <v>1181</v>
      </c>
      <c r="S312" t="str">
        <f>IF(COUNTIF(Tabela2[PROCESSO],Tabela1[[#This Row],[codProcesso]])&gt;0,"Está","Não está")</f>
        <v>Não está</v>
      </c>
      <c r="T312" t="s">
        <v>1182</v>
      </c>
      <c r="W312" t="s">
        <v>1183</v>
      </c>
      <c r="X312">
        <v>12</v>
      </c>
      <c r="Y312" t="s">
        <v>54</v>
      </c>
      <c r="Z312" s="5">
        <v>1800.4</v>
      </c>
      <c r="AA312" s="5">
        <v>0</v>
      </c>
      <c r="AB312" s="5">
        <v>0</v>
      </c>
      <c r="AC312" s="5">
        <v>0</v>
      </c>
      <c r="AD312" s="5">
        <v>1800.4</v>
      </c>
      <c r="AE312" s="5">
        <v>150.0333333333333</v>
      </c>
      <c r="AF312" s="5">
        <v>1800.4</v>
      </c>
      <c r="AG312">
        <v>1800.4</v>
      </c>
      <c r="AH312">
        <v>150.0333333333333</v>
      </c>
      <c r="AI312">
        <v>1800.4</v>
      </c>
      <c r="AJ312">
        <v>1800.4</v>
      </c>
      <c r="AK312">
        <v>0</v>
      </c>
      <c r="AL312">
        <v>1800.4</v>
      </c>
      <c r="AM312">
        <v>1800.4</v>
      </c>
      <c r="AN312">
        <v>1800.4</v>
      </c>
      <c r="AO312" t="s">
        <v>55</v>
      </c>
      <c r="AP312" t="s">
        <v>1184</v>
      </c>
      <c r="AQ312">
        <v>1</v>
      </c>
    </row>
    <row r="313" spans="1:43" x14ac:dyDescent="0.25">
      <c r="A313" t="s">
        <v>42</v>
      </c>
      <c r="B313" t="s">
        <v>43</v>
      </c>
      <c r="C313" t="s">
        <v>44</v>
      </c>
      <c r="D313" t="s">
        <v>45</v>
      </c>
      <c r="E313">
        <v>14</v>
      </c>
      <c r="F313">
        <v>122</v>
      </c>
      <c r="G313">
        <v>3024</v>
      </c>
      <c r="H313">
        <v>2100</v>
      </c>
      <c r="I313" t="s">
        <v>57</v>
      </c>
      <c r="J313" t="s">
        <v>361</v>
      </c>
      <c r="K313" t="s">
        <v>247</v>
      </c>
      <c r="L313" t="s">
        <v>248</v>
      </c>
      <c r="M313">
        <v>12</v>
      </c>
      <c r="N313" t="s">
        <v>60</v>
      </c>
      <c r="O313">
        <v>2025</v>
      </c>
      <c r="P313">
        <v>14695</v>
      </c>
      <c r="R313" t="s">
        <v>1561</v>
      </c>
      <c r="S313" t="str">
        <f>IF(COUNTIF(Tabela2[PROCESSO],Tabela1[[#This Row],[codProcesso]])&gt;0,"Está","Não está")</f>
        <v>Não está</v>
      </c>
      <c r="T313" t="s">
        <v>1484</v>
      </c>
      <c r="W313" t="s">
        <v>879</v>
      </c>
      <c r="X313">
        <v>12</v>
      </c>
      <c r="Y313" t="s">
        <v>54</v>
      </c>
      <c r="Z313" s="5">
        <v>1758.4</v>
      </c>
      <c r="AA313" s="5">
        <v>0</v>
      </c>
      <c r="AB313" s="5">
        <v>0</v>
      </c>
      <c r="AC313" s="5">
        <v>0</v>
      </c>
      <c r="AD313" s="5">
        <v>1758.4</v>
      </c>
      <c r="AE313" s="5">
        <v>146.5333333333333</v>
      </c>
      <c r="AF313" s="5">
        <v>1758.4</v>
      </c>
      <c r="AG313">
        <v>1758.4</v>
      </c>
      <c r="AH313">
        <v>146.5333333333333</v>
      </c>
      <c r="AI313">
        <v>1758.4</v>
      </c>
      <c r="AJ313">
        <v>1758.4</v>
      </c>
      <c r="AK313">
        <v>0</v>
      </c>
      <c r="AL313">
        <v>1758.4</v>
      </c>
      <c r="AM313">
        <v>1758.4</v>
      </c>
      <c r="AN313">
        <v>1758.4</v>
      </c>
      <c r="AO313" t="s">
        <v>55</v>
      </c>
      <c r="AP313" t="s">
        <v>1562</v>
      </c>
      <c r="AQ313">
        <v>1</v>
      </c>
    </row>
    <row r="314" spans="1:43" x14ac:dyDescent="0.25">
      <c r="A314" t="s">
        <v>42</v>
      </c>
      <c r="B314" t="s">
        <v>43</v>
      </c>
      <c r="C314" t="s">
        <v>44</v>
      </c>
      <c r="D314" t="s">
        <v>45</v>
      </c>
      <c r="E314">
        <v>14</v>
      </c>
      <c r="F314">
        <v>422</v>
      </c>
      <c r="G314">
        <v>3013</v>
      </c>
      <c r="H314">
        <v>6178</v>
      </c>
      <c r="I314" t="s">
        <v>57</v>
      </c>
      <c r="J314" t="s">
        <v>1177</v>
      </c>
      <c r="K314" t="s">
        <v>58</v>
      </c>
      <c r="L314" t="s">
        <v>59</v>
      </c>
      <c r="M314">
        <v>12</v>
      </c>
      <c r="N314" t="s">
        <v>60</v>
      </c>
      <c r="O314">
        <v>2025</v>
      </c>
      <c r="P314">
        <v>10197</v>
      </c>
      <c r="R314" t="s">
        <v>1210</v>
      </c>
      <c r="S314" t="str">
        <f>IF(COUNTIF(Tabela2[PROCESSO],Tabela1[[#This Row],[codProcesso]])&gt;0,"Está","Não está")</f>
        <v>Não está</v>
      </c>
      <c r="T314" t="s">
        <v>1211</v>
      </c>
      <c r="X314">
        <v>12</v>
      </c>
      <c r="Y314" t="s">
        <v>54</v>
      </c>
      <c r="Z314" s="5">
        <v>1649</v>
      </c>
      <c r="AA314" s="5">
        <v>0</v>
      </c>
      <c r="AB314" s="5">
        <v>0</v>
      </c>
      <c r="AC314" s="5">
        <v>0</v>
      </c>
      <c r="AD314" s="5">
        <v>1649</v>
      </c>
      <c r="AE314" s="5">
        <v>137.41666666666671</v>
      </c>
      <c r="AF314" s="5">
        <v>1649</v>
      </c>
      <c r="AG314">
        <v>1649</v>
      </c>
      <c r="AH314">
        <v>137.41666666666671</v>
      </c>
      <c r="AI314">
        <v>1649</v>
      </c>
      <c r="AJ314">
        <v>1649</v>
      </c>
      <c r="AK314">
        <v>0</v>
      </c>
      <c r="AL314">
        <v>1649</v>
      </c>
      <c r="AM314">
        <v>0</v>
      </c>
      <c r="AN314">
        <v>0</v>
      </c>
      <c r="AO314" t="s">
        <v>55</v>
      </c>
      <c r="AP314" t="s">
        <v>1212</v>
      </c>
      <c r="AQ314">
        <v>1</v>
      </c>
    </row>
    <row r="315" spans="1:43" x14ac:dyDescent="0.25">
      <c r="A315" t="s">
        <v>42</v>
      </c>
      <c r="B315" t="s">
        <v>43</v>
      </c>
      <c r="C315" t="s">
        <v>44</v>
      </c>
      <c r="D315" t="s">
        <v>45</v>
      </c>
      <c r="E315">
        <v>14</v>
      </c>
      <c r="F315">
        <v>422</v>
      </c>
      <c r="G315">
        <v>3013</v>
      </c>
      <c r="H315">
        <v>4322</v>
      </c>
      <c r="I315" t="s">
        <v>57</v>
      </c>
      <c r="J315" t="s">
        <v>361</v>
      </c>
      <c r="K315" t="s">
        <v>58</v>
      </c>
      <c r="L315" t="s">
        <v>59</v>
      </c>
      <c r="M315">
        <v>12</v>
      </c>
      <c r="N315" t="s">
        <v>60</v>
      </c>
      <c r="O315">
        <v>2025</v>
      </c>
      <c r="P315">
        <v>12657</v>
      </c>
      <c r="R315" t="s">
        <v>1399</v>
      </c>
      <c r="S315" t="str">
        <f>IF(COUNTIF(Tabela2[PROCESSO],Tabela1[[#This Row],[codProcesso]])&gt;0,"Está","Não está")</f>
        <v>Não está</v>
      </c>
      <c r="T315" t="s">
        <v>1400</v>
      </c>
      <c r="W315" t="s">
        <v>1336</v>
      </c>
      <c r="X315">
        <v>12</v>
      </c>
      <c r="Y315" t="s">
        <v>54</v>
      </c>
      <c r="Z315" s="5">
        <v>1632.8</v>
      </c>
      <c r="AA315" s="5">
        <v>0</v>
      </c>
      <c r="AB315" s="5">
        <v>0</v>
      </c>
      <c r="AC315" s="5">
        <v>0</v>
      </c>
      <c r="AD315" s="5">
        <v>1632.8</v>
      </c>
      <c r="AE315" s="5">
        <v>136.06666666666669</v>
      </c>
      <c r="AF315" s="5">
        <v>1632.8</v>
      </c>
      <c r="AG315">
        <v>1632.8</v>
      </c>
      <c r="AH315">
        <v>136.06666666666669</v>
      </c>
      <c r="AI315">
        <v>1632.8</v>
      </c>
      <c r="AJ315">
        <v>1632.8</v>
      </c>
      <c r="AK315">
        <v>0</v>
      </c>
      <c r="AL315">
        <v>1632.8</v>
      </c>
      <c r="AM315">
        <v>1632.8</v>
      </c>
      <c r="AN315">
        <v>1632.8</v>
      </c>
      <c r="AO315" t="s">
        <v>55</v>
      </c>
      <c r="AP315" t="s">
        <v>1401</v>
      </c>
      <c r="AQ315">
        <v>1</v>
      </c>
    </row>
    <row r="316" spans="1:43" x14ac:dyDescent="0.25">
      <c r="A316" t="s">
        <v>42</v>
      </c>
      <c r="B316" t="s">
        <v>43</v>
      </c>
      <c r="C316" t="s">
        <v>44</v>
      </c>
      <c r="D316" t="s">
        <v>45</v>
      </c>
      <c r="E316">
        <v>14</v>
      </c>
      <c r="F316">
        <v>122</v>
      </c>
      <c r="G316">
        <v>3024</v>
      </c>
      <c r="H316">
        <v>2100</v>
      </c>
      <c r="I316" t="s">
        <v>57</v>
      </c>
      <c r="J316" t="s">
        <v>517</v>
      </c>
      <c r="K316" t="s">
        <v>65</v>
      </c>
      <c r="L316" t="s">
        <v>66</v>
      </c>
      <c r="M316">
        <v>12</v>
      </c>
      <c r="N316" t="s">
        <v>60</v>
      </c>
      <c r="O316">
        <v>2022</v>
      </c>
      <c r="P316">
        <v>16779</v>
      </c>
      <c r="Q316" t="s">
        <v>518</v>
      </c>
      <c r="R316" t="s">
        <v>519</v>
      </c>
      <c r="S316" t="str">
        <f>IF(COUNTIF(Tabela2[PROCESSO],Tabela1[[#This Row],[codProcesso]])&gt;0,"Está","Não está")</f>
        <v>Está</v>
      </c>
      <c r="T316" t="s">
        <v>520</v>
      </c>
      <c r="U316" t="s">
        <v>521</v>
      </c>
      <c r="V316" t="s">
        <v>522</v>
      </c>
      <c r="W316" t="s">
        <v>523</v>
      </c>
      <c r="X316">
        <v>48</v>
      </c>
      <c r="Y316" t="s">
        <v>73</v>
      </c>
      <c r="Z316" s="5">
        <v>1578.96</v>
      </c>
      <c r="AA316" s="5">
        <v>0</v>
      </c>
      <c r="AB316" s="5">
        <v>4736.88</v>
      </c>
      <c r="AC316" s="5">
        <v>0</v>
      </c>
      <c r="AD316" s="5">
        <v>6315.84</v>
      </c>
      <c r="AE316" s="5">
        <v>131.58000000000001</v>
      </c>
      <c r="AF316" s="5">
        <v>1578.96</v>
      </c>
      <c r="AG316">
        <v>3157.92</v>
      </c>
      <c r="AH316">
        <v>65.790000000000006</v>
      </c>
      <c r="AI316">
        <v>789.48</v>
      </c>
      <c r="AJ316">
        <v>6315.84</v>
      </c>
      <c r="AK316">
        <v>1578.96</v>
      </c>
      <c r="AL316">
        <v>4736.88</v>
      </c>
      <c r="AM316">
        <v>3947.4</v>
      </c>
      <c r="AN316">
        <v>3947.4</v>
      </c>
      <c r="AO316" t="s">
        <v>55</v>
      </c>
      <c r="AP316" t="s">
        <v>524</v>
      </c>
      <c r="AQ316">
        <v>0.5</v>
      </c>
    </row>
    <row r="317" spans="1:43" x14ac:dyDescent="0.25">
      <c r="A317" t="s">
        <v>42</v>
      </c>
      <c r="B317" t="s">
        <v>43</v>
      </c>
      <c r="C317" t="s">
        <v>44</v>
      </c>
      <c r="D317" t="s">
        <v>45</v>
      </c>
      <c r="E317">
        <v>14</v>
      </c>
      <c r="F317">
        <v>122</v>
      </c>
      <c r="G317">
        <v>3024</v>
      </c>
      <c r="H317">
        <v>2100</v>
      </c>
      <c r="I317" t="s">
        <v>57</v>
      </c>
      <c r="J317" t="s">
        <v>1177</v>
      </c>
      <c r="K317" t="s">
        <v>1153</v>
      </c>
      <c r="L317" t="s">
        <v>1154</v>
      </c>
      <c r="M317">
        <v>7</v>
      </c>
      <c r="N317" t="s">
        <v>391</v>
      </c>
      <c r="O317">
        <v>2025</v>
      </c>
      <c r="P317">
        <v>9945</v>
      </c>
      <c r="R317" t="s">
        <v>1197</v>
      </c>
      <c r="S317" t="str">
        <f>IF(COUNTIF(Tabela2[PROCESSO],Tabela1[[#This Row],[codProcesso]])&gt;0,"Está","Não está")</f>
        <v>Não está</v>
      </c>
      <c r="T317" t="s">
        <v>1198</v>
      </c>
      <c r="X317">
        <v>12</v>
      </c>
      <c r="Y317" t="s">
        <v>54</v>
      </c>
      <c r="Z317" s="5">
        <v>1558.8</v>
      </c>
      <c r="AA317" s="5">
        <v>0</v>
      </c>
      <c r="AB317" s="5">
        <v>0</v>
      </c>
      <c r="AC317" s="5">
        <v>0</v>
      </c>
      <c r="AD317" s="5">
        <v>1558.8</v>
      </c>
      <c r="AE317" s="5">
        <v>129.9</v>
      </c>
      <c r="AF317" s="5">
        <v>1558.8</v>
      </c>
      <c r="AG317">
        <v>1558.8</v>
      </c>
      <c r="AH317">
        <v>129.9</v>
      </c>
      <c r="AI317">
        <v>1558.8</v>
      </c>
      <c r="AJ317">
        <v>1558.8</v>
      </c>
      <c r="AK317">
        <v>0</v>
      </c>
      <c r="AL317">
        <v>1558.8</v>
      </c>
      <c r="AM317">
        <v>0</v>
      </c>
      <c r="AN317">
        <v>0</v>
      </c>
      <c r="AO317" t="s">
        <v>55</v>
      </c>
      <c r="AP317" t="s">
        <v>1199</v>
      </c>
      <c r="AQ317">
        <v>1</v>
      </c>
    </row>
    <row r="318" spans="1:43" x14ac:dyDescent="0.25">
      <c r="A318" t="s">
        <v>42</v>
      </c>
      <c r="B318" t="s">
        <v>1322</v>
      </c>
      <c r="C318" t="s">
        <v>1323</v>
      </c>
      <c r="D318" t="s">
        <v>45</v>
      </c>
      <c r="E318">
        <v>14</v>
      </c>
      <c r="F318">
        <v>422</v>
      </c>
      <c r="G318">
        <v>3018</v>
      </c>
      <c r="H318">
        <v>4326</v>
      </c>
      <c r="I318" t="s">
        <v>57</v>
      </c>
      <c r="J318" t="s">
        <v>1639</v>
      </c>
      <c r="K318" t="s">
        <v>65</v>
      </c>
      <c r="L318" t="s">
        <v>66</v>
      </c>
      <c r="M318">
        <v>7</v>
      </c>
      <c r="N318" t="s">
        <v>391</v>
      </c>
      <c r="O318">
        <v>2025</v>
      </c>
      <c r="P318">
        <v>16774</v>
      </c>
      <c r="R318" t="s">
        <v>1745</v>
      </c>
      <c r="S318" t="str">
        <f>IF(COUNTIF(Tabela2[PROCESSO],Tabela1[[#This Row],[codProcesso]])&gt;0,"Está","Não está")</f>
        <v>Não está</v>
      </c>
      <c r="T318" t="s">
        <v>1746</v>
      </c>
      <c r="X318">
        <v>12</v>
      </c>
      <c r="Y318" t="s">
        <v>54</v>
      </c>
      <c r="Z318" s="5">
        <v>1500</v>
      </c>
      <c r="AA318" s="5">
        <v>0</v>
      </c>
      <c r="AB318" s="5">
        <v>0</v>
      </c>
      <c r="AC318" s="5">
        <v>0</v>
      </c>
      <c r="AD318" s="5">
        <v>1500</v>
      </c>
      <c r="AE318" s="5">
        <v>125</v>
      </c>
      <c r="AF318" s="5">
        <v>1500</v>
      </c>
      <c r="AG318">
        <v>1500</v>
      </c>
      <c r="AH318">
        <v>125</v>
      </c>
      <c r="AI318">
        <v>1500</v>
      </c>
      <c r="AJ318">
        <v>1500</v>
      </c>
      <c r="AK318">
        <v>0</v>
      </c>
      <c r="AL318">
        <v>1500</v>
      </c>
      <c r="AM318">
        <v>0</v>
      </c>
      <c r="AN318">
        <v>0</v>
      </c>
      <c r="AO318" t="s">
        <v>55</v>
      </c>
      <c r="AP318" t="s">
        <v>1747</v>
      </c>
      <c r="AQ318">
        <v>1</v>
      </c>
    </row>
    <row r="319" spans="1:43" x14ac:dyDescent="0.25">
      <c r="A319" t="s">
        <v>42</v>
      </c>
      <c r="B319" t="s">
        <v>1322</v>
      </c>
      <c r="C319" t="s">
        <v>1323</v>
      </c>
      <c r="D319" t="s">
        <v>45</v>
      </c>
      <c r="E319">
        <v>14</v>
      </c>
      <c r="F319">
        <v>422</v>
      </c>
      <c r="G319">
        <v>3018</v>
      </c>
      <c r="H319">
        <v>4326</v>
      </c>
      <c r="I319" t="s">
        <v>57</v>
      </c>
      <c r="J319" t="s">
        <v>1639</v>
      </c>
      <c r="K319" t="s">
        <v>65</v>
      </c>
      <c r="L319" t="s">
        <v>66</v>
      </c>
      <c r="M319">
        <v>7</v>
      </c>
      <c r="N319" t="s">
        <v>391</v>
      </c>
      <c r="O319">
        <v>2025</v>
      </c>
      <c r="P319">
        <v>16858</v>
      </c>
      <c r="R319" t="s">
        <v>1807</v>
      </c>
      <c r="S319" t="str">
        <f>IF(COUNTIF(Tabela2[PROCESSO],Tabela1[[#This Row],[codProcesso]])&gt;0,"Está","Não está")</f>
        <v>Não está</v>
      </c>
      <c r="T319" t="s">
        <v>1808</v>
      </c>
      <c r="X319">
        <v>12</v>
      </c>
      <c r="Y319" t="s">
        <v>54</v>
      </c>
      <c r="Z319" s="5">
        <v>1500</v>
      </c>
      <c r="AA319" s="5">
        <v>0</v>
      </c>
      <c r="AB319" s="5">
        <v>0</v>
      </c>
      <c r="AC319" s="5">
        <v>0</v>
      </c>
      <c r="AD319" s="5">
        <v>1500</v>
      </c>
      <c r="AE319" s="5">
        <v>125</v>
      </c>
      <c r="AF319" s="5">
        <v>1500</v>
      </c>
      <c r="AG319">
        <v>1500</v>
      </c>
      <c r="AH319">
        <v>125</v>
      </c>
      <c r="AI319">
        <v>1500</v>
      </c>
      <c r="AJ319">
        <v>1500</v>
      </c>
      <c r="AK319">
        <v>0</v>
      </c>
      <c r="AL319">
        <v>1500</v>
      </c>
      <c r="AM319">
        <v>0</v>
      </c>
      <c r="AN319">
        <v>0</v>
      </c>
      <c r="AO319" t="s">
        <v>55</v>
      </c>
      <c r="AP319" t="s">
        <v>1809</v>
      </c>
      <c r="AQ319">
        <v>1</v>
      </c>
    </row>
    <row r="320" spans="1:43" x14ac:dyDescent="0.25">
      <c r="A320" t="s">
        <v>42</v>
      </c>
      <c r="B320" t="s">
        <v>43</v>
      </c>
      <c r="C320" t="s">
        <v>44</v>
      </c>
      <c r="D320" t="s">
        <v>45</v>
      </c>
      <c r="E320">
        <v>14</v>
      </c>
      <c r="F320">
        <v>422</v>
      </c>
      <c r="G320">
        <v>3013</v>
      </c>
      <c r="H320">
        <v>2053</v>
      </c>
      <c r="I320" t="s">
        <v>186</v>
      </c>
      <c r="J320" t="s">
        <v>361</v>
      </c>
      <c r="K320" t="s">
        <v>247</v>
      </c>
      <c r="L320" t="s">
        <v>248</v>
      </c>
      <c r="M320">
        <v>6</v>
      </c>
      <c r="N320" t="s">
        <v>115</v>
      </c>
      <c r="O320">
        <v>2025</v>
      </c>
      <c r="P320">
        <v>11667</v>
      </c>
      <c r="R320" t="s">
        <v>1350</v>
      </c>
      <c r="S320" t="str">
        <f>IF(COUNTIF(Tabela2[PROCESSO],Tabela1[[#This Row],[codProcesso]])&gt;0,"Está","Não está")</f>
        <v>Não está</v>
      </c>
      <c r="T320" t="s">
        <v>1351</v>
      </c>
      <c r="W320" t="s">
        <v>1352</v>
      </c>
      <c r="X320">
        <v>12</v>
      </c>
      <c r="Y320" t="s">
        <v>54</v>
      </c>
      <c r="Z320" s="5">
        <v>1499.85</v>
      </c>
      <c r="AA320" s="5">
        <v>0</v>
      </c>
      <c r="AB320" s="5">
        <v>0</v>
      </c>
      <c r="AC320" s="5">
        <v>0</v>
      </c>
      <c r="AD320" s="5">
        <v>1499.85</v>
      </c>
      <c r="AE320" s="5">
        <v>124.9875</v>
      </c>
      <c r="AF320" s="5">
        <v>1499.85</v>
      </c>
      <c r="AG320">
        <v>1499.85</v>
      </c>
      <c r="AH320">
        <v>124.9875</v>
      </c>
      <c r="AI320">
        <v>1499.85</v>
      </c>
      <c r="AJ320">
        <v>1499.85</v>
      </c>
      <c r="AK320">
        <v>0</v>
      </c>
      <c r="AL320">
        <v>1499.85</v>
      </c>
      <c r="AM320">
        <v>1499.85</v>
      </c>
      <c r="AN320">
        <v>1499.85</v>
      </c>
      <c r="AO320" t="s">
        <v>55</v>
      </c>
      <c r="AP320" t="s">
        <v>1353</v>
      </c>
      <c r="AQ320">
        <v>1</v>
      </c>
    </row>
    <row r="321" spans="1:43" x14ac:dyDescent="0.25">
      <c r="A321" t="s">
        <v>42</v>
      </c>
      <c r="B321" t="s">
        <v>43</v>
      </c>
      <c r="C321" t="s">
        <v>44</v>
      </c>
      <c r="D321" t="s">
        <v>45</v>
      </c>
      <c r="E321">
        <v>14</v>
      </c>
      <c r="F321">
        <v>122</v>
      </c>
      <c r="G321">
        <v>3024</v>
      </c>
      <c r="H321">
        <v>2100</v>
      </c>
      <c r="I321" t="s">
        <v>57</v>
      </c>
      <c r="J321" t="s">
        <v>1177</v>
      </c>
      <c r="K321" t="s">
        <v>1153</v>
      </c>
      <c r="L321" t="s">
        <v>1154</v>
      </c>
      <c r="M321">
        <v>7</v>
      </c>
      <c r="N321" t="s">
        <v>391</v>
      </c>
      <c r="O321">
        <v>2025</v>
      </c>
      <c r="P321">
        <v>9804</v>
      </c>
      <c r="R321" t="s">
        <v>1192</v>
      </c>
      <c r="S321" t="str">
        <f>IF(COUNTIF(Tabela2[PROCESSO],Tabela1[[#This Row],[codProcesso]])&gt;0,"Está","Não está")</f>
        <v>Não está</v>
      </c>
      <c r="T321" t="s">
        <v>1193</v>
      </c>
      <c r="W321" t="s">
        <v>1194</v>
      </c>
      <c r="X321">
        <v>12</v>
      </c>
      <c r="Y321" t="s">
        <v>54</v>
      </c>
      <c r="Z321" s="5">
        <v>1454.4</v>
      </c>
      <c r="AA321" s="5">
        <v>0</v>
      </c>
      <c r="AB321" s="5">
        <v>0</v>
      </c>
      <c r="AC321" s="5">
        <v>0</v>
      </c>
      <c r="AD321" s="5">
        <v>1454.4</v>
      </c>
      <c r="AE321" s="5">
        <v>121.2</v>
      </c>
      <c r="AF321" s="5">
        <v>1454.4</v>
      </c>
      <c r="AG321">
        <v>1454.4</v>
      </c>
      <c r="AH321">
        <v>121.2</v>
      </c>
      <c r="AI321">
        <v>1454.4</v>
      </c>
      <c r="AJ321">
        <v>1454.4</v>
      </c>
      <c r="AK321">
        <v>0</v>
      </c>
      <c r="AL321">
        <v>1454.4</v>
      </c>
      <c r="AM321">
        <v>1454.4</v>
      </c>
      <c r="AN321">
        <v>1454.4</v>
      </c>
      <c r="AO321" t="s">
        <v>55</v>
      </c>
      <c r="AP321" t="s">
        <v>1195</v>
      </c>
      <c r="AQ321">
        <v>1</v>
      </c>
    </row>
    <row r="322" spans="1:43" x14ac:dyDescent="0.25">
      <c r="A322" t="s">
        <v>42</v>
      </c>
      <c r="B322" t="s">
        <v>43</v>
      </c>
      <c r="C322" t="s">
        <v>44</v>
      </c>
      <c r="D322" t="s">
        <v>45</v>
      </c>
      <c r="E322">
        <v>14</v>
      </c>
      <c r="F322">
        <v>122</v>
      </c>
      <c r="G322">
        <v>3024</v>
      </c>
      <c r="H322">
        <v>2100</v>
      </c>
      <c r="I322" t="s">
        <v>186</v>
      </c>
      <c r="J322" t="s">
        <v>439</v>
      </c>
      <c r="K322" t="s">
        <v>247</v>
      </c>
      <c r="L322" t="s">
        <v>248</v>
      </c>
      <c r="M322">
        <v>6</v>
      </c>
      <c r="N322" t="s">
        <v>115</v>
      </c>
      <c r="O322">
        <v>2025</v>
      </c>
      <c r="P322">
        <v>2475</v>
      </c>
      <c r="R322" t="s">
        <v>450</v>
      </c>
      <c r="S322" t="str">
        <f>IF(COUNTIF(Tabela2[PROCESSO],Tabela1[[#This Row],[codProcesso]])&gt;0,"Está","Não está")</f>
        <v>Não está</v>
      </c>
      <c r="T322" t="s">
        <v>451</v>
      </c>
      <c r="W322" t="s">
        <v>452</v>
      </c>
      <c r="X322">
        <v>12</v>
      </c>
      <c r="Y322" t="s">
        <v>54</v>
      </c>
      <c r="Z322" s="5">
        <v>1451.28</v>
      </c>
      <c r="AA322" s="5">
        <v>0</v>
      </c>
      <c r="AB322" s="5">
        <v>0</v>
      </c>
      <c r="AC322" s="5">
        <v>0</v>
      </c>
      <c r="AD322" s="5">
        <v>1451.28</v>
      </c>
      <c r="AE322" s="5">
        <v>120.94</v>
      </c>
      <c r="AF322" s="5">
        <v>1451.28</v>
      </c>
      <c r="AG322">
        <v>1451.28</v>
      </c>
      <c r="AH322">
        <v>120.94</v>
      </c>
      <c r="AI322">
        <v>1451.28</v>
      </c>
      <c r="AJ322">
        <v>1451.28</v>
      </c>
      <c r="AK322">
        <v>0</v>
      </c>
      <c r="AL322">
        <v>1451.28</v>
      </c>
      <c r="AM322">
        <v>1451.28</v>
      </c>
      <c r="AN322">
        <v>1451.28</v>
      </c>
      <c r="AO322" t="s">
        <v>55</v>
      </c>
      <c r="AP322" t="s">
        <v>453</v>
      </c>
      <c r="AQ322">
        <v>1</v>
      </c>
    </row>
    <row r="323" spans="1:43" x14ac:dyDescent="0.25">
      <c r="A323" t="s">
        <v>42</v>
      </c>
      <c r="B323" t="s">
        <v>43</v>
      </c>
      <c r="C323" t="s">
        <v>44</v>
      </c>
      <c r="D323" t="s">
        <v>45</v>
      </c>
      <c r="E323">
        <v>14</v>
      </c>
      <c r="F323">
        <v>122</v>
      </c>
      <c r="G323">
        <v>3024</v>
      </c>
      <c r="H323">
        <v>2100</v>
      </c>
      <c r="I323" t="s">
        <v>57</v>
      </c>
      <c r="J323" t="s">
        <v>483</v>
      </c>
      <c r="K323" t="s">
        <v>690</v>
      </c>
      <c r="L323" t="s">
        <v>691</v>
      </c>
      <c r="M323">
        <v>6</v>
      </c>
      <c r="N323" t="s">
        <v>115</v>
      </c>
      <c r="O323">
        <v>2025</v>
      </c>
      <c r="P323">
        <v>13251</v>
      </c>
      <c r="R323" t="s">
        <v>1440</v>
      </c>
      <c r="S323" t="str">
        <f>IF(COUNTIF(Tabela2[PROCESSO],Tabela1[[#This Row],[codProcesso]])&gt;0,"Está","Não está")</f>
        <v>Não está</v>
      </c>
      <c r="T323" t="s">
        <v>1441</v>
      </c>
      <c r="X323">
        <v>12</v>
      </c>
      <c r="Y323" t="s">
        <v>54</v>
      </c>
      <c r="Z323" s="5">
        <v>1425.75</v>
      </c>
      <c r="AA323" s="5">
        <v>0</v>
      </c>
      <c r="AB323" s="5">
        <v>0</v>
      </c>
      <c r="AC323" s="5">
        <v>0</v>
      </c>
      <c r="AD323" s="5">
        <v>1425.75</v>
      </c>
      <c r="AE323" s="5">
        <v>118.8125</v>
      </c>
      <c r="AF323" s="5">
        <v>1425.75</v>
      </c>
      <c r="AG323">
        <v>1425.75</v>
      </c>
      <c r="AH323">
        <v>118.8125</v>
      </c>
      <c r="AI323">
        <v>1425.75</v>
      </c>
      <c r="AJ323">
        <v>1425.75</v>
      </c>
      <c r="AK323">
        <v>0</v>
      </c>
      <c r="AL323">
        <v>1425.75</v>
      </c>
      <c r="AM323">
        <v>0</v>
      </c>
      <c r="AN323">
        <v>0</v>
      </c>
      <c r="AO323" t="s">
        <v>55</v>
      </c>
      <c r="AP323" t="s">
        <v>1442</v>
      </c>
      <c r="AQ323">
        <v>1</v>
      </c>
    </row>
    <row r="324" spans="1:43" x14ac:dyDescent="0.25">
      <c r="A324" t="s">
        <v>42</v>
      </c>
      <c r="B324" t="s">
        <v>43</v>
      </c>
      <c r="C324" t="s">
        <v>44</v>
      </c>
      <c r="D324" t="s">
        <v>45</v>
      </c>
      <c r="E324">
        <v>14</v>
      </c>
      <c r="F324">
        <v>122</v>
      </c>
      <c r="G324">
        <v>3024</v>
      </c>
      <c r="H324">
        <v>2100</v>
      </c>
      <c r="I324" t="s">
        <v>246</v>
      </c>
      <c r="J324" t="s">
        <v>215</v>
      </c>
      <c r="K324" t="s">
        <v>247</v>
      </c>
      <c r="L324" t="s">
        <v>248</v>
      </c>
      <c r="M324">
        <v>6</v>
      </c>
      <c r="N324" t="s">
        <v>115</v>
      </c>
      <c r="O324">
        <v>2025</v>
      </c>
      <c r="P324">
        <v>1370</v>
      </c>
      <c r="R324" t="s">
        <v>249</v>
      </c>
      <c r="S324" t="str">
        <f>IF(COUNTIF(Tabela2[PROCESSO],Tabela1[[#This Row],[codProcesso]])&gt;0,"Está","Não está")</f>
        <v>Não está</v>
      </c>
      <c r="T324" t="s">
        <v>250</v>
      </c>
      <c r="W324" t="s">
        <v>251</v>
      </c>
      <c r="X324">
        <v>12</v>
      </c>
      <c r="Y324" t="s">
        <v>54</v>
      </c>
      <c r="Z324" s="5">
        <v>1407</v>
      </c>
      <c r="AA324" s="5">
        <v>0</v>
      </c>
      <c r="AB324" s="5">
        <v>0</v>
      </c>
      <c r="AC324" s="5">
        <v>0</v>
      </c>
      <c r="AD324" s="5">
        <v>1407</v>
      </c>
      <c r="AE324" s="5">
        <v>117.25</v>
      </c>
      <c r="AF324" s="5">
        <v>1407</v>
      </c>
      <c r="AG324">
        <v>1407</v>
      </c>
      <c r="AH324">
        <v>117.25</v>
      </c>
      <c r="AI324">
        <v>1407</v>
      </c>
      <c r="AJ324">
        <v>1407</v>
      </c>
      <c r="AK324">
        <v>0</v>
      </c>
      <c r="AL324">
        <v>1407</v>
      </c>
      <c r="AM324">
        <v>1407</v>
      </c>
      <c r="AN324">
        <v>1407</v>
      </c>
      <c r="AO324" t="s">
        <v>55</v>
      </c>
      <c r="AP324" t="s">
        <v>252</v>
      </c>
      <c r="AQ324">
        <v>1</v>
      </c>
    </row>
    <row r="325" spans="1:43" x14ac:dyDescent="0.25">
      <c r="A325" t="s">
        <v>42</v>
      </c>
      <c r="B325" t="s">
        <v>43</v>
      </c>
      <c r="C325" t="s">
        <v>44</v>
      </c>
      <c r="D325" t="s">
        <v>45</v>
      </c>
      <c r="E325">
        <v>14</v>
      </c>
      <c r="F325">
        <v>422</v>
      </c>
      <c r="G325">
        <v>3013</v>
      </c>
      <c r="H325">
        <v>4322</v>
      </c>
      <c r="I325" t="s">
        <v>1220</v>
      </c>
      <c r="J325" t="s">
        <v>1566</v>
      </c>
      <c r="K325" t="s">
        <v>65</v>
      </c>
      <c r="L325" t="s">
        <v>66</v>
      </c>
      <c r="M325">
        <v>7</v>
      </c>
      <c r="N325" t="s">
        <v>391</v>
      </c>
      <c r="O325">
        <v>2025</v>
      </c>
      <c r="P325">
        <v>15701</v>
      </c>
      <c r="Q325" t="s">
        <v>1588</v>
      </c>
      <c r="R325" t="s">
        <v>1589</v>
      </c>
      <c r="S325" t="str">
        <f>IF(COUNTIF(Tabela2[PROCESSO],Tabela1[[#This Row],[codProcesso]])&gt;0,"Está","Não está")</f>
        <v>Não está</v>
      </c>
      <c r="T325" t="s">
        <v>1590</v>
      </c>
      <c r="U325" t="s">
        <v>489</v>
      </c>
      <c r="V325" t="s">
        <v>1559</v>
      </c>
      <c r="W325" t="s">
        <v>1591</v>
      </c>
      <c r="X325">
        <v>1</v>
      </c>
      <c r="Y325" t="s">
        <v>98</v>
      </c>
      <c r="Z325" s="5">
        <v>1400</v>
      </c>
      <c r="AA325" s="5">
        <v>0</v>
      </c>
      <c r="AB325" s="5">
        <v>0</v>
      </c>
      <c r="AC325" s="5">
        <v>0</v>
      </c>
      <c r="AD325" s="5">
        <v>1400</v>
      </c>
      <c r="AE325" s="5">
        <v>116.6666666666667</v>
      </c>
      <c r="AF325" s="5">
        <v>1400</v>
      </c>
      <c r="AG325">
        <v>1400</v>
      </c>
      <c r="AH325">
        <v>116.6666666666667</v>
      </c>
      <c r="AI325">
        <v>1400</v>
      </c>
      <c r="AJ325">
        <v>1400</v>
      </c>
      <c r="AK325">
        <v>0</v>
      </c>
      <c r="AL325">
        <v>1400</v>
      </c>
      <c r="AM325">
        <v>1400</v>
      </c>
      <c r="AN325">
        <v>0</v>
      </c>
      <c r="AO325" t="s">
        <v>55</v>
      </c>
      <c r="AP325" t="s">
        <v>1592</v>
      </c>
      <c r="AQ325">
        <v>1</v>
      </c>
    </row>
    <row r="326" spans="1:43" x14ac:dyDescent="0.25">
      <c r="A326" t="s">
        <v>42</v>
      </c>
      <c r="B326" t="s">
        <v>43</v>
      </c>
      <c r="C326" t="s">
        <v>44</v>
      </c>
      <c r="D326" t="s">
        <v>45</v>
      </c>
      <c r="E326">
        <v>14</v>
      </c>
      <c r="F326">
        <v>122</v>
      </c>
      <c r="G326">
        <v>3024</v>
      </c>
      <c r="H326">
        <v>2100</v>
      </c>
      <c r="I326" t="s">
        <v>57</v>
      </c>
      <c r="J326" t="s">
        <v>749</v>
      </c>
      <c r="K326" t="s">
        <v>1153</v>
      </c>
      <c r="L326" t="s">
        <v>1154</v>
      </c>
      <c r="M326">
        <v>7</v>
      </c>
      <c r="N326" t="s">
        <v>391</v>
      </c>
      <c r="O326">
        <v>2025</v>
      </c>
      <c r="P326">
        <v>8569</v>
      </c>
      <c r="R326" t="s">
        <v>1155</v>
      </c>
      <c r="S326" t="str">
        <f>IF(COUNTIF(Tabela2[PROCESSO],Tabela1[[#This Row],[codProcesso]])&gt;0,"Está","Não está")</f>
        <v>Não está</v>
      </c>
      <c r="T326" t="s">
        <v>1156</v>
      </c>
      <c r="W326" t="s">
        <v>1157</v>
      </c>
      <c r="X326">
        <v>12</v>
      </c>
      <c r="Y326" t="s">
        <v>54</v>
      </c>
      <c r="Z326" s="5">
        <v>1303.1199999999999</v>
      </c>
      <c r="AA326" s="5">
        <v>0</v>
      </c>
      <c r="AB326" s="5">
        <v>0</v>
      </c>
      <c r="AC326" s="5">
        <v>0</v>
      </c>
      <c r="AD326" s="5">
        <v>1303.1199999999999</v>
      </c>
      <c r="AE326" s="5">
        <v>108.59333333333331</v>
      </c>
      <c r="AF326" s="5">
        <v>1303.1199999999999</v>
      </c>
      <c r="AG326">
        <v>1303.1199999999999</v>
      </c>
      <c r="AH326">
        <v>108.59333333333331</v>
      </c>
      <c r="AI326">
        <v>1303.1199999999999</v>
      </c>
      <c r="AJ326">
        <v>1303.1199999999999</v>
      </c>
      <c r="AK326">
        <v>0</v>
      </c>
      <c r="AL326">
        <v>1303.1199999999999</v>
      </c>
      <c r="AM326">
        <v>1303.1199999999999</v>
      </c>
      <c r="AN326">
        <v>1303.1199999999999</v>
      </c>
      <c r="AO326" t="s">
        <v>55</v>
      </c>
      <c r="AP326" t="s">
        <v>1158</v>
      </c>
      <c r="AQ326">
        <v>1</v>
      </c>
    </row>
    <row r="327" spans="1:43" x14ac:dyDescent="0.25">
      <c r="A327" t="s">
        <v>42</v>
      </c>
      <c r="B327" t="s">
        <v>43</v>
      </c>
      <c r="C327" t="s">
        <v>44</v>
      </c>
      <c r="D327" t="s">
        <v>45</v>
      </c>
      <c r="E327">
        <v>14</v>
      </c>
      <c r="F327">
        <v>122</v>
      </c>
      <c r="G327">
        <v>3024</v>
      </c>
      <c r="H327">
        <v>2100</v>
      </c>
      <c r="I327" t="s">
        <v>57</v>
      </c>
      <c r="J327" t="s">
        <v>483</v>
      </c>
      <c r="K327" t="s">
        <v>58</v>
      </c>
      <c r="L327" t="s">
        <v>59</v>
      </c>
      <c r="M327">
        <v>6</v>
      </c>
      <c r="N327" t="s">
        <v>115</v>
      </c>
      <c r="O327">
        <v>2024</v>
      </c>
      <c r="P327">
        <v>38248</v>
      </c>
      <c r="R327" t="s">
        <v>710</v>
      </c>
      <c r="S327" t="str">
        <f>IF(COUNTIF(Tabela2[PROCESSO],Tabela1[[#This Row],[codProcesso]])&gt;0,"Está","Não está")</f>
        <v>Está</v>
      </c>
      <c r="T327" t="s">
        <v>715</v>
      </c>
      <c r="W327" t="s">
        <v>675</v>
      </c>
      <c r="X327">
        <v>12</v>
      </c>
      <c r="Y327" t="s">
        <v>98</v>
      </c>
      <c r="Z327" s="5">
        <v>1177.42</v>
      </c>
      <c r="AA327" s="5">
        <v>0</v>
      </c>
      <c r="AB327" s="5">
        <v>0</v>
      </c>
      <c r="AC327" s="5">
        <v>0</v>
      </c>
      <c r="AD327" s="5">
        <v>1177.42</v>
      </c>
      <c r="AE327" s="5">
        <v>98.118333333333339</v>
      </c>
      <c r="AF327" s="5">
        <v>1177.42</v>
      </c>
      <c r="AG327">
        <v>1177.42</v>
      </c>
      <c r="AH327">
        <v>98.118333333333339</v>
      </c>
      <c r="AI327">
        <v>1177.42</v>
      </c>
      <c r="AJ327">
        <v>1177.42</v>
      </c>
      <c r="AK327">
        <v>0</v>
      </c>
      <c r="AL327">
        <v>1177.42</v>
      </c>
      <c r="AM327">
        <v>1177.42</v>
      </c>
      <c r="AN327">
        <v>1177.42</v>
      </c>
      <c r="AO327" t="s">
        <v>55</v>
      </c>
      <c r="AP327" t="s">
        <v>714</v>
      </c>
      <c r="AQ327">
        <v>1</v>
      </c>
    </row>
    <row r="328" spans="1:43" x14ac:dyDescent="0.25">
      <c r="A328" t="s">
        <v>42</v>
      </c>
      <c r="B328" t="s">
        <v>43</v>
      </c>
      <c r="C328" t="s">
        <v>44</v>
      </c>
      <c r="D328" t="s">
        <v>45</v>
      </c>
      <c r="E328">
        <v>14</v>
      </c>
      <c r="F328">
        <v>122</v>
      </c>
      <c r="G328">
        <v>3024</v>
      </c>
      <c r="H328">
        <v>2100</v>
      </c>
      <c r="I328" t="s">
        <v>186</v>
      </c>
      <c r="J328" t="s">
        <v>881</v>
      </c>
      <c r="K328" t="s">
        <v>58</v>
      </c>
      <c r="L328" t="s">
        <v>59</v>
      </c>
      <c r="M328">
        <v>6</v>
      </c>
      <c r="N328" t="s">
        <v>115</v>
      </c>
      <c r="O328">
        <v>2025</v>
      </c>
      <c r="P328">
        <v>4307</v>
      </c>
      <c r="R328" t="s">
        <v>935</v>
      </c>
      <c r="S328" t="str">
        <f>IF(COUNTIF(Tabela2[PROCESSO],Tabela1[[#This Row],[codProcesso]])&gt;0,"Está","Não está")</f>
        <v>Não está</v>
      </c>
      <c r="T328" t="s">
        <v>936</v>
      </c>
      <c r="W328" t="s">
        <v>937</v>
      </c>
      <c r="X328">
        <v>12</v>
      </c>
      <c r="Y328" t="s">
        <v>54</v>
      </c>
      <c r="Z328" s="5">
        <v>1050</v>
      </c>
      <c r="AA328" s="5">
        <v>0</v>
      </c>
      <c r="AB328" s="5">
        <v>0</v>
      </c>
      <c r="AC328" s="5">
        <v>0</v>
      </c>
      <c r="AD328" s="5">
        <v>1050</v>
      </c>
      <c r="AE328" s="5">
        <v>87.5</v>
      </c>
      <c r="AF328" s="5">
        <v>1050</v>
      </c>
      <c r="AG328">
        <v>651</v>
      </c>
      <c r="AH328">
        <v>54.25</v>
      </c>
      <c r="AI328">
        <v>651</v>
      </c>
      <c r="AJ328">
        <v>1050</v>
      </c>
      <c r="AK328">
        <v>0</v>
      </c>
      <c r="AL328">
        <v>1050</v>
      </c>
      <c r="AM328">
        <v>1050</v>
      </c>
      <c r="AN328">
        <v>1050</v>
      </c>
      <c r="AO328" t="s">
        <v>55</v>
      </c>
      <c r="AP328" t="s">
        <v>938</v>
      </c>
      <c r="AQ328">
        <v>0.62</v>
      </c>
    </row>
    <row r="329" spans="1:43" x14ac:dyDescent="0.25">
      <c r="A329" t="s">
        <v>42</v>
      </c>
      <c r="B329" t="s">
        <v>43</v>
      </c>
      <c r="C329" t="s">
        <v>44</v>
      </c>
      <c r="D329" t="s">
        <v>45</v>
      </c>
      <c r="E329">
        <v>14</v>
      </c>
      <c r="F329">
        <v>422</v>
      </c>
      <c r="G329">
        <v>3013</v>
      </c>
      <c r="H329">
        <v>4322</v>
      </c>
      <c r="I329" t="s">
        <v>57</v>
      </c>
      <c r="J329" t="s">
        <v>1240</v>
      </c>
      <c r="K329" t="s">
        <v>690</v>
      </c>
      <c r="L329" t="s">
        <v>691</v>
      </c>
      <c r="M329">
        <v>12</v>
      </c>
      <c r="N329" t="s">
        <v>60</v>
      </c>
      <c r="O329">
        <v>2025</v>
      </c>
      <c r="P329">
        <v>11265</v>
      </c>
      <c r="R329" t="s">
        <v>1308</v>
      </c>
      <c r="S329" t="str">
        <f>IF(COUNTIF(Tabela2[PROCESSO],Tabela1[[#This Row],[codProcesso]])&gt;0,"Está","Não está")</f>
        <v>Não está</v>
      </c>
      <c r="T329" t="s">
        <v>1309</v>
      </c>
      <c r="W329" t="s">
        <v>892</v>
      </c>
      <c r="X329">
        <v>12</v>
      </c>
      <c r="Y329" t="s">
        <v>54</v>
      </c>
      <c r="Z329" s="5">
        <v>1004.8</v>
      </c>
      <c r="AA329" s="5">
        <v>0</v>
      </c>
      <c r="AB329" s="5">
        <v>0</v>
      </c>
      <c r="AC329" s="5">
        <v>0</v>
      </c>
      <c r="AD329" s="5">
        <v>1004.8</v>
      </c>
      <c r="AE329" s="5">
        <v>83.733333333333334</v>
      </c>
      <c r="AF329" s="5">
        <v>1004.8</v>
      </c>
      <c r="AG329">
        <v>1004.8</v>
      </c>
      <c r="AH329">
        <v>83.733333333333334</v>
      </c>
      <c r="AI329">
        <v>1004.8</v>
      </c>
      <c r="AJ329">
        <v>1004.8</v>
      </c>
      <c r="AK329">
        <v>0</v>
      </c>
      <c r="AL329">
        <v>1004.8</v>
      </c>
      <c r="AM329">
        <v>1004.8</v>
      </c>
      <c r="AN329">
        <v>1004.8</v>
      </c>
      <c r="AO329" t="s">
        <v>55</v>
      </c>
      <c r="AP329" t="s">
        <v>1310</v>
      </c>
      <c r="AQ329">
        <v>1</v>
      </c>
    </row>
    <row r="330" spans="1:43" x14ac:dyDescent="0.25">
      <c r="A330" t="s">
        <v>42</v>
      </c>
      <c r="B330" t="s">
        <v>1322</v>
      </c>
      <c r="C330" t="s">
        <v>1323</v>
      </c>
      <c r="D330" t="s">
        <v>45</v>
      </c>
      <c r="E330">
        <v>14</v>
      </c>
      <c r="F330">
        <v>422</v>
      </c>
      <c r="G330">
        <v>3018</v>
      </c>
      <c r="H330">
        <v>4326</v>
      </c>
      <c r="I330" t="s">
        <v>57</v>
      </c>
      <c r="J330" t="s">
        <v>1639</v>
      </c>
      <c r="K330" t="s">
        <v>65</v>
      </c>
      <c r="L330" t="s">
        <v>66</v>
      </c>
      <c r="M330">
        <v>7</v>
      </c>
      <c r="N330" t="s">
        <v>391</v>
      </c>
      <c r="O330">
        <v>2025</v>
      </c>
      <c r="P330">
        <v>16747</v>
      </c>
      <c r="Q330" t="s">
        <v>1681</v>
      </c>
      <c r="R330" t="s">
        <v>1682</v>
      </c>
      <c r="S330" t="str">
        <f>IF(COUNTIF(Tabela2[PROCESSO],Tabela1[[#This Row],[codProcesso]])&gt;0,"Está","Não está")</f>
        <v>Não está</v>
      </c>
      <c r="T330" t="s">
        <v>1683</v>
      </c>
      <c r="U330" t="s">
        <v>1613</v>
      </c>
      <c r="V330" t="s">
        <v>1366</v>
      </c>
      <c r="W330" t="s">
        <v>1500</v>
      </c>
      <c r="X330">
        <v>0</v>
      </c>
      <c r="Y330" t="s">
        <v>98</v>
      </c>
      <c r="Z330" s="5">
        <v>1000</v>
      </c>
      <c r="AA330" s="5">
        <v>0</v>
      </c>
      <c r="AB330" s="5">
        <v>0</v>
      </c>
      <c r="AC330" s="5">
        <v>0</v>
      </c>
      <c r="AD330" s="5">
        <v>1000</v>
      </c>
      <c r="AE330" s="5">
        <v>83.333333333333329</v>
      </c>
      <c r="AF330" s="5">
        <v>1000</v>
      </c>
      <c r="AG330">
        <v>1000</v>
      </c>
      <c r="AH330">
        <v>83.333333333333329</v>
      </c>
      <c r="AI330">
        <v>1000</v>
      </c>
      <c r="AJ330">
        <v>1000</v>
      </c>
      <c r="AK330">
        <v>0</v>
      </c>
      <c r="AL330">
        <v>1000</v>
      </c>
      <c r="AM330">
        <v>1000</v>
      </c>
      <c r="AN330">
        <v>0</v>
      </c>
      <c r="AO330" t="s">
        <v>55</v>
      </c>
      <c r="AP330" t="s">
        <v>1684</v>
      </c>
      <c r="AQ330">
        <v>1</v>
      </c>
    </row>
    <row r="331" spans="1:43" x14ac:dyDescent="0.25">
      <c r="A331" t="s">
        <v>42</v>
      </c>
      <c r="B331" t="s">
        <v>1322</v>
      </c>
      <c r="C331" t="s">
        <v>1323</v>
      </c>
      <c r="D331" t="s">
        <v>45</v>
      </c>
      <c r="E331">
        <v>14</v>
      </c>
      <c r="F331">
        <v>422</v>
      </c>
      <c r="G331">
        <v>3018</v>
      </c>
      <c r="H331">
        <v>4326</v>
      </c>
      <c r="I331" t="s">
        <v>57</v>
      </c>
      <c r="J331" t="s">
        <v>1639</v>
      </c>
      <c r="K331" t="s">
        <v>65</v>
      </c>
      <c r="L331" t="s">
        <v>66</v>
      </c>
      <c r="M331">
        <v>7</v>
      </c>
      <c r="N331" t="s">
        <v>391</v>
      </c>
      <c r="O331">
        <v>2025</v>
      </c>
      <c r="P331">
        <v>16754</v>
      </c>
      <c r="R331" t="s">
        <v>1703</v>
      </c>
      <c r="S331" t="str">
        <f>IF(COUNTIF(Tabela2[PROCESSO],Tabela1[[#This Row],[codProcesso]])&gt;0,"Está","Não está")</f>
        <v>Não está</v>
      </c>
      <c r="T331" t="s">
        <v>1704</v>
      </c>
      <c r="X331">
        <v>12</v>
      </c>
      <c r="Y331" t="s">
        <v>54</v>
      </c>
      <c r="Z331" s="5">
        <v>1000</v>
      </c>
      <c r="AA331" s="5">
        <v>0</v>
      </c>
      <c r="AB331" s="5">
        <v>0</v>
      </c>
      <c r="AC331" s="5">
        <v>0</v>
      </c>
      <c r="AD331" s="5">
        <v>1000</v>
      </c>
      <c r="AE331" s="5">
        <v>83.333333333333329</v>
      </c>
      <c r="AF331" s="5">
        <v>1000</v>
      </c>
      <c r="AG331">
        <v>1000</v>
      </c>
      <c r="AH331">
        <v>83.333333333333329</v>
      </c>
      <c r="AI331">
        <v>1000</v>
      </c>
      <c r="AJ331">
        <v>1000</v>
      </c>
      <c r="AK331">
        <v>0</v>
      </c>
      <c r="AL331">
        <v>1000</v>
      </c>
      <c r="AM331">
        <v>0</v>
      </c>
      <c r="AN331">
        <v>0</v>
      </c>
      <c r="AO331" t="s">
        <v>55</v>
      </c>
      <c r="AP331" t="s">
        <v>1705</v>
      </c>
      <c r="AQ331">
        <v>1</v>
      </c>
    </row>
    <row r="332" spans="1:43" x14ac:dyDescent="0.25">
      <c r="A332" t="s">
        <v>42</v>
      </c>
      <c r="B332" t="s">
        <v>1322</v>
      </c>
      <c r="C332" t="s">
        <v>1323</v>
      </c>
      <c r="D332" t="s">
        <v>45</v>
      </c>
      <c r="E332">
        <v>14</v>
      </c>
      <c r="F332">
        <v>422</v>
      </c>
      <c r="G332">
        <v>3018</v>
      </c>
      <c r="H332">
        <v>4326</v>
      </c>
      <c r="I332" t="s">
        <v>57</v>
      </c>
      <c r="J332" t="s">
        <v>1639</v>
      </c>
      <c r="K332" t="s">
        <v>65</v>
      </c>
      <c r="L332" t="s">
        <v>66</v>
      </c>
      <c r="M332">
        <v>7</v>
      </c>
      <c r="N332" t="s">
        <v>391</v>
      </c>
      <c r="O332">
        <v>2025</v>
      </c>
      <c r="P332">
        <v>16763</v>
      </c>
      <c r="R332" t="s">
        <v>1709</v>
      </c>
      <c r="S332" t="str">
        <f>IF(COUNTIF(Tabela2[PROCESSO],Tabela1[[#This Row],[codProcesso]])&gt;0,"Está","Não está")</f>
        <v>Não está</v>
      </c>
      <c r="T332" t="s">
        <v>1710</v>
      </c>
      <c r="X332">
        <v>12</v>
      </c>
      <c r="Y332" t="s">
        <v>54</v>
      </c>
      <c r="Z332" s="5">
        <v>1000</v>
      </c>
      <c r="AA332" s="5">
        <v>0</v>
      </c>
      <c r="AB332" s="5">
        <v>0</v>
      </c>
      <c r="AC332" s="5">
        <v>0</v>
      </c>
      <c r="AD332" s="5">
        <v>1000</v>
      </c>
      <c r="AE332" s="5">
        <v>83.333333333333329</v>
      </c>
      <c r="AF332" s="5">
        <v>1000</v>
      </c>
      <c r="AG332">
        <v>1000</v>
      </c>
      <c r="AH332">
        <v>83.333333333333329</v>
      </c>
      <c r="AI332">
        <v>1000</v>
      </c>
      <c r="AJ332">
        <v>1000</v>
      </c>
      <c r="AK332">
        <v>0</v>
      </c>
      <c r="AL332">
        <v>1000</v>
      </c>
      <c r="AM332">
        <v>0</v>
      </c>
      <c r="AN332">
        <v>0</v>
      </c>
      <c r="AO332" t="s">
        <v>55</v>
      </c>
      <c r="AP332" t="s">
        <v>1711</v>
      </c>
      <c r="AQ332">
        <v>1</v>
      </c>
    </row>
    <row r="333" spans="1:43" x14ac:dyDescent="0.25">
      <c r="A333" t="s">
        <v>42</v>
      </c>
      <c r="B333" t="s">
        <v>1322</v>
      </c>
      <c r="C333" t="s">
        <v>1323</v>
      </c>
      <c r="D333" t="s">
        <v>45</v>
      </c>
      <c r="E333">
        <v>14</v>
      </c>
      <c r="F333">
        <v>422</v>
      </c>
      <c r="G333">
        <v>3018</v>
      </c>
      <c r="H333">
        <v>4326</v>
      </c>
      <c r="I333" t="s">
        <v>57</v>
      </c>
      <c r="J333" t="s">
        <v>1639</v>
      </c>
      <c r="K333" t="s">
        <v>65</v>
      </c>
      <c r="L333" t="s">
        <v>66</v>
      </c>
      <c r="M333">
        <v>7</v>
      </c>
      <c r="N333" t="s">
        <v>391</v>
      </c>
      <c r="O333">
        <v>2025</v>
      </c>
      <c r="P333">
        <v>16765</v>
      </c>
      <c r="R333" t="s">
        <v>1717</v>
      </c>
      <c r="S333" t="str">
        <f>IF(COUNTIF(Tabela2[PROCESSO],Tabela1[[#This Row],[codProcesso]])&gt;0,"Está","Não está")</f>
        <v>Não está</v>
      </c>
      <c r="T333" t="s">
        <v>1718</v>
      </c>
      <c r="X333">
        <v>12</v>
      </c>
      <c r="Y333" t="s">
        <v>54</v>
      </c>
      <c r="Z333" s="5">
        <v>1000</v>
      </c>
      <c r="AA333" s="5">
        <v>0</v>
      </c>
      <c r="AB333" s="5">
        <v>0</v>
      </c>
      <c r="AC333" s="5">
        <v>0</v>
      </c>
      <c r="AD333" s="5">
        <v>1000</v>
      </c>
      <c r="AE333" s="5">
        <v>83.333333333333329</v>
      </c>
      <c r="AF333" s="5">
        <v>1000</v>
      </c>
      <c r="AG333">
        <v>1000</v>
      </c>
      <c r="AH333">
        <v>83.333333333333329</v>
      </c>
      <c r="AI333">
        <v>1000</v>
      </c>
      <c r="AJ333">
        <v>1000</v>
      </c>
      <c r="AK333">
        <v>0</v>
      </c>
      <c r="AL333">
        <v>1000</v>
      </c>
      <c r="AM333">
        <v>0</v>
      </c>
      <c r="AN333">
        <v>0</v>
      </c>
      <c r="AO333" t="s">
        <v>55</v>
      </c>
      <c r="AP333" t="s">
        <v>1719</v>
      </c>
      <c r="AQ333">
        <v>1</v>
      </c>
    </row>
    <row r="334" spans="1:43" x14ac:dyDescent="0.25">
      <c r="A334" t="s">
        <v>42</v>
      </c>
      <c r="B334" t="s">
        <v>1322</v>
      </c>
      <c r="C334" t="s">
        <v>1323</v>
      </c>
      <c r="D334" t="s">
        <v>45</v>
      </c>
      <c r="E334">
        <v>14</v>
      </c>
      <c r="F334">
        <v>422</v>
      </c>
      <c r="G334">
        <v>3018</v>
      </c>
      <c r="H334">
        <v>4326</v>
      </c>
      <c r="I334" t="s">
        <v>57</v>
      </c>
      <c r="J334" t="s">
        <v>1639</v>
      </c>
      <c r="K334" t="s">
        <v>65</v>
      </c>
      <c r="L334" t="s">
        <v>66</v>
      </c>
      <c r="M334">
        <v>7</v>
      </c>
      <c r="N334" t="s">
        <v>391</v>
      </c>
      <c r="O334">
        <v>2025</v>
      </c>
      <c r="P334">
        <v>16855</v>
      </c>
      <c r="R334" t="s">
        <v>1804</v>
      </c>
      <c r="S334" t="str">
        <f>IF(COUNTIF(Tabela2[PROCESSO],Tabela1[[#This Row],[codProcesso]])&gt;0,"Está","Não está")</f>
        <v>Não está</v>
      </c>
      <c r="T334" t="s">
        <v>1805</v>
      </c>
      <c r="X334">
        <v>12</v>
      </c>
      <c r="Y334" t="s">
        <v>54</v>
      </c>
      <c r="Z334" s="5">
        <v>1000</v>
      </c>
      <c r="AA334" s="5">
        <v>0</v>
      </c>
      <c r="AB334" s="5">
        <v>0</v>
      </c>
      <c r="AC334" s="5">
        <v>0</v>
      </c>
      <c r="AD334" s="5">
        <v>1000</v>
      </c>
      <c r="AE334" s="5">
        <v>83.333333333333329</v>
      </c>
      <c r="AF334" s="5">
        <v>1000</v>
      </c>
      <c r="AG334">
        <v>1000</v>
      </c>
      <c r="AH334">
        <v>83.333333333333329</v>
      </c>
      <c r="AI334">
        <v>1000</v>
      </c>
      <c r="AJ334">
        <v>1000</v>
      </c>
      <c r="AK334">
        <v>0</v>
      </c>
      <c r="AL334">
        <v>1000</v>
      </c>
      <c r="AM334">
        <v>0</v>
      </c>
      <c r="AN334">
        <v>0</v>
      </c>
      <c r="AO334" t="s">
        <v>55</v>
      </c>
      <c r="AP334" t="s">
        <v>1806</v>
      </c>
      <c r="AQ334">
        <v>1</v>
      </c>
    </row>
    <row r="335" spans="1:43" x14ac:dyDescent="0.25">
      <c r="A335" t="s">
        <v>42</v>
      </c>
      <c r="B335" t="s">
        <v>1322</v>
      </c>
      <c r="C335" t="s">
        <v>1323</v>
      </c>
      <c r="D335" t="s">
        <v>45</v>
      </c>
      <c r="E335">
        <v>14</v>
      </c>
      <c r="F335">
        <v>422</v>
      </c>
      <c r="G335">
        <v>3018</v>
      </c>
      <c r="H335">
        <v>4326</v>
      </c>
      <c r="I335" t="s">
        <v>57</v>
      </c>
      <c r="J335" t="s">
        <v>1814</v>
      </c>
      <c r="K335" t="s">
        <v>65</v>
      </c>
      <c r="L335" t="s">
        <v>66</v>
      </c>
      <c r="M335">
        <v>7</v>
      </c>
      <c r="N335" t="s">
        <v>391</v>
      </c>
      <c r="O335">
        <v>2025</v>
      </c>
      <c r="P335">
        <v>16869</v>
      </c>
      <c r="R335" t="s">
        <v>1815</v>
      </c>
      <c r="S335" t="str">
        <f>IF(COUNTIF(Tabela2[PROCESSO],Tabela1[[#This Row],[codProcesso]])&gt;0,"Está","Não está")</f>
        <v>Não está</v>
      </c>
      <c r="T335" t="s">
        <v>1816</v>
      </c>
      <c r="X335">
        <v>12</v>
      </c>
      <c r="Y335" t="s">
        <v>54</v>
      </c>
      <c r="Z335" s="5">
        <v>1000</v>
      </c>
      <c r="AA335" s="5">
        <v>0</v>
      </c>
      <c r="AB335" s="5">
        <v>0</v>
      </c>
      <c r="AC335" s="5">
        <v>0</v>
      </c>
      <c r="AD335" s="5">
        <v>1000</v>
      </c>
      <c r="AE335" s="5">
        <v>83.333333333333329</v>
      </c>
      <c r="AF335" s="5">
        <v>1000</v>
      </c>
      <c r="AG335">
        <v>1000</v>
      </c>
      <c r="AH335">
        <v>83.333333333333329</v>
      </c>
      <c r="AI335">
        <v>1000</v>
      </c>
      <c r="AJ335">
        <v>1000</v>
      </c>
      <c r="AK335">
        <v>0</v>
      </c>
      <c r="AL335">
        <v>1000</v>
      </c>
      <c r="AM335">
        <v>0</v>
      </c>
      <c r="AN335">
        <v>0</v>
      </c>
      <c r="AO335" t="s">
        <v>55</v>
      </c>
      <c r="AP335" t="s">
        <v>1817</v>
      </c>
      <c r="AQ335">
        <v>1</v>
      </c>
    </row>
    <row r="336" spans="1:43" x14ac:dyDescent="0.25">
      <c r="A336" t="s">
        <v>42</v>
      </c>
      <c r="B336" t="s">
        <v>43</v>
      </c>
      <c r="C336" t="s">
        <v>44</v>
      </c>
      <c r="D336" t="s">
        <v>45</v>
      </c>
      <c r="E336">
        <v>14</v>
      </c>
      <c r="F336">
        <v>422</v>
      </c>
      <c r="G336">
        <v>3013</v>
      </c>
      <c r="H336">
        <v>4322</v>
      </c>
      <c r="I336" t="s">
        <v>57</v>
      </c>
      <c r="J336" t="s">
        <v>1240</v>
      </c>
      <c r="K336" t="s">
        <v>58</v>
      </c>
      <c r="L336" t="s">
        <v>59</v>
      </c>
      <c r="M336">
        <v>12</v>
      </c>
      <c r="N336" t="s">
        <v>60</v>
      </c>
      <c r="O336">
        <v>2025</v>
      </c>
      <c r="P336">
        <v>10996</v>
      </c>
      <c r="R336" t="s">
        <v>1299</v>
      </c>
      <c r="S336" t="str">
        <f>IF(COUNTIF(Tabela2[PROCESSO],Tabela1[[#This Row],[codProcesso]])&gt;0,"Está","Não está")</f>
        <v>Não está</v>
      </c>
      <c r="T336" t="s">
        <v>1300</v>
      </c>
      <c r="W336" t="s">
        <v>1190</v>
      </c>
      <c r="X336">
        <v>12</v>
      </c>
      <c r="Y336" t="s">
        <v>54</v>
      </c>
      <c r="Z336" s="5">
        <v>989.4</v>
      </c>
      <c r="AA336" s="5">
        <v>0</v>
      </c>
      <c r="AB336" s="5">
        <v>0</v>
      </c>
      <c r="AC336" s="5">
        <v>0</v>
      </c>
      <c r="AD336" s="5">
        <v>989.4</v>
      </c>
      <c r="AE336" s="5">
        <v>82.45</v>
      </c>
      <c r="AF336" s="5">
        <v>989.40000000000009</v>
      </c>
      <c r="AG336">
        <v>989.4</v>
      </c>
      <c r="AH336">
        <v>82.45</v>
      </c>
      <c r="AI336">
        <v>989.40000000000009</v>
      </c>
      <c r="AJ336">
        <v>989.4</v>
      </c>
      <c r="AK336">
        <v>0</v>
      </c>
      <c r="AL336">
        <v>989.4</v>
      </c>
      <c r="AM336">
        <v>989.4</v>
      </c>
      <c r="AN336">
        <v>989.4</v>
      </c>
      <c r="AO336" t="s">
        <v>55</v>
      </c>
      <c r="AP336" t="s">
        <v>1301</v>
      </c>
      <c r="AQ336">
        <v>1</v>
      </c>
    </row>
    <row r="337" spans="1:43" x14ac:dyDescent="0.25">
      <c r="A337" t="s">
        <v>42</v>
      </c>
      <c r="B337" t="s">
        <v>43</v>
      </c>
      <c r="C337" t="s">
        <v>44</v>
      </c>
      <c r="D337" t="s">
        <v>45</v>
      </c>
      <c r="E337">
        <v>14</v>
      </c>
      <c r="F337">
        <v>122</v>
      </c>
      <c r="G337">
        <v>3024</v>
      </c>
      <c r="H337">
        <v>2100</v>
      </c>
      <c r="I337" t="s">
        <v>57</v>
      </c>
      <c r="J337" t="s">
        <v>1848</v>
      </c>
      <c r="K337" t="s">
        <v>58</v>
      </c>
      <c r="L337" t="s">
        <v>59</v>
      </c>
      <c r="M337">
        <v>12</v>
      </c>
      <c r="N337" t="s">
        <v>60</v>
      </c>
      <c r="O337">
        <v>2025</v>
      </c>
      <c r="P337">
        <v>18883</v>
      </c>
      <c r="R337" t="s">
        <v>1856</v>
      </c>
      <c r="S337" t="str">
        <f>IF(COUNTIF(Tabela2[PROCESSO],Tabela1[[#This Row],[codProcesso]])&gt;0,"Está","Não está")</f>
        <v>Não está</v>
      </c>
      <c r="T337" t="s">
        <v>1857</v>
      </c>
      <c r="X337">
        <v>12</v>
      </c>
      <c r="Y337" t="s">
        <v>54</v>
      </c>
      <c r="Z337" s="5">
        <v>989.4</v>
      </c>
      <c r="AA337" s="5">
        <v>0</v>
      </c>
      <c r="AB337" s="5">
        <v>0</v>
      </c>
      <c r="AC337" s="5">
        <v>0</v>
      </c>
      <c r="AD337" s="5">
        <v>989.4</v>
      </c>
      <c r="AE337" s="5">
        <v>82.45</v>
      </c>
      <c r="AF337" s="5">
        <v>989.40000000000009</v>
      </c>
      <c r="AG337">
        <v>989.4</v>
      </c>
      <c r="AH337">
        <v>82.45</v>
      </c>
      <c r="AI337">
        <v>989.40000000000009</v>
      </c>
      <c r="AJ337">
        <v>989.4</v>
      </c>
      <c r="AK337">
        <v>0</v>
      </c>
      <c r="AL337">
        <v>989.4</v>
      </c>
      <c r="AM337">
        <v>0</v>
      </c>
      <c r="AN337">
        <v>0</v>
      </c>
      <c r="AO337" t="s">
        <v>55</v>
      </c>
      <c r="AP337" t="s">
        <v>1858</v>
      </c>
      <c r="AQ337">
        <v>1</v>
      </c>
    </row>
    <row r="338" spans="1:43" x14ac:dyDescent="0.25">
      <c r="A338" t="s">
        <v>42</v>
      </c>
      <c r="B338" t="s">
        <v>43</v>
      </c>
      <c r="C338" t="s">
        <v>44</v>
      </c>
      <c r="D338" t="s">
        <v>45</v>
      </c>
      <c r="E338">
        <v>14</v>
      </c>
      <c r="F338">
        <v>122</v>
      </c>
      <c r="G338">
        <v>3024</v>
      </c>
      <c r="H338">
        <v>2100</v>
      </c>
      <c r="I338" t="s">
        <v>186</v>
      </c>
      <c r="J338" t="s">
        <v>361</v>
      </c>
      <c r="K338" t="s">
        <v>247</v>
      </c>
      <c r="L338" t="s">
        <v>248</v>
      </c>
      <c r="M338">
        <v>6</v>
      </c>
      <c r="N338" t="s">
        <v>115</v>
      </c>
      <c r="O338">
        <v>2025</v>
      </c>
      <c r="P338">
        <v>14805</v>
      </c>
      <c r="R338" t="s">
        <v>1563</v>
      </c>
      <c r="S338" t="str">
        <f>IF(COUNTIF(Tabela2[PROCESSO],Tabela1[[#This Row],[codProcesso]])&gt;0,"Está","Não está")</f>
        <v>Não está</v>
      </c>
      <c r="T338" t="s">
        <v>1564</v>
      </c>
      <c r="X338">
        <v>12</v>
      </c>
      <c r="Y338" t="s">
        <v>54</v>
      </c>
      <c r="Z338" s="5">
        <v>930</v>
      </c>
      <c r="AA338" s="5">
        <v>0</v>
      </c>
      <c r="AB338" s="5">
        <v>0</v>
      </c>
      <c r="AC338" s="5">
        <v>0</v>
      </c>
      <c r="AD338" s="5">
        <v>930</v>
      </c>
      <c r="AE338" s="5">
        <v>77.5</v>
      </c>
      <c r="AF338" s="5">
        <v>930</v>
      </c>
      <c r="AG338">
        <v>930</v>
      </c>
      <c r="AH338">
        <v>77.5</v>
      </c>
      <c r="AI338">
        <v>930</v>
      </c>
      <c r="AJ338">
        <v>930</v>
      </c>
      <c r="AK338">
        <v>0</v>
      </c>
      <c r="AL338">
        <v>930</v>
      </c>
      <c r="AM338">
        <v>0</v>
      </c>
      <c r="AN338">
        <v>0</v>
      </c>
      <c r="AO338" t="s">
        <v>55</v>
      </c>
      <c r="AP338" t="s">
        <v>1565</v>
      </c>
      <c r="AQ338">
        <v>1</v>
      </c>
    </row>
    <row r="339" spans="1:43" x14ac:dyDescent="0.25">
      <c r="A339" t="s">
        <v>42</v>
      </c>
      <c r="B339" t="s">
        <v>43</v>
      </c>
      <c r="C339" t="s">
        <v>44</v>
      </c>
      <c r="D339" t="s">
        <v>45</v>
      </c>
      <c r="E339">
        <v>14</v>
      </c>
      <c r="F339">
        <v>122</v>
      </c>
      <c r="G339">
        <v>3024</v>
      </c>
      <c r="H339">
        <v>2100</v>
      </c>
      <c r="I339" t="s">
        <v>246</v>
      </c>
      <c r="J339" t="s">
        <v>1240</v>
      </c>
      <c r="K339" t="s">
        <v>247</v>
      </c>
      <c r="L339" t="s">
        <v>248</v>
      </c>
      <c r="M339">
        <v>6</v>
      </c>
      <c r="N339" t="s">
        <v>115</v>
      </c>
      <c r="O339">
        <v>2025</v>
      </c>
      <c r="P339">
        <v>11543</v>
      </c>
      <c r="R339" t="s">
        <v>1334</v>
      </c>
      <c r="S339" t="str">
        <f>IF(COUNTIF(Tabela2[PROCESSO],Tabela1[[#This Row],[codProcesso]])&gt;0,"Está","Não está")</f>
        <v>Não está</v>
      </c>
      <c r="T339" t="s">
        <v>1335</v>
      </c>
      <c r="W339" t="s">
        <v>1336</v>
      </c>
      <c r="X339">
        <v>12</v>
      </c>
      <c r="Y339" t="s">
        <v>54</v>
      </c>
      <c r="Z339" s="5">
        <v>808</v>
      </c>
      <c r="AA339" s="5">
        <v>0</v>
      </c>
      <c r="AB339" s="5">
        <v>0</v>
      </c>
      <c r="AC339" s="5">
        <v>0</v>
      </c>
      <c r="AD339" s="5">
        <v>808</v>
      </c>
      <c r="AE339" s="5">
        <v>67.333333333333329</v>
      </c>
      <c r="AF339" s="5">
        <v>808</v>
      </c>
      <c r="AG339">
        <v>808</v>
      </c>
      <c r="AH339">
        <v>67.333333333333329</v>
      </c>
      <c r="AI339">
        <v>808</v>
      </c>
      <c r="AJ339">
        <v>808</v>
      </c>
      <c r="AK339">
        <v>0</v>
      </c>
      <c r="AL339">
        <v>808</v>
      </c>
      <c r="AM339">
        <v>808</v>
      </c>
      <c r="AN339">
        <v>808</v>
      </c>
      <c r="AO339" t="s">
        <v>55</v>
      </c>
      <c r="AP339" t="s">
        <v>1337</v>
      </c>
      <c r="AQ339">
        <v>1</v>
      </c>
    </row>
    <row r="340" spans="1:43" x14ac:dyDescent="0.25">
      <c r="A340" t="s">
        <v>42</v>
      </c>
      <c r="B340" t="s">
        <v>1322</v>
      </c>
      <c r="C340" t="s">
        <v>1323</v>
      </c>
      <c r="D340" t="s">
        <v>45</v>
      </c>
      <c r="E340">
        <v>14</v>
      </c>
      <c r="F340">
        <v>422</v>
      </c>
      <c r="G340">
        <v>3018</v>
      </c>
      <c r="H340">
        <v>4326</v>
      </c>
      <c r="I340" t="s">
        <v>57</v>
      </c>
      <c r="J340" t="s">
        <v>1639</v>
      </c>
      <c r="K340" t="s">
        <v>65</v>
      </c>
      <c r="L340" t="s">
        <v>66</v>
      </c>
      <c r="M340">
        <v>7</v>
      </c>
      <c r="N340" t="s">
        <v>391</v>
      </c>
      <c r="O340">
        <v>2025</v>
      </c>
      <c r="P340">
        <v>16738</v>
      </c>
      <c r="R340" t="s">
        <v>1678</v>
      </c>
      <c r="S340" t="str">
        <f>IF(COUNTIF(Tabela2[PROCESSO],Tabela1[[#This Row],[codProcesso]])&gt;0,"Está","Não está")</f>
        <v>Não está</v>
      </c>
      <c r="T340" t="s">
        <v>1679</v>
      </c>
      <c r="X340">
        <v>12</v>
      </c>
      <c r="Y340" t="s">
        <v>54</v>
      </c>
      <c r="Z340" s="5">
        <v>800</v>
      </c>
      <c r="AA340" s="5">
        <v>0</v>
      </c>
      <c r="AB340" s="5">
        <v>0</v>
      </c>
      <c r="AC340" s="5">
        <v>0</v>
      </c>
      <c r="AD340" s="5">
        <v>800</v>
      </c>
      <c r="AE340" s="5">
        <v>66.666666666666671</v>
      </c>
      <c r="AF340" s="5">
        <v>800</v>
      </c>
      <c r="AG340">
        <v>800</v>
      </c>
      <c r="AH340">
        <v>66.666666666666671</v>
      </c>
      <c r="AI340">
        <v>800</v>
      </c>
      <c r="AJ340">
        <v>800</v>
      </c>
      <c r="AK340">
        <v>0</v>
      </c>
      <c r="AL340">
        <v>800</v>
      </c>
      <c r="AM340">
        <v>0</v>
      </c>
      <c r="AN340">
        <v>0</v>
      </c>
      <c r="AO340" t="s">
        <v>55</v>
      </c>
      <c r="AP340" t="s">
        <v>1680</v>
      </c>
      <c r="AQ340">
        <v>1</v>
      </c>
    </row>
    <row r="341" spans="1:43" x14ac:dyDescent="0.25">
      <c r="A341" t="s">
        <v>42</v>
      </c>
      <c r="B341" t="s">
        <v>1322</v>
      </c>
      <c r="C341" t="s">
        <v>1323</v>
      </c>
      <c r="D341" t="s">
        <v>45</v>
      </c>
      <c r="E341">
        <v>14</v>
      </c>
      <c r="F341">
        <v>422</v>
      </c>
      <c r="G341">
        <v>3018</v>
      </c>
      <c r="H341">
        <v>4326</v>
      </c>
      <c r="I341" t="s">
        <v>57</v>
      </c>
      <c r="J341" t="s">
        <v>1639</v>
      </c>
      <c r="K341" t="s">
        <v>65</v>
      </c>
      <c r="L341" t="s">
        <v>66</v>
      </c>
      <c r="M341">
        <v>7</v>
      </c>
      <c r="N341" t="s">
        <v>391</v>
      </c>
      <c r="O341">
        <v>2025</v>
      </c>
      <c r="P341">
        <v>16768</v>
      </c>
      <c r="R341" t="s">
        <v>1720</v>
      </c>
      <c r="S341" t="str">
        <f>IF(COUNTIF(Tabela2[PROCESSO],Tabela1[[#This Row],[codProcesso]])&gt;0,"Está","Não está")</f>
        <v>Não está</v>
      </c>
      <c r="T341" t="s">
        <v>1721</v>
      </c>
      <c r="X341">
        <v>12</v>
      </c>
      <c r="Y341" t="s">
        <v>54</v>
      </c>
      <c r="Z341" s="5">
        <v>800</v>
      </c>
      <c r="AA341" s="5">
        <v>0</v>
      </c>
      <c r="AB341" s="5">
        <v>0</v>
      </c>
      <c r="AC341" s="5">
        <v>0</v>
      </c>
      <c r="AD341" s="5">
        <v>800</v>
      </c>
      <c r="AE341" s="5">
        <v>66.666666666666671</v>
      </c>
      <c r="AF341" s="5">
        <v>800</v>
      </c>
      <c r="AG341">
        <v>800</v>
      </c>
      <c r="AH341">
        <v>66.666666666666671</v>
      </c>
      <c r="AI341">
        <v>800</v>
      </c>
      <c r="AJ341">
        <v>800</v>
      </c>
      <c r="AK341">
        <v>0</v>
      </c>
      <c r="AL341">
        <v>800</v>
      </c>
      <c r="AM341">
        <v>0</v>
      </c>
      <c r="AN341">
        <v>0</v>
      </c>
      <c r="AO341" t="s">
        <v>55</v>
      </c>
      <c r="AP341" t="s">
        <v>1722</v>
      </c>
      <c r="AQ341">
        <v>1</v>
      </c>
    </row>
    <row r="342" spans="1:43" x14ac:dyDescent="0.25">
      <c r="A342" t="s">
        <v>42</v>
      </c>
      <c r="B342" t="s">
        <v>1322</v>
      </c>
      <c r="C342" t="s">
        <v>1323</v>
      </c>
      <c r="D342" t="s">
        <v>45</v>
      </c>
      <c r="E342">
        <v>14</v>
      </c>
      <c r="F342">
        <v>422</v>
      </c>
      <c r="G342">
        <v>3018</v>
      </c>
      <c r="H342">
        <v>4326</v>
      </c>
      <c r="I342" t="s">
        <v>57</v>
      </c>
      <c r="J342" t="s">
        <v>1639</v>
      </c>
      <c r="K342" t="s">
        <v>65</v>
      </c>
      <c r="L342" t="s">
        <v>66</v>
      </c>
      <c r="M342">
        <v>7</v>
      </c>
      <c r="N342" t="s">
        <v>391</v>
      </c>
      <c r="O342">
        <v>2025</v>
      </c>
      <c r="P342">
        <v>16851</v>
      </c>
      <c r="R342" t="s">
        <v>1790</v>
      </c>
      <c r="S342" t="str">
        <f>IF(COUNTIF(Tabela2[PROCESSO],Tabela1[[#This Row],[codProcesso]])&gt;0,"Está","Não está")</f>
        <v>Não está</v>
      </c>
      <c r="T342" t="s">
        <v>1791</v>
      </c>
      <c r="X342">
        <v>12</v>
      </c>
      <c r="Y342" t="s">
        <v>54</v>
      </c>
      <c r="Z342" s="5">
        <v>800</v>
      </c>
      <c r="AA342" s="5">
        <v>0</v>
      </c>
      <c r="AB342" s="5">
        <v>0</v>
      </c>
      <c r="AC342" s="5">
        <v>0</v>
      </c>
      <c r="AD342" s="5">
        <v>800</v>
      </c>
      <c r="AE342" s="5">
        <v>66.666666666666671</v>
      </c>
      <c r="AF342" s="5">
        <v>800</v>
      </c>
      <c r="AG342">
        <v>800</v>
      </c>
      <c r="AH342">
        <v>66.666666666666671</v>
      </c>
      <c r="AI342">
        <v>800</v>
      </c>
      <c r="AJ342">
        <v>800</v>
      </c>
      <c r="AK342">
        <v>0</v>
      </c>
      <c r="AL342">
        <v>800</v>
      </c>
      <c r="AM342">
        <v>0</v>
      </c>
      <c r="AN342">
        <v>0</v>
      </c>
      <c r="AO342" t="s">
        <v>55</v>
      </c>
      <c r="AP342" t="s">
        <v>1792</v>
      </c>
      <c r="AQ342">
        <v>1</v>
      </c>
    </row>
    <row r="343" spans="1:43" x14ac:dyDescent="0.25">
      <c r="A343" t="s">
        <v>42</v>
      </c>
      <c r="B343" t="s">
        <v>43</v>
      </c>
      <c r="C343" t="s">
        <v>44</v>
      </c>
      <c r="D343" t="s">
        <v>45</v>
      </c>
      <c r="E343">
        <v>14</v>
      </c>
      <c r="F343">
        <v>422</v>
      </c>
      <c r="G343">
        <v>3013</v>
      </c>
      <c r="H343">
        <v>4322</v>
      </c>
      <c r="I343" t="s">
        <v>57</v>
      </c>
      <c r="J343" t="s">
        <v>47</v>
      </c>
      <c r="K343" t="s">
        <v>58</v>
      </c>
      <c r="L343" t="s">
        <v>59</v>
      </c>
      <c r="M343">
        <v>12</v>
      </c>
      <c r="N343" t="s">
        <v>60</v>
      </c>
      <c r="O343">
        <v>2025</v>
      </c>
      <c r="P343">
        <v>942</v>
      </c>
      <c r="Q343" t="s">
        <v>139</v>
      </c>
      <c r="R343" t="s">
        <v>140</v>
      </c>
      <c r="S343" t="str">
        <f>IF(COUNTIF(Tabela2[PROCESSO],Tabela1[[#This Row],[codProcesso]])&gt;0,"Está","Não está")</f>
        <v>Não está</v>
      </c>
      <c r="T343" t="s">
        <v>141</v>
      </c>
      <c r="U343" t="s">
        <v>142</v>
      </c>
      <c r="W343" t="s">
        <v>143</v>
      </c>
      <c r="X343">
        <v>0</v>
      </c>
      <c r="Y343" t="s">
        <v>98</v>
      </c>
      <c r="Z343" s="5">
        <v>753.6</v>
      </c>
      <c r="AA343" s="5">
        <v>0</v>
      </c>
      <c r="AB343" s="5">
        <v>0</v>
      </c>
      <c r="AC343" s="5">
        <v>0</v>
      </c>
      <c r="AD343" s="5">
        <v>753.6</v>
      </c>
      <c r="AE343" s="5">
        <v>62.8</v>
      </c>
      <c r="AF343" s="5">
        <v>753.6</v>
      </c>
      <c r="AG343">
        <v>753.6</v>
      </c>
      <c r="AH343">
        <v>62.8</v>
      </c>
      <c r="AI343">
        <v>753.6</v>
      </c>
      <c r="AJ343">
        <v>753.6</v>
      </c>
      <c r="AK343">
        <v>0</v>
      </c>
      <c r="AL343">
        <v>753.6</v>
      </c>
      <c r="AM343">
        <v>753.6</v>
      </c>
      <c r="AN343">
        <v>753.6</v>
      </c>
      <c r="AO343" t="s">
        <v>55</v>
      </c>
      <c r="AP343" t="s">
        <v>144</v>
      </c>
      <c r="AQ343">
        <v>1</v>
      </c>
    </row>
    <row r="344" spans="1:43" x14ac:dyDescent="0.25">
      <c r="A344" t="s">
        <v>42</v>
      </c>
      <c r="B344" t="s">
        <v>43</v>
      </c>
      <c r="C344" t="s">
        <v>44</v>
      </c>
      <c r="D344" t="s">
        <v>45</v>
      </c>
      <c r="E344">
        <v>14</v>
      </c>
      <c r="F344">
        <v>422</v>
      </c>
      <c r="G344">
        <v>3013</v>
      </c>
      <c r="H344">
        <v>4322</v>
      </c>
      <c r="I344" t="s">
        <v>57</v>
      </c>
      <c r="J344" t="s">
        <v>361</v>
      </c>
      <c r="K344" t="s">
        <v>58</v>
      </c>
      <c r="L344" t="s">
        <v>59</v>
      </c>
      <c r="M344">
        <v>12</v>
      </c>
      <c r="N344" t="s">
        <v>60</v>
      </c>
      <c r="O344">
        <v>2025</v>
      </c>
      <c r="P344">
        <v>7172</v>
      </c>
      <c r="Q344" t="s">
        <v>139</v>
      </c>
      <c r="R344" t="s">
        <v>1106</v>
      </c>
      <c r="S344" t="str">
        <f>IF(COUNTIF(Tabela2[PROCESSO],Tabela1[[#This Row],[codProcesso]])&gt;0,"Está","Não está")</f>
        <v>Não está</v>
      </c>
      <c r="T344" t="s">
        <v>1107</v>
      </c>
      <c r="U344" t="s">
        <v>1108</v>
      </c>
      <c r="W344" t="s">
        <v>741</v>
      </c>
      <c r="X344">
        <v>0</v>
      </c>
      <c r="Y344" t="s">
        <v>98</v>
      </c>
      <c r="Z344" s="5">
        <v>753.6</v>
      </c>
      <c r="AA344" s="5">
        <v>0</v>
      </c>
      <c r="AB344" s="5">
        <v>0</v>
      </c>
      <c r="AC344" s="5">
        <v>0</v>
      </c>
      <c r="AD344" s="5">
        <v>753.6</v>
      </c>
      <c r="AE344" s="5">
        <v>62.8</v>
      </c>
      <c r="AF344" s="5">
        <v>753.6</v>
      </c>
      <c r="AG344">
        <v>753.6</v>
      </c>
      <c r="AH344">
        <v>62.8</v>
      </c>
      <c r="AI344">
        <v>753.6</v>
      </c>
      <c r="AJ344">
        <v>753.6</v>
      </c>
      <c r="AK344">
        <v>0</v>
      </c>
      <c r="AL344">
        <v>753.6</v>
      </c>
      <c r="AM344">
        <v>753.6</v>
      </c>
      <c r="AN344">
        <v>753.6</v>
      </c>
      <c r="AO344" t="s">
        <v>55</v>
      </c>
      <c r="AP344" t="s">
        <v>1109</v>
      </c>
      <c r="AQ344">
        <v>1</v>
      </c>
    </row>
    <row r="345" spans="1:43" x14ac:dyDescent="0.25">
      <c r="A345" t="s">
        <v>42</v>
      </c>
      <c r="B345" t="s">
        <v>43</v>
      </c>
      <c r="C345" t="s">
        <v>44</v>
      </c>
      <c r="D345" t="s">
        <v>45</v>
      </c>
      <c r="E345">
        <v>14</v>
      </c>
      <c r="F345">
        <v>122</v>
      </c>
      <c r="G345">
        <v>3024</v>
      </c>
      <c r="H345">
        <v>2100</v>
      </c>
      <c r="I345" t="s">
        <v>186</v>
      </c>
      <c r="J345" t="s">
        <v>749</v>
      </c>
      <c r="K345" t="s">
        <v>247</v>
      </c>
      <c r="L345" t="s">
        <v>248</v>
      </c>
      <c r="M345">
        <v>12</v>
      </c>
      <c r="N345" t="s">
        <v>60</v>
      </c>
      <c r="O345">
        <v>2025</v>
      </c>
      <c r="P345">
        <v>7978</v>
      </c>
      <c r="R345" t="s">
        <v>1143</v>
      </c>
      <c r="S345" t="str">
        <f>IF(COUNTIF(Tabela2[PROCESSO],Tabela1[[#This Row],[codProcesso]])&gt;0,"Está","Não está")</f>
        <v>Não está</v>
      </c>
      <c r="T345" t="s">
        <v>1144</v>
      </c>
      <c r="W345" t="s">
        <v>1145</v>
      </c>
      <c r="X345">
        <v>12</v>
      </c>
      <c r="Y345" t="s">
        <v>54</v>
      </c>
      <c r="Z345" s="5">
        <v>732.5</v>
      </c>
      <c r="AA345" s="5">
        <v>0</v>
      </c>
      <c r="AB345" s="5">
        <v>0</v>
      </c>
      <c r="AC345" s="5">
        <v>0</v>
      </c>
      <c r="AD345" s="5">
        <v>732.5</v>
      </c>
      <c r="AE345" s="5">
        <v>61.041666666666657</v>
      </c>
      <c r="AF345" s="5">
        <v>732.5</v>
      </c>
      <c r="AG345">
        <v>732.5</v>
      </c>
      <c r="AH345">
        <v>61.041666666666657</v>
      </c>
      <c r="AI345">
        <v>732.5</v>
      </c>
      <c r="AJ345">
        <v>732.5</v>
      </c>
      <c r="AK345">
        <v>0</v>
      </c>
      <c r="AL345">
        <v>732.5</v>
      </c>
      <c r="AM345">
        <v>732.5</v>
      </c>
      <c r="AN345">
        <v>732.5</v>
      </c>
      <c r="AO345" t="s">
        <v>55</v>
      </c>
      <c r="AP345" t="s">
        <v>1146</v>
      </c>
      <c r="AQ345">
        <v>1</v>
      </c>
    </row>
    <row r="346" spans="1:43" x14ac:dyDescent="0.25">
      <c r="A346" t="s">
        <v>42</v>
      </c>
      <c r="B346" t="s">
        <v>43</v>
      </c>
      <c r="C346" t="s">
        <v>44</v>
      </c>
      <c r="D346" t="s">
        <v>45</v>
      </c>
      <c r="E346">
        <v>14</v>
      </c>
      <c r="F346">
        <v>122</v>
      </c>
      <c r="G346">
        <v>3024</v>
      </c>
      <c r="H346">
        <v>2100</v>
      </c>
      <c r="I346" t="s">
        <v>186</v>
      </c>
      <c r="J346" t="s">
        <v>517</v>
      </c>
      <c r="K346" t="s">
        <v>491</v>
      </c>
      <c r="L346" t="s">
        <v>492</v>
      </c>
      <c r="M346">
        <v>12</v>
      </c>
      <c r="N346" t="s">
        <v>60</v>
      </c>
      <c r="O346">
        <v>2025</v>
      </c>
      <c r="P346">
        <v>3121</v>
      </c>
      <c r="R346" t="s">
        <v>618</v>
      </c>
      <c r="S346" t="str">
        <f>IF(COUNTIF(Tabela2[PROCESSO],Tabela1[[#This Row],[codProcesso]])&gt;0,"Está","Não está")</f>
        <v>Não está</v>
      </c>
      <c r="T346" t="s">
        <v>619</v>
      </c>
      <c r="X346">
        <v>12</v>
      </c>
      <c r="Y346" t="s">
        <v>54</v>
      </c>
      <c r="Z346" s="5">
        <v>680</v>
      </c>
      <c r="AA346" s="5">
        <v>0</v>
      </c>
      <c r="AB346" s="5">
        <v>0</v>
      </c>
      <c r="AC346" s="5">
        <v>0</v>
      </c>
      <c r="AD346" s="5">
        <v>680</v>
      </c>
      <c r="AE346" s="5">
        <v>56.666666666666657</v>
      </c>
      <c r="AF346" s="5">
        <v>680</v>
      </c>
      <c r="AG346">
        <v>163.19999999999999</v>
      </c>
      <c r="AH346">
        <v>13.6</v>
      </c>
      <c r="AI346">
        <v>163.19999999999999</v>
      </c>
      <c r="AJ346">
        <v>680</v>
      </c>
      <c r="AK346">
        <v>0</v>
      </c>
      <c r="AL346">
        <v>680</v>
      </c>
      <c r="AM346">
        <v>0</v>
      </c>
      <c r="AN346">
        <v>0</v>
      </c>
      <c r="AO346" t="s">
        <v>55</v>
      </c>
      <c r="AP346" t="s">
        <v>620</v>
      </c>
      <c r="AQ346">
        <v>0.24</v>
      </c>
    </row>
    <row r="347" spans="1:43" x14ac:dyDescent="0.25">
      <c r="A347" t="s">
        <v>42</v>
      </c>
      <c r="B347" t="s">
        <v>43</v>
      </c>
      <c r="C347" t="s">
        <v>44</v>
      </c>
      <c r="D347" t="s">
        <v>45</v>
      </c>
      <c r="E347">
        <v>14</v>
      </c>
      <c r="F347">
        <v>122</v>
      </c>
      <c r="G347">
        <v>3024</v>
      </c>
      <c r="H347">
        <v>2100</v>
      </c>
      <c r="I347" t="s">
        <v>186</v>
      </c>
      <c r="J347" t="s">
        <v>881</v>
      </c>
      <c r="K347" t="s">
        <v>58</v>
      </c>
      <c r="L347" t="s">
        <v>59</v>
      </c>
      <c r="M347">
        <v>6</v>
      </c>
      <c r="N347" t="s">
        <v>115</v>
      </c>
      <c r="O347">
        <v>2025</v>
      </c>
      <c r="P347">
        <v>6371</v>
      </c>
      <c r="R347" t="s">
        <v>935</v>
      </c>
      <c r="S347" t="str">
        <f>IF(COUNTIF(Tabela2[PROCESSO],Tabela1[[#This Row],[codProcesso]])&gt;0,"Está","Não está")</f>
        <v>Não está</v>
      </c>
      <c r="T347" t="s">
        <v>936</v>
      </c>
      <c r="W347" t="s">
        <v>939</v>
      </c>
      <c r="X347">
        <v>12</v>
      </c>
      <c r="Y347" t="s">
        <v>54</v>
      </c>
      <c r="Z347" s="5">
        <v>640</v>
      </c>
      <c r="AA347" s="5">
        <v>0</v>
      </c>
      <c r="AB347" s="5">
        <v>0</v>
      </c>
      <c r="AC347" s="5">
        <v>0</v>
      </c>
      <c r="AD347" s="5">
        <v>640</v>
      </c>
      <c r="AE347" s="5">
        <v>53.333333333333343</v>
      </c>
      <c r="AF347" s="5">
        <v>640</v>
      </c>
      <c r="AG347">
        <v>396.8</v>
      </c>
      <c r="AH347">
        <v>33.06666666666667</v>
      </c>
      <c r="AI347">
        <v>396.8</v>
      </c>
      <c r="AJ347">
        <v>640</v>
      </c>
      <c r="AK347">
        <v>0</v>
      </c>
      <c r="AL347">
        <v>640</v>
      </c>
      <c r="AM347">
        <v>640</v>
      </c>
      <c r="AN347">
        <v>640</v>
      </c>
      <c r="AO347" t="s">
        <v>55</v>
      </c>
      <c r="AP347" t="s">
        <v>938</v>
      </c>
      <c r="AQ347">
        <v>0.62</v>
      </c>
    </row>
    <row r="348" spans="1:43" x14ac:dyDescent="0.25">
      <c r="A348" t="s">
        <v>42</v>
      </c>
      <c r="B348" t="s">
        <v>43</v>
      </c>
      <c r="C348" t="s">
        <v>44</v>
      </c>
      <c r="D348" t="s">
        <v>45</v>
      </c>
      <c r="E348">
        <v>14</v>
      </c>
      <c r="F348">
        <v>422</v>
      </c>
      <c r="G348">
        <v>3013</v>
      </c>
      <c r="H348">
        <v>4322</v>
      </c>
      <c r="I348" t="s">
        <v>57</v>
      </c>
      <c r="J348" t="s">
        <v>881</v>
      </c>
      <c r="K348" t="s">
        <v>58</v>
      </c>
      <c r="L348" t="s">
        <v>59</v>
      </c>
      <c r="M348">
        <v>12</v>
      </c>
      <c r="N348" t="s">
        <v>60</v>
      </c>
      <c r="O348">
        <v>2025</v>
      </c>
      <c r="P348">
        <v>4772</v>
      </c>
      <c r="R348" t="s">
        <v>984</v>
      </c>
      <c r="S348" t="str">
        <f>IF(COUNTIF(Tabela2[PROCESSO],Tabela1[[#This Row],[codProcesso]])&gt;0,"Está","Não está")</f>
        <v>Não está</v>
      </c>
      <c r="T348" t="s">
        <v>985</v>
      </c>
      <c r="W348" t="s">
        <v>560</v>
      </c>
      <c r="X348">
        <v>12</v>
      </c>
      <c r="Y348" t="s">
        <v>54</v>
      </c>
      <c r="Z348" s="5">
        <v>628</v>
      </c>
      <c r="AA348" s="5">
        <v>0</v>
      </c>
      <c r="AB348" s="5">
        <v>0</v>
      </c>
      <c r="AC348" s="5">
        <v>0</v>
      </c>
      <c r="AD348" s="5">
        <v>628</v>
      </c>
      <c r="AE348" s="5">
        <v>52.333333333333343</v>
      </c>
      <c r="AF348" s="5">
        <v>628</v>
      </c>
      <c r="AG348">
        <v>628</v>
      </c>
      <c r="AH348">
        <v>52.333333333333343</v>
      </c>
      <c r="AI348">
        <v>628</v>
      </c>
      <c r="AJ348">
        <v>628</v>
      </c>
      <c r="AK348">
        <v>0</v>
      </c>
      <c r="AL348">
        <v>628</v>
      </c>
      <c r="AM348">
        <v>628</v>
      </c>
      <c r="AN348">
        <v>628</v>
      </c>
      <c r="AO348" t="s">
        <v>55</v>
      </c>
      <c r="AP348" t="s">
        <v>986</v>
      </c>
      <c r="AQ348">
        <v>1</v>
      </c>
    </row>
    <row r="349" spans="1:43" x14ac:dyDescent="0.25">
      <c r="A349" t="s">
        <v>42</v>
      </c>
      <c r="B349" t="s">
        <v>43</v>
      </c>
      <c r="C349" t="s">
        <v>44</v>
      </c>
      <c r="D349" t="s">
        <v>45</v>
      </c>
      <c r="E349">
        <v>14</v>
      </c>
      <c r="F349">
        <v>422</v>
      </c>
      <c r="G349">
        <v>3013</v>
      </c>
      <c r="H349">
        <v>4322</v>
      </c>
      <c r="I349" t="s">
        <v>57</v>
      </c>
      <c r="J349" t="s">
        <v>749</v>
      </c>
      <c r="K349" t="s">
        <v>58</v>
      </c>
      <c r="L349" t="s">
        <v>59</v>
      </c>
      <c r="M349">
        <v>12</v>
      </c>
      <c r="N349" t="s">
        <v>60</v>
      </c>
      <c r="O349">
        <v>2025</v>
      </c>
      <c r="P349">
        <v>9197</v>
      </c>
      <c r="R349" t="s">
        <v>1168</v>
      </c>
      <c r="S349" t="str">
        <f>IF(COUNTIF(Tabela2[PROCESSO],Tabela1[[#This Row],[codProcesso]])&gt;0,"Está","Não está")</f>
        <v>Não está</v>
      </c>
      <c r="T349" t="s">
        <v>1169</v>
      </c>
      <c r="W349" t="s">
        <v>1116</v>
      </c>
      <c r="X349">
        <v>12</v>
      </c>
      <c r="Y349" t="s">
        <v>54</v>
      </c>
      <c r="Z349" s="5">
        <v>628</v>
      </c>
      <c r="AA349" s="5">
        <v>0</v>
      </c>
      <c r="AB349" s="5">
        <v>0</v>
      </c>
      <c r="AC349" s="5">
        <v>0</v>
      </c>
      <c r="AD349" s="5">
        <v>628</v>
      </c>
      <c r="AE349" s="5">
        <v>52.333333333333343</v>
      </c>
      <c r="AF349" s="5">
        <v>628</v>
      </c>
      <c r="AG349">
        <v>628</v>
      </c>
      <c r="AH349">
        <v>52.333333333333343</v>
      </c>
      <c r="AI349">
        <v>628</v>
      </c>
      <c r="AJ349">
        <v>628</v>
      </c>
      <c r="AK349">
        <v>0</v>
      </c>
      <c r="AL349">
        <v>628</v>
      </c>
      <c r="AM349">
        <v>628</v>
      </c>
      <c r="AN349">
        <v>628</v>
      </c>
      <c r="AO349" t="s">
        <v>55</v>
      </c>
      <c r="AP349" t="s">
        <v>1170</v>
      </c>
      <c r="AQ349">
        <v>1</v>
      </c>
    </row>
    <row r="350" spans="1:43" x14ac:dyDescent="0.25">
      <c r="A350" t="s">
        <v>42</v>
      </c>
      <c r="B350" t="s">
        <v>43</v>
      </c>
      <c r="C350" t="s">
        <v>44</v>
      </c>
      <c r="D350" t="s">
        <v>45</v>
      </c>
      <c r="E350">
        <v>14</v>
      </c>
      <c r="F350">
        <v>122</v>
      </c>
      <c r="G350">
        <v>3024</v>
      </c>
      <c r="H350">
        <v>2100</v>
      </c>
      <c r="I350" t="s">
        <v>186</v>
      </c>
      <c r="J350" t="s">
        <v>483</v>
      </c>
      <c r="K350" t="s">
        <v>58</v>
      </c>
      <c r="L350" t="s">
        <v>59</v>
      </c>
      <c r="M350">
        <v>12</v>
      </c>
      <c r="N350" t="s">
        <v>60</v>
      </c>
      <c r="O350">
        <v>2025</v>
      </c>
      <c r="P350">
        <v>13009</v>
      </c>
      <c r="R350" t="s">
        <v>1432</v>
      </c>
      <c r="S350" t="str">
        <f>IF(COUNTIF(Tabela2[PROCESSO],Tabela1[[#This Row],[codProcesso]])&gt;0,"Está","Não está")</f>
        <v>Não está</v>
      </c>
      <c r="T350" t="s">
        <v>1433</v>
      </c>
      <c r="W350" t="s">
        <v>1434</v>
      </c>
      <c r="X350">
        <v>12</v>
      </c>
      <c r="Y350" t="s">
        <v>54</v>
      </c>
      <c r="Z350" s="5">
        <v>600</v>
      </c>
      <c r="AA350" s="5">
        <v>0</v>
      </c>
      <c r="AB350" s="5">
        <v>0</v>
      </c>
      <c r="AC350" s="5">
        <v>0</v>
      </c>
      <c r="AD350" s="5">
        <v>600</v>
      </c>
      <c r="AE350" s="5">
        <v>50</v>
      </c>
      <c r="AF350" s="5">
        <v>600</v>
      </c>
      <c r="AG350">
        <v>600</v>
      </c>
      <c r="AH350">
        <v>50</v>
      </c>
      <c r="AI350">
        <v>600</v>
      </c>
      <c r="AJ350">
        <v>600</v>
      </c>
      <c r="AK350">
        <v>0</v>
      </c>
      <c r="AL350">
        <v>600</v>
      </c>
      <c r="AM350">
        <v>600</v>
      </c>
      <c r="AN350">
        <v>0</v>
      </c>
      <c r="AO350" t="s">
        <v>55</v>
      </c>
      <c r="AP350" t="s">
        <v>1435</v>
      </c>
      <c r="AQ350">
        <v>1</v>
      </c>
    </row>
    <row r="351" spans="1:43" x14ac:dyDescent="0.25">
      <c r="A351" t="s">
        <v>42</v>
      </c>
      <c r="B351" t="s">
        <v>43</v>
      </c>
      <c r="C351" t="s">
        <v>44</v>
      </c>
      <c r="D351" t="s">
        <v>45</v>
      </c>
      <c r="E351">
        <v>14</v>
      </c>
      <c r="F351">
        <v>122</v>
      </c>
      <c r="G351">
        <v>3024</v>
      </c>
      <c r="H351">
        <v>2100</v>
      </c>
      <c r="I351" t="s">
        <v>186</v>
      </c>
      <c r="J351" t="s">
        <v>749</v>
      </c>
      <c r="K351" t="s">
        <v>247</v>
      </c>
      <c r="L351" t="s">
        <v>248</v>
      </c>
      <c r="M351">
        <v>6</v>
      </c>
      <c r="N351" t="s">
        <v>115</v>
      </c>
      <c r="O351">
        <v>2025</v>
      </c>
      <c r="P351">
        <v>7665</v>
      </c>
      <c r="R351" t="s">
        <v>1126</v>
      </c>
      <c r="S351" t="str">
        <f>IF(COUNTIF(Tabela2[PROCESSO],Tabela1[[#This Row],[codProcesso]])&gt;0,"Está","Não está")</f>
        <v>Não está</v>
      </c>
      <c r="T351" t="s">
        <v>1127</v>
      </c>
      <c r="W351" t="s">
        <v>1128</v>
      </c>
      <c r="X351">
        <v>12</v>
      </c>
      <c r="Y351" t="s">
        <v>54</v>
      </c>
      <c r="Z351" s="5">
        <v>583.79999999999995</v>
      </c>
      <c r="AA351" s="5">
        <v>0</v>
      </c>
      <c r="AB351" s="5">
        <v>0</v>
      </c>
      <c r="AC351" s="5">
        <v>0</v>
      </c>
      <c r="AD351" s="5">
        <v>583.79999999999995</v>
      </c>
      <c r="AE351" s="5">
        <v>48.65</v>
      </c>
      <c r="AF351" s="5">
        <v>583.79999999999995</v>
      </c>
      <c r="AG351">
        <v>583.79999999999995</v>
      </c>
      <c r="AH351">
        <v>48.65</v>
      </c>
      <c r="AI351">
        <v>583.79999999999995</v>
      </c>
      <c r="AJ351">
        <v>583.79999999999995</v>
      </c>
      <c r="AK351">
        <v>0</v>
      </c>
      <c r="AL351">
        <v>583.79999999999995</v>
      </c>
      <c r="AM351">
        <v>583.79999999999995</v>
      </c>
      <c r="AN351">
        <v>583.79999999999995</v>
      </c>
      <c r="AO351" t="s">
        <v>55</v>
      </c>
      <c r="AP351" t="s">
        <v>1129</v>
      </c>
      <c r="AQ351">
        <v>1</v>
      </c>
    </row>
    <row r="352" spans="1:43" x14ac:dyDescent="0.25">
      <c r="A352" t="s">
        <v>42</v>
      </c>
      <c r="B352" t="s">
        <v>43</v>
      </c>
      <c r="C352" t="s">
        <v>44</v>
      </c>
      <c r="D352" t="s">
        <v>45</v>
      </c>
      <c r="E352">
        <v>14</v>
      </c>
      <c r="F352">
        <v>122</v>
      </c>
      <c r="G352">
        <v>3024</v>
      </c>
      <c r="H352">
        <v>2100</v>
      </c>
      <c r="I352" t="s">
        <v>186</v>
      </c>
      <c r="J352" t="s">
        <v>517</v>
      </c>
      <c r="K352" t="s">
        <v>58</v>
      </c>
      <c r="L352" t="s">
        <v>59</v>
      </c>
      <c r="M352">
        <v>6</v>
      </c>
      <c r="N352" t="s">
        <v>115</v>
      </c>
      <c r="O352">
        <v>2025</v>
      </c>
      <c r="P352">
        <v>2773</v>
      </c>
      <c r="R352" t="s">
        <v>546</v>
      </c>
      <c r="S352" t="str">
        <f>IF(COUNTIF(Tabela2[PROCESSO],Tabela1[[#This Row],[codProcesso]])&gt;0,"Está","Não está")</f>
        <v>Não está</v>
      </c>
      <c r="T352" t="s">
        <v>547</v>
      </c>
      <c r="U352" t="s">
        <v>548</v>
      </c>
      <c r="W352" t="s">
        <v>544</v>
      </c>
      <c r="X352">
        <v>0</v>
      </c>
      <c r="Y352" t="s">
        <v>98</v>
      </c>
      <c r="Z352" s="5">
        <v>550</v>
      </c>
      <c r="AA352" s="5">
        <v>0</v>
      </c>
      <c r="AB352" s="5">
        <v>0</v>
      </c>
      <c r="AC352" s="5">
        <v>0</v>
      </c>
      <c r="AD352" s="5">
        <v>550</v>
      </c>
      <c r="AE352" s="5">
        <v>45.833333333333343</v>
      </c>
      <c r="AF352" s="5">
        <v>550</v>
      </c>
      <c r="AG352">
        <v>550</v>
      </c>
      <c r="AH352">
        <v>45.833333333333343</v>
      </c>
      <c r="AI352">
        <v>550</v>
      </c>
      <c r="AJ352">
        <v>550</v>
      </c>
      <c r="AK352">
        <v>0</v>
      </c>
      <c r="AL352">
        <v>550</v>
      </c>
      <c r="AM352">
        <v>550</v>
      </c>
      <c r="AN352">
        <v>550</v>
      </c>
      <c r="AO352" t="s">
        <v>55</v>
      </c>
      <c r="AP352" t="s">
        <v>549</v>
      </c>
      <c r="AQ352">
        <v>1</v>
      </c>
    </row>
    <row r="353" spans="1:43" x14ac:dyDescent="0.25">
      <c r="A353" t="s">
        <v>42</v>
      </c>
      <c r="B353" t="s">
        <v>43</v>
      </c>
      <c r="C353" t="s">
        <v>44</v>
      </c>
      <c r="D353" t="s">
        <v>45</v>
      </c>
      <c r="E353">
        <v>14</v>
      </c>
      <c r="F353">
        <v>422</v>
      </c>
      <c r="G353">
        <v>3013</v>
      </c>
      <c r="H353">
        <v>4322</v>
      </c>
      <c r="I353" t="s">
        <v>1220</v>
      </c>
      <c r="J353" t="s">
        <v>1177</v>
      </c>
      <c r="K353" t="s">
        <v>65</v>
      </c>
      <c r="L353" t="s">
        <v>66</v>
      </c>
      <c r="M353">
        <v>7</v>
      </c>
      <c r="N353" t="s">
        <v>391</v>
      </c>
      <c r="O353">
        <v>2025</v>
      </c>
      <c r="P353">
        <v>10361</v>
      </c>
      <c r="Q353" t="s">
        <v>1221</v>
      </c>
      <c r="R353" t="s">
        <v>1222</v>
      </c>
      <c r="S353" t="str">
        <f>IF(COUNTIF(Tabela2[PROCESSO],Tabela1[[#This Row],[codProcesso]])&gt;0,"Está","Não está")</f>
        <v>Não está</v>
      </c>
      <c r="T353" t="s">
        <v>1223</v>
      </c>
      <c r="U353" t="s">
        <v>1056</v>
      </c>
      <c r="V353" t="s">
        <v>1224</v>
      </c>
      <c r="W353" t="s">
        <v>1225</v>
      </c>
      <c r="X353">
        <v>0</v>
      </c>
      <c r="Y353" t="s">
        <v>98</v>
      </c>
      <c r="Z353" s="5">
        <v>500</v>
      </c>
      <c r="AA353" s="5">
        <v>0</v>
      </c>
      <c r="AB353" s="5">
        <v>0</v>
      </c>
      <c r="AC353" s="5">
        <v>0</v>
      </c>
      <c r="AD353" s="5">
        <v>500</v>
      </c>
      <c r="AE353" s="5">
        <v>41.666666666666657</v>
      </c>
      <c r="AF353" s="5">
        <v>500</v>
      </c>
      <c r="AG353">
        <v>500</v>
      </c>
      <c r="AH353">
        <v>41.666666666666657</v>
      </c>
      <c r="AI353">
        <v>500</v>
      </c>
      <c r="AJ353">
        <v>500</v>
      </c>
      <c r="AK353">
        <v>0</v>
      </c>
      <c r="AL353">
        <v>500</v>
      </c>
      <c r="AM353">
        <v>500</v>
      </c>
      <c r="AN353">
        <v>500</v>
      </c>
      <c r="AO353" t="s">
        <v>55</v>
      </c>
      <c r="AP353" t="s">
        <v>1226</v>
      </c>
      <c r="AQ353">
        <v>1</v>
      </c>
    </row>
    <row r="354" spans="1:43" x14ac:dyDescent="0.25">
      <c r="A354" t="s">
        <v>42</v>
      </c>
      <c r="B354" t="s">
        <v>43</v>
      </c>
      <c r="C354" t="s">
        <v>44</v>
      </c>
      <c r="D354" t="s">
        <v>45</v>
      </c>
      <c r="E354">
        <v>14</v>
      </c>
      <c r="F354">
        <v>422</v>
      </c>
      <c r="G354">
        <v>3013</v>
      </c>
      <c r="H354">
        <v>4322</v>
      </c>
      <c r="I354" t="s">
        <v>1220</v>
      </c>
      <c r="J354" t="s">
        <v>1177</v>
      </c>
      <c r="K354" t="s">
        <v>65</v>
      </c>
      <c r="L354" t="s">
        <v>66</v>
      </c>
      <c r="M354">
        <v>7</v>
      </c>
      <c r="N354" t="s">
        <v>391</v>
      </c>
      <c r="O354">
        <v>2025</v>
      </c>
      <c r="P354">
        <v>10405</v>
      </c>
      <c r="Q354" t="s">
        <v>1227</v>
      </c>
      <c r="R354" t="s">
        <v>1228</v>
      </c>
      <c r="S354" t="str">
        <f>IF(COUNTIF(Tabela2[PROCESSO],Tabela1[[#This Row],[codProcesso]])&gt;0,"Está","Não está")</f>
        <v>Não está</v>
      </c>
      <c r="T354" t="s">
        <v>1229</v>
      </c>
      <c r="U354" t="s">
        <v>1230</v>
      </c>
      <c r="V354" t="s">
        <v>1224</v>
      </c>
      <c r="W354" t="s">
        <v>1231</v>
      </c>
      <c r="X354">
        <v>1</v>
      </c>
      <c r="Y354" t="s">
        <v>98</v>
      </c>
      <c r="Z354" s="5">
        <v>500</v>
      </c>
      <c r="AA354" s="5">
        <v>0</v>
      </c>
      <c r="AB354" s="5">
        <v>0</v>
      </c>
      <c r="AC354" s="5">
        <v>0</v>
      </c>
      <c r="AD354" s="5">
        <v>500</v>
      </c>
      <c r="AE354" s="5">
        <v>41.666666666666657</v>
      </c>
      <c r="AF354" s="5">
        <v>500</v>
      </c>
      <c r="AG354">
        <v>500</v>
      </c>
      <c r="AH354">
        <v>41.666666666666657</v>
      </c>
      <c r="AI354">
        <v>500</v>
      </c>
      <c r="AJ354">
        <v>500</v>
      </c>
      <c r="AK354">
        <v>0</v>
      </c>
      <c r="AL354">
        <v>500</v>
      </c>
      <c r="AM354">
        <v>500</v>
      </c>
      <c r="AN354">
        <v>500</v>
      </c>
      <c r="AO354" t="s">
        <v>55</v>
      </c>
      <c r="AP354" t="s">
        <v>1232</v>
      </c>
      <c r="AQ354">
        <v>1</v>
      </c>
    </row>
    <row r="355" spans="1:43" x14ac:dyDescent="0.25">
      <c r="A355" t="s">
        <v>42</v>
      </c>
      <c r="B355" t="s">
        <v>43</v>
      </c>
      <c r="C355" t="s">
        <v>44</v>
      </c>
      <c r="D355" t="s">
        <v>45</v>
      </c>
      <c r="E355">
        <v>14</v>
      </c>
      <c r="F355">
        <v>422</v>
      </c>
      <c r="G355">
        <v>3013</v>
      </c>
      <c r="H355">
        <v>4322</v>
      </c>
      <c r="I355" t="s">
        <v>1220</v>
      </c>
      <c r="J355" t="s">
        <v>1240</v>
      </c>
      <c r="K355" t="s">
        <v>65</v>
      </c>
      <c r="L355" t="s">
        <v>66</v>
      </c>
      <c r="M355">
        <v>7</v>
      </c>
      <c r="N355" t="s">
        <v>391</v>
      </c>
      <c r="O355">
        <v>2025</v>
      </c>
      <c r="P355">
        <v>10420</v>
      </c>
      <c r="Q355" t="s">
        <v>1241</v>
      </c>
      <c r="R355" t="s">
        <v>1242</v>
      </c>
      <c r="S355" t="str">
        <f>IF(COUNTIF(Tabela2[PROCESSO],Tabela1[[#This Row],[codProcesso]])&gt;0,"Está","Não está")</f>
        <v>Não está</v>
      </c>
      <c r="T355" t="s">
        <v>1243</v>
      </c>
      <c r="U355" t="s">
        <v>1230</v>
      </c>
      <c r="V355" t="s">
        <v>1224</v>
      </c>
      <c r="W355" t="s">
        <v>1231</v>
      </c>
      <c r="X355">
        <v>1</v>
      </c>
      <c r="Y355" t="s">
        <v>98</v>
      </c>
      <c r="Z355" s="5">
        <v>500</v>
      </c>
      <c r="AA355" s="5">
        <v>0</v>
      </c>
      <c r="AB355" s="5">
        <v>0</v>
      </c>
      <c r="AC355" s="5">
        <v>0</v>
      </c>
      <c r="AD355" s="5">
        <v>500</v>
      </c>
      <c r="AE355" s="5">
        <v>41.666666666666657</v>
      </c>
      <c r="AF355" s="5">
        <v>500</v>
      </c>
      <c r="AG355">
        <v>500</v>
      </c>
      <c r="AH355">
        <v>41.666666666666657</v>
      </c>
      <c r="AI355">
        <v>500</v>
      </c>
      <c r="AJ355">
        <v>500</v>
      </c>
      <c r="AK355">
        <v>0</v>
      </c>
      <c r="AL355">
        <v>500</v>
      </c>
      <c r="AM355">
        <v>500</v>
      </c>
      <c r="AN355">
        <v>500</v>
      </c>
      <c r="AO355" t="s">
        <v>55</v>
      </c>
      <c r="AP355" t="s">
        <v>1244</v>
      </c>
      <c r="AQ355">
        <v>1</v>
      </c>
    </row>
    <row r="356" spans="1:43" x14ac:dyDescent="0.25">
      <c r="A356" t="s">
        <v>42</v>
      </c>
      <c r="B356" t="s">
        <v>43</v>
      </c>
      <c r="C356" t="s">
        <v>44</v>
      </c>
      <c r="D356" t="s">
        <v>45</v>
      </c>
      <c r="E356">
        <v>14</v>
      </c>
      <c r="F356">
        <v>422</v>
      </c>
      <c r="G356">
        <v>3013</v>
      </c>
      <c r="H356">
        <v>4322</v>
      </c>
      <c r="I356" t="s">
        <v>1220</v>
      </c>
      <c r="J356" t="s">
        <v>1240</v>
      </c>
      <c r="K356" t="s">
        <v>65</v>
      </c>
      <c r="L356" t="s">
        <v>66</v>
      </c>
      <c r="M356">
        <v>7</v>
      </c>
      <c r="N356" t="s">
        <v>391</v>
      </c>
      <c r="O356">
        <v>2025</v>
      </c>
      <c r="P356">
        <v>10511</v>
      </c>
      <c r="Q356" t="s">
        <v>1245</v>
      </c>
      <c r="R356" t="s">
        <v>1246</v>
      </c>
      <c r="S356" t="str">
        <f>IF(COUNTIF(Tabela2[PROCESSO],Tabela1[[#This Row],[codProcesso]])&gt;0,"Está","Não está")</f>
        <v>Não está</v>
      </c>
      <c r="T356" t="s">
        <v>1229</v>
      </c>
      <c r="U356" t="s">
        <v>1230</v>
      </c>
      <c r="V356" t="s">
        <v>1224</v>
      </c>
      <c r="W356" t="s">
        <v>1225</v>
      </c>
      <c r="X356">
        <v>0</v>
      </c>
      <c r="Y356" t="s">
        <v>98</v>
      </c>
      <c r="Z356" s="5">
        <v>500</v>
      </c>
      <c r="AA356" s="5">
        <v>0</v>
      </c>
      <c r="AB356" s="5">
        <v>0</v>
      </c>
      <c r="AC356" s="5">
        <v>0</v>
      </c>
      <c r="AD356" s="5">
        <v>500</v>
      </c>
      <c r="AE356" s="5">
        <v>41.666666666666657</v>
      </c>
      <c r="AF356" s="5">
        <v>500</v>
      </c>
      <c r="AG356">
        <v>500</v>
      </c>
      <c r="AH356">
        <v>41.666666666666657</v>
      </c>
      <c r="AI356">
        <v>500</v>
      </c>
      <c r="AJ356">
        <v>500</v>
      </c>
      <c r="AK356">
        <v>0</v>
      </c>
      <c r="AL356">
        <v>500</v>
      </c>
      <c r="AM356">
        <v>500</v>
      </c>
      <c r="AN356">
        <v>500</v>
      </c>
      <c r="AO356" t="s">
        <v>55</v>
      </c>
      <c r="AP356" t="s">
        <v>1247</v>
      </c>
      <c r="AQ356">
        <v>1</v>
      </c>
    </row>
    <row r="357" spans="1:43" x14ac:dyDescent="0.25">
      <c r="A357" t="s">
        <v>42</v>
      </c>
      <c r="B357" t="s">
        <v>43</v>
      </c>
      <c r="C357" t="s">
        <v>44</v>
      </c>
      <c r="D357" t="s">
        <v>45</v>
      </c>
      <c r="E357">
        <v>14</v>
      </c>
      <c r="F357">
        <v>422</v>
      </c>
      <c r="G357">
        <v>3013</v>
      </c>
      <c r="H357">
        <v>4322</v>
      </c>
      <c r="I357" t="s">
        <v>1220</v>
      </c>
      <c r="J357" t="s">
        <v>1240</v>
      </c>
      <c r="K357" t="s">
        <v>65</v>
      </c>
      <c r="L357" t="s">
        <v>66</v>
      </c>
      <c r="M357">
        <v>7</v>
      </c>
      <c r="N357" t="s">
        <v>391</v>
      </c>
      <c r="O357">
        <v>2025</v>
      </c>
      <c r="P357">
        <v>10573</v>
      </c>
      <c r="Q357" t="s">
        <v>1248</v>
      </c>
      <c r="R357" t="s">
        <v>1249</v>
      </c>
      <c r="S357" t="str">
        <f>IF(COUNTIF(Tabela2[PROCESSO],Tabela1[[#This Row],[codProcesso]])&gt;0,"Está","Não está")</f>
        <v>Não está</v>
      </c>
      <c r="T357" t="s">
        <v>1250</v>
      </c>
      <c r="U357" t="s">
        <v>1216</v>
      </c>
      <c r="V357" t="s">
        <v>1224</v>
      </c>
      <c r="W357" t="s">
        <v>1231</v>
      </c>
      <c r="X357">
        <v>1</v>
      </c>
      <c r="Y357" t="s">
        <v>98</v>
      </c>
      <c r="Z357" s="5">
        <v>500</v>
      </c>
      <c r="AA357" s="5">
        <v>0</v>
      </c>
      <c r="AB357" s="5">
        <v>0</v>
      </c>
      <c r="AC357" s="5">
        <v>0</v>
      </c>
      <c r="AD357" s="5">
        <v>500</v>
      </c>
      <c r="AE357" s="5">
        <v>41.666666666666657</v>
      </c>
      <c r="AF357" s="5">
        <v>500</v>
      </c>
      <c r="AG357">
        <v>500</v>
      </c>
      <c r="AH357">
        <v>41.666666666666657</v>
      </c>
      <c r="AI357">
        <v>500</v>
      </c>
      <c r="AJ357">
        <v>500</v>
      </c>
      <c r="AK357">
        <v>0</v>
      </c>
      <c r="AL357">
        <v>500</v>
      </c>
      <c r="AM357">
        <v>500</v>
      </c>
      <c r="AN357">
        <v>500</v>
      </c>
      <c r="AO357" t="s">
        <v>55</v>
      </c>
      <c r="AP357" t="s">
        <v>1251</v>
      </c>
      <c r="AQ357">
        <v>1</v>
      </c>
    </row>
    <row r="358" spans="1:43" x14ac:dyDescent="0.25">
      <c r="A358" t="s">
        <v>42</v>
      </c>
      <c r="B358" t="s">
        <v>43</v>
      </c>
      <c r="C358" t="s">
        <v>44</v>
      </c>
      <c r="D358" t="s">
        <v>45</v>
      </c>
      <c r="E358">
        <v>14</v>
      </c>
      <c r="F358">
        <v>422</v>
      </c>
      <c r="G358">
        <v>3013</v>
      </c>
      <c r="H358">
        <v>4322</v>
      </c>
      <c r="I358" t="s">
        <v>1220</v>
      </c>
      <c r="J358" t="s">
        <v>1240</v>
      </c>
      <c r="K358" t="s">
        <v>65</v>
      </c>
      <c r="L358" t="s">
        <v>66</v>
      </c>
      <c r="M358">
        <v>7</v>
      </c>
      <c r="N358" t="s">
        <v>391</v>
      </c>
      <c r="O358">
        <v>2025</v>
      </c>
      <c r="P358">
        <v>10556</v>
      </c>
      <c r="Q358" t="s">
        <v>1252</v>
      </c>
      <c r="R358" t="s">
        <v>1253</v>
      </c>
      <c r="S358" t="str">
        <f>IF(COUNTIF(Tabela2[PROCESSO],Tabela1[[#This Row],[codProcesso]])&gt;0,"Está","Não está")</f>
        <v>Não está</v>
      </c>
      <c r="T358" t="s">
        <v>1254</v>
      </c>
      <c r="U358" t="s">
        <v>1216</v>
      </c>
      <c r="V358" t="s">
        <v>1224</v>
      </c>
      <c r="W358" t="s">
        <v>1225</v>
      </c>
      <c r="X358">
        <v>0</v>
      </c>
      <c r="Y358" t="s">
        <v>98</v>
      </c>
      <c r="Z358" s="5">
        <v>500</v>
      </c>
      <c r="AA358" s="5">
        <v>0</v>
      </c>
      <c r="AB358" s="5">
        <v>0</v>
      </c>
      <c r="AC358" s="5">
        <v>0</v>
      </c>
      <c r="AD358" s="5">
        <v>500</v>
      </c>
      <c r="AE358" s="5">
        <v>41.666666666666657</v>
      </c>
      <c r="AF358" s="5">
        <v>500</v>
      </c>
      <c r="AG358">
        <v>500</v>
      </c>
      <c r="AH358">
        <v>41.666666666666657</v>
      </c>
      <c r="AI358">
        <v>500</v>
      </c>
      <c r="AJ358">
        <v>500</v>
      </c>
      <c r="AK358">
        <v>0</v>
      </c>
      <c r="AL358">
        <v>500</v>
      </c>
      <c r="AM358">
        <v>500</v>
      </c>
      <c r="AN358">
        <v>500</v>
      </c>
      <c r="AO358" t="s">
        <v>55</v>
      </c>
      <c r="AP358" t="s">
        <v>1255</v>
      </c>
      <c r="AQ358">
        <v>1</v>
      </c>
    </row>
    <row r="359" spans="1:43" x14ac:dyDescent="0.25">
      <c r="A359" t="s">
        <v>42</v>
      </c>
      <c r="B359" t="s">
        <v>43</v>
      </c>
      <c r="C359" t="s">
        <v>44</v>
      </c>
      <c r="D359" t="s">
        <v>45</v>
      </c>
      <c r="E359">
        <v>14</v>
      </c>
      <c r="F359">
        <v>422</v>
      </c>
      <c r="G359">
        <v>3013</v>
      </c>
      <c r="H359">
        <v>4322</v>
      </c>
      <c r="I359" t="s">
        <v>1220</v>
      </c>
      <c r="J359" t="s">
        <v>1240</v>
      </c>
      <c r="K359" t="s">
        <v>65</v>
      </c>
      <c r="L359" t="s">
        <v>66</v>
      </c>
      <c r="M359">
        <v>7</v>
      </c>
      <c r="N359" t="s">
        <v>391</v>
      </c>
      <c r="O359">
        <v>2025</v>
      </c>
      <c r="P359">
        <v>10567</v>
      </c>
      <c r="Q359" t="s">
        <v>1256</v>
      </c>
      <c r="R359" t="s">
        <v>1257</v>
      </c>
      <c r="S359" t="str">
        <f>IF(COUNTIF(Tabela2[PROCESSO],Tabela1[[#This Row],[codProcesso]])&gt;0,"Está","Não está")</f>
        <v>Não está</v>
      </c>
      <c r="T359" t="s">
        <v>1223</v>
      </c>
      <c r="U359" t="s">
        <v>1216</v>
      </c>
      <c r="V359" t="s">
        <v>1224</v>
      </c>
      <c r="W359" t="s">
        <v>1231</v>
      </c>
      <c r="X359">
        <v>1</v>
      </c>
      <c r="Y359" t="s">
        <v>98</v>
      </c>
      <c r="Z359" s="5">
        <v>500</v>
      </c>
      <c r="AA359" s="5">
        <v>0</v>
      </c>
      <c r="AB359" s="5">
        <v>0</v>
      </c>
      <c r="AC359" s="5">
        <v>0</v>
      </c>
      <c r="AD359" s="5">
        <v>500</v>
      </c>
      <c r="AE359" s="5">
        <v>41.666666666666657</v>
      </c>
      <c r="AF359" s="5">
        <v>500</v>
      </c>
      <c r="AG359">
        <v>500</v>
      </c>
      <c r="AH359">
        <v>41.666666666666657</v>
      </c>
      <c r="AI359">
        <v>500</v>
      </c>
      <c r="AJ359">
        <v>500</v>
      </c>
      <c r="AK359">
        <v>0</v>
      </c>
      <c r="AL359">
        <v>500</v>
      </c>
      <c r="AM359">
        <v>500</v>
      </c>
      <c r="AN359">
        <v>500</v>
      </c>
      <c r="AO359" t="s">
        <v>55</v>
      </c>
      <c r="AP359" t="s">
        <v>1258</v>
      </c>
      <c r="AQ359">
        <v>1</v>
      </c>
    </row>
    <row r="360" spans="1:43" x14ac:dyDescent="0.25">
      <c r="A360" t="s">
        <v>42</v>
      </c>
      <c r="B360" t="s">
        <v>43</v>
      </c>
      <c r="C360" t="s">
        <v>44</v>
      </c>
      <c r="D360" t="s">
        <v>45</v>
      </c>
      <c r="E360">
        <v>14</v>
      </c>
      <c r="F360">
        <v>422</v>
      </c>
      <c r="G360">
        <v>3013</v>
      </c>
      <c r="H360">
        <v>4322</v>
      </c>
      <c r="I360" t="s">
        <v>1220</v>
      </c>
      <c r="J360" t="s">
        <v>1240</v>
      </c>
      <c r="K360" t="s">
        <v>65</v>
      </c>
      <c r="L360" t="s">
        <v>66</v>
      </c>
      <c r="M360">
        <v>7</v>
      </c>
      <c r="N360" t="s">
        <v>391</v>
      </c>
      <c r="O360">
        <v>2025</v>
      </c>
      <c r="P360">
        <v>10578</v>
      </c>
      <c r="Q360" t="s">
        <v>1259</v>
      </c>
      <c r="R360" t="s">
        <v>1260</v>
      </c>
      <c r="S360" t="str">
        <f>IF(COUNTIF(Tabela2[PROCESSO],Tabela1[[#This Row],[codProcesso]])&gt;0,"Está","Não está")</f>
        <v>Não está</v>
      </c>
      <c r="T360" t="s">
        <v>1229</v>
      </c>
      <c r="U360" t="s">
        <v>1216</v>
      </c>
      <c r="V360" t="s">
        <v>1224</v>
      </c>
      <c r="W360" t="s">
        <v>1225</v>
      </c>
      <c r="X360">
        <v>0</v>
      </c>
      <c r="Y360" t="s">
        <v>98</v>
      </c>
      <c r="Z360" s="5">
        <v>500</v>
      </c>
      <c r="AA360" s="5">
        <v>0</v>
      </c>
      <c r="AB360" s="5">
        <v>0</v>
      </c>
      <c r="AC360" s="5">
        <v>0</v>
      </c>
      <c r="AD360" s="5">
        <v>500</v>
      </c>
      <c r="AE360" s="5">
        <v>41.666666666666657</v>
      </c>
      <c r="AF360" s="5">
        <v>500</v>
      </c>
      <c r="AG360">
        <v>500</v>
      </c>
      <c r="AH360">
        <v>41.666666666666657</v>
      </c>
      <c r="AI360">
        <v>500</v>
      </c>
      <c r="AJ360">
        <v>500</v>
      </c>
      <c r="AK360">
        <v>0</v>
      </c>
      <c r="AL360">
        <v>500</v>
      </c>
      <c r="AM360">
        <v>500</v>
      </c>
      <c r="AN360">
        <v>500</v>
      </c>
      <c r="AO360" t="s">
        <v>55</v>
      </c>
      <c r="AP360" t="s">
        <v>1261</v>
      </c>
      <c r="AQ360">
        <v>1</v>
      </c>
    </row>
    <row r="361" spans="1:43" x14ac:dyDescent="0.25">
      <c r="A361" t="s">
        <v>42</v>
      </c>
      <c r="B361" t="s">
        <v>43</v>
      </c>
      <c r="C361" t="s">
        <v>44</v>
      </c>
      <c r="D361" t="s">
        <v>45</v>
      </c>
      <c r="E361">
        <v>14</v>
      </c>
      <c r="F361">
        <v>422</v>
      </c>
      <c r="G361">
        <v>3013</v>
      </c>
      <c r="H361">
        <v>4322</v>
      </c>
      <c r="I361" t="s">
        <v>1220</v>
      </c>
      <c r="J361" t="s">
        <v>1240</v>
      </c>
      <c r="K361" t="s">
        <v>65</v>
      </c>
      <c r="L361" t="s">
        <v>66</v>
      </c>
      <c r="M361">
        <v>7</v>
      </c>
      <c r="N361" t="s">
        <v>391</v>
      </c>
      <c r="O361">
        <v>2025</v>
      </c>
      <c r="P361">
        <v>10600</v>
      </c>
      <c r="Q361" t="s">
        <v>1262</v>
      </c>
      <c r="R361" t="s">
        <v>1263</v>
      </c>
      <c r="S361" t="str">
        <f>IF(COUNTIF(Tabela2[PROCESSO],Tabela1[[#This Row],[codProcesso]])&gt;0,"Está","Não está")</f>
        <v>Não está</v>
      </c>
      <c r="T361" t="s">
        <v>1264</v>
      </c>
      <c r="U361" t="s">
        <v>1216</v>
      </c>
      <c r="V361" t="s">
        <v>1224</v>
      </c>
      <c r="W361" t="s">
        <v>1231</v>
      </c>
      <c r="X361">
        <v>1</v>
      </c>
      <c r="Y361" t="s">
        <v>98</v>
      </c>
      <c r="Z361" s="5">
        <v>500</v>
      </c>
      <c r="AA361" s="5">
        <v>0</v>
      </c>
      <c r="AB361" s="5">
        <v>0</v>
      </c>
      <c r="AC361" s="5">
        <v>0</v>
      </c>
      <c r="AD361" s="5">
        <v>500</v>
      </c>
      <c r="AE361" s="5">
        <v>41.666666666666657</v>
      </c>
      <c r="AF361" s="5">
        <v>500</v>
      </c>
      <c r="AG361">
        <v>500</v>
      </c>
      <c r="AH361">
        <v>41.666666666666657</v>
      </c>
      <c r="AI361">
        <v>500</v>
      </c>
      <c r="AJ361">
        <v>500</v>
      </c>
      <c r="AK361">
        <v>0</v>
      </c>
      <c r="AL361">
        <v>500</v>
      </c>
      <c r="AM361">
        <v>500</v>
      </c>
      <c r="AN361">
        <v>500</v>
      </c>
      <c r="AO361" t="s">
        <v>55</v>
      </c>
      <c r="AP361" t="s">
        <v>1265</v>
      </c>
      <c r="AQ361">
        <v>1</v>
      </c>
    </row>
    <row r="362" spans="1:43" x14ac:dyDescent="0.25">
      <c r="A362" t="s">
        <v>42</v>
      </c>
      <c r="B362" t="s">
        <v>43</v>
      </c>
      <c r="C362" t="s">
        <v>44</v>
      </c>
      <c r="D362" t="s">
        <v>45</v>
      </c>
      <c r="E362">
        <v>14</v>
      </c>
      <c r="F362">
        <v>422</v>
      </c>
      <c r="G362">
        <v>3013</v>
      </c>
      <c r="H362">
        <v>4322</v>
      </c>
      <c r="I362" t="s">
        <v>1220</v>
      </c>
      <c r="J362" t="s">
        <v>1240</v>
      </c>
      <c r="K362" t="s">
        <v>65</v>
      </c>
      <c r="L362" t="s">
        <v>66</v>
      </c>
      <c r="M362">
        <v>7</v>
      </c>
      <c r="N362" t="s">
        <v>391</v>
      </c>
      <c r="O362">
        <v>2025</v>
      </c>
      <c r="P362">
        <v>10598</v>
      </c>
      <c r="Q362" t="s">
        <v>1266</v>
      </c>
      <c r="R362" t="s">
        <v>1267</v>
      </c>
      <c r="S362" t="str">
        <f>IF(COUNTIF(Tabela2[PROCESSO],Tabela1[[#This Row],[codProcesso]])&gt;0,"Está","Não está")</f>
        <v>Não está</v>
      </c>
      <c r="T362" t="s">
        <v>1268</v>
      </c>
      <c r="U362" t="s">
        <v>1216</v>
      </c>
      <c r="V362" t="s">
        <v>1224</v>
      </c>
      <c r="W362" t="s">
        <v>1225</v>
      </c>
      <c r="X362">
        <v>0</v>
      </c>
      <c r="Y362" t="s">
        <v>98</v>
      </c>
      <c r="Z362" s="5">
        <v>500</v>
      </c>
      <c r="AA362" s="5">
        <v>0</v>
      </c>
      <c r="AB362" s="5">
        <v>0</v>
      </c>
      <c r="AC362" s="5">
        <v>0</v>
      </c>
      <c r="AD362" s="5">
        <v>500</v>
      </c>
      <c r="AE362" s="5">
        <v>41.666666666666657</v>
      </c>
      <c r="AF362" s="5">
        <v>500</v>
      </c>
      <c r="AG362">
        <v>500</v>
      </c>
      <c r="AH362">
        <v>41.666666666666657</v>
      </c>
      <c r="AI362">
        <v>500</v>
      </c>
      <c r="AJ362">
        <v>500</v>
      </c>
      <c r="AK362">
        <v>0</v>
      </c>
      <c r="AL362">
        <v>500</v>
      </c>
      <c r="AM362">
        <v>500</v>
      </c>
      <c r="AN362">
        <v>500</v>
      </c>
      <c r="AO362" t="s">
        <v>55</v>
      </c>
      <c r="AP362" t="s">
        <v>1269</v>
      </c>
      <c r="AQ362">
        <v>1</v>
      </c>
    </row>
    <row r="363" spans="1:43" x14ac:dyDescent="0.25">
      <c r="A363" t="s">
        <v>42</v>
      </c>
      <c r="B363" t="s">
        <v>43</v>
      </c>
      <c r="C363" t="s">
        <v>44</v>
      </c>
      <c r="D363" t="s">
        <v>45</v>
      </c>
      <c r="E363">
        <v>14</v>
      </c>
      <c r="F363">
        <v>422</v>
      </c>
      <c r="G363">
        <v>3013</v>
      </c>
      <c r="H363">
        <v>4322</v>
      </c>
      <c r="I363" t="s">
        <v>1220</v>
      </c>
      <c r="J363" t="s">
        <v>1240</v>
      </c>
      <c r="K363" t="s">
        <v>65</v>
      </c>
      <c r="L363" t="s">
        <v>66</v>
      </c>
      <c r="M363">
        <v>7</v>
      </c>
      <c r="N363" t="s">
        <v>391</v>
      </c>
      <c r="O363">
        <v>2025</v>
      </c>
      <c r="P363">
        <v>10604</v>
      </c>
      <c r="Q363" t="s">
        <v>1270</v>
      </c>
      <c r="R363" t="s">
        <v>1271</v>
      </c>
      <c r="S363" t="str">
        <f>IF(COUNTIF(Tabela2[PROCESSO],Tabela1[[#This Row],[codProcesso]])&gt;0,"Está","Não está")</f>
        <v>Não está</v>
      </c>
      <c r="T363" t="s">
        <v>1272</v>
      </c>
      <c r="U363" t="s">
        <v>1056</v>
      </c>
      <c r="V363" t="s">
        <v>1224</v>
      </c>
      <c r="W363" t="s">
        <v>1231</v>
      </c>
      <c r="X363">
        <v>1</v>
      </c>
      <c r="Y363" t="s">
        <v>98</v>
      </c>
      <c r="Z363" s="5">
        <v>500</v>
      </c>
      <c r="AA363" s="5">
        <v>0</v>
      </c>
      <c r="AB363" s="5">
        <v>0</v>
      </c>
      <c r="AC363" s="5">
        <v>0</v>
      </c>
      <c r="AD363" s="5">
        <v>500</v>
      </c>
      <c r="AE363" s="5">
        <v>41.666666666666657</v>
      </c>
      <c r="AF363" s="5">
        <v>500</v>
      </c>
      <c r="AG363">
        <v>500</v>
      </c>
      <c r="AH363">
        <v>41.666666666666657</v>
      </c>
      <c r="AI363">
        <v>500</v>
      </c>
      <c r="AJ363">
        <v>500</v>
      </c>
      <c r="AK363">
        <v>0</v>
      </c>
      <c r="AL363">
        <v>500</v>
      </c>
      <c r="AM363">
        <v>500</v>
      </c>
      <c r="AN363">
        <v>500</v>
      </c>
      <c r="AO363" t="s">
        <v>55</v>
      </c>
      <c r="AP363" t="s">
        <v>1273</v>
      </c>
      <c r="AQ363">
        <v>1</v>
      </c>
    </row>
    <row r="364" spans="1:43" x14ac:dyDescent="0.25">
      <c r="A364" t="s">
        <v>42</v>
      </c>
      <c r="B364" t="s">
        <v>43</v>
      </c>
      <c r="C364" t="s">
        <v>44</v>
      </c>
      <c r="D364" t="s">
        <v>45</v>
      </c>
      <c r="E364">
        <v>14</v>
      </c>
      <c r="F364">
        <v>422</v>
      </c>
      <c r="G364">
        <v>3013</v>
      </c>
      <c r="H364">
        <v>4322</v>
      </c>
      <c r="I364" t="s">
        <v>1220</v>
      </c>
      <c r="J364" t="s">
        <v>1240</v>
      </c>
      <c r="K364" t="s">
        <v>65</v>
      </c>
      <c r="L364" t="s">
        <v>66</v>
      </c>
      <c r="M364">
        <v>7</v>
      </c>
      <c r="N364" t="s">
        <v>391</v>
      </c>
      <c r="O364">
        <v>2025</v>
      </c>
      <c r="P364">
        <v>10836</v>
      </c>
      <c r="Q364" t="s">
        <v>1284</v>
      </c>
      <c r="R364" t="s">
        <v>1285</v>
      </c>
      <c r="S364" t="str">
        <f>IF(COUNTIF(Tabela2[PROCESSO],Tabela1[[#This Row],[codProcesso]])&gt;0,"Está","Não está")</f>
        <v>Não está</v>
      </c>
      <c r="T364" t="s">
        <v>1286</v>
      </c>
      <c r="U364" t="s">
        <v>1287</v>
      </c>
      <c r="V364" t="s">
        <v>1224</v>
      </c>
      <c r="W364" t="s">
        <v>1225</v>
      </c>
      <c r="X364">
        <v>0</v>
      </c>
      <c r="Y364" t="s">
        <v>98</v>
      </c>
      <c r="Z364" s="5">
        <v>500</v>
      </c>
      <c r="AA364" s="5">
        <v>0</v>
      </c>
      <c r="AB364" s="5">
        <v>0</v>
      </c>
      <c r="AC364" s="5">
        <v>0</v>
      </c>
      <c r="AD364" s="5">
        <v>500</v>
      </c>
      <c r="AE364" s="5">
        <v>41.666666666666657</v>
      </c>
      <c r="AF364" s="5">
        <v>500</v>
      </c>
      <c r="AG364">
        <v>500</v>
      </c>
      <c r="AH364">
        <v>41.666666666666657</v>
      </c>
      <c r="AI364">
        <v>500</v>
      </c>
      <c r="AJ364">
        <v>500</v>
      </c>
      <c r="AK364">
        <v>0</v>
      </c>
      <c r="AL364">
        <v>500</v>
      </c>
      <c r="AM364">
        <v>500</v>
      </c>
      <c r="AN364">
        <v>500</v>
      </c>
      <c r="AO364" t="s">
        <v>55</v>
      </c>
      <c r="AP364" t="s">
        <v>1288</v>
      </c>
      <c r="AQ364">
        <v>1</v>
      </c>
    </row>
    <row r="365" spans="1:43" x14ac:dyDescent="0.25">
      <c r="A365" t="s">
        <v>42</v>
      </c>
      <c r="B365" t="s">
        <v>43</v>
      </c>
      <c r="C365" t="s">
        <v>44</v>
      </c>
      <c r="D365" t="s">
        <v>45</v>
      </c>
      <c r="E365">
        <v>14</v>
      </c>
      <c r="F365">
        <v>422</v>
      </c>
      <c r="G365">
        <v>3013</v>
      </c>
      <c r="H365">
        <v>4322</v>
      </c>
      <c r="I365" t="s">
        <v>1220</v>
      </c>
      <c r="J365" t="s">
        <v>1240</v>
      </c>
      <c r="K365" t="s">
        <v>65</v>
      </c>
      <c r="L365" t="s">
        <v>66</v>
      </c>
      <c r="M365">
        <v>7</v>
      </c>
      <c r="N365" t="s">
        <v>391</v>
      </c>
      <c r="O365">
        <v>2025</v>
      </c>
      <c r="P365">
        <v>10859</v>
      </c>
      <c r="Q365" t="s">
        <v>1289</v>
      </c>
      <c r="R365" t="s">
        <v>1290</v>
      </c>
      <c r="S365" t="str">
        <f>IF(COUNTIF(Tabela2[PROCESSO],Tabela1[[#This Row],[codProcesso]])&gt;0,"Está","Não está")</f>
        <v>Não está</v>
      </c>
      <c r="T365" t="s">
        <v>1286</v>
      </c>
      <c r="U365" t="s">
        <v>1287</v>
      </c>
      <c r="V365" t="s">
        <v>1224</v>
      </c>
      <c r="W365" t="s">
        <v>1231</v>
      </c>
      <c r="X365">
        <v>1</v>
      </c>
      <c r="Y365" t="s">
        <v>98</v>
      </c>
      <c r="Z365" s="5">
        <v>500</v>
      </c>
      <c r="AA365" s="5">
        <v>0</v>
      </c>
      <c r="AB365" s="5">
        <v>0</v>
      </c>
      <c r="AC365" s="5">
        <v>0</v>
      </c>
      <c r="AD365" s="5">
        <v>500</v>
      </c>
      <c r="AE365" s="5">
        <v>41.666666666666657</v>
      </c>
      <c r="AF365" s="5">
        <v>500</v>
      </c>
      <c r="AG365">
        <v>500</v>
      </c>
      <c r="AH365">
        <v>41.666666666666657</v>
      </c>
      <c r="AI365">
        <v>500</v>
      </c>
      <c r="AJ365">
        <v>500</v>
      </c>
      <c r="AK365">
        <v>0</v>
      </c>
      <c r="AL365">
        <v>500</v>
      </c>
      <c r="AM365">
        <v>500</v>
      </c>
      <c r="AN365">
        <v>500</v>
      </c>
      <c r="AO365" t="s">
        <v>55</v>
      </c>
      <c r="AP365" t="s">
        <v>1291</v>
      </c>
      <c r="AQ365">
        <v>1</v>
      </c>
    </row>
    <row r="366" spans="1:43" x14ac:dyDescent="0.25">
      <c r="A366" t="s">
        <v>42</v>
      </c>
      <c r="B366" t="s">
        <v>43</v>
      </c>
      <c r="C366" t="s">
        <v>44</v>
      </c>
      <c r="D366" t="s">
        <v>45</v>
      </c>
      <c r="E366">
        <v>14</v>
      </c>
      <c r="F366">
        <v>422</v>
      </c>
      <c r="G366">
        <v>3013</v>
      </c>
      <c r="H366">
        <v>4322</v>
      </c>
      <c r="I366" t="s">
        <v>1220</v>
      </c>
      <c r="J366" t="s">
        <v>1240</v>
      </c>
      <c r="K366" t="s">
        <v>65</v>
      </c>
      <c r="L366" t="s">
        <v>66</v>
      </c>
      <c r="M366">
        <v>7</v>
      </c>
      <c r="N366" t="s">
        <v>391</v>
      </c>
      <c r="O366">
        <v>2025</v>
      </c>
      <c r="P366">
        <v>10865</v>
      </c>
      <c r="Q366" t="s">
        <v>1292</v>
      </c>
      <c r="R366" t="s">
        <v>1293</v>
      </c>
      <c r="S366" t="str">
        <f>IF(COUNTIF(Tabela2[PROCESSO],Tabela1[[#This Row],[codProcesso]])&gt;0,"Está","Não está")</f>
        <v>Não está</v>
      </c>
      <c r="T366" t="s">
        <v>1294</v>
      </c>
      <c r="U366" t="s">
        <v>1287</v>
      </c>
      <c r="V366" t="s">
        <v>1224</v>
      </c>
      <c r="W366" t="s">
        <v>1231</v>
      </c>
      <c r="X366">
        <v>1</v>
      </c>
      <c r="Y366" t="s">
        <v>98</v>
      </c>
      <c r="Z366" s="5">
        <v>500</v>
      </c>
      <c r="AA366" s="5">
        <v>0</v>
      </c>
      <c r="AB366" s="5">
        <v>0</v>
      </c>
      <c r="AC366" s="5">
        <v>0</v>
      </c>
      <c r="AD366" s="5">
        <v>500</v>
      </c>
      <c r="AE366" s="5">
        <v>41.666666666666657</v>
      </c>
      <c r="AF366" s="5">
        <v>500</v>
      </c>
      <c r="AG366">
        <v>500</v>
      </c>
      <c r="AH366">
        <v>41.666666666666657</v>
      </c>
      <c r="AI366">
        <v>500</v>
      </c>
      <c r="AJ366">
        <v>500</v>
      </c>
      <c r="AK366">
        <v>0</v>
      </c>
      <c r="AL366">
        <v>500</v>
      </c>
      <c r="AM366">
        <v>500</v>
      </c>
      <c r="AN366">
        <v>500</v>
      </c>
      <c r="AO366" t="s">
        <v>55</v>
      </c>
      <c r="AP366" t="s">
        <v>1295</v>
      </c>
      <c r="AQ366">
        <v>1</v>
      </c>
    </row>
    <row r="367" spans="1:43" x14ac:dyDescent="0.25">
      <c r="A367" t="s">
        <v>42</v>
      </c>
      <c r="B367" t="s">
        <v>43</v>
      </c>
      <c r="C367" t="s">
        <v>44</v>
      </c>
      <c r="D367" t="s">
        <v>45</v>
      </c>
      <c r="E367">
        <v>14</v>
      </c>
      <c r="F367">
        <v>422</v>
      </c>
      <c r="G367">
        <v>3013</v>
      </c>
      <c r="H367">
        <v>4322</v>
      </c>
      <c r="I367" t="s">
        <v>1220</v>
      </c>
      <c r="J367" t="s">
        <v>1240</v>
      </c>
      <c r="K367" t="s">
        <v>65</v>
      </c>
      <c r="L367" t="s">
        <v>66</v>
      </c>
      <c r="M367">
        <v>7</v>
      </c>
      <c r="N367" t="s">
        <v>391</v>
      </c>
      <c r="O367">
        <v>2025</v>
      </c>
      <c r="P367">
        <v>11026</v>
      </c>
      <c r="Q367" t="s">
        <v>1302</v>
      </c>
      <c r="R367" t="s">
        <v>1303</v>
      </c>
      <c r="S367" t="str">
        <f>IF(COUNTIF(Tabela2[PROCESSO],Tabela1[[#This Row],[codProcesso]])&gt;0,"Está","Não está")</f>
        <v>Não está</v>
      </c>
      <c r="T367" t="s">
        <v>1286</v>
      </c>
      <c r="U367" t="s">
        <v>1287</v>
      </c>
      <c r="V367" t="s">
        <v>1224</v>
      </c>
      <c r="W367" t="s">
        <v>1225</v>
      </c>
      <c r="X367">
        <v>0</v>
      </c>
      <c r="Y367" t="s">
        <v>98</v>
      </c>
      <c r="Z367" s="5">
        <v>500</v>
      </c>
      <c r="AA367" s="5">
        <v>0</v>
      </c>
      <c r="AB367" s="5">
        <v>0</v>
      </c>
      <c r="AC367" s="5">
        <v>0</v>
      </c>
      <c r="AD367" s="5">
        <v>500</v>
      </c>
      <c r="AE367" s="5">
        <v>41.666666666666657</v>
      </c>
      <c r="AF367" s="5">
        <v>500</v>
      </c>
      <c r="AG367">
        <v>500</v>
      </c>
      <c r="AH367">
        <v>41.666666666666657</v>
      </c>
      <c r="AI367">
        <v>500</v>
      </c>
      <c r="AJ367">
        <v>500</v>
      </c>
      <c r="AK367">
        <v>0</v>
      </c>
      <c r="AL367">
        <v>500</v>
      </c>
      <c r="AM367">
        <v>500</v>
      </c>
      <c r="AN367">
        <v>500</v>
      </c>
      <c r="AO367" t="s">
        <v>55</v>
      </c>
      <c r="AP367" t="s">
        <v>1304</v>
      </c>
      <c r="AQ367">
        <v>1</v>
      </c>
    </row>
    <row r="368" spans="1:43" x14ac:dyDescent="0.25">
      <c r="A368" t="s">
        <v>42</v>
      </c>
      <c r="B368" t="s">
        <v>43</v>
      </c>
      <c r="C368" t="s">
        <v>44</v>
      </c>
      <c r="D368" t="s">
        <v>45</v>
      </c>
      <c r="E368">
        <v>14</v>
      </c>
      <c r="F368">
        <v>422</v>
      </c>
      <c r="G368">
        <v>3013</v>
      </c>
      <c r="H368">
        <v>4322</v>
      </c>
      <c r="I368" t="s">
        <v>1220</v>
      </c>
      <c r="J368" t="s">
        <v>1240</v>
      </c>
      <c r="K368" t="s">
        <v>65</v>
      </c>
      <c r="L368" t="s">
        <v>66</v>
      </c>
      <c r="M368">
        <v>6</v>
      </c>
      <c r="N368" t="s">
        <v>115</v>
      </c>
      <c r="O368">
        <v>2025</v>
      </c>
      <c r="P368">
        <v>11027</v>
      </c>
      <c r="R368" t="s">
        <v>1303</v>
      </c>
      <c r="S368" t="str">
        <f>IF(COUNTIF(Tabela2[PROCESSO],Tabela1[[#This Row],[codProcesso]])&gt;0,"Está","Não está")</f>
        <v>Não está</v>
      </c>
      <c r="T368" t="s">
        <v>1223</v>
      </c>
      <c r="X368">
        <v>0</v>
      </c>
      <c r="Y368" t="s">
        <v>98</v>
      </c>
      <c r="Z368" s="5">
        <v>500</v>
      </c>
      <c r="AA368" s="5">
        <v>0</v>
      </c>
      <c r="AB368" s="5">
        <v>0</v>
      </c>
      <c r="AC368" s="5">
        <v>0</v>
      </c>
      <c r="AD368" s="5">
        <v>500</v>
      </c>
      <c r="AE368" s="5">
        <v>41.666666666666657</v>
      </c>
      <c r="AF368" s="5">
        <v>500</v>
      </c>
      <c r="AG368">
        <v>500</v>
      </c>
      <c r="AH368">
        <v>41.666666666666657</v>
      </c>
      <c r="AI368">
        <v>500</v>
      </c>
      <c r="AJ368">
        <v>0</v>
      </c>
      <c r="AK368">
        <v>0</v>
      </c>
      <c r="AL368">
        <v>0</v>
      </c>
      <c r="AM368">
        <v>0</v>
      </c>
      <c r="AN368">
        <v>0</v>
      </c>
      <c r="AO368" t="s">
        <v>55</v>
      </c>
      <c r="AP368" t="s">
        <v>1304</v>
      </c>
      <c r="AQ368">
        <v>1</v>
      </c>
    </row>
    <row r="369" spans="1:43" x14ac:dyDescent="0.25">
      <c r="A369" t="s">
        <v>42</v>
      </c>
      <c r="B369" t="s">
        <v>43</v>
      </c>
      <c r="C369" t="s">
        <v>44</v>
      </c>
      <c r="D369" t="s">
        <v>45</v>
      </c>
      <c r="E369">
        <v>14</v>
      </c>
      <c r="F369">
        <v>422</v>
      </c>
      <c r="G369">
        <v>3013</v>
      </c>
      <c r="H369">
        <v>4322</v>
      </c>
      <c r="I369" t="s">
        <v>1220</v>
      </c>
      <c r="J369" t="s">
        <v>439</v>
      </c>
      <c r="K369" t="s">
        <v>65</v>
      </c>
      <c r="L369" t="s">
        <v>66</v>
      </c>
      <c r="M369">
        <v>7</v>
      </c>
      <c r="N369" t="s">
        <v>391</v>
      </c>
      <c r="O369">
        <v>2025</v>
      </c>
      <c r="P369">
        <v>14027</v>
      </c>
      <c r="Q369" t="s">
        <v>1492</v>
      </c>
      <c r="R369" t="s">
        <v>1493</v>
      </c>
      <c r="S369" t="str">
        <f>IF(COUNTIF(Tabela2[PROCESSO],Tabela1[[#This Row],[codProcesso]])&gt;0,"Está","Não está")</f>
        <v>Não está</v>
      </c>
      <c r="T369" t="s">
        <v>1494</v>
      </c>
      <c r="U369" t="s">
        <v>1489</v>
      </c>
      <c r="V369" t="s">
        <v>1429</v>
      </c>
      <c r="W369" t="s">
        <v>1495</v>
      </c>
      <c r="X369">
        <v>1</v>
      </c>
      <c r="Y369" t="s">
        <v>98</v>
      </c>
      <c r="Z369" s="5">
        <v>500</v>
      </c>
      <c r="AA369" s="5">
        <v>0</v>
      </c>
      <c r="AB369" s="5">
        <v>0</v>
      </c>
      <c r="AC369" s="5">
        <v>0</v>
      </c>
      <c r="AD369" s="5">
        <v>500</v>
      </c>
      <c r="AE369" s="5">
        <v>41.666666666666657</v>
      </c>
      <c r="AF369" s="5">
        <v>500</v>
      </c>
      <c r="AG369">
        <v>500</v>
      </c>
      <c r="AH369">
        <v>41.666666666666657</v>
      </c>
      <c r="AI369">
        <v>500</v>
      </c>
      <c r="AJ369">
        <v>500</v>
      </c>
      <c r="AK369">
        <v>0</v>
      </c>
      <c r="AL369">
        <v>500</v>
      </c>
      <c r="AM369">
        <v>500</v>
      </c>
      <c r="AN369">
        <v>0</v>
      </c>
      <c r="AO369" t="s">
        <v>55</v>
      </c>
      <c r="AP369" t="s">
        <v>1496</v>
      </c>
      <c r="AQ369">
        <v>1</v>
      </c>
    </row>
    <row r="370" spans="1:43" x14ac:dyDescent="0.25">
      <c r="A370" t="s">
        <v>42</v>
      </c>
      <c r="B370" t="s">
        <v>43</v>
      </c>
      <c r="C370" t="s">
        <v>44</v>
      </c>
      <c r="D370" t="s">
        <v>45</v>
      </c>
      <c r="E370">
        <v>14</v>
      </c>
      <c r="F370">
        <v>422</v>
      </c>
      <c r="G370">
        <v>3013</v>
      </c>
      <c r="H370">
        <v>4322</v>
      </c>
      <c r="I370" t="s">
        <v>1220</v>
      </c>
      <c r="J370" t="s">
        <v>439</v>
      </c>
      <c r="K370" t="s">
        <v>65</v>
      </c>
      <c r="L370" t="s">
        <v>66</v>
      </c>
      <c r="M370">
        <v>7</v>
      </c>
      <c r="N370" t="s">
        <v>391</v>
      </c>
      <c r="O370">
        <v>2025</v>
      </c>
      <c r="P370">
        <v>14039</v>
      </c>
      <c r="Q370" t="s">
        <v>1497</v>
      </c>
      <c r="R370" t="s">
        <v>1498</v>
      </c>
      <c r="S370" t="str">
        <f>IF(COUNTIF(Tabela2[PROCESSO],Tabela1[[#This Row],[codProcesso]])&gt;0,"Está","Não está")</f>
        <v>Não está</v>
      </c>
      <c r="T370" t="s">
        <v>1499</v>
      </c>
      <c r="U370" t="s">
        <v>1489</v>
      </c>
      <c r="V370" t="s">
        <v>1429</v>
      </c>
      <c r="W370" t="s">
        <v>1500</v>
      </c>
      <c r="X370">
        <v>1</v>
      </c>
      <c r="Y370" t="s">
        <v>98</v>
      </c>
      <c r="Z370" s="5">
        <v>500</v>
      </c>
      <c r="AA370" s="5">
        <v>0</v>
      </c>
      <c r="AB370" s="5">
        <v>0</v>
      </c>
      <c r="AC370" s="5">
        <v>0</v>
      </c>
      <c r="AD370" s="5">
        <v>500</v>
      </c>
      <c r="AE370" s="5">
        <v>41.666666666666657</v>
      </c>
      <c r="AF370" s="5">
        <v>500</v>
      </c>
      <c r="AG370">
        <v>500</v>
      </c>
      <c r="AH370">
        <v>41.666666666666657</v>
      </c>
      <c r="AI370">
        <v>500</v>
      </c>
      <c r="AJ370">
        <v>500</v>
      </c>
      <c r="AK370">
        <v>0</v>
      </c>
      <c r="AL370">
        <v>500</v>
      </c>
      <c r="AM370">
        <v>500</v>
      </c>
      <c r="AN370">
        <v>500</v>
      </c>
      <c r="AO370" t="s">
        <v>55</v>
      </c>
      <c r="AP370" t="s">
        <v>1501</v>
      </c>
      <c r="AQ370">
        <v>1</v>
      </c>
    </row>
    <row r="371" spans="1:43" x14ac:dyDescent="0.25">
      <c r="A371" t="s">
        <v>42</v>
      </c>
      <c r="B371" t="s">
        <v>43</v>
      </c>
      <c r="C371" t="s">
        <v>44</v>
      </c>
      <c r="D371" t="s">
        <v>45</v>
      </c>
      <c r="E371">
        <v>14</v>
      </c>
      <c r="F371">
        <v>422</v>
      </c>
      <c r="G371">
        <v>3013</v>
      </c>
      <c r="H371">
        <v>4322</v>
      </c>
      <c r="I371" t="s">
        <v>1220</v>
      </c>
      <c r="J371" t="s">
        <v>439</v>
      </c>
      <c r="K371" t="s">
        <v>65</v>
      </c>
      <c r="L371" t="s">
        <v>66</v>
      </c>
      <c r="M371">
        <v>7</v>
      </c>
      <c r="N371" t="s">
        <v>391</v>
      </c>
      <c r="O371">
        <v>2025</v>
      </c>
      <c r="P371">
        <v>14333</v>
      </c>
      <c r="Q371" t="s">
        <v>1507</v>
      </c>
      <c r="R371" t="s">
        <v>1508</v>
      </c>
      <c r="S371" t="str">
        <f>IF(COUNTIF(Tabela2[PROCESSO],Tabela1[[#This Row],[codProcesso]])&gt;0,"Está","Não está")</f>
        <v>Não está</v>
      </c>
      <c r="T371" t="s">
        <v>1509</v>
      </c>
      <c r="U371" t="s">
        <v>1340</v>
      </c>
      <c r="V371" t="s">
        <v>1370</v>
      </c>
      <c r="W371" t="s">
        <v>1490</v>
      </c>
      <c r="X371">
        <v>1</v>
      </c>
      <c r="Y371" t="s">
        <v>98</v>
      </c>
      <c r="Z371" s="5">
        <v>500</v>
      </c>
      <c r="AA371" s="5">
        <v>0</v>
      </c>
      <c r="AB371" s="5">
        <v>0</v>
      </c>
      <c r="AC371" s="5">
        <v>0</v>
      </c>
      <c r="AD371" s="5">
        <v>500</v>
      </c>
      <c r="AE371" s="5">
        <v>41.666666666666657</v>
      </c>
      <c r="AF371" s="5">
        <v>500</v>
      </c>
      <c r="AG371">
        <v>500</v>
      </c>
      <c r="AH371">
        <v>41.666666666666657</v>
      </c>
      <c r="AI371">
        <v>500</v>
      </c>
      <c r="AJ371">
        <v>500</v>
      </c>
      <c r="AK371">
        <v>0</v>
      </c>
      <c r="AL371">
        <v>500</v>
      </c>
      <c r="AM371">
        <v>500</v>
      </c>
      <c r="AN371">
        <v>0</v>
      </c>
      <c r="AO371" t="s">
        <v>55</v>
      </c>
      <c r="AP371" t="s">
        <v>1510</v>
      </c>
      <c r="AQ371">
        <v>1</v>
      </c>
    </row>
    <row r="372" spans="1:43" x14ac:dyDescent="0.25">
      <c r="A372" t="s">
        <v>42</v>
      </c>
      <c r="B372" t="s">
        <v>43</v>
      </c>
      <c r="C372" t="s">
        <v>44</v>
      </c>
      <c r="D372" t="s">
        <v>45</v>
      </c>
      <c r="E372">
        <v>14</v>
      </c>
      <c r="F372">
        <v>422</v>
      </c>
      <c r="G372">
        <v>3013</v>
      </c>
      <c r="H372">
        <v>4322</v>
      </c>
      <c r="I372" t="s">
        <v>1220</v>
      </c>
      <c r="J372" t="s">
        <v>439</v>
      </c>
      <c r="K372" t="s">
        <v>65</v>
      </c>
      <c r="L372" t="s">
        <v>66</v>
      </c>
      <c r="M372">
        <v>7</v>
      </c>
      <c r="N372" t="s">
        <v>391</v>
      </c>
      <c r="O372">
        <v>2025</v>
      </c>
      <c r="P372">
        <v>14338</v>
      </c>
      <c r="Q372" t="s">
        <v>1511</v>
      </c>
      <c r="R372" t="s">
        <v>1512</v>
      </c>
      <c r="S372" t="str">
        <f>IF(COUNTIF(Tabela2[PROCESSO],Tabela1[[#This Row],[codProcesso]])&gt;0,"Está","Não está")</f>
        <v>Não está</v>
      </c>
      <c r="T372" t="s">
        <v>1513</v>
      </c>
      <c r="U372" t="s">
        <v>1340</v>
      </c>
      <c r="V372" t="s">
        <v>1429</v>
      </c>
      <c r="W372" t="s">
        <v>1490</v>
      </c>
      <c r="X372">
        <v>1</v>
      </c>
      <c r="Y372" t="s">
        <v>98</v>
      </c>
      <c r="Z372" s="5">
        <v>500</v>
      </c>
      <c r="AA372" s="5">
        <v>0</v>
      </c>
      <c r="AB372" s="5">
        <v>0</v>
      </c>
      <c r="AC372" s="5">
        <v>0</v>
      </c>
      <c r="AD372" s="5">
        <v>500</v>
      </c>
      <c r="AE372" s="5">
        <v>41.666666666666657</v>
      </c>
      <c r="AF372" s="5">
        <v>500</v>
      </c>
      <c r="AG372">
        <v>500</v>
      </c>
      <c r="AH372">
        <v>41.666666666666657</v>
      </c>
      <c r="AI372">
        <v>500</v>
      </c>
      <c r="AJ372">
        <v>500</v>
      </c>
      <c r="AK372">
        <v>0</v>
      </c>
      <c r="AL372">
        <v>500</v>
      </c>
      <c r="AM372">
        <v>500</v>
      </c>
      <c r="AN372">
        <v>0</v>
      </c>
      <c r="AO372" t="s">
        <v>55</v>
      </c>
      <c r="AP372" t="s">
        <v>1514</v>
      </c>
      <c r="AQ372">
        <v>1</v>
      </c>
    </row>
    <row r="373" spans="1:43" x14ac:dyDescent="0.25">
      <c r="A373" t="s">
        <v>42</v>
      </c>
      <c r="B373" t="s">
        <v>43</v>
      </c>
      <c r="C373" t="s">
        <v>44</v>
      </c>
      <c r="D373" t="s">
        <v>45</v>
      </c>
      <c r="E373">
        <v>14</v>
      </c>
      <c r="F373">
        <v>422</v>
      </c>
      <c r="G373">
        <v>3013</v>
      </c>
      <c r="H373">
        <v>4322</v>
      </c>
      <c r="I373" t="s">
        <v>1220</v>
      </c>
      <c r="J373" t="s">
        <v>439</v>
      </c>
      <c r="K373" t="s">
        <v>65</v>
      </c>
      <c r="L373" t="s">
        <v>66</v>
      </c>
      <c r="M373">
        <v>7</v>
      </c>
      <c r="N373" t="s">
        <v>391</v>
      </c>
      <c r="O373">
        <v>2025</v>
      </c>
      <c r="P373">
        <v>14337</v>
      </c>
      <c r="Q373" t="s">
        <v>1515</v>
      </c>
      <c r="R373" t="s">
        <v>1516</v>
      </c>
      <c r="S373" t="str">
        <f>IF(COUNTIF(Tabela2[PROCESSO],Tabela1[[#This Row],[codProcesso]])&gt;0,"Está","Não está")</f>
        <v>Não está</v>
      </c>
      <c r="T373" t="s">
        <v>1517</v>
      </c>
      <c r="U373" t="s">
        <v>1340</v>
      </c>
      <c r="V373" t="s">
        <v>1429</v>
      </c>
      <c r="W373" t="s">
        <v>1495</v>
      </c>
      <c r="X373">
        <v>1</v>
      </c>
      <c r="Y373" t="s">
        <v>98</v>
      </c>
      <c r="Z373" s="5">
        <v>500</v>
      </c>
      <c r="AA373" s="5">
        <v>0</v>
      </c>
      <c r="AB373" s="5">
        <v>0</v>
      </c>
      <c r="AC373" s="5">
        <v>0</v>
      </c>
      <c r="AD373" s="5">
        <v>500</v>
      </c>
      <c r="AE373" s="5">
        <v>41.666666666666657</v>
      </c>
      <c r="AF373" s="5">
        <v>500</v>
      </c>
      <c r="AG373">
        <v>500</v>
      </c>
      <c r="AH373">
        <v>41.666666666666657</v>
      </c>
      <c r="AI373">
        <v>500</v>
      </c>
      <c r="AJ373">
        <v>500</v>
      </c>
      <c r="AK373">
        <v>0</v>
      </c>
      <c r="AL373">
        <v>500</v>
      </c>
      <c r="AM373">
        <v>500</v>
      </c>
      <c r="AN373">
        <v>500</v>
      </c>
      <c r="AO373" t="s">
        <v>55</v>
      </c>
      <c r="AP373" t="s">
        <v>1518</v>
      </c>
      <c r="AQ373">
        <v>1</v>
      </c>
    </row>
    <row r="374" spans="1:43" x14ac:dyDescent="0.25">
      <c r="A374" t="s">
        <v>42</v>
      </c>
      <c r="B374" t="s">
        <v>43</v>
      </c>
      <c r="C374" t="s">
        <v>44</v>
      </c>
      <c r="D374" t="s">
        <v>45</v>
      </c>
      <c r="E374">
        <v>14</v>
      </c>
      <c r="F374">
        <v>422</v>
      </c>
      <c r="G374">
        <v>3013</v>
      </c>
      <c r="H374">
        <v>4322</v>
      </c>
      <c r="I374" t="s">
        <v>1220</v>
      </c>
      <c r="J374" t="s">
        <v>439</v>
      </c>
      <c r="K374" t="s">
        <v>65</v>
      </c>
      <c r="L374" t="s">
        <v>66</v>
      </c>
      <c r="M374">
        <v>6</v>
      </c>
      <c r="N374" t="s">
        <v>115</v>
      </c>
      <c r="O374">
        <v>2025</v>
      </c>
      <c r="P374">
        <v>14341</v>
      </c>
      <c r="R374" t="s">
        <v>1519</v>
      </c>
      <c r="S374" t="str">
        <f>IF(COUNTIF(Tabela2[PROCESSO],Tabela1[[#This Row],[codProcesso]])&gt;0,"Está","Não está")</f>
        <v>Não está</v>
      </c>
      <c r="T374" t="s">
        <v>1517</v>
      </c>
      <c r="X374">
        <v>12</v>
      </c>
      <c r="Y374" t="s">
        <v>54</v>
      </c>
      <c r="Z374" s="5">
        <v>500</v>
      </c>
      <c r="AA374" s="5">
        <v>0</v>
      </c>
      <c r="AB374" s="5">
        <v>0</v>
      </c>
      <c r="AC374" s="5">
        <v>0</v>
      </c>
      <c r="AD374" s="5">
        <v>500</v>
      </c>
      <c r="AE374" s="5">
        <v>41.666666666666657</v>
      </c>
      <c r="AF374" s="5">
        <v>500</v>
      </c>
      <c r="AG374">
        <v>500</v>
      </c>
      <c r="AH374">
        <v>41.666666666666657</v>
      </c>
      <c r="AI374">
        <v>500</v>
      </c>
      <c r="AJ374">
        <v>500</v>
      </c>
      <c r="AK374">
        <v>500</v>
      </c>
      <c r="AL374">
        <v>0</v>
      </c>
      <c r="AM374">
        <v>0</v>
      </c>
      <c r="AN374">
        <v>0</v>
      </c>
      <c r="AO374" t="s">
        <v>55</v>
      </c>
      <c r="AP374" t="s">
        <v>1520</v>
      </c>
      <c r="AQ374">
        <v>1</v>
      </c>
    </row>
    <row r="375" spans="1:43" x14ac:dyDescent="0.25">
      <c r="A375" t="s">
        <v>42</v>
      </c>
      <c r="B375" t="s">
        <v>43</v>
      </c>
      <c r="C375" t="s">
        <v>44</v>
      </c>
      <c r="D375" t="s">
        <v>45</v>
      </c>
      <c r="E375">
        <v>14</v>
      </c>
      <c r="F375">
        <v>422</v>
      </c>
      <c r="G375">
        <v>3013</v>
      </c>
      <c r="H375">
        <v>4322</v>
      </c>
      <c r="I375" t="s">
        <v>1220</v>
      </c>
      <c r="J375" t="s">
        <v>439</v>
      </c>
      <c r="K375" t="s">
        <v>65</v>
      </c>
      <c r="L375" t="s">
        <v>66</v>
      </c>
      <c r="M375">
        <v>7</v>
      </c>
      <c r="N375" t="s">
        <v>391</v>
      </c>
      <c r="O375">
        <v>2025</v>
      </c>
      <c r="P375">
        <v>14360</v>
      </c>
      <c r="Q375" t="s">
        <v>1521</v>
      </c>
      <c r="R375" t="s">
        <v>1519</v>
      </c>
      <c r="S375" t="str">
        <f>IF(COUNTIF(Tabela2[PROCESSO],Tabela1[[#This Row],[codProcesso]])&gt;0,"Está","Não está")</f>
        <v>Não está</v>
      </c>
      <c r="T375" t="s">
        <v>1517</v>
      </c>
      <c r="U375" t="s">
        <v>1340</v>
      </c>
      <c r="V375" t="s">
        <v>1429</v>
      </c>
      <c r="W375" t="s">
        <v>1495</v>
      </c>
      <c r="X375">
        <v>12</v>
      </c>
      <c r="Y375" t="s">
        <v>54</v>
      </c>
      <c r="Z375" s="5">
        <v>500</v>
      </c>
      <c r="AA375" s="5">
        <v>0</v>
      </c>
      <c r="AB375" s="5">
        <v>0</v>
      </c>
      <c r="AC375" s="5">
        <v>0</v>
      </c>
      <c r="AD375" s="5">
        <v>500</v>
      </c>
      <c r="AE375" s="5">
        <v>41.666666666666657</v>
      </c>
      <c r="AF375" s="5">
        <v>500</v>
      </c>
      <c r="AG375">
        <v>500</v>
      </c>
      <c r="AH375">
        <v>41.666666666666657</v>
      </c>
      <c r="AI375">
        <v>500</v>
      </c>
      <c r="AJ375">
        <v>500</v>
      </c>
      <c r="AK375">
        <v>0</v>
      </c>
      <c r="AL375">
        <v>500</v>
      </c>
      <c r="AM375">
        <v>500</v>
      </c>
      <c r="AN375">
        <v>500</v>
      </c>
      <c r="AO375" t="s">
        <v>55</v>
      </c>
      <c r="AP375" t="s">
        <v>1520</v>
      </c>
      <c r="AQ375">
        <v>1</v>
      </c>
    </row>
    <row r="376" spans="1:43" x14ac:dyDescent="0.25">
      <c r="A376" t="s">
        <v>42</v>
      </c>
      <c r="B376" t="s">
        <v>43</v>
      </c>
      <c r="C376" t="s">
        <v>44</v>
      </c>
      <c r="D376" t="s">
        <v>45</v>
      </c>
      <c r="E376">
        <v>14</v>
      </c>
      <c r="F376">
        <v>422</v>
      </c>
      <c r="G376">
        <v>3013</v>
      </c>
      <c r="H376">
        <v>4322</v>
      </c>
      <c r="I376" t="s">
        <v>1220</v>
      </c>
      <c r="J376" t="s">
        <v>439</v>
      </c>
      <c r="K376" t="s">
        <v>65</v>
      </c>
      <c r="L376" t="s">
        <v>66</v>
      </c>
      <c r="M376">
        <v>7</v>
      </c>
      <c r="N376" t="s">
        <v>391</v>
      </c>
      <c r="O376">
        <v>2025</v>
      </c>
      <c r="P376">
        <v>14351</v>
      </c>
      <c r="Q376" t="s">
        <v>1522</v>
      </c>
      <c r="R376" t="s">
        <v>1523</v>
      </c>
      <c r="S376" t="str">
        <f>IF(COUNTIF(Tabela2[PROCESSO],Tabela1[[#This Row],[codProcesso]])&gt;0,"Está","Não está")</f>
        <v>Não está</v>
      </c>
      <c r="T376" t="s">
        <v>1524</v>
      </c>
      <c r="U376" t="s">
        <v>1340</v>
      </c>
      <c r="V376" t="s">
        <v>1429</v>
      </c>
      <c r="W376" t="s">
        <v>1438</v>
      </c>
      <c r="X376">
        <v>0</v>
      </c>
      <c r="Y376" t="s">
        <v>98</v>
      </c>
      <c r="Z376" s="5">
        <v>500</v>
      </c>
      <c r="AA376" s="5">
        <v>0</v>
      </c>
      <c r="AB376" s="5">
        <v>0</v>
      </c>
      <c r="AC376" s="5">
        <v>0</v>
      </c>
      <c r="AD376" s="5">
        <v>500</v>
      </c>
      <c r="AE376" s="5">
        <v>41.666666666666657</v>
      </c>
      <c r="AF376" s="5">
        <v>500</v>
      </c>
      <c r="AG376">
        <v>500</v>
      </c>
      <c r="AH376">
        <v>41.666666666666657</v>
      </c>
      <c r="AI376">
        <v>500</v>
      </c>
      <c r="AJ376">
        <v>500</v>
      </c>
      <c r="AK376">
        <v>0</v>
      </c>
      <c r="AL376">
        <v>500</v>
      </c>
      <c r="AM376">
        <v>500</v>
      </c>
      <c r="AN376">
        <v>500</v>
      </c>
      <c r="AO376" t="s">
        <v>55</v>
      </c>
      <c r="AP376" t="s">
        <v>1525</v>
      </c>
      <c r="AQ376">
        <v>1</v>
      </c>
    </row>
    <row r="377" spans="1:43" x14ac:dyDescent="0.25">
      <c r="A377" t="s">
        <v>42</v>
      </c>
      <c r="B377" t="s">
        <v>43</v>
      </c>
      <c r="C377" t="s">
        <v>44</v>
      </c>
      <c r="D377" t="s">
        <v>45</v>
      </c>
      <c r="E377">
        <v>14</v>
      </c>
      <c r="F377">
        <v>422</v>
      </c>
      <c r="G377">
        <v>3013</v>
      </c>
      <c r="H377">
        <v>4322</v>
      </c>
      <c r="I377" t="s">
        <v>1220</v>
      </c>
      <c r="J377" t="s">
        <v>439</v>
      </c>
      <c r="K377" t="s">
        <v>65</v>
      </c>
      <c r="L377" t="s">
        <v>66</v>
      </c>
      <c r="M377">
        <v>7</v>
      </c>
      <c r="N377" t="s">
        <v>391</v>
      </c>
      <c r="O377">
        <v>2025</v>
      </c>
      <c r="P377">
        <v>14369</v>
      </c>
      <c r="Q377" t="s">
        <v>1526</v>
      </c>
      <c r="R377" t="s">
        <v>1527</v>
      </c>
      <c r="S377" t="str">
        <f>IF(COUNTIF(Tabela2[PROCESSO],Tabela1[[#This Row],[codProcesso]])&gt;0,"Está","Não está")</f>
        <v>Não está</v>
      </c>
      <c r="T377" t="s">
        <v>1528</v>
      </c>
      <c r="U377" t="s">
        <v>1340</v>
      </c>
      <c r="V377" t="s">
        <v>1429</v>
      </c>
      <c r="W377" t="s">
        <v>1438</v>
      </c>
      <c r="X377">
        <v>0</v>
      </c>
      <c r="Y377" t="s">
        <v>98</v>
      </c>
      <c r="Z377" s="5">
        <v>500</v>
      </c>
      <c r="AA377" s="5">
        <v>0</v>
      </c>
      <c r="AB377" s="5">
        <v>0</v>
      </c>
      <c r="AC377" s="5">
        <v>0</v>
      </c>
      <c r="AD377" s="5">
        <v>500</v>
      </c>
      <c r="AE377" s="5">
        <v>41.666666666666657</v>
      </c>
      <c r="AF377" s="5">
        <v>500</v>
      </c>
      <c r="AG377">
        <v>500</v>
      </c>
      <c r="AH377">
        <v>41.666666666666657</v>
      </c>
      <c r="AI377">
        <v>500</v>
      </c>
      <c r="AJ377">
        <v>500</v>
      </c>
      <c r="AK377">
        <v>0</v>
      </c>
      <c r="AL377">
        <v>500</v>
      </c>
      <c r="AM377">
        <v>500</v>
      </c>
      <c r="AN377">
        <v>500</v>
      </c>
      <c r="AO377" t="s">
        <v>55</v>
      </c>
      <c r="AP377" t="s">
        <v>1529</v>
      </c>
      <c r="AQ377">
        <v>1</v>
      </c>
    </row>
    <row r="378" spans="1:43" x14ac:dyDescent="0.25">
      <c r="A378" t="s">
        <v>42</v>
      </c>
      <c r="B378" t="s">
        <v>43</v>
      </c>
      <c r="C378" t="s">
        <v>44</v>
      </c>
      <c r="D378" t="s">
        <v>45</v>
      </c>
      <c r="E378">
        <v>14</v>
      </c>
      <c r="F378">
        <v>422</v>
      </c>
      <c r="G378">
        <v>3013</v>
      </c>
      <c r="H378">
        <v>4322</v>
      </c>
      <c r="I378" t="s">
        <v>1220</v>
      </c>
      <c r="J378" t="s">
        <v>439</v>
      </c>
      <c r="K378" t="s">
        <v>65</v>
      </c>
      <c r="L378" t="s">
        <v>66</v>
      </c>
      <c r="M378">
        <v>7</v>
      </c>
      <c r="N378" t="s">
        <v>391</v>
      </c>
      <c r="O378">
        <v>2025</v>
      </c>
      <c r="P378">
        <v>14371</v>
      </c>
      <c r="Q378" t="s">
        <v>1530</v>
      </c>
      <c r="R378" t="s">
        <v>1531</v>
      </c>
      <c r="S378" t="str">
        <f>IF(COUNTIF(Tabela2[PROCESSO],Tabela1[[#This Row],[codProcesso]])&gt;0,"Está","Não está")</f>
        <v>Não está</v>
      </c>
      <c r="T378" t="s">
        <v>1517</v>
      </c>
      <c r="U378" t="s">
        <v>1340</v>
      </c>
      <c r="V378" t="s">
        <v>1429</v>
      </c>
      <c r="W378" t="s">
        <v>1490</v>
      </c>
      <c r="X378">
        <v>1</v>
      </c>
      <c r="Y378" t="s">
        <v>98</v>
      </c>
      <c r="Z378" s="5">
        <v>500</v>
      </c>
      <c r="AA378" s="5">
        <v>0</v>
      </c>
      <c r="AB378" s="5">
        <v>0</v>
      </c>
      <c r="AC378" s="5">
        <v>0</v>
      </c>
      <c r="AD378" s="5">
        <v>500</v>
      </c>
      <c r="AE378" s="5">
        <v>41.666666666666657</v>
      </c>
      <c r="AF378" s="5">
        <v>500</v>
      </c>
      <c r="AG378">
        <v>500</v>
      </c>
      <c r="AH378">
        <v>41.666666666666657</v>
      </c>
      <c r="AI378">
        <v>500</v>
      </c>
      <c r="AJ378">
        <v>500</v>
      </c>
      <c r="AK378">
        <v>0</v>
      </c>
      <c r="AL378">
        <v>500</v>
      </c>
      <c r="AM378">
        <v>500</v>
      </c>
      <c r="AN378">
        <v>0</v>
      </c>
      <c r="AO378" t="s">
        <v>55</v>
      </c>
      <c r="AP378" t="s">
        <v>1532</v>
      </c>
      <c r="AQ378">
        <v>1</v>
      </c>
    </row>
    <row r="379" spans="1:43" x14ac:dyDescent="0.25">
      <c r="A379" t="s">
        <v>42</v>
      </c>
      <c r="B379" t="s">
        <v>43</v>
      </c>
      <c r="C379" t="s">
        <v>44</v>
      </c>
      <c r="D379" t="s">
        <v>45</v>
      </c>
      <c r="E379">
        <v>14</v>
      </c>
      <c r="F379">
        <v>122</v>
      </c>
      <c r="G379">
        <v>3024</v>
      </c>
      <c r="H379">
        <v>2100</v>
      </c>
      <c r="I379" t="s">
        <v>57</v>
      </c>
      <c r="J379" t="s">
        <v>1177</v>
      </c>
      <c r="K379" t="s">
        <v>1153</v>
      </c>
      <c r="L379" t="s">
        <v>1154</v>
      </c>
      <c r="M379">
        <v>7</v>
      </c>
      <c r="N379" t="s">
        <v>391</v>
      </c>
      <c r="O379">
        <v>2025</v>
      </c>
      <c r="P379">
        <v>9805</v>
      </c>
      <c r="R379" t="s">
        <v>1192</v>
      </c>
      <c r="S379" t="str">
        <f>IF(COUNTIF(Tabela2[PROCESSO],Tabela1[[#This Row],[codProcesso]])&gt;0,"Está","Não está")</f>
        <v>Não está</v>
      </c>
      <c r="T379" t="s">
        <v>1196</v>
      </c>
      <c r="W379" t="s">
        <v>1194</v>
      </c>
      <c r="X379">
        <v>12</v>
      </c>
      <c r="Y379" t="s">
        <v>54</v>
      </c>
      <c r="Z379" s="5">
        <v>418.8</v>
      </c>
      <c r="AA379" s="5">
        <v>0</v>
      </c>
      <c r="AB379" s="5">
        <v>0</v>
      </c>
      <c r="AC379" s="5">
        <v>0</v>
      </c>
      <c r="AD379" s="5">
        <v>418.8</v>
      </c>
      <c r="AE379" s="5">
        <v>34.9</v>
      </c>
      <c r="AF379" s="5">
        <v>418.8</v>
      </c>
      <c r="AG379">
        <v>418.8</v>
      </c>
      <c r="AH379">
        <v>34.9</v>
      </c>
      <c r="AI379">
        <v>418.8</v>
      </c>
      <c r="AJ379">
        <v>418.8</v>
      </c>
      <c r="AK379">
        <v>0</v>
      </c>
      <c r="AL379">
        <v>418.8</v>
      </c>
      <c r="AM379">
        <v>418.8</v>
      </c>
      <c r="AN379">
        <v>418.8</v>
      </c>
      <c r="AO379" t="s">
        <v>55</v>
      </c>
      <c r="AP379" t="s">
        <v>1195</v>
      </c>
      <c r="AQ379">
        <v>1</v>
      </c>
    </row>
    <row r="380" spans="1:43" x14ac:dyDescent="0.25">
      <c r="A380" t="s">
        <v>42</v>
      </c>
      <c r="B380" t="s">
        <v>43</v>
      </c>
      <c r="C380" t="s">
        <v>44</v>
      </c>
      <c r="D380" t="s">
        <v>45</v>
      </c>
      <c r="E380">
        <v>14</v>
      </c>
      <c r="F380">
        <v>122</v>
      </c>
      <c r="G380">
        <v>3024</v>
      </c>
      <c r="H380">
        <v>2100</v>
      </c>
      <c r="I380" t="s">
        <v>186</v>
      </c>
      <c r="J380" t="s">
        <v>1814</v>
      </c>
      <c r="K380" t="s">
        <v>247</v>
      </c>
      <c r="L380" t="s">
        <v>248</v>
      </c>
      <c r="M380">
        <v>12</v>
      </c>
      <c r="N380" t="s">
        <v>60</v>
      </c>
      <c r="O380">
        <v>2025</v>
      </c>
      <c r="P380">
        <v>16882</v>
      </c>
      <c r="R380" t="s">
        <v>1822</v>
      </c>
      <c r="S380" t="str">
        <f>IF(COUNTIF(Tabela2[PROCESSO],Tabela1[[#This Row],[codProcesso]])&gt;0,"Está","Não está")</f>
        <v>Não está</v>
      </c>
      <c r="T380" t="s">
        <v>1823</v>
      </c>
      <c r="X380">
        <v>12</v>
      </c>
      <c r="Y380" t="s">
        <v>54</v>
      </c>
      <c r="Z380" s="5">
        <v>400.96</v>
      </c>
      <c r="AA380" s="5">
        <v>0</v>
      </c>
      <c r="AB380" s="5">
        <v>0</v>
      </c>
      <c r="AC380" s="5">
        <v>0</v>
      </c>
      <c r="AD380" s="5">
        <v>400.96</v>
      </c>
      <c r="AE380" s="5">
        <v>33.413333333333327</v>
      </c>
      <c r="AF380" s="5">
        <v>400.96</v>
      </c>
      <c r="AG380">
        <v>400.96</v>
      </c>
      <c r="AH380">
        <v>33.413333333333327</v>
      </c>
      <c r="AI380">
        <v>400.96</v>
      </c>
      <c r="AJ380">
        <v>400.96</v>
      </c>
      <c r="AK380">
        <v>0</v>
      </c>
      <c r="AL380">
        <v>400.96</v>
      </c>
      <c r="AM380">
        <v>0</v>
      </c>
      <c r="AN380">
        <v>0</v>
      </c>
      <c r="AO380" t="s">
        <v>55</v>
      </c>
      <c r="AP380" t="s">
        <v>1824</v>
      </c>
      <c r="AQ380">
        <v>1</v>
      </c>
    </row>
    <row r="381" spans="1:43" x14ac:dyDescent="0.25">
      <c r="A381" t="s">
        <v>42</v>
      </c>
      <c r="B381" t="s">
        <v>43</v>
      </c>
      <c r="C381" t="s">
        <v>44</v>
      </c>
      <c r="D381" t="s">
        <v>45</v>
      </c>
      <c r="E381">
        <v>14</v>
      </c>
      <c r="F381">
        <v>422</v>
      </c>
      <c r="G381">
        <v>3013</v>
      </c>
      <c r="H381">
        <v>4322</v>
      </c>
      <c r="I381" t="s">
        <v>1220</v>
      </c>
      <c r="J381" t="s">
        <v>361</v>
      </c>
      <c r="K381" t="s">
        <v>65</v>
      </c>
      <c r="L381" t="s">
        <v>66</v>
      </c>
      <c r="M381">
        <v>7</v>
      </c>
      <c r="N381" t="s">
        <v>391</v>
      </c>
      <c r="O381">
        <v>2025</v>
      </c>
      <c r="P381">
        <v>11749</v>
      </c>
      <c r="Q381" t="s">
        <v>1363</v>
      </c>
      <c r="R381" t="s">
        <v>1364</v>
      </c>
      <c r="S381" t="str">
        <f>IF(COUNTIF(Tabela2[PROCESSO],Tabela1[[#This Row],[codProcesso]])&gt;0,"Está","Não está")</f>
        <v>Não está</v>
      </c>
      <c r="T381" t="s">
        <v>1365</v>
      </c>
      <c r="U381" t="s">
        <v>1361</v>
      </c>
      <c r="V381" t="s">
        <v>1366</v>
      </c>
      <c r="W381" t="s">
        <v>1366</v>
      </c>
      <c r="X381">
        <v>1</v>
      </c>
      <c r="Y381" t="s">
        <v>98</v>
      </c>
      <c r="Z381" s="5">
        <v>400</v>
      </c>
      <c r="AA381" s="5">
        <v>0</v>
      </c>
      <c r="AB381" s="5">
        <v>0</v>
      </c>
      <c r="AC381" s="5">
        <v>0</v>
      </c>
      <c r="AD381" s="5">
        <v>400</v>
      </c>
      <c r="AE381" s="5">
        <v>33.333333333333343</v>
      </c>
      <c r="AF381" s="5">
        <v>400</v>
      </c>
      <c r="AG381">
        <v>400</v>
      </c>
      <c r="AH381">
        <v>33.333333333333343</v>
      </c>
      <c r="AI381">
        <v>400</v>
      </c>
      <c r="AJ381">
        <v>400</v>
      </c>
      <c r="AK381">
        <v>0</v>
      </c>
      <c r="AL381">
        <v>400</v>
      </c>
      <c r="AM381">
        <v>400</v>
      </c>
      <c r="AN381">
        <v>400</v>
      </c>
      <c r="AO381" t="s">
        <v>55</v>
      </c>
      <c r="AP381" t="s">
        <v>1367</v>
      </c>
      <c r="AQ381">
        <v>1</v>
      </c>
    </row>
    <row r="382" spans="1:43" x14ac:dyDescent="0.25">
      <c r="A382" t="s">
        <v>42</v>
      </c>
      <c r="B382" t="s">
        <v>43</v>
      </c>
      <c r="C382" t="s">
        <v>44</v>
      </c>
      <c r="D382" t="s">
        <v>45</v>
      </c>
      <c r="E382">
        <v>14</v>
      </c>
      <c r="F382">
        <v>422</v>
      </c>
      <c r="G382">
        <v>3013</v>
      </c>
      <c r="H382">
        <v>4322</v>
      </c>
      <c r="I382" t="s">
        <v>1220</v>
      </c>
      <c r="J382" t="s">
        <v>361</v>
      </c>
      <c r="K382" t="s">
        <v>65</v>
      </c>
      <c r="L382" t="s">
        <v>66</v>
      </c>
      <c r="M382">
        <v>7</v>
      </c>
      <c r="N382" t="s">
        <v>391</v>
      </c>
      <c r="O382">
        <v>2025</v>
      </c>
      <c r="P382">
        <v>11755</v>
      </c>
      <c r="Q382" t="s">
        <v>1368</v>
      </c>
      <c r="R382" t="s">
        <v>1369</v>
      </c>
      <c r="S382" t="str">
        <f>IF(COUNTIF(Tabela2[PROCESSO],Tabela1[[#This Row],[codProcesso]])&gt;0,"Está","Não está")</f>
        <v>Não está</v>
      </c>
      <c r="T382" t="s">
        <v>1365</v>
      </c>
      <c r="U382" t="s">
        <v>1360</v>
      </c>
      <c r="V382" t="s">
        <v>1370</v>
      </c>
      <c r="W382" t="s">
        <v>1361</v>
      </c>
      <c r="X382">
        <v>1</v>
      </c>
      <c r="Y382" t="s">
        <v>98</v>
      </c>
      <c r="Z382" s="5">
        <v>400</v>
      </c>
      <c r="AA382" s="5">
        <v>0</v>
      </c>
      <c r="AB382" s="5">
        <v>0</v>
      </c>
      <c r="AC382" s="5">
        <v>0</v>
      </c>
      <c r="AD382" s="5">
        <v>400</v>
      </c>
      <c r="AE382" s="5">
        <v>33.333333333333343</v>
      </c>
      <c r="AF382" s="5">
        <v>400</v>
      </c>
      <c r="AG382">
        <v>400</v>
      </c>
      <c r="AH382">
        <v>33.333333333333343</v>
      </c>
      <c r="AI382">
        <v>400</v>
      </c>
      <c r="AJ382">
        <v>400</v>
      </c>
      <c r="AK382">
        <v>0</v>
      </c>
      <c r="AL382">
        <v>400</v>
      </c>
      <c r="AM382">
        <v>400</v>
      </c>
      <c r="AN382">
        <v>400</v>
      </c>
      <c r="AO382" t="s">
        <v>55</v>
      </c>
      <c r="AP382" t="s">
        <v>1371</v>
      </c>
      <c r="AQ382">
        <v>1</v>
      </c>
    </row>
    <row r="383" spans="1:43" x14ac:dyDescent="0.25">
      <c r="A383" t="s">
        <v>42</v>
      </c>
      <c r="B383" t="s">
        <v>43</v>
      </c>
      <c r="C383" t="s">
        <v>44</v>
      </c>
      <c r="D383" t="s">
        <v>45</v>
      </c>
      <c r="E383">
        <v>14</v>
      </c>
      <c r="F383">
        <v>422</v>
      </c>
      <c r="G383">
        <v>3013</v>
      </c>
      <c r="H383">
        <v>4322</v>
      </c>
      <c r="I383" t="s">
        <v>1220</v>
      </c>
      <c r="J383" t="s">
        <v>361</v>
      </c>
      <c r="K383" t="s">
        <v>65</v>
      </c>
      <c r="L383" t="s">
        <v>66</v>
      </c>
      <c r="M383">
        <v>7</v>
      </c>
      <c r="N383" t="s">
        <v>391</v>
      </c>
      <c r="O383">
        <v>2025</v>
      </c>
      <c r="P383">
        <v>11780</v>
      </c>
      <c r="Q383" t="s">
        <v>1372</v>
      </c>
      <c r="R383" t="s">
        <v>1373</v>
      </c>
      <c r="S383" t="str">
        <f>IF(COUNTIF(Tabela2[PROCESSO],Tabela1[[#This Row],[codProcesso]])&gt;0,"Está","Não está")</f>
        <v>Não está</v>
      </c>
      <c r="T383" t="s">
        <v>1365</v>
      </c>
      <c r="U383" t="s">
        <v>1360</v>
      </c>
      <c r="V383" t="s">
        <v>1370</v>
      </c>
      <c r="W383" t="s">
        <v>1361</v>
      </c>
      <c r="X383">
        <v>1</v>
      </c>
      <c r="Y383" t="s">
        <v>98</v>
      </c>
      <c r="Z383" s="5">
        <v>400</v>
      </c>
      <c r="AA383" s="5">
        <v>0</v>
      </c>
      <c r="AB383" s="5">
        <v>0</v>
      </c>
      <c r="AC383" s="5">
        <v>0</v>
      </c>
      <c r="AD383" s="5">
        <v>400</v>
      </c>
      <c r="AE383" s="5">
        <v>33.333333333333343</v>
      </c>
      <c r="AF383" s="5">
        <v>400</v>
      </c>
      <c r="AG383">
        <v>400</v>
      </c>
      <c r="AH383">
        <v>33.333333333333343</v>
      </c>
      <c r="AI383">
        <v>400</v>
      </c>
      <c r="AJ383">
        <v>400</v>
      </c>
      <c r="AK383">
        <v>0</v>
      </c>
      <c r="AL383">
        <v>400</v>
      </c>
      <c r="AM383">
        <v>400</v>
      </c>
      <c r="AN383">
        <v>0</v>
      </c>
      <c r="AO383" t="s">
        <v>55</v>
      </c>
      <c r="AP383" t="s">
        <v>1374</v>
      </c>
      <c r="AQ383">
        <v>1</v>
      </c>
    </row>
    <row r="384" spans="1:43" x14ac:dyDescent="0.25">
      <c r="A384" t="s">
        <v>42</v>
      </c>
      <c r="B384" t="s">
        <v>43</v>
      </c>
      <c r="C384" t="s">
        <v>44</v>
      </c>
      <c r="D384" t="s">
        <v>45</v>
      </c>
      <c r="E384">
        <v>14</v>
      </c>
      <c r="F384">
        <v>422</v>
      </c>
      <c r="G384">
        <v>3013</v>
      </c>
      <c r="H384">
        <v>4322</v>
      </c>
      <c r="I384" t="s">
        <v>1220</v>
      </c>
      <c r="J384" t="s">
        <v>361</v>
      </c>
      <c r="K384" t="s">
        <v>65</v>
      </c>
      <c r="L384" t="s">
        <v>66</v>
      </c>
      <c r="M384">
        <v>7</v>
      </c>
      <c r="N384" t="s">
        <v>391</v>
      </c>
      <c r="O384">
        <v>2025</v>
      </c>
      <c r="P384">
        <v>11756</v>
      </c>
      <c r="Q384" t="s">
        <v>1375</v>
      </c>
      <c r="R384" t="s">
        <v>1376</v>
      </c>
      <c r="S384" t="str">
        <f>IF(COUNTIF(Tabela2[PROCESSO],Tabela1[[#This Row],[codProcesso]])&gt;0,"Está","Não está")</f>
        <v>Não está</v>
      </c>
      <c r="T384" t="s">
        <v>1377</v>
      </c>
      <c r="U384" t="s">
        <v>1237</v>
      </c>
      <c r="V384" t="s">
        <v>1370</v>
      </c>
      <c r="W384" t="s">
        <v>1361</v>
      </c>
      <c r="X384">
        <v>0</v>
      </c>
      <c r="Y384" t="s">
        <v>98</v>
      </c>
      <c r="Z384" s="5">
        <v>400</v>
      </c>
      <c r="AA384" s="5">
        <v>0</v>
      </c>
      <c r="AB384" s="5">
        <v>0</v>
      </c>
      <c r="AC384" s="5">
        <v>0</v>
      </c>
      <c r="AD384" s="5">
        <v>400</v>
      </c>
      <c r="AE384" s="5">
        <v>33.333333333333343</v>
      </c>
      <c r="AF384" s="5">
        <v>400</v>
      </c>
      <c r="AG384">
        <v>400</v>
      </c>
      <c r="AH384">
        <v>33.333333333333343</v>
      </c>
      <c r="AI384">
        <v>400</v>
      </c>
      <c r="AJ384">
        <v>400</v>
      </c>
      <c r="AK384">
        <v>0</v>
      </c>
      <c r="AL384">
        <v>400</v>
      </c>
      <c r="AM384">
        <v>400</v>
      </c>
      <c r="AN384">
        <v>400</v>
      </c>
      <c r="AO384" t="s">
        <v>55</v>
      </c>
      <c r="AP384" t="s">
        <v>1378</v>
      </c>
      <c r="AQ384">
        <v>1</v>
      </c>
    </row>
    <row r="385" spans="1:43" x14ac:dyDescent="0.25">
      <c r="A385" t="s">
        <v>42</v>
      </c>
      <c r="B385" t="s">
        <v>43</v>
      </c>
      <c r="C385" t="s">
        <v>44</v>
      </c>
      <c r="D385" t="s">
        <v>45</v>
      </c>
      <c r="E385">
        <v>14</v>
      </c>
      <c r="F385">
        <v>422</v>
      </c>
      <c r="G385">
        <v>3013</v>
      </c>
      <c r="H385">
        <v>4322</v>
      </c>
      <c r="I385" t="s">
        <v>1220</v>
      </c>
      <c r="J385" t="s">
        <v>361</v>
      </c>
      <c r="K385" t="s">
        <v>65</v>
      </c>
      <c r="L385" t="s">
        <v>66</v>
      </c>
      <c r="M385">
        <v>7</v>
      </c>
      <c r="N385" t="s">
        <v>391</v>
      </c>
      <c r="O385">
        <v>2025</v>
      </c>
      <c r="P385">
        <v>11762</v>
      </c>
      <c r="Q385" t="s">
        <v>1379</v>
      </c>
      <c r="R385" t="s">
        <v>1380</v>
      </c>
      <c r="S385" t="str">
        <f>IF(COUNTIF(Tabela2[PROCESSO],Tabela1[[#This Row],[codProcesso]])&gt;0,"Está","Não está")</f>
        <v>Não está</v>
      </c>
      <c r="T385" t="s">
        <v>1381</v>
      </c>
      <c r="U385" t="s">
        <v>1360</v>
      </c>
      <c r="V385" t="s">
        <v>1370</v>
      </c>
      <c r="W385" t="s">
        <v>1361</v>
      </c>
      <c r="X385">
        <v>1</v>
      </c>
      <c r="Y385" t="s">
        <v>98</v>
      </c>
      <c r="Z385" s="5">
        <v>400</v>
      </c>
      <c r="AA385" s="5">
        <v>0</v>
      </c>
      <c r="AB385" s="5">
        <v>0</v>
      </c>
      <c r="AC385" s="5">
        <v>0</v>
      </c>
      <c r="AD385" s="5">
        <v>400</v>
      </c>
      <c r="AE385" s="5">
        <v>33.333333333333343</v>
      </c>
      <c r="AF385" s="5">
        <v>400</v>
      </c>
      <c r="AG385">
        <v>400</v>
      </c>
      <c r="AH385">
        <v>33.333333333333343</v>
      </c>
      <c r="AI385">
        <v>400</v>
      </c>
      <c r="AJ385">
        <v>400</v>
      </c>
      <c r="AK385">
        <v>0</v>
      </c>
      <c r="AL385">
        <v>400</v>
      </c>
      <c r="AM385">
        <v>400</v>
      </c>
      <c r="AN385">
        <v>400</v>
      </c>
      <c r="AO385" t="s">
        <v>55</v>
      </c>
      <c r="AP385" t="s">
        <v>1382</v>
      </c>
      <c r="AQ385">
        <v>1</v>
      </c>
    </row>
    <row r="386" spans="1:43" x14ac:dyDescent="0.25">
      <c r="A386" t="s">
        <v>42</v>
      </c>
      <c r="B386" t="s">
        <v>43</v>
      </c>
      <c r="C386" t="s">
        <v>44</v>
      </c>
      <c r="D386" t="s">
        <v>45</v>
      </c>
      <c r="E386">
        <v>14</v>
      </c>
      <c r="F386">
        <v>122</v>
      </c>
      <c r="G386">
        <v>3024</v>
      </c>
      <c r="H386">
        <v>2100</v>
      </c>
      <c r="I386" t="s">
        <v>186</v>
      </c>
      <c r="J386" t="s">
        <v>749</v>
      </c>
      <c r="K386" t="s">
        <v>247</v>
      </c>
      <c r="L386" t="s">
        <v>248</v>
      </c>
      <c r="M386">
        <v>6</v>
      </c>
      <c r="N386" t="s">
        <v>115</v>
      </c>
      <c r="O386">
        <v>2025</v>
      </c>
      <c r="P386">
        <v>7652</v>
      </c>
      <c r="R386" t="s">
        <v>1130</v>
      </c>
      <c r="S386" t="str">
        <f>IF(COUNTIF(Tabela2[PROCESSO],Tabela1[[#This Row],[codProcesso]])&gt;0,"Está","Não está")</f>
        <v>Não está</v>
      </c>
      <c r="T386" t="s">
        <v>1131</v>
      </c>
      <c r="W386" t="s">
        <v>1001</v>
      </c>
      <c r="X386">
        <v>12</v>
      </c>
      <c r="Y386" t="s">
        <v>54</v>
      </c>
      <c r="Z386" s="5">
        <v>359.1</v>
      </c>
      <c r="AA386" s="5">
        <v>0</v>
      </c>
      <c r="AB386" s="5">
        <v>0</v>
      </c>
      <c r="AC386" s="5">
        <v>0</v>
      </c>
      <c r="AD386" s="5">
        <v>359.1</v>
      </c>
      <c r="AE386" s="5">
        <v>29.925000000000001</v>
      </c>
      <c r="AF386" s="5">
        <v>359.1</v>
      </c>
      <c r="AG386">
        <v>359.1</v>
      </c>
      <c r="AH386">
        <v>29.925000000000001</v>
      </c>
      <c r="AI386">
        <v>359.1</v>
      </c>
      <c r="AJ386">
        <v>359.1</v>
      </c>
      <c r="AK386">
        <v>0</v>
      </c>
      <c r="AL386">
        <v>359.1</v>
      </c>
      <c r="AM386">
        <v>359.1</v>
      </c>
      <c r="AN386">
        <v>359.1</v>
      </c>
      <c r="AO386" t="s">
        <v>55</v>
      </c>
      <c r="AP386" t="s">
        <v>1132</v>
      </c>
      <c r="AQ386">
        <v>1</v>
      </c>
    </row>
    <row r="387" spans="1:43" x14ac:dyDescent="0.25">
      <c r="A387" t="s">
        <v>42</v>
      </c>
      <c r="B387" t="s">
        <v>43</v>
      </c>
      <c r="C387" t="s">
        <v>44</v>
      </c>
      <c r="D387" t="s">
        <v>45</v>
      </c>
      <c r="E387">
        <v>14</v>
      </c>
      <c r="F387">
        <v>126</v>
      </c>
      <c r="G387">
        <v>3011</v>
      </c>
      <c r="H387">
        <v>2818</v>
      </c>
      <c r="I387" t="s">
        <v>82</v>
      </c>
      <c r="J387" t="s">
        <v>749</v>
      </c>
      <c r="K387" t="s">
        <v>65</v>
      </c>
      <c r="L387" t="s">
        <v>66</v>
      </c>
      <c r="M387">
        <v>6</v>
      </c>
      <c r="N387" t="s">
        <v>115</v>
      </c>
      <c r="O387">
        <v>2025</v>
      </c>
      <c r="P387">
        <v>8078</v>
      </c>
      <c r="R387" t="s">
        <v>1147</v>
      </c>
      <c r="S387" t="str">
        <f>IF(COUNTIF(Tabela2[PROCESSO],Tabela1[[#This Row],[codProcesso]])&gt;0,"Está","Não está")</f>
        <v>Não está</v>
      </c>
      <c r="T387" t="s">
        <v>1148</v>
      </c>
      <c r="X387">
        <v>12</v>
      </c>
      <c r="Y387" t="s">
        <v>54</v>
      </c>
      <c r="Z387" s="5">
        <v>329.9</v>
      </c>
      <c r="AA387" s="5">
        <v>0</v>
      </c>
      <c r="AB387" s="5">
        <v>0</v>
      </c>
      <c r="AC387" s="5">
        <v>0</v>
      </c>
      <c r="AD387" s="5">
        <v>329.9</v>
      </c>
      <c r="AE387" s="5">
        <v>27.49166666666666</v>
      </c>
      <c r="AF387" s="5">
        <v>329.9</v>
      </c>
      <c r="AG387">
        <v>329.9</v>
      </c>
      <c r="AH387">
        <v>27.49166666666666</v>
      </c>
      <c r="AI387">
        <v>329.9</v>
      </c>
      <c r="AJ387">
        <v>329.9</v>
      </c>
      <c r="AK387">
        <v>0</v>
      </c>
      <c r="AL387">
        <v>329.9</v>
      </c>
      <c r="AM387">
        <v>0</v>
      </c>
      <c r="AN387">
        <v>0</v>
      </c>
      <c r="AO387" t="s">
        <v>55</v>
      </c>
      <c r="AP387" t="s">
        <v>1149</v>
      </c>
      <c r="AQ387">
        <v>1</v>
      </c>
    </row>
    <row r="388" spans="1:43" x14ac:dyDescent="0.25">
      <c r="A388" t="s">
        <v>42</v>
      </c>
      <c r="B388" t="s">
        <v>43</v>
      </c>
      <c r="C388" t="s">
        <v>44</v>
      </c>
      <c r="D388" t="s">
        <v>45</v>
      </c>
      <c r="E388">
        <v>14</v>
      </c>
      <c r="F388">
        <v>122</v>
      </c>
      <c r="G388">
        <v>3024</v>
      </c>
      <c r="H388">
        <v>2100</v>
      </c>
      <c r="I388" t="s">
        <v>186</v>
      </c>
      <c r="J388" t="s">
        <v>361</v>
      </c>
      <c r="K388" t="s">
        <v>58</v>
      </c>
      <c r="L388" t="s">
        <v>59</v>
      </c>
      <c r="M388">
        <v>12</v>
      </c>
      <c r="N388" t="s">
        <v>60</v>
      </c>
      <c r="O388">
        <v>2025</v>
      </c>
      <c r="P388">
        <v>7116</v>
      </c>
      <c r="R388" t="s">
        <v>1103</v>
      </c>
      <c r="S388" t="str">
        <f>IF(COUNTIF(Tabela2[PROCESSO],Tabela1[[#This Row],[codProcesso]])&gt;0,"Está","Não está")</f>
        <v>Não está</v>
      </c>
      <c r="T388" t="s">
        <v>1104</v>
      </c>
      <c r="W388" t="s">
        <v>1031</v>
      </c>
      <c r="X388">
        <v>12</v>
      </c>
      <c r="Y388" t="s">
        <v>54</v>
      </c>
      <c r="Z388" s="5">
        <v>300</v>
      </c>
      <c r="AA388" s="5">
        <v>0</v>
      </c>
      <c r="AB388" s="5">
        <v>0</v>
      </c>
      <c r="AC388" s="5">
        <v>0</v>
      </c>
      <c r="AD388" s="5">
        <v>300</v>
      </c>
      <c r="AE388" s="5">
        <v>25</v>
      </c>
      <c r="AF388" s="5">
        <v>300</v>
      </c>
      <c r="AG388">
        <v>300</v>
      </c>
      <c r="AH388">
        <v>25</v>
      </c>
      <c r="AI388">
        <v>300</v>
      </c>
      <c r="AJ388">
        <v>300</v>
      </c>
      <c r="AK388">
        <v>0</v>
      </c>
      <c r="AL388">
        <v>300</v>
      </c>
      <c r="AM388">
        <v>300</v>
      </c>
      <c r="AN388">
        <v>300</v>
      </c>
      <c r="AO388" t="s">
        <v>55</v>
      </c>
      <c r="AP388" t="s">
        <v>1105</v>
      </c>
      <c r="AQ388">
        <v>1</v>
      </c>
    </row>
    <row r="389" spans="1:43" x14ac:dyDescent="0.25">
      <c r="A389" t="s">
        <v>42</v>
      </c>
      <c r="B389" t="s">
        <v>43</v>
      </c>
      <c r="C389" t="s">
        <v>44</v>
      </c>
      <c r="D389" t="s">
        <v>45</v>
      </c>
      <c r="E389">
        <v>14</v>
      </c>
      <c r="F389">
        <v>122</v>
      </c>
      <c r="G389">
        <v>3024</v>
      </c>
      <c r="H389">
        <v>2100</v>
      </c>
      <c r="I389" t="s">
        <v>186</v>
      </c>
      <c r="J389" t="s">
        <v>749</v>
      </c>
      <c r="K389" t="s">
        <v>58</v>
      </c>
      <c r="L389" t="s">
        <v>59</v>
      </c>
      <c r="M389">
        <v>12</v>
      </c>
      <c r="N389" t="s">
        <v>60</v>
      </c>
      <c r="O389">
        <v>2025</v>
      </c>
      <c r="P389">
        <v>7306</v>
      </c>
      <c r="R389" t="s">
        <v>1114</v>
      </c>
      <c r="S389" t="str">
        <f>IF(COUNTIF(Tabela2[PROCESSO],Tabela1[[#This Row],[codProcesso]])&gt;0,"Está","Não está")</f>
        <v>Não está</v>
      </c>
      <c r="T389" t="s">
        <v>1115</v>
      </c>
      <c r="W389" t="s">
        <v>1116</v>
      </c>
      <c r="X389">
        <v>12</v>
      </c>
      <c r="Y389" t="s">
        <v>54</v>
      </c>
      <c r="Z389" s="5">
        <v>287</v>
      </c>
      <c r="AA389" s="5">
        <v>0</v>
      </c>
      <c r="AB389" s="5">
        <v>0</v>
      </c>
      <c r="AC389" s="5">
        <v>0</v>
      </c>
      <c r="AD389" s="5">
        <v>287</v>
      </c>
      <c r="AE389" s="5">
        <v>23.916666666666671</v>
      </c>
      <c r="AF389" s="5">
        <v>287</v>
      </c>
      <c r="AG389">
        <v>287</v>
      </c>
      <c r="AH389">
        <v>23.916666666666671</v>
      </c>
      <c r="AI389">
        <v>287</v>
      </c>
      <c r="AJ389">
        <v>287</v>
      </c>
      <c r="AK389">
        <v>0</v>
      </c>
      <c r="AL389">
        <v>287</v>
      </c>
      <c r="AM389">
        <v>287</v>
      </c>
      <c r="AN389">
        <v>287</v>
      </c>
      <c r="AO389" t="s">
        <v>55</v>
      </c>
      <c r="AP389" t="s">
        <v>1117</v>
      </c>
      <c r="AQ389">
        <v>1</v>
      </c>
    </row>
    <row r="390" spans="1:43" x14ac:dyDescent="0.25">
      <c r="A390" t="s">
        <v>42</v>
      </c>
      <c r="B390" t="s">
        <v>43</v>
      </c>
      <c r="C390" t="s">
        <v>44</v>
      </c>
      <c r="D390" t="s">
        <v>45</v>
      </c>
      <c r="E390">
        <v>14</v>
      </c>
      <c r="F390">
        <v>422</v>
      </c>
      <c r="G390">
        <v>3013</v>
      </c>
      <c r="H390">
        <v>6178</v>
      </c>
      <c r="I390" t="s">
        <v>57</v>
      </c>
      <c r="J390" t="s">
        <v>749</v>
      </c>
      <c r="K390" t="s">
        <v>1138</v>
      </c>
      <c r="L390" t="s">
        <v>1139</v>
      </c>
      <c r="M390">
        <v>8</v>
      </c>
      <c r="N390" t="s">
        <v>50</v>
      </c>
      <c r="O390">
        <v>2025</v>
      </c>
      <c r="P390">
        <v>7976</v>
      </c>
      <c r="R390" t="s">
        <v>1140</v>
      </c>
      <c r="S390" t="str">
        <f>IF(COUNTIF(Tabela2[PROCESSO],Tabela1[[#This Row],[codProcesso]])&gt;0,"Está","Não está")</f>
        <v>Não está</v>
      </c>
      <c r="T390" t="s">
        <v>1141</v>
      </c>
      <c r="W390" t="s">
        <v>675</v>
      </c>
      <c r="X390">
        <v>12</v>
      </c>
      <c r="Y390" t="s">
        <v>54</v>
      </c>
      <c r="Z390" s="5">
        <v>130.16</v>
      </c>
      <c r="AA390" s="5">
        <v>0</v>
      </c>
      <c r="AB390" s="5">
        <v>69.84</v>
      </c>
      <c r="AC390" s="5">
        <v>47.51</v>
      </c>
      <c r="AD390" s="5">
        <v>152.49</v>
      </c>
      <c r="AE390" s="5">
        <v>12.7075</v>
      </c>
      <c r="AF390" s="5">
        <v>152.49</v>
      </c>
      <c r="AG390">
        <v>152.49</v>
      </c>
      <c r="AH390">
        <v>12.7075</v>
      </c>
      <c r="AI390">
        <v>152.49</v>
      </c>
      <c r="AJ390">
        <v>330.16</v>
      </c>
      <c r="AK390">
        <v>177.67</v>
      </c>
      <c r="AL390">
        <v>152.49</v>
      </c>
      <c r="AM390">
        <v>152.49</v>
      </c>
      <c r="AN390">
        <v>152.49</v>
      </c>
      <c r="AO390" t="s">
        <v>55</v>
      </c>
      <c r="AP390" t="s">
        <v>1142</v>
      </c>
      <c r="AQ390">
        <v>1</v>
      </c>
    </row>
    <row r="391" spans="1:43" x14ac:dyDescent="0.25">
      <c r="A391" t="s">
        <v>42</v>
      </c>
      <c r="B391" t="s">
        <v>43</v>
      </c>
      <c r="C391" t="s">
        <v>44</v>
      </c>
      <c r="D391" t="s">
        <v>45</v>
      </c>
      <c r="E391">
        <v>14</v>
      </c>
      <c r="F391">
        <v>122</v>
      </c>
      <c r="G391">
        <v>3024</v>
      </c>
      <c r="H391">
        <v>2100</v>
      </c>
      <c r="I391" t="s">
        <v>186</v>
      </c>
      <c r="J391" t="s">
        <v>1240</v>
      </c>
      <c r="K391" t="s">
        <v>58</v>
      </c>
      <c r="L391" t="s">
        <v>59</v>
      </c>
      <c r="M391">
        <v>12</v>
      </c>
      <c r="N391" t="s">
        <v>60</v>
      </c>
      <c r="O391">
        <v>2025</v>
      </c>
      <c r="P391">
        <v>11683</v>
      </c>
      <c r="R391" t="s">
        <v>1346</v>
      </c>
      <c r="S391" t="str">
        <f>IF(COUNTIF(Tabela2[PROCESSO],Tabela1[[#This Row],[codProcesso]])&gt;0,"Está","Não está")</f>
        <v>Não está</v>
      </c>
      <c r="T391" t="s">
        <v>1347</v>
      </c>
      <c r="W391" t="s">
        <v>1348</v>
      </c>
      <c r="X391">
        <v>12</v>
      </c>
      <c r="Y391" t="s">
        <v>54</v>
      </c>
      <c r="Z391" s="5">
        <v>100</v>
      </c>
      <c r="AA391" s="5">
        <v>0</v>
      </c>
      <c r="AB391" s="5">
        <v>0</v>
      </c>
      <c r="AC391" s="5">
        <v>0</v>
      </c>
      <c r="AD391" s="5">
        <v>100</v>
      </c>
      <c r="AE391" s="5">
        <v>8.3333333333333339</v>
      </c>
      <c r="AF391" s="5">
        <v>100</v>
      </c>
      <c r="AG391">
        <v>0</v>
      </c>
      <c r="AH391">
        <v>0</v>
      </c>
      <c r="AI391">
        <v>0</v>
      </c>
      <c r="AJ391">
        <v>100</v>
      </c>
      <c r="AK391">
        <v>0</v>
      </c>
      <c r="AL391">
        <v>100</v>
      </c>
      <c r="AM391">
        <v>100</v>
      </c>
      <c r="AN391">
        <v>100</v>
      </c>
      <c r="AO391" t="s">
        <v>55</v>
      </c>
      <c r="AP391" t="s">
        <v>1349</v>
      </c>
      <c r="AQ391">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8F16-8AD9-42A2-971E-44AF6CFE2016}">
  <dimension ref="A1:Y184"/>
  <sheetViews>
    <sheetView topLeftCell="A94" workbookViewId="0">
      <selection activeCell="A3" sqref="A3:Y184"/>
    </sheetView>
  </sheetViews>
  <sheetFormatPr defaultRowHeight="15" x14ac:dyDescent="0.25"/>
  <cols>
    <col min="1" max="1" width="9.28515625" bestFit="1" customWidth="1"/>
    <col min="2" max="2" width="9.5703125" bestFit="1" customWidth="1"/>
    <col min="3" max="3" width="10.42578125" bestFit="1" customWidth="1"/>
    <col min="4" max="4" width="18.28515625" bestFit="1" customWidth="1"/>
    <col min="5" max="5" width="13.85546875" bestFit="1" customWidth="1"/>
    <col min="6" max="6" width="45" bestFit="1" customWidth="1"/>
    <col min="7" max="7" width="17.42578125" bestFit="1" customWidth="1"/>
    <col min="8" max="8" width="26.140625" bestFit="1" customWidth="1"/>
    <col min="9" max="9" width="166.42578125" bestFit="1" customWidth="1"/>
    <col min="10" max="10" width="109.42578125" bestFit="1" customWidth="1"/>
    <col min="11" max="11" width="11.7109375" bestFit="1" customWidth="1"/>
    <col min="12" max="12" width="21" bestFit="1" customWidth="1"/>
    <col min="13" max="13" width="29.140625" bestFit="1" customWidth="1"/>
    <col min="14" max="14" width="15.5703125" bestFit="1" customWidth="1"/>
    <col min="15" max="16" width="15.140625" bestFit="1" customWidth="1"/>
    <col min="17" max="24" width="15.5703125" bestFit="1" customWidth="1"/>
    <col min="25" max="25" width="17.85546875" bestFit="1" customWidth="1"/>
  </cols>
  <sheetData>
    <row r="1" spans="1:25" x14ac:dyDescent="0.25">
      <c r="A1" s="11" t="s">
        <v>3154</v>
      </c>
    </row>
    <row r="3" spans="1:25" x14ac:dyDescent="0.25">
      <c r="A3" t="s">
        <v>1863</v>
      </c>
      <c r="B3" t="s">
        <v>1864</v>
      </c>
      <c r="C3" t="s">
        <v>1865</v>
      </c>
      <c r="D3" t="s">
        <v>1866</v>
      </c>
      <c r="E3" t="s">
        <v>2469</v>
      </c>
      <c r="F3" t="s">
        <v>1867</v>
      </c>
      <c r="G3" t="s">
        <v>1868</v>
      </c>
      <c r="H3" t="s">
        <v>1869</v>
      </c>
      <c r="I3" t="s">
        <v>1870</v>
      </c>
      <c r="J3" t="s">
        <v>1871</v>
      </c>
      <c r="K3" t="s">
        <v>1872</v>
      </c>
      <c r="L3" t="s">
        <v>1873</v>
      </c>
      <c r="M3" t="s">
        <v>1874</v>
      </c>
      <c r="N3" t="s">
        <v>1875</v>
      </c>
      <c r="O3" t="s">
        <v>1876</v>
      </c>
      <c r="P3" t="s">
        <v>1877</v>
      </c>
      <c r="Q3" t="s">
        <v>1878</v>
      </c>
      <c r="R3" t="s">
        <v>1879</v>
      </c>
      <c r="S3" t="s">
        <v>1880</v>
      </c>
      <c r="T3" t="s">
        <v>1881</v>
      </c>
      <c r="U3" t="s">
        <v>1882</v>
      </c>
      <c r="V3" t="s">
        <v>1883</v>
      </c>
      <c r="W3" t="s">
        <v>1884</v>
      </c>
      <c r="X3" t="s">
        <v>1885</v>
      </c>
      <c r="Y3" t="s">
        <v>1886</v>
      </c>
    </row>
    <row r="4" spans="1:25" x14ac:dyDescent="0.25">
      <c r="A4" t="s">
        <v>1887</v>
      </c>
      <c r="B4" t="s">
        <v>2477</v>
      </c>
      <c r="C4" t="s">
        <v>1889</v>
      </c>
      <c r="D4">
        <v>6074202400102200</v>
      </c>
      <c r="E4" t="s">
        <v>2472</v>
      </c>
      <c r="F4" t="s">
        <v>2486</v>
      </c>
      <c r="G4" t="s">
        <v>2083</v>
      </c>
      <c r="H4" t="s">
        <v>2550</v>
      </c>
      <c r="I4" t="s">
        <v>2551</v>
      </c>
      <c r="J4" t="s">
        <v>2552</v>
      </c>
      <c r="K4" s="3">
        <v>47096</v>
      </c>
      <c r="L4">
        <v>537264.12</v>
      </c>
      <c r="M4">
        <v>44772.01</v>
      </c>
      <c r="N4">
        <v>44772.01</v>
      </c>
      <c r="O4">
        <v>44772.01</v>
      </c>
      <c r="P4">
        <v>44772.01</v>
      </c>
      <c r="Q4">
        <v>44772.01</v>
      </c>
      <c r="R4">
        <v>44772.01</v>
      </c>
      <c r="S4">
        <v>44772.01</v>
      </c>
      <c r="T4">
        <v>44772.01</v>
      </c>
      <c r="U4">
        <v>44772.01</v>
      </c>
      <c r="V4">
        <v>44772.01</v>
      </c>
      <c r="W4">
        <v>44772.01</v>
      </c>
      <c r="X4">
        <v>44772.01</v>
      </c>
      <c r="Y4">
        <v>44772.01</v>
      </c>
    </row>
    <row r="5" spans="1:25" x14ac:dyDescent="0.25">
      <c r="A5" t="s">
        <v>1887</v>
      </c>
      <c r="B5" t="s">
        <v>2477</v>
      </c>
      <c r="C5" t="s">
        <v>1889</v>
      </c>
      <c r="D5">
        <v>6074202400095470</v>
      </c>
      <c r="E5" t="s">
        <v>2472</v>
      </c>
      <c r="F5" t="s">
        <v>2486</v>
      </c>
      <c r="G5" t="s">
        <v>2083</v>
      </c>
      <c r="H5" t="s">
        <v>2548</v>
      </c>
      <c r="I5" t="s">
        <v>2549</v>
      </c>
      <c r="J5" t="s">
        <v>2489</v>
      </c>
      <c r="K5" s="3">
        <v>47069</v>
      </c>
      <c r="L5">
        <v>727578.72</v>
      </c>
      <c r="M5">
        <v>60631.56</v>
      </c>
      <c r="N5">
        <v>60631.56</v>
      </c>
      <c r="O5">
        <v>60631.56</v>
      </c>
      <c r="P5">
        <v>60631.56</v>
      </c>
      <c r="Q5">
        <v>60631.56</v>
      </c>
      <c r="R5">
        <v>60631.56</v>
      </c>
      <c r="S5">
        <v>60631.56</v>
      </c>
      <c r="T5">
        <v>60631.56</v>
      </c>
      <c r="U5">
        <v>60631.56</v>
      </c>
      <c r="V5">
        <v>60631.56</v>
      </c>
      <c r="W5">
        <v>60631.56</v>
      </c>
      <c r="X5">
        <v>60631.56</v>
      </c>
      <c r="Y5">
        <v>60631.56</v>
      </c>
    </row>
    <row r="6" spans="1:25" x14ac:dyDescent="0.25">
      <c r="A6" t="s">
        <v>1887</v>
      </c>
      <c r="B6" t="s">
        <v>2477</v>
      </c>
      <c r="C6" t="s">
        <v>1889</v>
      </c>
      <c r="D6">
        <v>6074202400089710</v>
      </c>
      <c r="E6" t="s">
        <v>2472</v>
      </c>
      <c r="F6" t="s">
        <v>2486</v>
      </c>
      <c r="G6" t="s">
        <v>2083</v>
      </c>
      <c r="H6" t="s">
        <v>2546</v>
      </c>
      <c r="I6" t="s">
        <v>2547</v>
      </c>
      <c r="J6" t="s">
        <v>2528</v>
      </c>
      <c r="K6" s="3">
        <v>47053</v>
      </c>
      <c r="L6">
        <v>587579.64</v>
      </c>
      <c r="M6">
        <v>48964.97</v>
      </c>
      <c r="N6">
        <v>48964.97</v>
      </c>
      <c r="O6">
        <v>48964.97</v>
      </c>
      <c r="P6">
        <v>48964.97</v>
      </c>
      <c r="Q6">
        <v>48964.97</v>
      </c>
      <c r="R6">
        <v>48964.97</v>
      </c>
      <c r="S6">
        <v>48964.97</v>
      </c>
      <c r="T6">
        <v>48964.97</v>
      </c>
      <c r="U6">
        <v>48964.97</v>
      </c>
      <c r="V6">
        <v>48964.97</v>
      </c>
      <c r="W6">
        <v>48964.97</v>
      </c>
      <c r="X6">
        <v>48964.97</v>
      </c>
      <c r="Y6">
        <v>48964.97</v>
      </c>
    </row>
    <row r="7" spans="1:25" x14ac:dyDescent="0.25">
      <c r="A7" t="s">
        <v>1887</v>
      </c>
      <c r="B7" t="s">
        <v>2477</v>
      </c>
      <c r="C7" t="s">
        <v>1889</v>
      </c>
      <c r="D7">
        <v>6074202400074010</v>
      </c>
      <c r="E7" t="s">
        <v>2472</v>
      </c>
      <c r="F7" t="s">
        <v>2486</v>
      </c>
      <c r="G7" t="s">
        <v>2083</v>
      </c>
      <c r="H7" t="s">
        <v>2544</v>
      </c>
      <c r="I7" t="s">
        <v>2545</v>
      </c>
      <c r="J7" t="s">
        <v>2498</v>
      </c>
      <c r="K7" s="3">
        <v>47010</v>
      </c>
      <c r="L7">
        <v>598404.12</v>
      </c>
      <c r="M7">
        <v>49867.01</v>
      </c>
      <c r="N7">
        <v>49867.01</v>
      </c>
      <c r="O7">
        <v>49867.01</v>
      </c>
      <c r="P7">
        <v>49867.01</v>
      </c>
      <c r="Q7">
        <v>49867.01</v>
      </c>
      <c r="R7">
        <v>49867.01</v>
      </c>
      <c r="S7">
        <v>49867.01</v>
      </c>
      <c r="T7">
        <v>49867.01</v>
      </c>
      <c r="U7">
        <v>49867.01</v>
      </c>
      <c r="V7">
        <v>49867.01</v>
      </c>
      <c r="W7">
        <v>49867.01</v>
      </c>
      <c r="X7">
        <v>49867.01</v>
      </c>
      <c r="Y7">
        <v>49867.01</v>
      </c>
    </row>
    <row r="8" spans="1:25" x14ac:dyDescent="0.25">
      <c r="A8" t="s">
        <v>1887</v>
      </c>
      <c r="B8" t="s">
        <v>2477</v>
      </c>
      <c r="C8" t="s">
        <v>1889</v>
      </c>
      <c r="D8">
        <v>6074202400102310</v>
      </c>
      <c r="E8" t="s">
        <v>2472</v>
      </c>
      <c r="F8" t="s">
        <v>2486</v>
      </c>
      <c r="G8" t="s">
        <v>2083</v>
      </c>
      <c r="H8" t="s">
        <v>2542</v>
      </c>
      <c r="I8" t="s">
        <v>2543</v>
      </c>
      <c r="J8" t="s">
        <v>2539</v>
      </c>
      <c r="K8" s="3">
        <v>46934</v>
      </c>
      <c r="L8">
        <v>613770.36</v>
      </c>
      <c r="M8">
        <v>51147.53</v>
      </c>
      <c r="N8">
        <v>51147.53</v>
      </c>
      <c r="O8">
        <v>51147.53</v>
      </c>
      <c r="P8">
        <v>51147.53</v>
      </c>
      <c r="Q8">
        <v>51147.53</v>
      </c>
      <c r="R8">
        <v>51147.53</v>
      </c>
      <c r="S8">
        <v>51147.53</v>
      </c>
      <c r="T8">
        <v>51147.53</v>
      </c>
      <c r="U8">
        <v>51147.53</v>
      </c>
      <c r="V8">
        <v>51147.53</v>
      </c>
      <c r="W8">
        <v>51147.53</v>
      </c>
      <c r="X8">
        <v>51147.53</v>
      </c>
      <c r="Y8">
        <v>51147.53</v>
      </c>
    </row>
    <row r="9" spans="1:25" x14ac:dyDescent="0.25">
      <c r="A9" t="s">
        <v>1887</v>
      </c>
      <c r="B9" t="s">
        <v>2477</v>
      </c>
      <c r="C9" t="s">
        <v>1889</v>
      </c>
      <c r="D9">
        <v>6074202400095440</v>
      </c>
      <c r="E9" t="s">
        <v>2472</v>
      </c>
      <c r="F9" t="s">
        <v>2486</v>
      </c>
      <c r="G9" t="s">
        <v>2083</v>
      </c>
      <c r="H9" t="s">
        <v>2540</v>
      </c>
      <c r="I9" t="s">
        <v>2541</v>
      </c>
      <c r="J9" t="s">
        <v>2495</v>
      </c>
      <c r="K9" s="3">
        <v>46336</v>
      </c>
      <c r="L9">
        <v>461831.88</v>
      </c>
      <c r="M9">
        <v>38485.99</v>
      </c>
      <c r="N9">
        <v>38104.94</v>
      </c>
      <c r="O9">
        <v>38104.94</v>
      </c>
      <c r="P9">
        <v>38104.94</v>
      </c>
      <c r="Q9">
        <v>38104.94</v>
      </c>
      <c r="R9">
        <v>38104.94</v>
      </c>
      <c r="S9">
        <v>38104.94</v>
      </c>
      <c r="T9">
        <v>38104.94</v>
      </c>
      <c r="U9">
        <v>38104.94</v>
      </c>
      <c r="V9">
        <v>38104.94</v>
      </c>
      <c r="W9">
        <v>38104.94</v>
      </c>
      <c r="X9">
        <v>40391.24</v>
      </c>
      <c r="Y9">
        <v>40391.24</v>
      </c>
    </row>
    <row r="10" spans="1:25" x14ac:dyDescent="0.25">
      <c r="A10" t="s">
        <v>1887</v>
      </c>
      <c r="B10" t="s">
        <v>1888</v>
      </c>
      <c r="C10" t="s">
        <v>1889</v>
      </c>
      <c r="D10">
        <v>6074201700000330</v>
      </c>
      <c r="E10" t="s">
        <v>2472</v>
      </c>
      <c r="F10" t="s">
        <v>1900</v>
      </c>
      <c r="G10" t="s">
        <v>1901</v>
      </c>
      <c r="H10" t="s">
        <v>1905</v>
      </c>
      <c r="I10" t="s">
        <v>1906</v>
      </c>
      <c r="J10" t="s">
        <v>1907</v>
      </c>
      <c r="K10" s="3">
        <v>46428</v>
      </c>
      <c r="L10">
        <v>4500</v>
      </c>
      <c r="N10" t="s">
        <v>1908</v>
      </c>
      <c r="O10">
        <v>4500</v>
      </c>
      <c r="P10" t="s">
        <v>1908</v>
      </c>
      <c r="Q10" t="s">
        <v>1909</v>
      </c>
      <c r="R10" t="s">
        <v>1909</v>
      </c>
      <c r="S10" t="s">
        <v>1909</v>
      </c>
      <c r="T10" t="s">
        <v>1909</v>
      </c>
      <c r="U10" t="s">
        <v>1909</v>
      </c>
      <c r="V10" t="s">
        <v>1909</v>
      </c>
      <c r="W10" t="s">
        <v>1909</v>
      </c>
      <c r="X10" t="s">
        <v>1909</v>
      </c>
      <c r="Y10" t="s">
        <v>1910</v>
      </c>
    </row>
    <row r="11" spans="1:25" x14ac:dyDescent="0.25">
      <c r="A11" t="s">
        <v>1887</v>
      </c>
      <c r="B11" t="s">
        <v>1888</v>
      </c>
      <c r="C11" t="s">
        <v>1889</v>
      </c>
      <c r="D11">
        <v>6074201700000330</v>
      </c>
      <c r="E11" t="s">
        <v>2472</v>
      </c>
      <c r="F11" t="s">
        <v>1911</v>
      </c>
      <c r="G11" t="s">
        <v>1901</v>
      </c>
      <c r="H11" t="s">
        <v>1905</v>
      </c>
      <c r="I11" t="s">
        <v>1912</v>
      </c>
      <c r="J11" t="s">
        <v>1907</v>
      </c>
      <c r="K11" s="3">
        <v>46428</v>
      </c>
      <c r="L11">
        <v>178220</v>
      </c>
      <c r="M11" t="s">
        <v>1908</v>
      </c>
      <c r="O11">
        <v>178220</v>
      </c>
      <c r="P11" t="s">
        <v>1908</v>
      </c>
      <c r="Q11" t="s">
        <v>1909</v>
      </c>
      <c r="R11" t="s">
        <v>1909</v>
      </c>
      <c r="S11" t="s">
        <v>1909</v>
      </c>
      <c r="T11" t="s">
        <v>1909</v>
      </c>
      <c r="U11" t="s">
        <v>1909</v>
      </c>
      <c r="V11" t="s">
        <v>1909</v>
      </c>
      <c r="W11" t="s">
        <v>1909</v>
      </c>
      <c r="X11" t="s">
        <v>1909</v>
      </c>
      <c r="Y11" t="s">
        <v>1910</v>
      </c>
    </row>
    <row r="12" spans="1:25" x14ac:dyDescent="0.25">
      <c r="A12" t="s">
        <v>1887</v>
      </c>
      <c r="B12" t="s">
        <v>1888</v>
      </c>
      <c r="C12" t="s">
        <v>1889</v>
      </c>
      <c r="D12">
        <v>6074201700000330</v>
      </c>
      <c r="E12" t="s">
        <v>2472</v>
      </c>
      <c r="F12" t="s">
        <v>1900</v>
      </c>
      <c r="G12" t="s">
        <v>1901</v>
      </c>
      <c r="H12" t="s">
        <v>1905</v>
      </c>
      <c r="I12" t="s">
        <v>1913</v>
      </c>
      <c r="J12" t="s">
        <v>1907</v>
      </c>
      <c r="K12" s="3">
        <v>46428</v>
      </c>
      <c r="L12">
        <v>2286215.62</v>
      </c>
      <c r="M12">
        <v>191701.31</v>
      </c>
      <c r="N12">
        <v>177501.21</v>
      </c>
      <c r="O12">
        <v>191701.31</v>
      </c>
      <c r="P12">
        <v>191701.31</v>
      </c>
      <c r="Q12">
        <v>191701.31</v>
      </c>
      <c r="R12">
        <v>191701.31</v>
      </c>
      <c r="S12">
        <v>191701.31</v>
      </c>
      <c r="T12">
        <v>191701.31</v>
      </c>
      <c r="U12">
        <v>191701.31</v>
      </c>
      <c r="V12">
        <v>191701.31</v>
      </c>
      <c r="W12">
        <v>191701.31</v>
      </c>
      <c r="X12">
        <v>191701.31</v>
      </c>
      <c r="Y12">
        <v>191701.31</v>
      </c>
    </row>
    <row r="13" spans="1:25" x14ac:dyDescent="0.25">
      <c r="A13" t="s">
        <v>1887</v>
      </c>
      <c r="B13" t="s">
        <v>2477</v>
      </c>
      <c r="C13" t="s">
        <v>1889</v>
      </c>
      <c r="D13">
        <v>6074202400102280</v>
      </c>
      <c r="E13" t="s">
        <v>2472</v>
      </c>
      <c r="F13" t="s">
        <v>2486</v>
      </c>
      <c r="G13" t="s">
        <v>2083</v>
      </c>
      <c r="H13" t="s">
        <v>2537</v>
      </c>
      <c r="I13" t="s">
        <v>2538</v>
      </c>
      <c r="J13" t="s">
        <v>2539</v>
      </c>
      <c r="K13" s="3">
        <v>46934</v>
      </c>
      <c r="L13">
        <v>535867.92000000004</v>
      </c>
      <c r="M13">
        <v>44655.66</v>
      </c>
      <c r="N13">
        <v>44655.66</v>
      </c>
      <c r="O13">
        <v>44655.66</v>
      </c>
      <c r="P13">
        <v>44655.66</v>
      </c>
      <c r="Q13">
        <v>44655.66</v>
      </c>
      <c r="R13">
        <v>44655.66</v>
      </c>
      <c r="S13">
        <v>44655.66</v>
      </c>
      <c r="T13">
        <v>44655.66</v>
      </c>
      <c r="U13">
        <v>44655.66</v>
      </c>
      <c r="V13">
        <v>44655.66</v>
      </c>
      <c r="W13">
        <v>44655.66</v>
      </c>
      <c r="X13">
        <v>44655.66</v>
      </c>
      <c r="Y13">
        <v>44655.66</v>
      </c>
    </row>
    <row r="14" spans="1:25" x14ac:dyDescent="0.25">
      <c r="A14" t="s">
        <v>1887</v>
      </c>
      <c r="B14" t="s">
        <v>2477</v>
      </c>
      <c r="C14" t="s">
        <v>1889</v>
      </c>
      <c r="D14">
        <v>6074202400095510</v>
      </c>
      <c r="E14" t="s">
        <v>2472</v>
      </c>
      <c r="F14" t="s">
        <v>2486</v>
      </c>
      <c r="G14" t="s">
        <v>2083</v>
      </c>
      <c r="H14" t="s">
        <v>2534</v>
      </c>
      <c r="I14" t="s">
        <v>2535</v>
      </c>
      <c r="J14" t="s">
        <v>2536</v>
      </c>
      <c r="K14" s="3">
        <v>46904</v>
      </c>
      <c r="L14">
        <v>517105.32</v>
      </c>
      <c r="M14">
        <v>43092.11</v>
      </c>
      <c r="N14">
        <v>43092.11</v>
      </c>
      <c r="O14">
        <v>43092.11</v>
      </c>
      <c r="P14">
        <v>43092.11</v>
      </c>
      <c r="Q14">
        <v>43092.11</v>
      </c>
      <c r="R14">
        <v>43092.11</v>
      </c>
      <c r="S14">
        <v>43092.11</v>
      </c>
      <c r="T14">
        <v>43092.11</v>
      </c>
      <c r="U14">
        <v>43092.11</v>
      </c>
      <c r="V14">
        <v>43092.11</v>
      </c>
      <c r="W14">
        <v>43092.11</v>
      </c>
      <c r="X14">
        <v>43092.11</v>
      </c>
      <c r="Y14">
        <v>43092.11</v>
      </c>
    </row>
    <row r="15" spans="1:25" x14ac:dyDescent="0.25">
      <c r="A15" t="s">
        <v>1887</v>
      </c>
      <c r="B15" t="s">
        <v>2477</v>
      </c>
      <c r="C15" t="s">
        <v>1889</v>
      </c>
      <c r="D15">
        <v>6074202400102230</v>
      </c>
      <c r="E15" t="s">
        <v>2472</v>
      </c>
      <c r="F15" t="s">
        <v>2486</v>
      </c>
      <c r="G15" t="s">
        <v>2083</v>
      </c>
      <c r="H15" t="s">
        <v>2532</v>
      </c>
      <c r="I15" t="s">
        <v>2533</v>
      </c>
      <c r="J15" t="s">
        <v>2525</v>
      </c>
      <c r="K15" s="3">
        <v>47284</v>
      </c>
      <c r="L15">
        <v>504570.48</v>
      </c>
      <c r="M15">
        <v>42047.54</v>
      </c>
      <c r="N15">
        <v>42047.54</v>
      </c>
      <c r="O15">
        <v>42047.54</v>
      </c>
      <c r="P15">
        <v>42047.54</v>
      </c>
      <c r="Q15">
        <v>42047.54</v>
      </c>
      <c r="R15">
        <v>42047.54</v>
      </c>
      <c r="S15">
        <v>42047.54</v>
      </c>
      <c r="T15">
        <v>42047.54</v>
      </c>
      <c r="U15">
        <v>42047.54</v>
      </c>
      <c r="V15">
        <v>42047.54</v>
      </c>
      <c r="W15">
        <v>42047.54</v>
      </c>
      <c r="X15">
        <v>42047.54</v>
      </c>
      <c r="Y15">
        <v>42047.54</v>
      </c>
    </row>
    <row r="16" spans="1:25" x14ac:dyDescent="0.25">
      <c r="A16" t="s">
        <v>1887</v>
      </c>
      <c r="B16" t="s">
        <v>2477</v>
      </c>
      <c r="C16" t="s">
        <v>1889</v>
      </c>
      <c r="D16">
        <v>6074202400063000</v>
      </c>
      <c r="E16" t="s">
        <v>2472</v>
      </c>
      <c r="F16" t="s">
        <v>2486</v>
      </c>
      <c r="G16" t="s">
        <v>2083</v>
      </c>
      <c r="H16" t="s">
        <v>2529</v>
      </c>
      <c r="I16" t="s">
        <v>2530</v>
      </c>
      <c r="J16" t="s">
        <v>2531</v>
      </c>
      <c r="K16" s="3">
        <v>46185</v>
      </c>
      <c r="L16">
        <v>625891.24</v>
      </c>
      <c r="M16">
        <v>52157.599999999999</v>
      </c>
      <c r="N16">
        <v>50638.44</v>
      </c>
      <c r="O16">
        <v>50638.46</v>
      </c>
      <c r="P16">
        <v>50638.46</v>
      </c>
      <c r="Q16">
        <v>50638.46</v>
      </c>
      <c r="R16">
        <v>50638.46</v>
      </c>
      <c r="S16">
        <v>50638.46</v>
      </c>
      <c r="T16">
        <v>53676.75</v>
      </c>
      <c r="U16">
        <v>53676.75</v>
      </c>
      <c r="V16">
        <v>53676.75</v>
      </c>
      <c r="W16">
        <v>53676.75</v>
      </c>
      <c r="X16">
        <v>53676.75</v>
      </c>
      <c r="Y16">
        <v>53676.75</v>
      </c>
    </row>
    <row r="17" spans="1:25" x14ac:dyDescent="0.25">
      <c r="A17" t="s">
        <v>1887</v>
      </c>
      <c r="B17" t="s">
        <v>2477</v>
      </c>
      <c r="C17" t="s">
        <v>1889</v>
      </c>
      <c r="D17">
        <v>6074202400089750</v>
      </c>
      <c r="E17" t="s">
        <v>2472</v>
      </c>
      <c r="F17" t="s">
        <v>2486</v>
      </c>
      <c r="G17" t="s">
        <v>2083</v>
      </c>
      <c r="H17" t="s">
        <v>2526</v>
      </c>
      <c r="I17" t="s">
        <v>2527</v>
      </c>
      <c r="J17" t="s">
        <v>2528</v>
      </c>
      <c r="K17" s="3">
        <v>47239</v>
      </c>
      <c r="L17">
        <v>526183.19999999995</v>
      </c>
      <c r="M17">
        <v>43848.6</v>
      </c>
      <c r="N17">
        <v>43848.6</v>
      </c>
      <c r="O17">
        <v>43848.6</v>
      </c>
      <c r="P17">
        <v>43848.6</v>
      </c>
      <c r="Q17">
        <v>43848.6</v>
      </c>
      <c r="R17">
        <v>43848.6</v>
      </c>
      <c r="S17">
        <v>43848.6</v>
      </c>
      <c r="T17">
        <v>43848.6</v>
      </c>
      <c r="U17">
        <v>43848.6</v>
      </c>
      <c r="V17">
        <v>43848.6</v>
      </c>
      <c r="W17">
        <v>43848.6</v>
      </c>
      <c r="X17">
        <v>43848.6</v>
      </c>
      <c r="Y17">
        <v>43848.6</v>
      </c>
    </row>
    <row r="18" spans="1:25" x14ac:dyDescent="0.25">
      <c r="A18" t="s">
        <v>1887</v>
      </c>
      <c r="B18" t="s">
        <v>2477</v>
      </c>
      <c r="C18" t="s">
        <v>1889</v>
      </c>
      <c r="D18">
        <v>6074202400095530</v>
      </c>
      <c r="E18" t="s">
        <v>2472</v>
      </c>
      <c r="F18" t="s">
        <v>2486</v>
      </c>
      <c r="G18" t="s">
        <v>2083</v>
      </c>
      <c r="H18" t="s">
        <v>2523</v>
      </c>
      <c r="I18" t="s">
        <v>2524</v>
      </c>
      <c r="J18" t="s">
        <v>2525</v>
      </c>
      <c r="K18" s="3">
        <v>45993</v>
      </c>
      <c r="L18">
        <v>564492.36</v>
      </c>
      <c r="M18">
        <v>47041.03</v>
      </c>
      <c r="N18">
        <v>47041.03</v>
      </c>
      <c r="O18">
        <v>47041.03</v>
      </c>
      <c r="P18">
        <v>47041.03</v>
      </c>
      <c r="Q18">
        <v>47041.03</v>
      </c>
      <c r="R18">
        <v>47041.03</v>
      </c>
      <c r="S18">
        <v>47041.03</v>
      </c>
      <c r="T18">
        <v>47041.03</v>
      </c>
      <c r="U18">
        <v>47041.03</v>
      </c>
      <c r="V18">
        <v>47041.03</v>
      </c>
      <c r="W18">
        <v>47041.03</v>
      </c>
      <c r="X18">
        <v>47041.03</v>
      </c>
      <c r="Y18">
        <v>47041.03</v>
      </c>
    </row>
    <row r="19" spans="1:25" x14ac:dyDescent="0.25">
      <c r="A19" t="s">
        <v>1887</v>
      </c>
      <c r="B19" t="s">
        <v>2477</v>
      </c>
      <c r="C19" t="s">
        <v>1889</v>
      </c>
      <c r="D19">
        <v>6074202400073980</v>
      </c>
      <c r="E19" t="s">
        <v>2472</v>
      </c>
      <c r="F19" t="s">
        <v>2486</v>
      </c>
      <c r="G19" t="s">
        <v>2083</v>
      </c>
      <c r="H19" t="s">
        <v>2520</v>
      </c>
      <c r="I19" t="s">
        <v>2521</v>
      </c>
      <c r="J19" t="s">
        <v>2522</v>
      </c>
      <c r="K19" s="3">
        <v>46843</v>
      </c>
      <c r="L19">
        <v>442825.56</v>
      </c>
      <c r="M19">
        <v>36902.129999999997</v>
      </c>
      <c r="N19">
        <v>36902.129999999997</v>
      </c>
      <c r="O19">
        <v>36902.129999999997</v>
      </c>
      <c r="P19">
        <v>36902.129999999997</v>
      </c>
      <c r="Q19">
        <v>36902.129999999997</v>
      </c>
      <c r="R19">
        <v>36902.129999999997</v>
      </c>
      <c r="S19">
        <v>36902.129999999997</v>
      </c>
      <c r="T19">
        <v>36902.129999999997</v>
      </c>
      <c r="U19">
        <v>36902.129999999997</v>
      </c>
      <c r="V19">
        <v>36902.129999999997</v>
      </c>
      <c r="W19">
        <v>36902.129999999997</v>
      </c>
      <c r="X19">
        <v>36902.129999999997</v>
      </c>
      <c r="Y19">
        <v>36902.129999999997</v>
      </c>
    </row>
    <row r="20" spans="1:25" x14ac:dyDescent="0.25">
      <c r="A20" t="s">
        <v>1887</v>
      </c>
      <c r="B20" t="s">
        <v>2477</v>
      </c>
      <c r="C20" t="s">
        <v>1889</v>
      </c>
      <c r="D20">
        <v>6074202400064440</v>
      </c>
      <c r="E20" t="s">
        <v>2472</v>
      </c>
      <c r="F20" t="s">
        <v>2486</v>
      </c>
      <c r="G20" t="s">
        <v>2083</v>
      </c>
      <c r="H20" t="s">
        <v>2508</v>
      </c>
      <c r="I20" t="s">
        <v>2509</v>
      </c>
      <c r="J20" t="s">
        <v>2510</v>
      </c>
      <c r="K20" s="3">
        <v>46418</v>
      </c>
      <c r="L20">
        <v>652528.56000000006</v>
      </c>
      <c r="M20">
        <v>54377.38</v>
      </c>
      <c r="N20">
        <v>54377.38</v>
      </c>
      <c r="O20">
        <v>54377.38</v>
      </c>
      <c r="P20">
        <v>54377.38</v>
      </c>
      <c r="Q20">
        <v>54377.38</v>
      </c>
      <c r="R20">
        <v>54377.38</v>
      </c>
      <c r="S20">
        <v>54377.38</v>
      </c>
      <c r="T20">
        <v>54377.38</v>
      </c>
      <c r="U20">
        <v>54377.38</v>
      </c>
      <c r="V20">
        <v>54377.38</v>
      </c>
      <c r="W20">
        <v>54377.38</v>
      </c>
      <c r="X20">
        <v>54377.38</v>
      </c>
      <c r="Y20">
        <v>54377.38</v>
      </c>
    </row>
    <row r="21" spans="1:25" x14ac:dyDescent="0.25">
      <c r="A21" t="s">
        <v>1887</v>
      </c>
      <c r="B21" t="s">
        <v>2477</v>
      </c>
      <c r="C21" t="s">
        <v>1889</v>
      </c>
      <c r="D21">
        <v>6074202400064510</v>
      </c>
      <c r="E21" t="s">
        <v>2472</v>
      </c>
      <c r="F21" t="s">
        <v>2486</v>
      </c>
      <c r="G21" t="s">
        <v>2083</v>
      </c>
      <c r="H21" t="s">
        <v>2506</v>
      </c>
      <c r="I21" t="s">
        <v>2507</v>
      </c>
      <c r="J21" t="s">
        <v>2495</v>
      </c>
      <c r="K21" s="3">
        <v>46418</v>
      </c>
      <c r="L21">
        <v>508284.84</v>
      </c>
      <c r="M21">
        <v>42357.07</v>
      </c>
      <c r="N21">
        <v>42357.07</v>
      </c>
      <c r="O21">
        <v>42357.07</v>
      </c>
      <c r="P21">
        <v>42357.07</v>
      </c>
      <c r="Q21">
        <v>42357.07</v>
      </c>
      <c r="R21">
        <v>42357.07</v>
      </c>
      <c r="S21">
        <v>42357.07</v>
      </c>
      <c r="T21">
        <v>42357.07</v>
      </c>
      <c r="U21">
        <v>42357.07</v>
      </c>
      <c r="V21">
        <v>42357.07</v>
      </c>
      <c r="W21">
        <v>42357.07</v>
      </c>
      <c r="X21">
        <v>42357.07</v>
      </c>
      <c r="Y21">
        <v>42357.07</v>
      </c>
    </row>
    <row r="22" spans="1:25" x14ac:dyDescent="0.25">
      <c r="A22" t="s">
        <v>1887</v>
      </c>
      <c r="B22" t="s">
        <v>2477</v>
      </c>
      <c r="C22" t="s">
        <v>1889</v>
      </c>
      <c r="D22">
        <v>6074201900002390</v>
      </c>
      <c r="E22" t="s">
        <v>2472</v>
      </c>
      <c r="F22" t="s">
        <v>2486</v>
      </c>
      <c r="G22" t="s">
        <v>2083</v>
      </c>
      <c r="H22" t="s">
        <v>2487</v>
      </c>
      <c r="I22" t="s">
        <v>2488</v>
      </c>
      <c r="J22" t="s">
        <v>2489</v>
      </c>
      <c r="K22" s="3">
        <v>45966</v>
      </c>
      <c r="L22">
        <v>2266324.2000000002</v>
      </c>
      <c r="M22">
        <v>188860.35</v>
      </c>
      <c r="N22">
        <v>188860.35</v>
      </c>
      <c r="O22">
        <v>188860.35</v>
      </c>
      <c r="P22">
        <v>188860.35</v>
      </c>
      <c r="Q22">
        <v>188860.35</v>
      </c>
      <c r="R22">
        <v>188860.35</v>
      </c>
      <c r="S22">
        <v>188860.35</v>
      </c>
      <c r="T22">
        <v>188860.35</v>
      </c>
      <c r="U22">
        <v>188860.35</v>
      </c>
      <c r="V22">
        <v>188860.35</v>
      </c>
      <c r="W22">
        <v>188860.35</v>
      </c>
      <c r="X22">
        <v>188860.35</v>
      </c>
      <c r="Y22">
        <v>188860.35</v>
      </c>
    </row>
    <row r="23" spans="1:25" x14ac:dyDescent="0.25">
      <c r="A23" t="s">
        <v>1887</v>
      </c>
      <c r="B23" t="s">
        <v>2477</v>
      </c>
      <c r="C23" t="s">
        <v>1889</v>
      </c>
      <c r="D23" t="s">
        <v>3153</v>
      </c>
      <c r="E23" t="s">
        <v>2472</v>
      </c>
      <c r="F23" t="s">
        <v>2580</v>
      </c>
      <c r="G23" t="s">
        <v>2042</v>
      </c>
      <c r="H23" t="s">
        <v>2581</v>
      </c>
      <c r="I23" t="s">
        <v>2582</v>
      </c>
      <c r="J23" t="s">
        <v>2583</v>
      </c>
      <c r="K23" s="3">
        <v>45861</v>
      </c>
      <c r="L23">
        <v>1225834.8500000001</v>
      </c>
      <c r="M23">
        <v>102152.9</v>
      </c>
      <c r="N23">
        <v>102152.9</v>
      </c>
      <c r="O23">
        <v>102152.9</v>
      </c>
      <c r="P23">
        <v>102152.9</v>
      </c>
      <c r="Q23">
        <v>102152.9</v>
      </c>
      <c r="R23">
        <v>102152.9</v>
      </c>
      <c r="S23">
        <v>102152.9</v>
      </c>
      <c r="T23">
        <v>102152.9</v>
      </c>
      <c r="U23">
        <v>102152.9</v>
      </c>
      <c r="V23">
        <v>102152.9</v>
      </c>
      <c r="W23">
        <v>102152.9</v>
      </c>
      <c r="X23">
        <v>102152.9</v>
      </c>
      <c r="Y23">
        <v>102152.9</v>
      </c>
    </row>
    <row r="24" spans="1:25" x14ac:dyDescent="0.25">
      <c r="A24" t="s">
        <v>1887</v>
      </c>
      <c r="B24" t="s">
        <v>1888</v>
      </c>
      <c r="C24" t="s">
        <v>1889</v>
      </c>
      <c r="D24" t="s">
        <v>2463</v>
      </c>
      <c r="E24" t="s">
        <v>2472</v>
      </c>
      <c r="F24" t="s">
        <v>2446</v>
      </c>
      <c r="G24" t="s">
        <v>2428</v>
      </c>
      <c r="H24" t="s">
        <v>1986</v>
      </c>
      <c r="I24" t="s">
        <v>2460</v>
      </c>
      <c r="J24" t="s">
        <v>1999</v>
      </c>
      <c r="K24" t="s">
        <v>1989</v>
      </c>
      <c r="L24">
        <v>10000</v>
      </c>
      <c r="M24">
        <v>10000</v>
      </c>
      <c r="O24">
        <v>10000</v>
      </c>
    </row>
    <row r="25" spans="1:25" x14ac:dyDescent="0.25">
      <c r="A25" t="s">
        <v>1887</v>
      </c>
      <c r="B25" t="s">
        <v>1888</v>
      </c>
      <c r="C25" t="s">
        <v>1889</v>
      </c>
      <c r="D25">
        <v>6074202500013480</v>
      </c>
      <c r="E25" t="s">
        <v>2472</v>
      </c>
      <c r="F25" t="s">
        <v>2433</v>
      </c>
      <c r="G25" t="s">
        <v>2428</v>
      </c>
      <c r="H25" t="s">
        <v>1983</v>
      </c>
      <c r="I25" t="s">
        <v>2455</v>
      </c>
      <c r="J25" t="s">
        <v>1985</v>
      </c>
      <c r="K25" s="3">
        <v>46236</v>
      </c>
      <c r="L25">
        <v>91685.16</v>
      </c>
      <c r="M25">
        <v>7640.43</v>
      </c>
      <c r="N25">
        <v>7640.43</v>
      </c>
      <c r="O25">
        <v>7640.43</v>
      </c>
      <c r="P25">
        <v>7640.43</v>
      </c>
      <c r="Q25">
        <v>7640.43</v>
      </c>
      <c r="R25">
        <v>7640.43</v>
      </c>
      <c r="S25">
        <v>7640.43</v>
      </c>
      <c r="T25">
        <v>7640.43</v>
      </c>
      <c r="U25">
        <v>7640.43</v>
      </c>
      <c r="V25">
        <v>7640.43</v>
      </c>
      <c r="W25">
        <v>7640.43</v>
      </c>
      <c r="X25">
        <v>7640.43</v>
      </c>
      <c r="Y25">
        <v>7640.43</v>
      </c>
    </row>
    <row r="26" spans="1:25" x14ac:dyDescent="0.25">
      <c r="A26" t="s">
        <v>1887</v>
      </c>
      <c r="B26" t="s">
        <v>1888</v>
      </c>
      <c r="C26" t="s">
        <v>1889</v>
      </c>
      <c r="D26">
        <v>6012202300112290</v>
      </c>
      <c r="E26" t="s">
        <v>2472</v>
      </c>
      <c r="F26" t="s">
        <v>2427</v>
      </c>
      <c r="G26" t="s">
        <v>2428</v>
      </c>
      <c r="H26" t="s">
        <v>2294</v>
      </c>
      <c r="I26" t="s">
        <v>2432</v>
      </c>
      <c r="J26" t="s">
        <v>2430</v>
      </c>
      <c r="K26" s="3">
        <v>46234</v>
      </c>
      <c r="L26">
        <v>72000</v>
      </c>
      <c r="M26">
        <v>6000</v>
      </c>
      <c r="N26">
        <v>6000</v>
      </c>
      <c r="O26">
        <v>6000</v>
      </c>
      <c r="P26">
        <v>6000</v>
      </c>
      <c r="Q26">
        <v>6000</v>
      </c>
      <c r="R26">
        <v>6000</v>
      </c>
      <c r="S26">
        <v>6000</v>
      </c>
      <c r="T26">
        <v>6000</v>
      </c>
      <c r="U26">
        <v>6000</v>
      </c>
      <c r="V26">
        <v>6000</v>
      </c>
      <c r="W26">
        <v>6000</v>
      </c>
      <c r="X26">
        <v>6000</v>
      </c>
      <c r="Y26">
        <v>6000</v>
      </c>
    </row>
    <row r="27" spans="1:25" x14ac:dyDescent="0.25">
      <c r="A27" t="s">
        <v>1887</v>
      </c>
      <c r="B27" t="s">
        <v>1888</v>
      </c>
      <c r="C27" t="s">
        <v>1889</v>
      </c>
      <c r="D27">
        <v>6012202300112290</v>
      </c>
      <c r="E27" t="s">
        <v>2472</v>
      </c>
      <c r="F27" t="s">
        <v>2427</v>
      </c>
      <c r="G27" t="s">
        <v>2428</v>
      </c>
      <c r="H27" t="s">
        <v>2294</v>
      </c>
      <c r="I27" t="s">
        <v>2431</v>
      </c>
      <c r="J27" t="s">
        <v>2430</v>
      </c>
      <c r="K27" s="3">
        <v>46234</v>
      </c>
      <c r="L27">
        <v>6100</v>
      </c>
      <c r="M27">
        <v>610</v>
      </c>
      <c r="N27">
        <v>610</v>
      </c>
      <c r="O27">
        <v>610</v>
      </c>
      <c r="P27">
        <v>610</v>
      </c>
      <c r="Q27">
        <v>610</v>
      </c>
      <c r="R27">
        <v>610</v>
      </c>
      <c r="S27">
        <v>610</v>
      </c>
      <c r="T27">
        <v>610</v>
      </c>
      <c r="U27">
        <v>610</v>
      </c>
      <c r="V27">
        <v>610</v>
      </c>
      <c r="W27">
        <v>610</v>
      </c>
      <c r="X27" t="s">
        <v>1908</v>
      </c>
      <c r="Y27" t="s">
        <v>1910</v>
      </c>
    </row>
    <row r="28" spans="1:25" x14ac:dyDescent="0.25">
      <c r="A28" t="s">
        <v>1887</v>
      </c>
      <c r="B28" t="s">
        <v>1888</v>
      </c>
      <c r="C28" t="s">
        <v>1889</v>
      </c>
      <c r="D28">
        <v>6012202300112290</v>
      </c>
      <c r="E28" t="s">
        <v>2472</v>
      </c>
      <c r="F28" t="s">
        <v>2427</v>
      </c>
      <c r="G28" t="s">
        <v>2428</v>
      </c>
      <c r="H28" t="s">
        <v>2294</v>
      </c>
      <c r="I28" t="s">
        <v>2429</v>
      </c>
      <c r="J28" t="s">
        <v>2430</v>
      </c>
      <c r="K28" s="3">
        <v>46234</v>
      </c>
      <c r="L28">
        <v>247327.2</v>
      </c>
      <c r="M28">
        <v>18000</v>
      </c>
      <c r="N28">
        <v>20010.599999999999</v>
      </c>
      <c r="O28">
        <v>20010.599999999999</v>
      </c>
      <c r="P28">
        <v>20010.599999999999</v>
      </c>
      <c r="Q28">
        <v>20010.599999999999</v>
      </c>
      <c r="R28">
        <v>20010.599999999999</v>
      </c>
      <c r="S28">
        <v>20010.599999999999</v>
      </c>
      <c r="T28">
        <v>20010.599999999999</v>
      </c>
      <c r="U28">
        <v>21450.6</v>
      </c>
      <c r="V28">
        <v>21450.6</v>
      </c>
      <c r="W28">
        <v>21450.6</v>
      </c>
      <c r="X28">
        <v>21450.6</v>
      </c>
      <c r="Y28">
        <v>21450.6</v>
      </c>
    </row>
    <row r="29" spans="1:25" x14ac:dyDescent="0.25">
      <c r="A29" t="s">
        <v>1887</v>
      </c>
      <c r="B29" t="s">
        <v>1888</v>
      </c>
      <c r="C29" t="s">
        <v>1889</v>
      </c>
      <c r="D29">
        <v>6074202500013480</v>
      </c>
      <c r="E29" t="s">
        <v>2472</v>
      </c>
      <c r="F29" t="s">
        <v>2426</v>
      </c>
      <c r="G29" t="s">
        <v>2414</v>
      </c>
      <c r="H29" t="s">
        <v>1983</v>
      </c>
      <c r="I29" t="s">
        <v>1984</v>
      </c>
      <c r="J29" t="s">
        <v>1985</v>
      </c>
      <c r="K29" s="3">
        <v>46236</v>
      </c>
      <c r="L29">
        <v>714268.56</v>
      </c>
      <c r="M29">
        <v>59522.38</v>
      </c>
      <c r="N29">
        <v>59522.38</v>
      </c>
      <c r="O29">
        <v>59522.38</v>
      </c>
      <c r="P29">
        <v>59522.38</v>
      </c>
      <c r="Q29">
        <v>59522.38</v>
      </c>
      <c r="R29">
        <v>59522.38</v>
      </c>
      <c r="S29">
        <v>59522.38</v>
      </c>
      <c r="T29">
        <v>59522.38</v>
      </c>
      <c r="U29">
        <v>59522.38</v>
      </c>
      <c r="V29">
        <v>59522.38</v>
      </c>
      <c r="W29">
        <v>59522.38</v>
      </c>
      <c r="X29">
        <v>59522.38</v>
      </c>
      <c r="Y29">
        <v>59522.38</v>
      </c>
    </row>
    <row r="30" spans="1:25" x14ac:dyDescent="0.25">
      <c r="A30" t="s">
        <v>1887</v>
      </c>
      <c r="B30" t="s">
        <v>1888</v>
      </c>
      <c r="C30" t="s">
        <v>1889</v>
      </c>
      <c r="D30">
        <v>6074202400082860</v>
      </c>
      <c r="E30" t="s">
        <v>2472</v>
      </c>
      <c r="F30" t="s">
        <v>2418</v>
      </c>
      <c r="G30" t="s">
        <v>2414</v>
      </c>
      <c r="H30" t="s">
        <v>1970</v>
      </c>
      <c r="I30" t="s">
        <v>2419</v>
      </c>
      <c r="J30" t="s">
        <v>2420</v>
      </c>
      <c r="K30" s="3">
        <v>46183</v>
      </c>
      <c r="L30">
        <v>20000</v>
      </c>
      <c r="M30">
        <v>20000</v>
      </c>
      <c r="S30">
        <v>20000</v>
      </c>
    </row>
    <row r="31" spans="1:25" x14ac:dyDescent="0.25">
      <c r="A31" t="s">
        <v>1887</v>
      </c>
      <c r="B31" t="s">
        <v>1888</v>
      </c>
      <c r="C31" t="s">
        <v>1889</v>
      </c>
      <c r="D31">
        <v>6074202400025320</v>
      </c>
      <c r="E31" t="s">
        <v>2472</v>
      </c>
      <c r="F31" t="s">
        <v>2413</v>
      </c>
      <c r="G31" t="s">
        <v>2414</v>
      </c>
      <c r="H31" t="s">
        <v>2415</v>
      </c>
      <c r="I31" t="s">
        <v>2416</v>
      </c>
      <c r="J31" t="s">
        <v>2417</v>
      </c>
      <c r="K31" s="3">
        <v>46202</v>
      </c>
      <c r="L31">
        <v>16817724</v>
      </c>
      <c r="M31">
        <v>2000000</v>
      </c>
      <c r="Q31">
        <v>2000000</v>
      </c>
      <c r="R31">
        <v>2000000</v>
      </c>
      <c r="S31">
        <v>2000000</v>
      </c>
      <c r="T31">
        <v>2000000</v>
      </c>
      <c r="U31">
        <v>2000000</v>
      </c>
      <c r="V31">
        <v>2000000</v>
      </c>
    </row>
    <row r="32" spans="1:25" x14ac:dyDescent="0.25">
      <c r="A32" t="s">
        <v>1887</v>
      </c>
      <c r="B32" t="s">
        <v>1888</v>
      </c>
      <c r="C32" t="s">
        <v>1889</v>
      </c>
      <c r="D32">
        <v>6074201700000540</v>
      </c>
      <c r="E32" t="s">
        <v>2472</v>
      </c>
      <c r="F32" t="s">
        <v>1919</v>
      </c>
      <c r="G32" t="s">
        <v>2405</v>
      </c>
      <c r="H32" t="s">
        <v>2406</v>
      </c>
      <c r="I32" t="s">
        <v>2411</v>
      </c>
      <c r="J32" t="s">
        <v>2408</v>
      </c>
      <c r="K32" s="3">
        <v>46356</v>
      </c>
      <c r="L32">
        <v>8000</v>
      </c>
      <c r="M32">
        <v>800</v>
      </c>
      <c r="N32" t="s">
        <v>1908</v>
      </c>
      <c r="O32">
        <v>800</v>
      </c>
      <c r="P32">
        <v>800</v>
      </c>
      <c r="Q32">
        <v>800</v>
      </c>
      <c r="R32">
        <v>800</v>
      </c>
      <c r="S32">
        <v>800</v>
      </c>
      <c r="T32">
        <v>800</v>
      </c>
      <c r="U32">
        <v>800</v>
      </c>
      <c r="V32">
        <v>800</v>
      </c>
      <c r="W32">
        <v>800</v>
      </c>
      <c r="X32">
        <v>800</v>
      </c>
      <c r="Y32" t="s">
        <v>2092</v>
      </c>
    </row>
    <row r="33" spans="1:25" x14ac:dyDescent="0.25">
      <c r="A33" t="s">
        <v>1887</v>
      </c>
      <c r="B33" t="s">
        <v>1888</v>
      </c>
      <c r="C33" t="s">
        <v>1889</v>
      </c>
      <c r="D33">
        <v>6074201700000540</v>
      </c>
      <c r="E33" t="s">
        <v>2472</v>
      </c>
      <c r="F33" t="s">
        <v>1919</v>
      </c>
      <c r="G33" t="s">
        <v>2405</v>
      </c>
      <c r="H33" t="s">
        <v>2406</v>
      </c>
      <c r="I33" t="s">
        <v>2410</v>
      </c>
      <c r="J33" t="s">
        <v>2408</v>
      </c>
      <c r="K33" s="3">
        <v>46356</v>
      </c>
      <c r="L33">
        <v>7200</v>
      </c>
      <c r="M33">
        <v>600</v>
      </c>
      <c r="N33">
        <v>600</v>
      </c>
      <c r="O33">
        <v>600</v>
      </c>
      <c r="P33">
        <v>600</v>
      </c>
      <c r="Q33">
        <v>600</v>
      </c>
      <c r="R33">
        <v>600</v>
      </c>
      <c r="S33">
        <v>600</v>
      </c>
      <c r="T33">
        <v>600</v>
      </c>
      <c r="U33">
        <v>600</v>
      </c>
      <c r="V33">
        <v>600</v>
      </c>
      <c r="W33">
        <v>600</v>
      </c>
      <c r="X33">
        <v>600</v>
      </c>
      <c r="Y33">
        <v>600</v>
      </c>
    </row>
    <row r="34" spans="1:25" x14ac:dyDescent="0.25">
      <c r="A34" t="s">
        <v>1887</v>
      </c>
      <c r="B34" t="s">
        <v>1888</v>
      </c>
      <c r="C34" t="s">
        <v>1889</v>
      </c>
      <c r="D34">
        <v>6074201700000540</v>
      </c>
      <c r="E34" t="s">
        <v>2472</v>
      </c>
      <c r="F34" t="s">
        <v>1919</v>
      </c>
      <c r="G34" t="s">
        <v>2405</v>
      </c>
      <c r="H34" t="s">
        <v>2406</v>
      </c>
      <c r="I34" t="s">
        <v>2409</v>
      </c>
      <c r="J34" t="s">
        <v>2408</v>
      </c>
      <c r="K34" s="3">
        <v>46356</v>
      </c>
      <c r="L34">
        <v>79200</v>
      </c>
      <c r="M34">
        <v>6600</v>
      </c>
      <c r="N34">
        <v>6600</v>
      </c>
      <c r="O34">
        <v>6600</v>
      </c>
      <c r="P34">
        <v>6600</v>
      </c>
      <c r="Q34">
        <v>6600</v>
      </c>
      <c r="R34">
        <v>6600</v>
      </c>
      <c r="S34">
        <v>6600</v>
      </c>
      <c r="T34">
        <v>6600</v>
      </c>
      <c r="U34">
        <v>6600</v>
      </c>
      <c r="V34">
        <v>6600</v>
      </c>
      <c r="W34">
        <v>6600</v>
      </c>
      <c r="X34">
        <v>6600</v>
      </c>
      <c r="Y34">
        <v>6600</v>
      </c>
    </row>
    <row r="35" spans="1:25" x14ac:dyDescent="0.25">
      <c r="A35" t="s">
        <v>1887</v>
      </c>
      <c r="B35" t="s">
        <v>1888</v>
      </c>
      <c r="C35" t="s">
        <v>1889</v>
      </c>
      <c r="D35">
        <v>6074201700000540</v>
      </c>
      <c r="E35" t="s">
        <v>2472</v>
      </c>
      <c r="F35" t="s">
        <v>1919</v>
      </c>
      <c r="G35" t="s">
        <v>2405</v>
      </c>
      <c r="H35" t="s">
        <v>2406</v>
      </c>
      <c r="I35" t="s">
        <v>2407</v>
      </c>
      <c r="J35" t="s">
        <v>2408</v>
      </c>
      <c r="K35" s="3">
        <v>46356</v>
      </c>
      <c r="L35">
        <v>67325.78</v>
      </c>
      <c r="M35">
        <v>5584.73</v>
      </c>
      <c r="N35">
        <v>5584.73</v>
      </c>
      <c r="O35">
        <v>5584.73</v>
      </c>
      <c r="P35">
        <v>5584.73</v>
      </c>
      <c r="Q35">
        <v>5584.73</v>
      </c>
      <c r="R35">
        <v>5584.73</v>
      </c>
      <c r="S35">
        <v>5584.73</v>
      </c>
      <c r="T35">
        <v>5584.73</v>
      </c>
      <c r="U35">
        <v>5584.73</v>
      </c>
      <c r="V35">
        <v>5584.73</v>
      </c>
      <c r="W35">
        <v>5584.73</v>
      </c>
      <c r="X35">
        <v>5584.73</v>
      </c>
      <c r="Y35">
        <v>5893.75</v>
      </c>
    </row>
    <row r="36" spans="1:25" x14ac:dyDescent="0.25">
      <c r="A36" t="s">
        <v>1887</v>
      </c>
      <c r="B36" t="s">
        <v>1888</v>
      </c>
      <c r="C36" t="s">
        <v>1889</v>
      </c>
      <c r="D36" t="s">
        <v>2468</v>
      </c>
      <c r="E36" t="s">
        <v>2472</v>
      </c>
      <c r="F36" t="s">
        <v>2403</v>
      </c>
      <c r="G36" t="s">
        <v>2393</v>
      </c>
      <c r="H36" t="s">
        <v>2404</v>
      </c>
      <c r="I36" t="s">
        <v>2385</v>
      </c>
      <c r="J36" t="s">
        <v>2386</v>
      </c>
      <c r="K36" s="3">
        <v>46387</v>
      </c>
      <c r="L36">
        <v>100000</v>
      </c>
      <c r="M36">
        <v>100000</v>
      </c>
      <c r="P36">
        <v>50000</v>
      </c>
      <c r="R36">
        <v>50000</v>
      </c>
    </row>
    <row r="37" spans="1:25" x14ac:dyDescent="0.25">
      <c r="A37" t="s">
        <v>1887</v>
      </c>
      <c r="B37" t="s">
        <v>1888</v>
      </c>
      <c r="C37" t="s">
        <v>1889</v>
      </c>
      <c r="D37">
        <v>6064201800000520</v>
      </c>
      <c r="E37" t="s">
        <v>2472</v>
      </c>
      <c r="F37" t="s">
        <v>2392</v>
      </c>
      <c r="G37" t="s">
        <v>2393</v>
      </c>
      <c r="H37" t="s">
        <v>1970</v>
      </c>
      <c r="I37" t="s">
        <v>2394</v>
      </c>
      <c r="J37" t="s">
        <v>2395</v>
      </c>
      <c r="K37" s="3">
        <v>46387</v>
      </c>
      <c r="L37">
        <v>14345100</v>
      </c>
      <c r="M37">
        <v>1195425</v>
      </c>
      <c r="N37">
        <v>1195425</v>
      </c>
      <c r="O37">
        <v>1195425</v>
      </c>
      <c r="P37">
        <v>1195425</v>
      </c>
      <c r="Q37">
        <v>1195425</v>
      </c>
      <c r="R37">
        <v>1195425</v>
      </c>
      <c r="S37">
        <v>1195425</v>
      </c>
      <c r="T37">
        <v>1195425</v>
      </c>
      <c r="U37">
        <v>1195425</v>
      </c>
      <c r="V37">
        <v>1195425</v>
      </c>
      <c r="W37">
        <v>1195425</v>
      </c>
      <c r="X37">
        <v>1195425</v>
      </c>
      <c r="Y37">
        <v>1195425</v>
      </c>
    </row>
    <row r="38" spans="1:25" x14ac:dyDescent="0.25">
      <c r="A38" t="s">
        <v>1887</v>
      </c>
      <c r="B38" t="s">
        <v>1888</v>
      </c>
      <c r="C38" t="s">
        <v>1889</v>
      </c>
      <c r="D38" t="s">
        <v>2463</v>
      </c>
      <c r="E38" t="s">
        <v>2472</v>
      </c>
      <c r="F38" t="s">
        <v>2390</v>
      </c>
      <c r="G38" t="s">
        <v>2388</v>
      </c>
      <c r="H38" t="s">
        <v>1986</v>
      </c>
      <c r="I38" t="s">
        <v>2391</v>
      </c>
      <c r="J38" t="s">
        <v>1999</v>
      </c>
      <c r="K38" t="s">
        <v>1989</v>
      </c>
      <c r="L38">
        <v>50000</v>
      </c>
      <c r="M38">
        <v>50000</v>
      </c>
      <c r="O38">
        <v>5000</v>
      </c>
      <c r="P38">
        <v>10000</v>
      </c>
      <c r="Q38">
        <v>10000</v>
      </c>
      <c r="R38">
        <v>10000</v>
      </c>
      <c r="S38">
        <v>10000</v>
      </c>
      <c r="T38">
        <v>10000</v>
      </c>
      <c r="U38">
        <v>5000</v>
      </c>
    </row>
    <row r="39" spans="1:25" x14ac:dyDescent="0.25">
      <c r="A39" t="s">
        <v>1887</v>
      </c>
      <c r="B39" t="s">
        <v>1888</v>
      </c>
      <c r="C39" t="s">
        <v>1889</v>
      </c>
      <c r="D39" t="s">
        <v>2463</v>
      </c>
      <c r="E39" t="s">
        <v>2472</v>
      </c>
      <c r="F39" t="s">
        <v>2387</v>
      </c>
      <c r="G39" t="s">
        <v>2388</v>
      </c>
      <c r="H39" t="s">
        <v>1986</v>
      </c>
      <c r="I39" t="s">
        <v>2389</v>
      </c>
      <c r="J39" t="s">
        <v>1999</v>
      </c>
      <c r="K39" t="s">
        <v>1989</v>
      </c>
      <c r="L39">
        <v>12000</v>
      </c>
      <c r="M39">
        <v>12000</v>
      </c>
      <c r="P39">
        <v>6000</v>
      </c>
      <c r="Q39">
        <v>6000</v>
      </c>
    </row>
    <row r="40" spans="1:25" x14ac:dyDescent="0.25">
      <c r="A40" t="s">
        <v>1887</v>
      </c>
      <c r="B40" t="s">
        <v>1888</v>
      </c>
      <c r="C40" t="s">
        <v>1889</v>
      </c>
      <c r="D40" t="s">
        <v>2464</v>
      </c>
      <c r="E40" t="s">
        <v>2472</v>
      </c>
      <c r="F40" t="s">
        <v>2384</v>
      </c>
      <c r="G40" t="s">
        <v>2380</v>
      </c>
      <c r="H40" t="s">
        <v>1983</v>
      </c>
      <c r="I40" t="s">
        <v>2385</v>
      </c>
      <c r="J40" t="s">
        <v>2386</v>
      </c>
      <c r="K40" s="3">
        <v>46387</v>
      </c>
      <c r="L40">
        <v>100000</v>
      </c>
      <c r="M40">
        <v>100000</v>
      </c>
      <c r="Q40">
        <v>100000</v>
      </c>
    </row>
    <row r="41" spans="1:25" x14ac:dyDescent="0.25">
      <c r="A41" t="s">
        <v>1887</v>
      </c>
      <c r="B41" t="s">
        <v>1888</v>
      </c>
      <c r="C41" t="s">
        <v>1889</v>
      </c>
      <c r="D41">
        <v>6074202500013480</v>
      </c>
      <c r="E41" t="s">
        <v>2472</v>
      </c>
      <c r="F41" t="s">
        <v>2382</v>
      </c>
      <c r="G41" t="s">
        <v>2380</v>
      </c>
      <c r="H41" t="s">
        <v>1983</v>
      </c>
      <c r="I41" t="s">
        <v>2383</v>
      </c>
      <c r="J41" t="s">
        <v>1985</v>
      </c>
      <c r="K41" s="3">
        <v>46236</v>
      </c>
      <c r="L41">
        <v>357134.28</v>
      </c>
      <c r="M41">
        <v>29761.19</v>
      </c>
      <c r="N41">
        <v>29761.19</v>
      </c>
      <c r="O41">
        <v>29761.19</v>
      </c>
      <c r="P41">
        <v>29761.19</v>
      </c>
      <c r="Q41">
        <v>29761.19</v>
      </c>
      <c r="R41">
        <v>29761.19</v>
      </c>
      <c r="S41">
        <v>29761.19</v>
      </c>
      <c r="T41">
        <v>29761.19</v>
      </c>
      <c r="U41">
        <v>29761.19</v>
      </c>
      <c r="V41">
        <v>29761.19</v>
      </c>
      <c r="W41">
        <v>29761.19</v>
      </c>
      <c r="X41">
        <v>29761.19</v>
      </c>
      <c r="Y41">
        <v>29761.19</v>
      </c>
    </row>
    <row r="42" spans="1:25" x14ac:dyDescent="0.25">
      <c r="A42" t="s">
        <v>1887</v>
      </c>
      <c r="B42" t="s">
        <v>1888</v>
      </c>
      <c r="C42" t="s">
        <v>1889</v>
      </c>
      <c r="D42">
        <v>6074202500013480</v>
      </c>
      <c r="E42" t="s">
        <v>2472</v>
      </c>
      <c r="F42" t="s">
        <v>1982</v>
      </c>
      <c r="G42" t="s">
        <v>1901</v>
      </c>
      <c r="H42" t="s">
        <v>1983</v>
      </c>
      <c r="I42" t="s">
        <v>1984</v>
      </c>
      <c r="J42" t="s">
        <v>1985</v>
      </c>
      <c r="K42" s="3">
        <v>46236</v>
      </c>
      <c r="L42">
        <v>540504.6</v>
      </c>
      <c r="M42">
        <v>45042.05</v>
      </c>
      <c r="N42">
        <v>45042.05</v>
      </c>
      <c r="O42">
        <v>45042.05</v>
      </c>
      <c r="P42">
        <v>45042.05</v>
      </c>
      <c r="Q42">
        <v>45042.05</v>
      </c>
      <c r="R42">
        <v>45042.05</v>
      </c>
      <c r="S42">
        <v>45042.05</v>
      </c>
      <c r="T42">
        <v>45042.05</v>
      </c>
      <c r="U42">
        <v>45042.05</v>
      </c>
      <c r="V42">
        <v>45042.05</v>
      </c>
      <c r="W42">
        <v>45042.05</v>
      </c>
      <c r="X42">
        <v>45042.05</v>
      </c>
      <c r="Y42">
        <v>45042.05</v>
      </c>
    </row>
    <row r="43" spans="1:25" x14ac:dyDescent="0.25">
      <c r="A43" t="s">
        <v>1887</v>
      </c>
      <c r="B43" t="s">
        <v>1888</v>
      </c>
      <c r="C43" t="s">
        <v>1889</v>
      </c>
      <c r="D43">
        <v>6074202500013490</v>
      </c>
      <c r="E43" t="s">
        <v>2472</v>
      </c>
      <c r="F43" t="s">
        <v>1900</v>
      </c>
      <c r="G43" t="s">
        <v>1901</v>
      </c>
      <c r="H43" t="s">
        <v>1986</v>
      </c>
      <c r="I43" t="s">
        <v>1987</v>
      </c>
      <c r="J43" t="s">
        <v>1988</v>
      </c>
      <c r="K43" t="s">
        <v>1989</v>
      </c>
      <c r="L43">
        <v>1239383.04</v>
      </c>
      <c r="M43">
        <v>103281.92</v>
      </c>
      <c r="N43">
        <v>103281.92</v>
      </c>
      <c r="O43">
        <v>103281.92</v>
      </c>
      <c r="P43">
        <v>103281.92</v>
      </c>
      <c r="Q43">
        <v>103281.92</v>
      </c>
      <c r="R43">
        <v>103281.92</v>
      </c>
      <c r="S43">
        <v>103281.92</v>
      </c>
      <c r="T43">
        <v>103281.92</v>
      </c>
      <c r="U43">
        <v>103281.92</v>
      </c>
      <c r="V43">
        <v>103281.92</v>
      </c>
      <c r="W43">
        <v>103281.92</v>
      </c>
      <c r="X43">
        <v>103281.92</v>
      </c>
      <c r="Y43">
        <v>103281.92</v>
      </c>
    </row>
    <row r="44" spans="1:25" x14ac:dyDescent="0.25">
      <c r="A44" t="s">
        <v>1887</v>
      </c>
      <c r="B44" t="s">
        <v>1888</v>
      </c>
      <c r="C44" t="s">
        <v>1889</v>
      </c>
      <c r="D44">
        <v>6074202500013490</v>
      </c>
      <c r="E44" t="s">
        <v>2472</v>
      </c>
      <c r="F44" t="s">
        <v>1977</v>
      </c>
      <c r="G44" t="s">
        <v>1901</v>
      </c>
      <c r="H44" t="s">
        <v>1986</v>
      </c>
      <c r="I44" t="s">
        <v>1990</v>
      </c>
      <c r="J44" t="s">
        <v>1988</v>
      </c>
      <c r="K44" t="s">
        <v>1989</v>
      </c>
      <c r="L44">
        <v>309845.76000000001</v>
      </c>
      <c r="M44">
        <v>25820.48</v>
      </c>
      <c r="N44">
        <v>25820.48</v>
      </c>
      <c r="O44">
        <v>25820.48</v>
      </c>
      <c r="P44">
        <v>25820.48</v>
      </c>
      <c r="Q44">
        <v>25820.48</v>
      </c>
      <c r="R44">
        <v>25820.48</v>
      </c>
      <c r="S44">
        <v>25820.48</v>
      </c>
      <c r="T44">
        <v>25820.48</v>
      </c>
      <c r="U44">
        <v>25820.48</v>
      </c>
      <c r="V44">
        <v>25820.48</v>
      </c>
      <c r="W44">
        <v>25820.48</v>
      </c>
      <c r="X44">
        <v>25820.48</v>
      </c>
      <c r="Y44">
        <v>25820.48</v>
      </c>
    </row>
    <row r="45" spans="1:25" x14ac:dyDescent="0.25">
      <c r="A45" t="s">
        <v>1887</v>
      </c>
      <c r="B45" t="s">
        <v>1888</v>
      </c>
      <c r="C45" t="s">
        <v>1889</v>
      </c>
      <c r="D45">
        <v>6074202500013490</v>
      </c>
      <c r="E45" t="s">
        <v>2472</v>
      </c>
      <c r="F45" t="s">
        <v>1977</v>
      </c>
      <c r="G45" t="s">
        <v>1901</v>
      </c>
      <c r="H45" t="s">
        <v>1986</v>
      </c>
      <c r="I45" t="s">
        <v>1991</v>
      </c>
      <c r="J45" t="s">
        <v>1992</v>
      </c>
      <c r="K45" t="s">
        <v>1989</v>
      </c>
      <c r="L45">
        <v>113336</v>
      </c>
      <c r="M45">
        <v>9444.67</v>
      </c>
      <c r="N45">
        <v>9140</v>
      </c>
      <c r="O45">
        <v>9140</v>
      </c>
      <c r="P45">
        <v>9140</v>
      </c>
      <c r="Q45">
        <v>9140</v>
      </c>
      <c r="R45">
        <v>9140</v>
      </c>
      <c r="S45">
        <v>9140</v>
      </c>
      <c r="T45">
        <v>9140</v>
      </c>
      <c r="U45">
        <v>9871.2000000000007</v>
      </c>
      <c r="V45">
        <v>9871.2000000000007</v>
      </c>
      <c r="W45">
        <v>9871.2000000000007</v>
      </c>
      <c r="X45">
        <v>9871.2000000000007</v>
      </c>
      <c r="Y45">
        <v>9871.2000000000007</v>
      </c>
    </row>
    <row r="46" spans="1:25" x14ac:dyDescent="0.25">
      <c r="A46" t="s">
        <v>1887</v>
      </c>
      <c r="B46" t="s">
        <v>1888</v>
      </c>
      <c r="C46" t="s">
        <v>1889</v>
      </c>
      <c r="D46">
        <v>6074202500046380</v>
      </c>
      <c r="E46" t="s">
        <v>2472</v>
      </c>
      <c r="F46" t="s">
        <v>1900</v>
      </c>
      <c r="G46" t="s">
        <v>1901</v>
      </c>
      <c r="H46" t="s">
        <v>1993</v>
      </c>
      <c r="I46" t="s">
        <v>1994</v>
      </c>
      <c r="J46" t="s">
        <v>1995</v>
      </c>
      <c r="K46" s="3">
        <v>46238</v>
      </c>
      <c r="L46">
        <v>94649.52</v>
      </c>
      <c r="M46">
        <v>9140</v>
      </c>
      <c r="N46">
        <v>9140</v>
      </c>
      <c r="O46">
        <v>9140</v>
      </c>
      <c r="P46">
        <v>9140</v>
      </c>
      <c r="Q46">
        <v>9140</v>
      </c>
      <c r="R46">
        <v>9140</v>
      </c>
      <c r="S46">
        <v>9140</v>
      </c>
      <c r="T46">
        <v>9140</v>
      </c>
      <c r="U46">
        <v>9871.2000000000007</v>
      </c>
      <c r="V46">
        <v>9871.2000000000007</v>
      </c>
      <c r="W46">
        <v>9871.2000000000007</v>
      </c>
      <c r="X46">
        <v>9871.2000000000007</v>
      </c>
      <c r="Y46">
        <v>9871.2000000000007</v>
      </c>
    </row>
    <row r="47" spans="1:25" x14ac:dyDescent="0.25">
      <c r="A47" t="s">
        <v>1887</v>
      </c>
      <c r="B47" t="s">
        <v>1888</v>
      </c>
      <c r="C47" t="s">
        <v>1889</v>
      </c>
      <c r="D47">
        <v>6074202500047180</v>
      </c>
      <c r="E47" t="s">
        <v>2472</v>
      </c>
      <c r="F47" t="s">
        <v>1900</v>
      </c>
      <c r="G47" t="s">
        <v>1901</v>
      </c>
      <c r="H47" t="s">
        <v>1986</v>
      </c>
      <c r="I47" t="s">
        <v>1996</v>
      </c>
      <c r="J47" t="s">
        <v>1997</v>
      </c>
      <c r="K47" t="s">
        <v>1989</v>
      </c>
      <c r="L47">
        <v>113336</v>
      </c>
      <c r="M47">
        <v>9444.67</v>
      </c>
      <c r="N47">
        <v>9140</v>
      </c>
      <c r="O47">
        <v>9140</v>
      </c>
      <c r="P47">
        <v>9140</v>
      </c>
      <c r="Q47">
        <v>9140</v>
      </c>
      <c r="R47">
        <v>9140</v>
      </c>
      <c r="S47">
        <v>9140</v>
      </c>
      <c r="T47">
        <v>9140</v>
      </c>
      <c r="U47">
        <v>9871.2000000000007</v>
      </c>
      <c r="V47">
        <v>9871.2000000000007</v>
      </c>
      <c r="W47">
        <v>9871.2000000000007</v>
      </c>
      <c r="X47">
        <v>9871.2000000000007</v>
      </c>
      <c r="Y47">
        <v>9871.2000000000007</v>
      </c>
    </row>
    <row r="48" spans="1:25" x14ac:dyDescent="0.25">
      <c r="A48" t="s">
        <v>1887</v>
      </c>
      <c r="B48" t="s">
        <v>1888</v>
      </c>
      <c r="C48" t="s">
        <v>1889</v>
      </c>
      <c r="D48" t="s">
        <v>2463</v>
      </c>
      <c r="E48" t="s">
        <v>2472</v>
      </c>
      <c r="F48" t="s">
        <v>1977</v>
      </c>
      <c r="G48" t="s">
        <v>1901</v>
      </c>
      <c r="H48" t="s">
        <v>1986</v>
      </c>
      <c r="I48" t="s">
        <v>1998</v>
      </c>
      <c r="J48" t="s">
        <v>1999</v>
      </c>
      <c r="K48" t="s">
        <v>1989</v>
      </c>
      <c r="L48">
        <v>200000</v>
      </c>
      <c r="M48">
        <v>200000</v>
      </c>
      <c r="O48">
        <v>200000</v>
      </c>
    </row>
    <row r="49" spans="1:25" x14ac:dyDescent="0.25">
      <c r="A49" t="s">
        <v>1887</v>
      </c>
      <c r="B49" t="s">
        <v>1888</v>
      </c>
      <c r="C49" t="s">
        <v>1889</v>
      </c>
      <c r="D49" t="s">
        <v>2463</v>
      </c>
      <c r="E49" t="s">
        <v>2472</v>
      </c>
      <c r="F49" t="s">
        <v>1977</v>
      </c>
      <c r="G49" t="s">
        <v>1901</v>
      </c>
      <c r="H49" t="s">
        <v>1986</v>
      </c>
      <c r="I49" t="s">
        <v>2000</v>
      </c>
      <c r="J49" t="s">
        <v>1999</v>
      </c>
      <c r="K49" t="s">
        <v>1989</v>
      </c>
      <c r="L49">
        <v>30000</v>
      </c>
      <c r="M49">
        <v>65000</v>
      </c>
      <c r="O49">
        <v>65000</v>
      </c>
    </row>
    <row r="50" spans="1:25" x14ac:dyDescent="0.25">
      <c r="A50" t="s">
        <v>1887</v>
      </c>
      <c r="B50" t="s">
        <v>1888</v>
      </c>
      <c r="C50" t="s">
        <v>1889</v>
      </c>
      <c r="D50" t="s">
        <v>2463</v>
      </c>
      <c r="E50" t="s">
        <v>2472</v>
      </c>
      <c r="F50" t="s">
        <v>1977</v>
      </c>
      <c r="G50" t="s">
        <v>1901</v>
      </c>
      <c r="H50" t="s">
        <v>1986</v>
      </c>
      <c r="I50" t="s">
        <v>2001</v>
      </c>
      <c r="J50" t="s">
        <v>1999</v>
      </c>
      <c r="K50" t="s">
        <v>1989</v>
      </c>
      <c r="L50">
        <v>30000</v>
      </c>
      <c r="M50">
        <v>30000</v>
      </c>
      <c r="O50">
        <v>30000</v>
      </c>
    </row>
    <row r="51" spans="1:25" x14ac:dyDescent="0.25">
      <c r="A51" t="s">
        <v>1887</v>
      </c>
      <c r="B51" t="s">
        <v>1888</v>
      </c>
      <c r="C51" t="s">
        <v>1889</v>
      </c>
      <c r="D51" t="s">
        <v>2463</v>
      </c>
      <c r="E51" t="s">
        <v>2472</v>
      </c>
      <c r="F51" t="s">
        <v>1977</v>
      </c>
      <c r="G51" t="s">
        <v>1901</v>
      </c>
      <c r="H51" t="s">
        <v>1986</v>
      </c>
      <c r="I51" t="s">
        <v>2002</v>
      </c>
      <c r="J51" t="s">
        <v>1999</v>
      </c>
      <c r="K51" t="s">
        <v>1989</v>
      </c>
      <c r="L51">
        <v>20000</v>
      </c>
      <c r="M51">
        <v>20000</v>
      </c>
      <c r="O51">
        <v>30000</v>
      </c>
    </row>
    <row r="52" spans="1:25" x14ac:dyDescent="0.25">
      <c r="A52" t="s">
        <v>1887</v>
      </c>
      <c r="B52" t="s">
        <v>1888</v>
      </c>
      <c r="C52" t="s">
        <v>1889</v>
      </c>
      <c r="D52" t="s">
        <v>2463</v>
      </c>
      <c r="E52" t="s">
        <v>2472</v>
      </c>
      <c r="F52" t="s">
        <v>1977</v>
      </c>
      <c r="G52" t="s">
        <v>1901</v>
      </c>
      <c r="H52" t="s">
        <v>1986</v>
      </c>
      <c r="I52" t="s">
        <v>2003</v>
      </c>
      <c r="J52" t="s">
        <v>1999</v>
      </c>
      <c r="K52" t="s">
        <v>1989</v>
      </c>
      <c r="L52">
        <v>10000</v>
      </c>
      <c r="M52">
        <v>10000</v>
      </c>
    </row>
    <row r="53" spans="1:25" x14ac:dyDescent="0.25">
      <c r="A53" t="s">
        <v>1887</v>
      </c>
      <c r="B53" t="s">
        <v>1888</v>
      </c>
      <c r="C53" t="s">
        <v>1889</v>
      </c>
      <c r="D53" t="s">
        <v>2463</v>
      </c>
      <c r="E53" t="s">
        <v>2472</v>
      </c>
      <c r="F53" t="s">
        <v>1977</v>
      </c>
      <c r="G53" t="s">
        <v>1901</v>
      </c>
      <c r="H53" t="s">
        <v>1986</v>
      </c>
      <c r="I53" t="s">
        <v>2004</v>
      </c>
      <c r="J53" t="s">
        <v>1999</v>
      </c>
      <c r="K53" t="s">
        <v>1989</v>
      </c>
      <c r="L53">
        <v>100000</v>
      </c>
      <c r="M53">
        <v>100000</v>
      </c>
      <c r="O53">
        <v>30000</v>
      </c>
      <c r="R53">
        <v>30000</v>
      </c>
      <c r="V53">
        <v>40000</v>
      </c>
    </row>
    <row r="54" spans="1:25" x14ac:dyDescent="0.25">
      <c r="A54" t="s">
        <v>1887</v>
      </c>
      <c r="B54" t="s">
        <v>1888</v>
      </c>
      <c r="C54" t="s">
        <v>1889</v>
      </c>
      <c r="D54" t="s">
        <v>2463</v>
      </c>
      <c r="E54" t="s">
        <v>2472</v>
      </c>
      <c r="F54" t="s">
        <v>1977</v>
      </c>
      <c r="G54" t="s">
        <v>1901</v>
      </c>
      <c r="H54" t="s">
        <v>1986</v>
      </c>
      <c r="I54" t="s">
        <v>2005</v>
      </c>
      <c r="J54" t="s">
        <v>1999</v>
      </c>
      <c r="K54" t="s">
        <v>1989</v>
      </c>
      <c r="L54">
        <v>10000</v>
      </c>
      <c r="M54">
        <v>10000</v>
      </c>
      <c r="Q54">
        <v>10000</v>
      </c>
    </row>
    <row r="55" spans="1:25" x14ac:dyDescent="0.25">
      <c r="A55" t="s">
        <v>1887</v>
      </c>
      <c r="B55" t="s">
        <v>1888</v>
      </c>
      <c r="C55" t="s">
        <v>1889</v>
      </c>
      <c r="D55" t="s">
        <v>2006</v>
      </c>
      <c r="E55" t="s">
        <v>2472</v>
      </c>
      <c r="F55" t="s">
        <v>2007</v>
      </c>
      <c r="G55" t="s">
        <v>1901</v>
      </c>
      <c r="H55" t="s">
        <v>2006</v>
      </c>
      <c r="I55" t="s">
        <v>2006</v>
      </c>
      <c r="J55" t="s">
        <v>2006</v>
      </c>
      <c r="K55" s="3">
        <v>46387</v>
      </c>
      <c r="L55">
        <v>252000</v>
      </c>
      <c r="M55">
        <v>21000</v>
      </c>
      <c r="N55">
        <v>21000</v>
      </c>
      <c r="O55">
        <v>21000</v>
      </c>
      <c r="P55">
        <v>21000</v>
      </c>
      <c r="Q55">
        <v>21000</v>
      </c>
      <c r="R55">
        <v>21000</v>
      </c>
      <c r="S55">
        <v>21000</v>
      </c>
      <c r="T55">
        <v>21000</v>
      </c>
      <c r="U55">
        <v>21000</v>
      </c>
      <c r="V55">
        <v>21000</v>
      </c>
      <c r="W55">
        <v>21000</v>
      </c>
      <c r="X55">
        <v>21000</v>
      </c>
      <c r="Y55">
        <v>21000</v>
      </c>
    </row>
    <row r="56" spans="1:25" x14ac:dyDescent="0.25">
      <c r="A56" t="s">
        <v>1887</v>
      </c>
      <c r="B56" t="s">
        <v>1888</v>
      </c>
      <c r="C56" t="s">
        <v>1889</v>
      </c>
      <c r="D56" t="s">
        <v>2463</v>
      </c>
      <c r="E56" t="s">
        <v>2472</v>
      </c>
      <c r="F56" t="s">
        <v>2376</v>
      </c>
      <c r="G56" t="s">
        <v>2362</v>
      </c>
      <c r="H56" t="s">
        <v>1986</v>
      </c>
      <c r="I56" t="s">
        <v>2378</v>
      </c>
      <c r="J56" t="s">
        <v>1999</v>
      </c>
      <c r="K56" t="s">
        <v>1989</v>
      </c>
      <c r="L56">
        <v>100000</v>
      </c>
      <c r="M56">
        <v>100000</v>
      </c>
      <c r="O56">
        <v>0</v>
      </c>
      <c r="Q56">
        <v>100000</v>
      </c>
    </row>
    <row r="57" spans="1:25" x14ac:dyDescent="0.25">
      <c r="A57" t="s">
        <v>1887</v>
      </c>
      <c r="B57" t="s">
        <v>1888</v>
      </c>
      <c r="C57" t="s">
        <v>1889</v>
      </c>
      <c r="D57" t="s">
        <v>2463</v>
      </c>
      <c r="E57" t="s">
        <v>2472</v>
      </c>
      <c r="F57" t="s">
        <v>2376</v>
      </c>
      <c r="G57" t="s">
        <v>2362</v>
      </c>
      <c r="H57" t="s">
        <v>1986</v>
      </c>
      <c r="I57" t="s">
        <v>2377</v>
      </c>
      <c r="J57" t="s">
        <v>1999</v>
      </c>
      <c r="K57" t="s">
        <v>1989</v>
      </c>
      <c r="L57">
        <v>5000</v>
      </c>
      <c r="M57">
        <v>5000</v>
      </c>
      <c r="O57">
        <v>5000</v>
      </c>
    </row>
    <row r="58" spans="1:25" x14ac:dyDescent="0.25">
      <c r="A58" t="s">
        <v>1887</v>
      </c>
      <c r="B58" t="s">
        <v>1888</v>
      </c>
      <c r="C58" t="s">
        <v>1889</v>
      </c>
      <c r="D58">
        <v>6074202500013480</v>
      </c>
      <c r="E58" t="s">
        <v>2472</v>
      </c>
      <c r="F58" t="s">
        <v>2361</v>
      </c>
      <c r="G58" t="s">
        <v>2362</v>
      </c>
      <c r="H58" t="s">
        <v>1983</v>
      </c>
      <c r="I58" t="s">
        <v>2375</v>
      </c>
      <c r="J58" t="s">
        <v>1985</v>
      </c>
      <c r="K58" s="3">
        <v>46236</v>
      </c>
      <c r="L58">
        <v>357134.28</v>
      </c>
      <c r="M58">
        <v>29761.19</v>
      </c>
      <c r="N58">
        <v>29761.19</v>
      </c>
      <c r="O58">
        <v>29761.19</v>
      </c>
      <c r="P58">
        <v>29761.19</v>
      </c>
      <c r="Q58">
        <v>29761.19</v>
      </c>
      <c r="R58">
        <v>29761.19</v>
      </c>
      <c r="S58">
        <v>29761.19</v>
      </c>
      <c r="T58">
        <v>29761.19</v>
      </c>
      <c r="U58">
        <v>29761.19</v>
      </c>
      <c r="V58">
        <v>29761.19</v>
      </c>
      <c r="W58">
        <v>29761.19</v>
      </c>
      <c r="X58">
        <v>29761.19</v>
      </c>
      <c r="Y58">
        <v>29761.19</v>
      </c>
    </row>
    <row r="59" spans="1:25" x14ac:dyDescent="0.25">
      <c r="A59" t="s">
        <v>1887</v>
      </c>
      <c r="B59" t="s">
        <v>1888</v>
      </c>
      <c r="C59" t="s">
        <v>1889</v>
      </c>
      <c r="D59" t="s">
        <v>2463</v>
      </c>
      <c r="E59" t="s">
        <v>2472</v>
      </c>
      <c r="F59" t="s">
        <v>2358</v>
      </c>
      <c r="G59" t="s">
        <v>2359</v>
      </c>
      <c r="H59" t="s">
        <v>1986</v>
      </c>
      <c r="I59" t="s">
        <v>2360</v>
      </c>
      <c r="J59" t="s">
        <v>1999</v>
      </c>
      <c r="K59" t="s">
        <v>1989</v>
      </c>
      <c r="L59">
        <v>50000</v>
      </c>
      <c r="M59">
        <v>50000</v>
      </c>
      <c r="O59">
        <v>0</v>
      </c>
      <c r="Q59">
        <v>50000</v>
      </c>
    </row>
    <row r="60" spans="1:25" x14ac:dyDescent="0.25">
      <c r="A60" t="s">
        <v>1887</v>
      </c>
      <c r="B60" t="s">
        <v>1888</v>
      </c>
      <c r="C60" t="s">
        <v>1889</v>
      </c>
      <c r="D60" t="s">
        <v>2463</v>
      </c>
      <c r="E60" t="s">
        <v>2472</v>
      </c>
      <c r="F60" t="s">
        <v>2356</v>
      </c>
      <c r="G60" t="s">
        <v>2354</v>
      </c>
      <c r="H60" t="s">
        <v>1986</v>
      </c>
      <c r="I60" t="s">
        <v>2357</v>
      </c>
      <c r="J60" t="s">
        <v>1999</v>
      </c>
      <c r="K60" t="s">
        <v>1989</v>
      </c>
      <c r="L60">
        <v>50000</v>
      </c>
      <c r="M60">
        <v>50000</v>
      </c>
      <c r="O60">
        <v>50000</v>
      </c>
    </row>
    <row r="61" spans="1:25" x14ac:dyDescent="0.25">
      <c r="A61" t="s">
        <v>1887</v>
      </c>
      <c r="B61" t="s">
        <v>1888</v>
      </c>
      <c r="C61" t="s">
        <v>1889</v>
      </c>
      <c r="D61" t="s">
        <v>2463</v>
      </c>
      <c r="E61" t="s">
        <v>2472</v>
      </c>
      <c r="F61" t="s">
        <v>2353</v>
      </c>
      <c r="G61" t="s">
        <v>2354</v>
      </c>
      <c r="H61" t="s">
        <v>1986</v>
      </c>
      <c r="I61" t="s">
        <v>2355</v>
      </c>
      <c r="J61" t="s">
        <v>1999</v>
      </c>
      <c r="K61" t="s">
        <v>1989</v>
      </c>
      <c r="L61">
        <v>100000</v>
      </c>
      <c r="M61">
        <v>100000</v>
      </c>
      <c r="O61">
        <v>100000</v>
      </c>
    </row>
    <row r="62" spans="1:25" x14ac:dyDescent="0.25">
      <c r="A62" t="s">
        <v>1887</v>
      </c>
      <c r="B62" t="s">
        <v>1888</v>
      </c>
      <c r="C62" t="s">
        <v>1889</v>
      </c>
      <c r="D62">
        <v>6074202200005770</v>
      </c>
      <c r="E62" t="s">
        <v>2472</v>
      </c>
      <c r="F62" t="s">
        <v>2337</v>
      </c>
      <c r="G62" t="s">
        <v>2338</v>
      </c>
      <c r="H62" t="s">
        <v>2339</v>
      </c>
      <c r="I62" t="s">
        <v>2340</v>
      </c>
      <c r="J62" t="s">
        <v>2341</v>
      </c>
      <c r="K62" s="3">
        <v>46054</v>
      </c>
      <c r="L62">
        <v>1800000</v>
      </c>
      <c r="M62">
        <v>150000</v>
      </c>
      <c r="N62">
        <v>150000</v>
      </c>
      <c r="O62">
        <v>150000</v>
      </c>
      <c r="P62">
        <v>150000</v>
      </c>
      <c r="Q62">
        <v>150000</v>
      </c>
      <c r="R62">
        <v>150000</v>
      </c>
      <c r="S62">
        <v>150000</v>
      </c>
      <c r="T62">
        <v>150000</v>
      </c>
      <c r="U62">
        <v>150000</v>
      </c>
      <c r="V62">
        <v>150000</v>
      </c>
      <c r="W62">
        <v>150000</v>
      </c>
      <c r="X62">
        <v>150000</v>
      </c>
      <c r="Y62">
        <v>150000</v>
      </c>
    </row>
    <row r="63" spans="1:25" x14ac:dyDescent="0.25">
      <c r="A63" t="s">
        <v>1887</v>
      </c>
      <c r="B63" t="s">
        <v>1888</v>
      </c>
      <c r="C63" t="s">
        <v>1889</v>
      </c>
      <c r="D63" t="s">
        <v>2467</v>
      </c>
      <c r="E63" t="s">
        <v>2472</v>
      </c>
      <c r="F63" t="s">
        <v>2335</v>
      </c>
      <c r="G63" t="s">
        <v>2123</v>
      </c>
      <c r="H63" t="s">
        <v>1986</v>
      </c>
      <c r="I63" t="s">
        <v>2336</v>
      </c>
      <c r="J63" t="s">
        <v>1997</v>
      </c>
      <c r="K63" t="s">
        <v>2331</v>
      </c>
      <c r="L63">
        <v>200000</v>
      </c>
      <c r="M63">
        <v>0</v>
      </c>
      <c r="N63">
        <v>0</v>
      </c>
      <c r="O63">
        <v>0</v>
      </c>
      <c r="P63">
        <v>300000</v>
      </c>
      <c r="Q63">
        <v>0</v>
      </c>
      <c r="R63">
        <v>0</v>
      </c>
      <c r="S63">
        <v>0</v>
      </c>
      <c r="T63">
        <v>0</v>
      </c>
      <c r="U63">
        <v>0</v>
      </c>
      <c r="V63">
        <v>0</v>
      </c>
      <c r="W63">
        <v>0</v>
      </c>
      <c r="X63">
        <v>0</v>
      </c>
      <c r="Y63">
        <v>0</v>
      </c>
    </row>
    <row r="64" spans="1:25" x14ac:dyDescent="0.25">
      <c r="A64" t="s">
        <v>1887</v>
      </c>
      <c r="B64" t="s">
        <v>1888</v>
      </c>
      <c r="C64" t="s">
        <v>1889</v>
      </c>
      <c r="D64" t="s">
        <v>2463</v>
      </c>
      <c r="E64" t="s">
        <v>2472</v>
      </c>
      <c r="F64" t="s">
        <v>2326</v>
      </c>
      <c r="G64" t="s">
        <v>2123</v>
      </c>
      <c r="H64" t="s">
        <v>1986</v>
      </c>
      <c r="I64" t="s">
        <v>2334</v>
      </c>
      <c r="J64" t="s">
        <v>1999</v>
      </c>
      <c r="K64" t="s">
        <v>1989</v>
      </c>
      <c r="L64">
        <v>35000</v>
      </c>
      <c r="M64">
        <v>35000</v>
      </c>
      <c r="O64">
        <v>35000</v>
      </c>
    </row>
    <row r="65" spans="1:25" x14ac:dyDescent="0.25">
      <c r="A65" t="s">
        <v>1887</v>
      </c>
      <c r="B65" t="s">
        <v>1888</v>
      </c>
      <c r="C65" t="s">
        <v>1889</v>
      </c>
      <c r="D65">
        <v>6074202500026580</v>
      </c>
      <c r="E65" t="s">
        <v>2472</v>
      </c>
      <c r="F65" t="s">
        <v>2122</v>
      </c>
      <c r="G65" t="s">
        <v>2123</v>
      </c>
      <c r="H65" t="s">
        <v>2328</v>
      </c>
      <c r="I65" t="s">
        <v>2333</v>
      </c>
      <c r="J65" t="s">
        <v>2330</v>
      </c>
      <c r="K65" t="s">
        <v>2331</v>
      </c>
      <c r="L65">
        <v>500</v>
      </c>
      <c r="M65">
        <v>100</v>
      </c>
      <c r="N65">
        <v>0</v>
      </c>
      <c r="O65">
        <v>500</v>
      </c>
      <c r="P65">
        <v>0</v>
      </c>
      <c r="Q65">
        <v>0</v>
      </c>
      <c r="R65">
        <v>0</v>
      </c>
      <c r="S65">
        <v>0</v>
      </c>
      <c r="T65">
        <v>0</v>
      </c>
      <c r="U65">
        <v>0</v>
      </c>
      <c r="V65">
        <v>0</v>
      </c>
      <c r="W65">
        <v>0</v>
      </c>
      <c r="X65">
        <v>0</v>
      </c>
      <c r="Y65">
        <v>0</v>
      </c>
    </row>
    <row r="66" spans="1:25" x14ac:dyDescent="0.25">
      <c r="A66" t="s">
        <v>1887</v>
      </c>
      <c r="B66" t="s">
        <v>1888</v>
      </c>
      <c r="C66" t="s">
        <v>1889</v>
      </c>
      <c r="D66">
        <v>6074202500026580</v>
      </c>
      <c r="E66" t="s">
        <v>2472</v>
      </c>
      <c r="F66" t="s">
        <v>2122</v>
      </c>
      <c r="G66" t="s">
        <v>2123</v>
      </c>
      <c r="H66" t="s">
        <v>2328</v>
      </c>
      <c r="I66" t="s">
        <v>2332</v>
      </c>
      <c r="J66" t="s">
        <v>2330</v>
      </c>
      <c r="K66" t="s">
        <v>2331</v>
      </c>
      <c r="L66">
        <v>2500</v>
      </c>
      <c r="M66">
        <v>250</v>
      </c>
      <c r="N66">
        <v>0</v>
      </c>
      <c r="O66">
        <v>250</v>
      </c>
      <c r="P66">
        <v>250</v>
      </c>
      <c r="Q66">
        <v>250</v>
      </c>
      <c r="R66">
        <v>250</v>
      </c>
      <c r="S66">
        <v>250</v>
      </c>
      <c r="T66">
        <v>250</v>
      </c>
      <c r="U66">
        <v>250</v>
      </c>
      <c r="V66">
        <v>250</v>
      </c>
      <c r="W66">
        <v>250</v>
      </c>
      <c r="X66">
        <v>250</v>
      </c>
      <c r="Y66">
        <v>0</v>
      </c>
    </row>
    <row r="67" spans="1:25" x14ac:dyDescent="0.25">
      <c r="A67" t="s">
        <v>1887</v>
      </c>
      <c r="B67" t="s">
        <v>1888</v>
      </c>
      <c r="C67" t="s">
        <v>1889</v>
      </c>
      <c r="D67">
        <v>6074202500026580</v>
      </c>
      <c r="E67" t="s">
        <v>2472</v>
      </c>
      <c r="F67" t="s">
        <v>2122</v>
      </c>
      <c r="G67" t="s">
        <v>2123</v>
      </c>
      <c r="H67" t="s">
        <v>2328</v>
      </c>
      <c r="I67" t="s">
        <v>2329</v>
      </c>
      <c r="J67" t="s">
        <v>2330</v>
      </c>
      <c r="K67" t="s">
        <v>2331</v>
      </c>
      <c r="L67">
        <v>87360</v>
      </c>
      <c r="M67">
        <v>7560</v>
      </c>
      <c r="N67">
        <v>7000</v>
      </c>
      <c r="O67">
        <v>7000</v>
      </c>
      <c r="P67">
        <v>7000</v>
      </c>
      <c r="Q67">
        <v>7000</v>
      </c>
      <c r="R67">
        <v>7000</v>
      </c>
      <c r="S67">
        <v>7000</v>
      </c>
      <c r="T67">
        <v>7560</v>
      </c>
      <c r="U67">
        <v>7560</v>
      </c>
      <c r="V67">
        <v>7560</v>
      </c>
      <c r="W67">
        <v>7560</v>
      </c>
      <c r="X67">
        <v>7560</v>
      </c>
      <c r="Y67">
        <v>7560</v>
      </c>
    </row>
    <row r="68" spans="1:25" x14ac:dyDescent="0.25">
      <c r="A68" t="s">
        <v>1887</v>
      </c>
      <c r="B68" t="s">
        <v>1888</v>
      </c>
      <c r="C68" t="s">
        <v>1889</v>
      </c>
      <c r="D68">
        <v>6074202500013490</v>
      </c>
      <c r="E68" t="s">
        <v>2472</v>
      </c>
      <c r="F68" t="s">
        <v>2008</v>
      </c>
      <c r="G68" t="s">
        <v>2009</v>
      </c>
      <c r="H68" t="s">
        <v>1986</v>
      </c>
      <c r="I68" t="s">
        <v>2030</v>
      </c>
      <c r="J68" t="s">
        <v>1988</v>
      </c>
      <c r="K68" t="s">
        <v>1989</v>
      </c>
      <c r="L68">
        <v>425464.8</v>
      </c>
      <c r="M68">
        <v>35455.4</v>
      </c>
      <c r="N68">
        <v>35455.4</v>
      </c>
      <c r="O68">
        <v>35455.4</v>
      </c>
      <c r="P68">
        <v>35455.4</v>
      </c>
      <c r="Q68">
        <v>35455.4</v>
      </c>
      <c r="R68">
        <v>35455.4</v>
      </c>
      <c r="S68">
        <v>35455.4</v>
      </c>
      <c r="T68">
        <v>35455.4</v>
      </c>
      <c r="U68">
        <v>35455.4</v>
      </c>
      <c r="V68">
        <v>35455.4</v>
      </c>
      <c r="W68">
        <v>35455.4</v>
      </c>
      <c r="X68">
        <v>35455.4</v>
      </c>
      <c r="Y68">
        <v>35455.4</v>
      </c>
    </row>
    <row r="69" spans="1:25" x14ac:dyDescent="0.25">
      <c r="A69" t="s">
        <v>1887</v>
      </c>
      <c r="B69" t="s">
        <v>1888</v>
      </c>
      <c r="C69" t="s">
        <v>1889</v>
      </c>
      <c r="D69">
        <v>6074202500013490</v>
      </c>
      <c r="E69" t="s">
        <v>2472</v>
      </c>
      <c r="F69" t="s">
        <v>2031</v>
      </c>
      <c r="G69" t="s">
        <v>2009</v>
      </c>
      <c r="H69" t="s">
        <v>1986</v>
      </c>
      <c r="I69" t="s">
        <v>2032</v>
      </c>
      <c r="J69" t="s">
        <v>1988</v>
      </c>
      <c r="K69" t="s">
        <v>1989</v>
      </c>
      <c r="L69">
        <v>106366.2</v>
      </c>
      <c r="M69">
        <v>8863.85</v>
      </c>
      <c r="N69">
        <v>8863.85</v>
      </c>
      <c r="O69">
        <v>8863.85</v>
      </c>
      <c r="P69">
        <v>8863.85</v>
      </c>
      <c r="Q69">
        <v>8863.85</v>
      </c>
      <c r="R69">
        <v>8863.85</v>
      </c>
      <c r="S69">
        <v>8863.85</v>
      </c>
      <c r="T69">
        <v>8863.85</v>
      </c>
      <c r="U69">
        <v>8863.85</v>
      </c>
      <c r="V69">
        <v>8863.85</v>
      </c>
      <c r="W69">
        <v>8863.85</v>
      </c>
      <c r="X69">
        <v>8863.85</v>
      </c>
      <c r="Y69">
        <v>8863.85</v>
      </c>
    </row>
    <row r="70" spans="1:25" x14ac:dyDescent="0.25">
      <c r="A70" t="s">
        <v>1887</v>
      </c>
      <c r="B70" t="s">
        <v>1888</v>
      </c>
      <c r="C70" t="s">
        <v>1889</v>
      </c>
      <c r="D70">
        <v>6074202500013490</v>
      </c>
      <c r="E70" t="s">
        <v>2472</v>
      </c>
      <c r="F70" t="s">
        <v>2326</v>
      </c>
      <c r="G70" t="s">
        <v>2123</v>
      </c>
      <c r="H70" t="s">
        <v>1986</v>
      </c>
      <c r="I70" t="s">
        <v>2327</v>
      </c>
      <c r="J70" t="s">
        <v>1988</v>
      </c>
      <c r="K70" t="s">
        <v>1989</v>
      </c>
      <c r="L70">
        <v>502057.83</v>
      </c>
      <c r="M70">
        <v>41838.15</v>
      </c>
      <c r="N70">
        <v>41838.15</v>
      </c>
      <c r="O70">
        <v>41838.15</v>
      </c>
      <c r="P70">
        <v>41838.15</v>
      </c>
      <c r="Q70">
        <v>41838.15</v>
      </c>
      <c r="R70">
        <v>41838.15</v>
      </c>
      <c r="S70">
        <v>41838.15</v>
      </c>
      <c r="T70">
        <v>41838.15</v>
      </c>
      <c r="U70">
        <v>41838.15</v>
      </c>
      <c r="V70">
        <v>41838.15</v>
      </c>
      <c r="W70">
        <v>41838.15</v>
      </c>
      <c r="X70">
        <v>41838.15</v>
      </c>
      <c r="Y70">
        <v>41838.15</v>
      </c>
    </row>
    <row r="71" spans="1:25" x14ac:dyDescent="0.25">
      <c r="A71" t="s">
        <v>1887</v>
      </c>
      <c r="B71" t="s">
        <v>1888</v>
      </c>
      <c r="C71" t="s">
        <v>1889</v>
      </c>
      <c r="D71">
        <v>6074202500013490</v>
      </c>
      <c r="E71" t="s">
        <v>2472</v>
      </c>
      <c r="F71" t="s">
        <v>2134</v>
      </c>
      <c r="G71" t="s">
        <v>2123</v>
      </c>
      <c r="H71" t="s">
        <v>1986</v>
      </c>
      <c r="I71" t="s">
        <v>2325</v>
      </c>
      <c r="J71" t="s">
        <v>1988</v>
      </c>
      <c r="K71" t="s">
        <v>1989</v>
      </c>
      <c r="L71">
        <v>2008231.32</v>
      </c>
      <c r="M71">
        <v>167352.60999999999</v>
      </c>
      <c r="N71">
        <v>167352.60999999999</v>
      </c>
      <c r="O71">
        <v>167352.60999999999</v>
      </c>
      <c r="P71">
        <v>167352.60999999999</v>
      </c>
      <c r="Q71">
        <v>167352.60999999999</v>
      </c>
      <c r="R71">
        <v>167352.60999999999</v>
      </c>
      <c r="S71">
        <v>167352.60999999999</v>
      </c>
      <c r="T71">
        <v>167352.60999999999</v>
      </c>
      <c r="U71">
        <v>167352.60999999999</v>
      </c>
      <c r="V71">
        <v>167352.60999999999</v>
      </c>
      <c r="W71">
        <v>167352.60999999999</v>
      </c>
      <c r="X71">
        <v>167352.60999999999</v>
      </c>
      <c r="Y71">
        <v>167352.65</v>
      </c>
    </row>
    <row r="72" spans="1:25" x14ac:dyDescent="0.25">
      <c r="A72" t="s">
        <v>1887</v>
      </c>
      <c r="B72" t="s">
        <v>1888</v>
      </c>
      <c r="C72" t="s">
        <v>1889</v>
      </c>
      <c r="D72">
        <v>6074202500013480</v>
      </c>
      <c r="E72" t="s">
        <v>2472</v>
      </c>
      <c r="F72" t="s">
        <v>2199</v>
      </c>
      <c r="G72" t="s">
        <v>2123</v>
      </c>
      <c r="H72" t="s">
        <v>1983</v>
      </c>
      <c r="I72" t="s">
        <v>1984</v>
      </c>
      <c r="J72" t="s">
        <v>1985</v>
      </c>
      <c r="K72" s="3">
        <v>46236</v>
      </c>
      <c r="L72">
        <v>8686591.6799999997</v>
      </c>
      <c r="M72">
        <v>723882.64</v>
      </c>
      <c r="N72">
        <v>723882.64</v>
      </c>
      <c r="O72">
        <v>723882.64</v>
      </c>
      <c r="P72">
        <v>723882.64</v>
      </c>
      <c r="Q72">
        <v>723882.64</v>
      </c>
      <c r="R72">
        <v>723882.64</v>
      </c>
      <c r="S72">
        <v>723882.64</v>
      </c>
      <c r="T72">
        <v>723882.64</v>
      </c>
      <c r="U72">
        <v>723882.64</v>
      </c>
      <c r="V72">
        <v>723882.64</v>
      </c>
      <c r="W72">
        <v>723882.64</v>
      </c>
      <c r="X72">
        <v>723882.64</v>
      </c>
      <c r="Y72">
        <v>723882.64</v>
      </c>
    </row>
    <row r="73" spans="1:25" x14ac:dyDescent="0.25">
      <c r="A73" t="s">
        <v>1887</v>
      </c>
      <c r="B73" t="s">
        <v>1888</v>
      </c>
      <c r="C73" t="s">
        <v>1889</v>
      </c>
      <c r="D73" t="s">
        <v>2464</v>
      </c>
      <c r="E73" t="s">
        <v>2472</v>
      </c>
      <c r="F73" t="s">
        <v>2031</v>
      </c>
      <c r="G73" t="s">
        <v>2009</v>
      </c>
      <c r="H73" t="s">
        <v>1986</v>
      </c>
      <c r="I73" t="s">
        <v>2040</v>
      </c>
      <c r="J73" t="s">
        <v>1988</v>
      </c>
      <c r="K73" t="s">
        <v>1989</v>
      </c>
      <c r="L73">
        <v>200000</v>
      </c>
      <c r="M73">
        <v>0</v>
      </c>
      <c r="O73">
        <v>100000</v>
      </c>
      <c r="S73">
        <v>100000</v>
      </c>
    </row>
    <row r="74" spans="1:25" x14ac:dyDescent="0.25">
      <c r="A74" t="s">
        <v>1887</v>
      </c>
      <c r="B74" t="s">
        <v>1888</v>
      </c>
      <c r="C74" t="s">
        <v>1889</v>
      </c>
      <c r="D74">
        <v>6074202400066370</v>
      </c>
      <c r="E74" t="s">
        <v>2472</v>
      </c>
      <c r="F74" t="s">
        <v>2134</v>
      </c>
      <c r="G74" t="s">
        <v>2123</v>
      </c>
      <c r="H74" t="s">
        <v>1406</v>
      </c>
      <c r="I74" t="s">
        <v>2322</v>
      </c>
      <c r="J74" t="s">
        <v>2320</v>
      </c>
      <c r="K74" s="3">
        <v>46090</v>
      </c>
      <c r="L74">
        <v>1200</v>
      </c>
      <c r="M74">
        <v>100</v>
      </c>
      <c r="N74" t="s">
        <v>1908</v>
      </c>
      <c r="O74">
        <v>0</v>
      </c>
      <c r="P74">
        <v>0</v>
      </c>
      <c r="Q74">
        <v>0</v>
      </c>
      <c r="R74">
        <v>0</v>
      </c>
      <c r="S74">
        <v>0</v>
      </c>
      <c r="T74">
        <v>500</v>
      </c>
      <c r="U74">
        <v>0</v>
      </c>
      <c r="V74">
        <v>0</v>
      </c>
      <c r="W74">
        <v>0</v>
      </c>
      <c r="X74">
        <v>0</v>
      </c>
    </row>
    <row r="75" spans="1:25" x14ac:dyDescent="0.25">
      <c r="A75" t="s">
        <v>1887</v>
      </c>
      <c r="B75" t="s">
        <v>1888</v>
      </c>
      <c r="C75" t="s">
        <v>1889</v>
      </c>
      <c r="D75" t="s">
        <v>2465</v>
      </c>
      <c r="E75" t="s">
        <v>2472</v>
      </c>
      <c r="F75" t="s">
        <v>2045</v>
      </c>
      <c r="G75" t="s">
        <v>2042</v>
      </c>
      <c r="H75" t="s">
        <v>2046</v>
      </c>
      <c r="I75" t="s">
        <v>2047</v>
      </c>
      <c r="J75" t="s">
        <v>2048</v>
      </c>
      <c r="K75" s="3">
        <v>46387</v>
      </c>
      <c r="L75">
        <v>200000</v>
      </c>
      <c r="M75">
        <v>200000</v>
      </c>
      <c r="Q75">
        <v>200000</v>
      </c>
    </row>
    <row r="76" spans="1:25" x14ac:dyDescent="0.25">
      <c r="A76" t="s">
        <v>1887</v>
      </c>
      <c r="B76" t="s">
        <v>1888</v>
      </c>
      <c r="C76" t="s">
        <v>1889</v>
      </c>
      <c r="D76">
        <v>6074202400066370</v>
      </c>
      <c r="E76" t="s">
        <v>2472</v>
      </c>
      <c r="F76" t="s">
        <v>2134</v>
      </c>
      <c r="G76" t="s">
        <v>2123</v>
      </c>
      <c r="H76" t="s">
        <v>1406</v>
      </c>
      <c r="I76" t="s">
        <v>2321</v>
      </c>
      <c r="J76" t="s">
        <v>2320</v>
      </c>
      <c r="K76" s="3">
        <v>46090</v>
      </c>
      <c r="L76">
        <v>750</v>
      </c>
      <c r="M76">
        <v>750</v>
      </c>
      <c r="N76" t="s">
        <v>1908</v>
      </c>
      <c r="O76">
        <v>75</v>
      </c>
      <c r="P76">
        <v>75</v>
      </c>
      <c r="Q76">
        <v>75</v>
      </c>
      <c r="R76">
        <v>75</v>
      </c>
      <c r="S76">
        <v>75</v>
      </c>
      <c r="T76">
        <v>75</v>
      </c>
      <c r="U76">
        <v>75</v>
      </c>
      <c r="V76">
        <v>75</v>
      </c>
      <c r="W76">
        <v>75</v>
      </c>
      <c r="X76">
        <v>75</v>
      </c>
    </row>
    <row r="77" spans="1:25" x14ac:dyDescent="0.25">
      <c r="A77" t="s">
        <v>1887</v>
      </c>
      <c r="B77" t="s">
        <v>1888</v>
      </c>
      <c r="C77" t="s">
        <v>1889</v>
      </c>
      <c r="D77">
        <v>6074202400066370</v>
      </c>
      <c r="E77" t="s">
        <v>2472</v>
      </c>
      <c r="F77" t="s">
        <v>2134</v>
      </c>
      <c r="G77" t="s">
        <v>2123</v>
      </c>
      <c r="H77" t="s">
        <v>1406</v>
      </c>
      <c r="I77" t="s">
        <v>2292</v>
      </c>
      <c r="J77" t="s">
        <v>2320</v>
      </c>
      <c r="K77" s="3">
        <v>46090</v>
      </c>
      <c r="L77">
        <v>89040</v>
      </c>
      <c r="M77">
        <v>7560</v>
      </c>
      <c r="N77">
        <v>7000</v>
      </c>
      <c r="O77">
        <v>7000</v>
      </c>
      <c r="P77">
        <v>7000</v>
      </c>
      <c r="Q77">
        <v>7560</v>
      </c>
      <c r="R77">
        <v>7560</v>
      </c>
      <c r="S77">
        <v>7560</v>
      </c>
      <c r="T77">
        <v>7560</v>
      </c>
      <c r="U77">
        <v>7560</v>
      </c>
      <c r="V77">
        <v>7560</v>
      </c>
      <c r="W77">
        <v>7560</v>
      </c>
      <c r="X77">
        <v>7560</v>
      </c>
      <c r="Y77">
        <v>7560</v>
      </c>
    </row>
    <row r="78" spans="1:25" x14ac:dyDescent="0.25">
      <c r="A78" t="s">
        <v>1887</v>
      </c>
      <c r="B78" t="s">
        <v>1888</v>
      </c>
      <c r="C78" t="s">
        <v>1889</v>
      </c>
      <c r="D78">
        <v>6074202400061970</v>
      </c>
      <c r="E78" t="s">
        <v>2472</v>
      </c>
      <c r="F78" t="s">
        <v>2122</v>
      </c>
      <c r="G78" t="s">
        <v>2123</v>
      </c>
      <c r="H78" t="s">
        <v>2315</v>
      </c>
      <c r="I78" t="s">
        <v>2319</v>
      </c>
      <c r="J78" t="s">
        <v>2317</v>
      </c>
      <c r="K78" s="3">
        <v>46077</v>
      </c>
      <c r="L78">
        <v>1200</v>
      </c>
      <c r="M78">
        <v>100</v>
      </c>
      <c r="N78" t="s">
        <v>1908</v>
      </c>
      <c r="O78">
        <v>0</v>
      </c>
      <c r="P78">
        <v>500</v>
      </c>
      <c r="Q78">
        <v>0</v>
      </c>
      <c r="R78">
        <v>0</v>
      </c>
      <c r="S78">
        <v>0</v>
      </c>
      <c r="T78">
        <v>0</v>
      </c>
      <c r="U78">
        <v>900</v>
      </c>
      <c r="V78">
        <v>0</v>
      </c>
      <c r="W78">
        <v>0</v>
      </c>
      <c r="X78">
        <v>0</v>
      </c>
      <c r="Y78" t="s">
        <v>2092</v>
      </c>
    </row>
    <row r="79" spans="1:25" x14ac:dyDescent="0.25">
      <c r="A79" t="s">
        <v>1887</v>
      </c>
      <c r="B79" t="s">
        <v>1888</v>
      </c>
      <c r="C79" t="s">
        <v>1889</v>
      </c>
      <c r="D79">
        <v>6074202400061970</v>
      </c>
      <c r="E79" t="s">
        <v>2472</v>
      </c>
      <c r="F79" t="s">
        <v>2122</v>
      </c>
      <c r="G79" t="s">
        <v>2123</v>
      </c>
      <c r="H79" t="s">
        <v>2315</v>
      </c>
      <c r="I79" t="s">
        <v>2318</v>
      </c>
      <c r="J79" t="s">
        <v>2317</v>
      </c>
      <c r="K79" s="3">
        <v>46077</v>
      </c>
      <c r="L79">
        <v>9000</v>
      </c>
      <c r="M79">
        <v>900</v>
      </c>
      <c r="N79" t="s">
        <v>1908</v>
      </c>
      <c r="O79">
        <v>900</v>
      </c>
      <c r="P79">
        <v>900</v>
      </c>
      <c r="Q79">
        <v>900</v>
      </c>
      <c r="R79">
        <v>900</v>
      </c>
      <c r="S79">
        <v>900</v>
      </c>
      <c r="T79">
        <v>900</v>
      </c>
      <c r="U79">
        <v>900</v>
      </c>
      <c r="V79">
        <v>900</v>
      </c>
      <c r="W79">
        <v>900</v>
      </c>
      <c r="X79">
        <v>900</v>
      </c>
      <c r="Y79" t="s">
        <v>2092</v>
      </c>
    </row>
    <row r="80" spans="1:25" x14ac:dyDescent="0.25">
      <c r="A80" t="s">
        <v>1887</v>
      </c>
      <c r="B80" t="s">
        <v>1888</v>
      </c>
      <c r="C80" t="s">
        <v>1889</v>
      </c>
      <c r="D80">
        <v>6074202400061970</v>
      </c>
      <c r="E80" t="s">
        <v>2472</v>
      </c>
      <c r="F80" t="s">
        <v>2122</v>
      </c>
      <c r="G80" t="s">
        <v>2123</v>
      </c>
      <c r="H80" t="s">
        <v>2315</v>
      </c>
      <c r="I80" t="s">
        <v>2316</v>
      </c>
      <c r="J80" t="s">
        <v>2317</v>
      </c>
      <c r="K80" s="3">
        <v>46077</v>
      </c>
      <c r="L80">
        <v>109480</v>
      </c>
      <c r="M80">
        <v>8500</v>
      </c>
      <c r="N80">
        <v>8500</v>
      </c>
      <c r="O80">
        <v>9180</v>
      </c>
      <c r="P80">
        <v>9180</v>
      </c>
      <c r="Q80">
        <v>9180</v>
      </c>
      <c r="R80">
        <v>9180</v>
      </c>
      <c r="S80">
        <v>9180</v>
      </c>
      <c r="T80">
        <v>9180</v>
      </c>
      <c r="U80">
        <v>9180</v>
      </c>
      <c r="V80">
        <v>9180</v>
      </c>
      <c r="W80">
        <v>9180</v>
      </c>
      <c r="X80">
        <v>9180</v>
      </c>
      <c r="Y80">
        <v>9180</v>
      </c>
    </row>
    <row r="81" spans="1:25" x14ac:dyDescent="0.25">
      <c r="A81" t="s">
        <v>1887</v>
      </c>
      <c r="B81" t="s">
        <v>1888</v>
      </c>
      <c r="C81" t="s">
        <v>1889</v>
      </c>
      <c r="D81">
        <v>6074202300075610</v>
      </c>
      <c r="E81" t="s">
        <v>2472</v>
      </c>
      <c r="F81" t="s">
        <v>2122</v>
      </c>
      <c r="G81" t="s">
        <v>2123</v>
      </c>
      <c r="H81" t="s">
        <v>2307</v>
      </c>
      <c r="I81" t="s">
        <v>2311</v>
      </c>
      <c r="J81" t="s">
        <v>2309</v>
      </c>
      <c r="K81" s="3">
        <v>46037</v>
      </c>
      <c r="L81">
        <v>1200</v>
      </c>
      <c r="M81">
        <v>100</v>
      </c>
      <c r="N81">
        <v>0</v>
      </c>
      <c r="O81">
        <v>0</v>
      </c>
      <c r="P81">
        <v>110</v>
      </c>
      <c r="Q81">
        <v>0</v>
      </c>
      <c r="R81">
        <v>350</v>
      </c>
      <c r="S81">
        <v>0</v>
      </c>
      <c r="T81">
        <v>0</v>
      </c>
      <c r="U81">
        <v>0</v>
      </c>
      <c r="V81">
        <v>0</v>
      </c>
      <c r="W81">
        <v>0</v>
      </c>
      <c r="X81">
        <v>0</v>
      </c>
      <c r="Y81">
        <v>0</v>
      </c>
    </row>
    <row r="82" spans="1:25" x14ac:dyDescent="0.25">
      <c r="A82" t="s">
        <v>1887</v>
      </c>
      <c r="B82" t="s">
        <v>1888</v>
      </c>
      <c r="C82" t="s">
        <v>1889</v>
      </c>
      <c r="D82">
        <v>6074202300075610</v>
      </c>
      <c r="E82" t="s">
        <v>2472</v>
      </c>
      <c r="F82" t="s">
        <v>2122</v>
      </c>
      <c r="G82" t="s">
        <v>2123</v>
      </c>
      <c r="H82" t="s">
        <v>2307</v>
      </c>
      <c r="I82" t="s">
        <v>2310</v>
      </c>
      <c r="J82" t="s">
        <v>2309</v>
      </c>
      <c r="K82" s="3">
        <v>46037</v>
      </c>
      <c r="L82">
        <v>85200</v>
      </c>
      <c r="M82">
        <v>7100</v>
      </c>
      <c r="N82">
        <v>7100</v>
      </c>
      <c r="O82">
        <v>7100</v>
      </c>
      <c r="P82">
        <v>7100</v>
      </c>
      <c r="Q82">
        <v>7100</v>
      </c>
      <c r="R82">
        <v>7100</v>
      </c>
      <c r="S82">
        <v>7100</v>
      </c>
      <c r="T82">
        <v>7100</v>
      </c>
      <c r="U82">
        <v>7100</v>
      </c>
      <c r="V82">
        <v>7100</v>
      </c>
      <c r="W82">
        <v>7100</v>
      </c>
      <c r="X82">
        <v>7100</v>
      </c>
      <c r="Y82">
        <v>7100</v>
      </c>
    </row>
    <row r="83" spans="1:25" x14ac:dyDescent="0.25">
      <c r="A83" t="s">
        <v>1887</v>
      </c>
      <c r="B83" t="s">
        <v>1888</v>
      </c>
      <c r="C83" t="s">
        <v>1889</v>
      </c>
      <c r="D83">
        <v>6074202300075610</v>
      </c>
      <c r="E83" t="s">
        <v>2472</v>
      </c>
      <c r="F83" t="s">
        <v>2122</v>
      </c>
      <c r="G83" t="s">
        <v>2123</v>
      </c>
      <c r="H83" t="s">
        <v>2307</v>
      </c>
      <c r="I83" t="s">
        <v>2308</v>
      </c>
      <c r="J83" t="s">
        <v>2309</v>
      </c>
      <c r="K83" s="3">
        <v>46037</v>
      </c>
      <c r="L83">
        <v>1100</v>
      </c>
      <c r="M83">
        <v>110</v>
      </c>
      <c r="N83">
        <v>0</v>
      </c>
      <c r="O83">
        <v>110</v>
      </c>
      <c r="P83">
        <v>110</v>
      </c>
      <c r="Q83">
        <v>110</v>
      </c>
      <c r="R83">
        <v>110</v>
      </c>
      <c r="S83">
        <v>110</v>
      </c>
      <c r="T83">
        <v>110</v>
      </c>
      <c r="U83">
        <v>110</v>
      </c>
      <c r="V83">
        <v>110</v>
      </c>
      <c r="W83">
        <v>110</v>
      </c>
      <c r="X83">
        <v>110</v>
      </c>
      <c r="Y83">
        <v>0</v>
      </c>
    </row>
    <row r="84" spans="1:25" x14ac:dyDescent="0.25">
      <c r="A84" t="s">
        <v>1887</v>
      </c>
      <c r="B84" t="s">
        <v>1888</v>
      </c>
      <c r="C84" t="s">
        <v>1889</v>
      </c>
      <c r="D84">
        <v>6074202300049830</v>
      </c>
      <c r="E84" t="s">
        <v>2472</v>
      </c>
      <c r="F84" t="s">
        <v>2134</v>
      </c>
      <c r="G84" t="s">
        <v>2123</v>
      </c>
      <c r="H84" t="s">
        <v>2299</v>
      </c>
      <c r="I84" t="s">
        <v>2304</v>
      </c>
      <c r="J84" t="s">
        <v>2303</v>
      </c>
      <c r="K84" s="3">
        <v>46220</v>
      </c>
      <c r="L84">
        <v>1200</v>
      </c>
      <c r="M84">
        <v>100</v>
      </c>
      <c r="N84">
        <v>0</v>
      </c>
      <c r="O84">
        <v>0</v>
      </c>
      <c r="P84">
        <v>0</v>
      </c>
      <c r="Q84">
        <v>0</v>
      </c>
      <c r="R84">
        <v>0</v>
      </c>
      <c r="S84">
        <v>0</v>
      </c>
      <c r="T84">
        <v>400</v>
      </c>
      <c r="U84">
        <v>0</v>
      </c>
      <c r="V84">
        <v>0</v>
      </c>
      <c r="W84">
        <v>0</v>
      </c>
      <c r="X84">
        <v>0</v>
      </c>
      <c r="Y84">
        <v>0</v>
      </c>
    </row>
    <row r="85" spans="1:25" x14ac:dyDescent="0.25">
      <c r="A85" t="s">
        <v>1887</v>
      </c>
      <c r="B85" t="s">
        <v>1888</v>
      </c>
      <c r="C85" t="s">
        <v>1889</v>
      </c>
      <c r="D85">
        <v>6074202500013480</v>
      </c>
      <c r="E85" t="s">
        <v>2472</v>
      </c>
      <c r="F85" t="s">
        <v>2061</v>
      </c>
      <c r="G85" t="s">
        <v>2050</v>
      </c>
      <c r="H85" t="s">
        <v>1983</v>
      </c>
      <c r="I85" t="s">
        <v>2062</v>
      </c>
      <c r="J85" t="s">
        <v>1985</v>
      </c>
      <c r="K85" s="3">
        <v>46236</v>
      </c>
      <c r="L85">
        <v>714268.56</v>
      </c>
      <c r="M85">
        <v>59522.38</v>
      </c>
      <c r="N85">
        <v>59522.38</v>
      </c>
      <c r="O85">
        <v>59522.38</v>
      </c>
      <c r="P85">
        <v>59522.38</v>
      </c>
      <c r="Q85">
        <v>59522.38</v>
      </c>
      <c r="R85">
        <v>59522.38</v>
      </c>
      <c r="S85">
        <v>59522.38</v>
      </c>
      <c r="T85">
        <v>59522.38</v>
      </c>
      <c r="U85">
        <v>59522.38</v>
      </c>
      <c r="V85">
        <v>59522.38</v>
      </c>
      <c r="W85">
        <v>59522.38</v>
      </c>
      <c r="X85">
        <v>59522.38</v>
      </c>
      <c r="Y85">
        <v>59522.38</v>
      </c>
    </row>
    <row r="86" spans="1:25" x14ac:dyDescent="0.25">
      <c r="A86" t="s">
        <v>1887</v>
      </c>
      <c r="B86" t="s">
        <v>1888</v>
      </c>
      <c r="C86" t="s">
        <v>1889</v>
      </c>
      <c r="D86" t="s">
        <v>2463</v>
      </c>
      <c r="E86" t="s">
        <v>2472</v>
      </c>
      <c r="F86" t="s">
        <v>2049</v>
      </c>
      <c r="G86" t="s">
        <v>2050</v>
      </c>
      <c r="H86" t="s">
        <v>1986</v>
      </c>
      <c r="I86" t="s">
        <v>2063</v>
      </c>
      <c r="J86" t="s">
        <v>1999</v>
      </c>
      <c r="K86" t="s">
        <v>1989</v>
      </c>
      <c r="L86">
        <v>4000</v>
      </c>
      <c r="M86">
        <v>4000</v>
      </c>
      <c r="O86">
        <v>4000</v>
      </c>
    </row>
    <row r="87" spans="1:25" x14ac:dyDescent="0.25">
      <c r="A87" t="s">
        <v>1887</v>
      </c>
      <c r="B87" t="s">
        <v>1888</v>
      </c>
      <c r="C87" t="s">
        <v>1889</v>
      </c>
      <c r="D87" t="s">
        <v>2463</v>
      </c>
      <c r="E87" t="s">
        <v>2472</v>
      </c>
      <c r="F87" t="s">
        <v>2049</v>
      </c>
      <c r="G87" t="s">
        <v>2050</v>
      </c>
      <c r="H87" t="s">
        <v>1986</v>
      </c>
      <c r="I87" t="s">
        <v>2064</v>
      </c>
      <c r="J87" t="s">
        <v>1999</v>
      </c>
      <c r="K87" t="s">
        <v>1989</v>
      </c>
      <c r="L87">
        <v>5000</v>
      </c>
      <c r="M87">
        <v>5000</v>
      </c>
      <c r="O87">
        <v>5000</v>
      </c>
    </row>
    <row r="88" spans="1:25" x14ac:dyDescent="0.25">
      <c r="A88" t="s">
        <v>1887</v>
      </c>
      <c r="B88" t="s">
        <v>1888</v>
      </c>
      <c r="C88" t="s">
        <v>1889</v>
      </c>
      <c r="D88" t="s">
        <v>2463</v>
      </c>
      <c r="E88" t="s">
        <v>2472</v>
      </c>
      <c r="F88" t="s">
        <v>2049</v>
      </c>
      <c r="G88" t="s">
        <v>2050</v>
      </c>
      <c r="H88" t="s">
        <v>1986</v>
      </c>
      <c r="I88" t="s">
        <v>2063</v>
      </c>
      <c r="J88" t="s">
        <v>1999</v>
      </c>
      <c r="K88" t="s">
        <v>1989</v>
      </c>
      <c r="L88">
        <v>4000</v>
      </c>
      <c r="M88">
        <v>4000</v>
      </c>
      <c r="O88">
        <v>4000</v>
      </c>
    </row>
    <row r="89" spans="1:25" x14ac:dyDescent="0.25">
      <c r="A89" t="s">
        <v>1887</v>
      </c>
      <c r="B89" t="s">
        <v>1888</v>
      </c>
      <c r="C89" t="s">
        <v>1889</v>
      </c>
      <c r="D89" t="s">
        <v>2463</v>
      </c>
      <c r="E89" t="s">
        <v>2472</v>
      </c>
      <c r="F89" t="s">
        <v>2049</v>
      </c>
      <c r="G89" t="s">
        <v>2050</v>
      </c>
      <c r="H89" t="s">
        <v>1986</v>
      </c>
      <c r="I89" t="s">
        <v>2064</v>
      </c>
      <c r="J89" t="s">
        <v>1999</v>
      </c>
      <c r="K89" t="s">
        <v>1989</v>
      </c>
      <c r="L89">
        <v>5000</v>
      </c>
      <c r="M89">
        <v>5000</v>
      </c>
      <c r="O89">
        <v>5000</v>
      </c>
    </row>
    <row r="90" spans="1:25" x14ac:dyDescent="0.25">
      <c r="A90" t="s">
        <v>1887</v>
      </c>
      <c r="B90" t="s">
        <v>1888</v>
      </c>
      <c r="C90" t="s">
        <v>1889</v>
      </c>
      <c r="D90">
        <v>6074202300049830</v>
      </c>
      <c r="E90" t="s">
        <v>2472</v>
      </c>
      <c r="F90" t="s">
        <v>2122</v>
      </c>
      <c r="G90" t="s">
        <v>2123</v>
      </c>
      <c r="H90" t="s">
        <v>2299</v>
      </c>
      <c r="I90" t="s">
        <v>2302</v>
      </c>
      <c r="J90" t="s">
        <v>2303</v>
      </c>
      <c r="K90" s="3">
        <v>46220</v>
      </c>
      <c r="L90">
        <v>121680</v>
      </c>
      <c r="M90">
        <v>10440</v>
      </c>
      <c r="N90">
        <v>9720</v>
      </c>
      <c r="O90">
        <v>9720</v>
      </c>
      <c r="P90">
        <v>9720</v>
      </c>
      <c r="Q90">
        <v>9720</v>
      </c>
      <c r="R90">
        <v>9720</v>
      </c>
      <c r="S90">
        <v>10440</v>
      </c>
      <c r="T90">
        <v>10440</v>
      </c>
      <c r="U90">
        <v>10440</v>
      </c>
      <c r="V90">
        <v>10440</v>
      </c>
      <c r="W90">
        <v>10440</v>
      </c>
      <c r="X90">
        <v>10440</v>
      </c>
      <c r="Y90">
        <v>10440</v>
      </c>
    </row>
    <row r="91" spans="1:25" x14ac:dyDescent="0.25">
      <c r="A91" t="s">
        <v>1887</v>
      </c>
      <c r="B91" t="s">
        <v>1888</v>
      </c>
      <c r="C91" t="s">
        <v>1889</v>
      </c>
      <c r="D91">
        <v>6074202300049830</v>
      </c>
      <c r="E91" t="s">
        <v>2472</v>
      </c>
      <c r="F91" t="s">
        <v>2122</v>
      </c>
      <c r="G91" t="s">
        <v>2123</v>
      </c>
      <c r="H91" t="s">
        <v>2299</v>
      </c>
      <c r="I91" t="s">
        <v>2300</v>
      </c>
      <c r="J91" t="s">
        <v>2301</v>
      </c>
      <c r="K91" s="3">
        <v>46220</v>
      </c>
      <c r="L91">
        <v>2500</v>
      </c>
      <c r="M91">
        <v>250</v>
      </c>
      <c r="O91">
        <v>250</v>
      </c>
      <c r="P91">
        <v>250</v>
      </c>
      <c r="Q91">
        <v>250</v>
      </c>
      <c r="R91">
        <v>250</v>
      </c>
      <c r="S91">
        <v>250</v>
      </c>
      <c r="T91">
        <v>250</v>
      </c>
      <c r="U91">
        <v>250</v>
      </c>
      <c r="V91">
        <v>250</v>
      </c>
      <c r="W91">
        <v>250</v>
      </c>
      <c r="X91">
        <v>250</v>
      </c>
    </row>
    <row r="92" spans="1:25" x14ac:dyDescent="0.25">
      <c r="A92" t="s">
        <v>1887</v>
      </c>
      <c r="B92" t="s">
        <v>1888</v>
      </c>
      <c r="C92" t="s">
        <v>1889</v>
      </c>
      <c r="D92">
        <v>6074202300044050</v>
      </c>
      <c r="E92" t="s">
        <v>2472</v>
      </c>
      <c r="F92" t="s">
        <v>2122</v>
      </c>
      <c r="G92" t="s">
        <v>2123</v>
      </c>
      <c r="H92" t="s">
        <v>2294</v>
      </c>
      <c r="I92" t="s">
        <v>2298</v>
      </c>
      <c r="J92" t="s">
        <v>2296</v>
      </c>
      <c r="K92" s="3">
        <v>46335</v>
      </c>
      <c r="L92">
        <v>1200</v>
      </c>
      <c r="M92">
        <v>1200</v>
      </c>
      <c r="O92">
        <v>0</v>
      </c>
      <c r="P92">
        <v>0</v>
      </c>
      <c r="Q92">
        <v>0</v>
      </c>
      <c r="R92">
        <v>1200</v>
      </c>
      <c r="S92">
        <v>0</v>
      </c>
      <c r="T92">
        <v>0</v>
      </c>
      <c r="U92">
        <v>0</v>
      </c>
      <c r="V92">
        <v>0</v>
      </c>
      <c r="W92">
        <v>0</v>
      </c>
      <c r="X92">
        <v>0</v>
      </c>
    </row>
    <row r="93" spans="1:25" x14ac:dyDescent="0.25">
      <c r="A93" t="s">
        <v>1887</v>
      </c>
      <c r="B93" t="s">
        <v>1888</v>
      </c>
      <c r="C93" t="s">
        <v>1889</v>
      </c>
      <c r="D93">
        <v>6074202300044050</v>
      </c>
      <c r="E93" t="s">
        <v>2472</v>
      </c>
      <c r="F93" t="s">
        <v>2122</v>
      </c>
      <c r="G93" t="s">
        <v>2123</v>
      </c>
      <c r="H93" t="s">
        <v>2294</v>
      </c>
      <c r="I93" t="s">
        <v>2297</v>
      </c>
      <c r="J93" t="s">
        <v>2296</v>
      </c>
      <c r="K93" s="3">
        <v>46335</v>
      </c>
      <c r="L93">
        <v>8500</v>
      </c>
      <c r="M93">
        <v>850</v>
      </c>
      <c r="O93">
        <v>850</v>
      </c>
      <c r="P93">
        <v>850</v>
      </c>
      <c r="Q93">
        <v>850</v>
      </c>
      <c r="R93">
        <v>850</v>
      </c>
      <c r="S93">
        <v>850</v>
      </c>
      <c r="T93">
        <v>850</v>
      </c>
      <c r="U93">
        <v>850</v>
      </c>
      <c r="V93">
        <v>850</v>
      </c>
      <c r="W93">
        <v>850</v>
      </c>
      <c r="X93">
        <v>850</v>
      </c>
    </row>
    <row r="94" spans="1:25" x14ac:dyDescent="0.25">
      <c r="A94" t="s">
        <v>1887</v>
      </c>
      <c r="B94" t="s">
        <v>1888</v>
      </c>
      <c r="C94" t="s">
        <v>1889</v>
      </c>
      <c r="D94">
        <v>6074202300044050</v>
      </c>
      <c r="E94" t="s">
        <v>2472</v>
      </c>
      <c r="F94" t="s">
        <v>2122</v>
      </c>
      <c r="G94" t="s">
        <v>2123</v>
      </c>
      <c r="H94" t="s">
        <v>2294</v>
      </c>
      <c r="I94" t="s">
        <v>2295</v>
      </c>
      <c r="J94" t="s">
        <v>2296</v>
      </c>
      <c r="K94" s="3">
        <v>46335</v>
      </c>
      <c r="L94">
        <v>81204</v>
      </c>
      <c r="M94">
        <v>6000</v>
      </c>
      <c r="N94">
        <v>6687</v>
      </c>
      <c r="O94">
        <v>6687</v>
      </c>
      <c r="P94">
        <v>6687</v>
      </c>
      <c r="Q94">
        <v>6687</v>
      </c>
      <c r="R94">
        <v>6687</v>
      </c>
      <c r="S94">
        <v>6687</v>
      </c>
      <c r="T94">
        <v>6687</v>
      </c>
      <c r="U94">
        <v>6687</v>
      </c>
      <c r="V94">
        <v>6687</v>
      </c>
      <c r="W94">
        <v>6687</v>
      </c>
      <c r="X94">
        <v>7167</v>
      </c>
      <c r="Y94">
        <v>7167</v>
      </c>
    </row>
    <row r="95" spans="1:25" x14ac:dyDescent="0.25">
      <c r="A95" t="s">
        <v>1887</v>
      </c>
      <c r="B95" t="s">
        <v>1888</v>
      </c>
      <c r="C95" t="s">
        <v>1889</v>
      </c>
      <c r="D95">
        <v>6074202300044040</v>
      </c>
      <c r="E95" t="s">
        <v>2472</v>
      </c>
      <c r="F95" t="s">
        <v>2122</v>
      </c>
      <c r="G95" t="s">
        <v>2123</v>
      </c>
      <c r="H95" t="s">
        <v>2291</v>
      </c>
      <c r="I95" t="s">
        <v>2292</v>
      </c>
      <c r="J95" t="s">
        <v>2293</v>
      </c>
      <c r="K95" s="3">
        <v>46300</v>
      </c>
      <c r="L95">
        <v>68070</v>
      </c>
      <c r="M95">
        <v>5000</v>
      </c>
      <c r="N95">
        <v>5572.5</v>
      </c>
      <c r="O95">
        <v>5572.5</v>
      </c>
      <c r="P95">
        <v>5572.5</v>
      </c>
      <c r="Q95">
        <v>5572.5</v>
      </c>
      <c r="R95">
        <v>5572.5</v>
      </c>
      <c r="S95">
        <v>5572.5</v>
      </c>
      <c r="T95">
        <v>5572.5</v>
      </c>
      <c r="U95">
        <v>5572.5</v>
      </c>
      <c r="V95">
        <v>5572.5</v>
      </c>
      <c r="W95">
        <v>5972.5</v>
      </c>
      <c r="X95">
        <v>5972.5</v>
      </c>
      <c r="Y95">
        <v>5972.5</v>
      </c>
    </row>
    <row r="96" spans="1:25" x14ac:dyDescent="0.25">
      <c r="A96" t="s">
        <v>1887</v>
      </c>
      <c r="B96" t="s">
        <v>1888</v>
      </c>
      <c r="C96" t="s">
        <v>1889</v>
      </c>
      <c r="D96">
        <v>6074202300031760</v>
      </c>
      <c r="E96" t="s">
        <v>2472</v>
      </c>
      <c r="F96" t="s">
        <v>2122</v>
      </c>
      <c r="G96" t="s">
        <v>2123</v>
      </c>
      <c r="H96" t="s">
        <v>2276</v>
      </c>
      <c r="I96" t="s">
        <v>2290</v>
      </c>
      <c r="J96" t="s">
        <v>2288</v>
      </c>
      <c r="K96" s="3">
        <v>46282</v>
      </c>
      <c r="L96">
        <v>1200</v>
      </c>
      <c r="M96">
        <v>100</v>
      </c>
      <c r="N96">
        <v>0</v>
      </c>
      <c r="O96">
        <v>0</v>
      </c>
      <c r="P96">
        <v>0</v>
      </c>
      <c r="Q96">
        <v>0</v>
      </c>
      <c r="R96">
        <v>0</v>
      </c>
      <c r="S96">
        <v>0</v>
      </c>
      <c r="T96">
        <v>0</v>
      </c>
      <c r="U96">
        <v>0</v>
      </c>
      <c r="V96">
        <v>0</v>
      </c>
      <c r="W96">
        <v>0</v>
      </c>
      <c r="X96">
        <v>200</v>
      </c>
      <c r="Y96">
        <v>0</v>
      </c>
    </row>
    <row r="97" spans="1:25" x14ac:dyDescent="0.25">
      <c r="A97" t="s">
        <v>1887</v>
      </c>
      <c r="B97" t="s">
        <v>1888</v>
      </c>
      <c r="C97" t="s">
        <v>1889</v>
      </c>
      <c r="D97" t="s">
        <v>2463</v>
      </c>
      <c r="E97" t="s">
        <v>2472</v>
      </c>
      <c r="F97" t="s">
        <v>2080</v>
      </c>
      <c r="G97" t="s">
        <v>2066</v>
      </c>
      <c r="H97" t="s">
        <v>1986</v>
      </c>
      <c r="I97" t="s">
        <v>2081</v>
      </c>
      <c r="J97" t="s">
        <v>1999</v>
      </c>
      <c r="K97" t="s">
        <v>1989</v>
      </c>
      <c r="L97">
        <v>10000</v>
      </c>
      <c r="M97">
        <v>10000</v>
      </c>
      <c r="Q97">
        <v>10000</v>
      </c>
    </row>
    <row r="98" spans="1:25" x14ac:dyDescent="0.25">
      <c r="A98" t="s">
        <v>1887</v>
      </c>
      <c r="B98" t="s">
        <v>1888</v>
      </c>
      <c r="C98" t="s">
        <v>1889</v>
      </c>
      <c r="D98">
        <v>6074202300031760</v>
      </c>
      <c r="E98" t="s">
        <v>2472</v>
      </c>
      <c r="F98" t="s">
        <v>2122</v>
      </c>
      <c r="G98" t="s">
        <v>2123</v>
      </c>
      <c r="H98" t="s">
        <v>2276</v>
      </c>
      <c r="I98" t="s">
        <v>2289</v>
      </c>
      <c r="J98" t="s">
        <v>2288</v>
      </c>
      <c r="K98" s="3">
        <v>46282</v>
      </c>
      <c r="L98">
        <v>63502</v>
      </c>
      <c r="M98">
        <v>5558.5</v>
      </c>
      <c r="N98">
        <v>5158.5</v>
      </c>
      <c r="O98">
        <v>5158.5</v>
      </c>
      <c r="P98">
        <v>5158.5</v>
      </c>
      <c r="Q98">
        <v>5158.5</v>
      </c>
      <c r="R98">
        <v>5158.5</v>
      </c>
      <c r="S98">
        <v>5158.5</v>
      </c>
      <c r="T98">
        <v>5158.5</v>
      </c>
      <c r="U98">
        <v>5158.5</v>
      </c>
      <c r="V98">
        <v>5558.5</v>
      </c>
      <c r="W98">
        <v>5558.5</v>
      </c>
      <c r="X98">
        <v>5558.5</v>
      </c>
      <c r="Y98">
        <v>5558.5</v>
      </c>
    </row>
    <row r="99" spans="1:25" x14ac:dyDescent="0.25">
      <c r="A99" t="s">
        <v>1887</v>
      </c>
      <c r="B99" t="s">
        <v>1888</v>
      </c>
      <c r="C99" t="s">
        <v>1889</v>
      </c>
      <c r="D99">
        <v>6074201700002600</v>
      </c>
      <c r="E99" t="s">
        <v>2472</v>
      </c>
      <c r="F99" t="s">
        <v>2087</v>
      </c>
      <c r="G99" t="s">
        <v>2083</v>
      </c>
      <c r="H99" t="s">
        <v>2088</v>
      </c>
      <c r="I99" t="s">
        <v>2089</v>
      </c>
      <c r="J99" t="s">
        <v>2090</v>
      </c>
      <c r="K99" s="3">
        <v>46263</v>
      </c>
      <c r="L99">
        <v>128707.2</v>
      </c>
      <c r="M99">
        <v>11365.6</v>
      </c>
      <c r="N99">
        <v>11365.6</v>
      </c>
      <c r="O99">
        <v>11365.6</v>
      </c>
      <c r="P99">
        <v>11365.6</v>
      </c>
      <c r="Q99">
        <v>11365.6</v>
      </c>
      <c r="R99">
        <v>11365.6</v>
      </c>
      <c r="S99">
        <v>11365.6</v>
      </c>
      <c r="T99">
        <v>11365.6</v>
      </c>
      <c r="U99">
        <v>12005.6</v>
      </c>
      <c r="V99">
        <v>12005.6</v>
      </c>
      <c r="W99">
        <v>12005.6</v>
      </c>
      <c r="X99">
        <v>12005.6</v>
      </c>
      <c r="Y99">
        <v>12005.6</v>
      </c>
    </row>
    <row r="100" spans="1:25" x14ac:dyDescent="0.25">
      <c r="A100" t="s">
        <v>1887</v>
      </c>
      <c r="B100" t="s">
        <v>1888</v>
      </c>
      <c r="C100" t="s">
        <v>1889</v>
      </c>
      <c r="D100">
        <v>6074201700002600</v>
      </c>
      <c r="E100" t="s">
        <v>2472</v>
      </c>
      <c r="F100" t="s">
        <v>2087</v>
      </c>
      <c r="G100" t="s">
        <v>2083</v>
      </c>
      <c r="H100" t="s">
        <v>2088</v>
      </c>
      <c r="I100" t="s">
        <v>2091</v>
      </c>
      <c r="J100" t="s">
        <v>2090</v>
      </c>
      <c r="K100" s="3">
        <v>46263</v>
      </c>
      <c r="L100">
        <v>2000</v>
      </c>
      <c r="M100">
        <v>2000</v>
      </c>
      <c r="N100" t="s">
        <v>1908</v>
      </c>
      <c r="O100">
        <v>0</v>
      </c>
      <c r="P100">
        <v>0</v>
      </c>
      <c r="Q100">
        <v>0</v>
      </c>
      <c r="R100">
        <v>0</v>
      </c>
      <c r="S100">
        <v>0</v>
      </c>
      <c r="T100">
        <v>0</v>
      </c>
      <c r="U100">
        <v>2000</v>
      </c>
      <c r="V100">
        <v>0</v>
      </c>
      <c r="W100">
        <v>0</v>
      </c>
      <c r="X100">
        <v>0</v>
      </c>
      <c r="Y100" t="s">
        <v>2092</v>
      </c>
    </row>
    <row r="101" spans="1:25" x14ac:dyDescent="0.25">
      <c r="A101" t="s">
        <v>1887</v>
      </c>
      <c r="B101" t="s">
        <v>1888</v>
      </c>
      <c r="C101" t="s">
        <v>1889</v>
      </c>
      <c r="D101">
        <v>6074201700002600</v>
      </c>
      <c r="E101" t="s">
        <v>2472</v>
      </c>
      <c r="F101" t="s">
        <v>2093</v>
      </c>
      <c r="G101" t="s">
        <v>2083</v>
      </c>
      <c r="H101" t="s">
        <v>2088</v>
      </c>
      <c r="I101" t="s">
        <v>2094</v>
      </c>
      <c r="J101" t="s">
        <v>2090</v>
      </c>
      <c r="K101" s="3">
        <v>46263</v>
      </c>
      <c r="L101">
        <v>20000</v>
      </c>
      <c r="M101">
        <v>2000</v>
      </c>
      <c r="N101" t="s">
        <v>1908</v>
      </c>
      <c r="O101">
        <v>2000</v>
      </c>
      <c r="P101">
        <v>2000</v>
      </c>
      <c r="Q101">
        <v>2000</v>
      </c>
      <c r="R101">
        <v>2000</v>
      </c>
      <c r="S101">
        <v>2000</v>
      </c>
      <c r="T101">
        <v>2000</v>
      </c>
      <c r="U101">
        <v>2000</v>
      </c>
      <c r="V101">
        <v>2000</v>
      </c>
      <c r="W101">
        <v>2000</v>
      </c>
      <c r="X101">
        <v>2000</v>
      </c>
      <c r="Y101" t="s">
        <v>2092</v>
      </c>
    </row>
    <row r="102" spans="1:25" x14ac:dyDescent="0.25">
      <c r="A102" t="s">
        <v>1887</v>
      </c>
      <c r="B102" t="s">
        <v>1888</v>
      </c>
      <c r="C102" t="s">
        <v>1889</v>
      </c>
      <c r="D102">
        <v>6074202300031760</v>
      </c>
      <c r="E102" t="s">
        <v>2472</v>
      </c>
      <c r="F102" t="s">
        <v>2122</v>
      </c>
      <c r="G102" t="s">
        <v>2123</v>
      </c>
      <c r="H102" t="s">
        <v>2276</v>
      </c>
      <c r="I102" t="s">
        <v>2287</v>
      </c>
      <c r="J102" t="s">
        <v>2288</v>
      </c>
      <c r="K102" s="3">
        <v>46282</v>
      </c>
      <c r="L102">
        <v>3750</v>
      </c>
      <c r="M102">
        <v>375</v>
      </c>
      <c r="N102">
        <v>0</v>
      </c>
      <c r="O102">
        <v>375</v>
      </c>
      <c r="P102">
        <v>375</v>
      </c>
      <c r="Q102">
        <v>375</v>
      </c>
      <c r="R102">
        <v>375</v>
      </c>
      <c r="S102">
        <v>375</v>
      </c>
      <c r="T102">
        <v>375</v>
      </c>
      <c r="U102">
        <v>375</v>
      </c>
      <c r="V102">
        <v>375</v>
      </c>
      <c r="W102">
        <v>375</v>
      </c>
      <c r="X102">
        <v>375</v>
      </c>
    </row>
    <row r="103" spans="1:25" x14ac:dyDescent="0.25">
      <c r="A103" t="s">
        <v>1887</v>
      </c>
      <c r="B103" t="s">
        <v>1888</v>
      </c>
      <c r="C103" t="s">
        <v>1889</v>
      </c>
      <c r="D103">
        <v>6074202300028040</v>
      </c>
      <c r="E103" t="s">
        <v>2472</v>
      </c>
      <c r="F103" t="s">
        <v>2134</v>
      </c>
      <c r="G103" t="s">
        <v>2123</v>
      </c>
      <c r="H103" t="s">
        <v>2282</v>
      </c>
      <c r="I103" t="s">
        <v>2286</v>
      </c>
      <c r="J103" t="s">
        <v>2284</v>
      </c>
      <c r="K103" s="3">
        <v>46209</v>
      </c>
      <c r="L103">
        <v>1200</v>
      </c>
      <c r="M103">
        <v>100</v>
      </c>
      <c r="N103">
        <v>1300</v>
      </c>
      <c r="O103">
        <v>1300</v>
      </c>
      <c r="P103">
        <v>1300</v>
      </c>
      <c r="Q103">
        <v>1300</v>
      </c>
      <c r="R103">
        <v>1300</v>
      </c>
      <c r="S103">
        <v>1300</v>
      </c>
      <c r="T103">
        <v>1300</v>
      </c>
      <c r="U103">
        <v>1300</v>
      </c>
      <c r="V103">
        <v>1300</v>
      </c>
      <c r="W103">
        <v>1300</v>
      </c>
      <c r="X103">
        <v>1300</v>
      </c>
      <c r="Y103">
        <v>1300</v>
      </c>
    </row>
    <row r="104" spans="1:25" x14ac:dyDescent="0.25">
      <c r="A104" t="s">
        <v>1887</v>
      </c>
      <c r="B104" t="s">
        <v>1888</v>
      </c>
      <c r="C104" t="s">
        <v>1889</v>
      </c>
      <c r="D104">
        <v>6074202300028040</v>
      </c>
      <c r="E104" t="s">
        <v>2472</v>
      </c>
      <c r="F104" t="s">
        <v>2134</v>
      </c>
      <c r="G104" t="s">
        <v>2123</v>
      </c>
      <c r="H104" t="s">
        <v>2282</v>
      </c>
      <c r="I104" t="s">
        <v>2285</v>
      </c>
      <c r="J104" t="s">
        <v>2284</v>
      </c>
      <c r="K104" s="3">
        <v>46209</v>
      </c>
      <c r="L104">
        <v>19000</v>
      </c>
      <c r="O104">
        <v>1900</v>
      </c>
      <c r="P104">
        <v>1900</v>
      </c>
      <c r="Q104">
        <v>1900</v>
      </c>
      <c r="R104">
        <v>1900</v>
      </c>
      <c r="S104">
        <v>1900</v>
      </c>
      <c r="T104">
        <v>1900</v>
      </c>
      <c r="U104">
        <v>1900</v>
      </c>
      <c r="V104">
        <v>1900</v>
      </c>
      <c r="W104">
        <v>1900</v>
      </c>
      <c r="X104">
        <v>1900</v>
      </c>
    </row>
    <row r="105" spans="1:25" x14ac:dyDescent="0.25">
      <c r="A105" t="s">
        <v>1887</v>
      </c>
      <c r="B105" t="s">
        <v>1888</v>
      </c>
      <c r="C105" t="s">
        <v>1889</v>
      </c>
      <c r="D105">
        <v>6074202300028040</v>
      </c>
      <c r="E105" t="s">
        <v>2472</v>
      </c>
      <c r="F105" t="s">
        <v>2134</v>
      </c>
      <c r="G105" t="s">
        <v>2123</v>
      </c>
      <c r="H105" t="s">
        <v>2282</v>
      </c>
      <c r="I105" t="s">
        <v>2283</v>
      </c>
      <c r="J105" t="s">
        <v>2284</v>
      </c>
      <c r="K105" s="3">
        <v>46209</v>
      </c>
      <c r="L105">
        <v>162976.07999999999</v>
      </c>
      <c r="M105">
        <v>10950.48</v>
      </c>
      <c r="N105">
        <v>13212.2</v>
      </c>
      <c r="O105">
        <v>13212.2</v>
      </c>
      <c r="P105">
        <v>13212.2</v>
      </c>
      <c r="Q105">
        <v>13212.2</v>
      </c>
      <c r="R105">
        <v>13212.2</v>
      </c>
      <c r="S105">
        <v>13212.2</v>
      </c>
      <c r="T105">
        <v>13950.48</v>
      </c>
      <c r="U105">
        <v>13950.48</v>
      </c>
      <c r="V105">
        <v>13950.48</v>
      </c>
      <c r="W105">
        <v>13950.48</v>
      </c>
      <c r="X105">
        <v>13950.48</v>
      </c>
      <c r="Y105">
        <v>13950.48</v>
      </c>
    </row>
    <row r="106" spans="1:25" x14ac:dyDescent="0.25">
      <c r="A106" t="s">
        <v>1887</v>
      </c>
      <c r="B106" t="s">
        <v>1888</v>
      </c>
      <c r="C106" t="s">
        <v>1889</v>
      </c>
      <c r="D106">
        <v>6074202200059570</v>
      </c>
      <c r="E106" t="s">
        <v>2472</v>
      </c>
      <c r="F106" t="s">
        <v>2134</v>
      </c>
      <c r="G106" t="s">
        <v>2123</v>
      </c>
      <c r="H106" t="s">
        <v>2276</v>
      </c>
      <c r="I106" t="s">
        <v>2279</v>
      </c>
      <c r="J106" t="s">
        <v>2278</v>
      </c>
      <c r="K106" s="3">
        <v>46276</v>
      </c>
      <c r="L106">
        <v>1200</v>
      </c>
      <c r="M106">
        <v>100</v>
      </c>
      <c r="N106">
        <v>0</v>
      </c>
      <c r="O106">
        <v>0</v>
      </c>
      <c r="P106">
        <v>0</v>
      </c>
      <c r="Q106">
        <v>0</v>
      </c>
      <c r="R106">
        <v>0</v>
      </c>
      <c r="S106">
        <v>0</v>
      </c>
      <c r="T106">
        <v>0</v>
      </c>
      <c r="U106">
        <v>0</v>
      </c>
      <c r="V106">
        <v>0</v>
      </c>
      <c r="W106">
        <v>0</v>
      </c>
      <c r="X106">
        <v>200</v>
      </c>
      <c r="Y106">
        <v>0</v>
      </c>
    </row>
    <row r="107" spans="1:25" x14ac:dyDescent="0.25">
      <c r="A107" t="s">
        <v>1887</v>
      </c>
      <c r="B107" t="s">
        <v>1888</v>
      </c>
      <c r="C107" t="s">
        <v>1889</v>
      </c>
      <c r="D107">
        <v>6074202200059570</v>
      </c>
      <c r="E107" t="s">
        <v>2472</v>
      </c>
      <c r="F107" t="s">
        <v>2122</v>
      </c>
      <c r="G107" t="s">
        <v>2123</v>
      </c>
      <c r="H107" t="s">
        <v>2276</v>
      </c>
      <c r="I107" t="s">
        <v>2277</v>
      </c>
      <c r="J107" t="s">
        <v>2278</v>
      </c>
      <c r="K107" s="3">
        <v>46276</v>
      </c>
      <c r="L107">
        <v>59760</v>
      </c>
      <c r="M107">
        <v>5220</v>
      </c>
      <c r="N107">
        <v>4860</v>
      </c>
      <c r="O107">
        <v>4860</v>
      </c>
      <c r="P107">
        <v>4860</v>
      </c>
      <c r="Q107">
        <v>4860</v>
      </c>
      <c r="R107">
        <v>4860</v>
      </c>
      <c r="S107">
        <v>4860</v>
      </c>
      <c r="T107">
        <v>4860</v>
      </c>
      <c r="U107">
        <v>4860</v>
      </c>
      <c r="V107">
        <v>5220</v>
      </c>
      <c r="W107">
        <v>5220</v>
      </c>
      <c r="X107">
        <v>5220</v>
      </c>
      <c r="Y107">
        <v>5220</v>
      </c>
    </row>
    <row r="108" spans="1:25" x14ac:dyDescent="0.25">
      <c r="A108" t="s">
        <v>1887</v>
      </c>
      <c r="B108" t="s">
        <v>1888</v>
      </c>
      <c r="C108" t="s">
        <v>1889</v>
      </c>
      <c r="D108">
        <v>6074202200059300</v>
      </c>
      <c r="E108" t="s">
        <v>2472</v>
      </c>
      <c r="F108" t="s">
        <v>2122</v>
      </c>
      <c r="G108" t="s">
        <v>2123</v>
      </c>
      <c r="H108" t="s">
        <v>2271</v>
      </c>
      <c r="I108" t="s">
        <v>2275</v>
      </c>
      <c r="J108" t="s">
        <v>2273</v>
      </c>
      <c r="K108" s="3">
        <v>46123</v>
      </c>
      <c r="L108">
        <v>1200</v>
      </c>
      <c r="M108">
        <v>100</v>
      </c>
      <c r="N108">
        <v>0</v>
      </c>
      <c r="O108">
        <v>0</v>
      </c>
      <c r="P108">
        <v>0</v>
      </c>
      <c r="Q108">
        <v>0</v>
      </c>
      <c r="R108">
        <v>200</v>
      </c>
      <c r="S108">
        <v>0</v>
      </c>
      <c r="T108">
        <v>0</v>
      </c>
      <c r="U108">
        <v>0</v>
      </c>
      <c r="V108">
        <v>0</v>
      </c>
      <c r="W108">
        <v>0</v>
      </c>
      <c r="X108">
        <v>0</v>
      </c>
      <c r="Y108">
        <v>0</v>
      </c>
    </row>
    <row r="109" spans="1:25" x14ac:dyDescent="0.25">
      <c r="A109" t="s">
        <v>1887</v>
      </c>
      <c r="B109" t="s">
        <v>1888</v>
      </c>
      <c r="C109" t="s">
        <v>1889</v>
      </c>
      <c r="D109">
        <v>6074202200059300</v>
      </c>
      <c r="E109" t="s">
        <v>2472</v>
      </c>
      <c r="F109" t="s">
        <v>2122</v>
      </c>
      <c r="G109" t="s">
        <v>2123</v>
      </c>
      <c r="H109" t="s">
        <v>2271</v>
      </c>
      <c r="I109" t="s">
        <v>2274</v>
      </c>
      <c r="J109" t="s">
        <v>2273</v>
      </c>
      <c r="K109" s="3">
        <v>46123</v>
      </c>
      <c r="L109">
        <v>54554.64</v>
      </c>
      <c r="M109">
        <v>4626.22</v>
      </c>
      <c r="N109">
        <v>4306.22</v>
      </c>
      <c r="O109">
        <v>4306.22</v>
      </c>
      <c r="P109">
        <v>4306.22</v>
      </c>
      <c r="Q109">
        <v>4626.22</v>
      </c>
      <c r="R109">
        <v>4626.22</v>
      </c>
      <c r="S109">
        <v>4626.22</v>
      </c>
      <c r="T109">
        <v>4626.22</v>
      </c>
      <c r="U109">
        <v>4626.22</v>
      </c>
      <c r="V109">
        <v>4626.22</v>
      </c>
      <c r="W109">
        <v>4626.22</v>
      </c>
      <c r="X109">
        <v>4626.22</v>
      </c>
      <c r="Y109">
        <v>4626.22</v>
      </c>
    </row>
    <row r="110" spans="1:25" x14ac:dyDescent="0.25">
      <c r="A110" t="s">
        <v>1887</v>
      </c>
      <c r="B110" t="s">
        <v>1888</v>
      </c>
      <c r="C110" t="s">
        <v>1889</v>
      </c>
      <c r="D110">
        <v>6074202200059300</v>
      </c>
      <c r="E110" t="s">
        <v>2472</v>
      </c>
      <c r="F110" t="s">
        <v>2122</v>
      </c>
      <c r="G110" t="s">
        <v>2123</v>
      </c>
      <c r="H110" t="s">
        <v>2271</v>
      </c>
      <c r="I110" t="s">
        <v>2272</v>
      </c>
      <c r="J110" t="s">
        <v>2273</v>
      </c>
      <c r="K110" s="3">
        <v>46123</v>
      </c>
      <c r="L110">
        <v>1600</v>
      </c>
      <c r="M110">
        <v>160</v>
      </c>
      <c r="O110">
        <v>160</v>
      </c>
      <c r="P110">
        <v>160</v>
      </c>
      <c r="Q110">
        <v>160</v>
      </c>
      <c r="R110">
        <v>160</v>
      </c>
      <c r="S110">
        <v>160</v>
      </c>
      <c r="T110">
        <v>160</v>
      </c>
      <c r="U110">
        <v>160</v>
      </c>
      <c r="V110">
        <v>160</v>
      </c>
      <c r="W110">
        <v>160</v>
      </c>
      <c r="X110">
        <v>160</v>
      </c>
      <c r="Y110">
        <v>0</v>
      </c>
    </row>
    <row r="111" spans="1:25" x14ac:dyDescent="0.25">
      <c r="A111" t="s">
        <v>1887</v>
      </c>
      <c r="B111" t="s">
        <v>1888</v>
      </c>
      <c r="C111" t="s">
        <v>1889</v>
      </c>
      <c r="D111">
        <v>6074202200024380</v>
      </c>
      <c r="E111" t="s">
        <v>2472</v>
      </c>
      <c r="F111" t="s">
        <v>2134</v>
      </c>
      <c r="G111" t="s">
        <v>2123</v>
      </c>
      <c r="H111" t="s">
        <v>2266</v>
      </c>
      <c r="I111" t="s">
        <v>2270</v>
      </c>
      <c r="J111" t="s">
        <v>2268</v>
      </c>
      <c r="K111" s="3">
        <v>45910</v>
      </c>
      <c r="L111">
        <v>82458.399999999994</v>
      </c>
      <c r="M111">
        <v>7298.2</v>
      </c>
      <c r="N111">
        <v>6658.2</v>
      </c>
      <c r="O111">
        <v>6658.2</v>
      </c>
      <c r="P111">
        <v>6658.2</v>
      </c>
      <c r="Q111">
        <v>6658.2</v>
      </c>
      <c r="R111">
        <v>6658.2</v>
      </c>
      <c r="S111">
        <v>6658.2</v>
      </c>
      <c r="T111">
        <v>6658.2</v>
      </c>
      <c r="U111">
        <v>6658.2</v>
      </c>
      <c r="V111">
        <v>7298.2</v>
      </c>
      <c r="W111">
        <v>7298.2</v>
      </c>
      <c r="X111">
        <v>7298.2</v>
      </c>
      <c r="Y111">
        <v>7298.2</v>
      </c>
    </row>
    <row r="112" spans="1:25" x14ac:dyDescent="0.25">
      <c r="A112" t="s">
        <v>1887</v>
      </c>
      <c r="B112" t="s">
        <v>1888</v>
      </c>
      <c r="C112" t="s">
        <v>1889</v>
      </c>
      <c r="D112">
        <v>6074202200024380</v>
      </c>
      <c r="E112" t="s">
        <v>2472</v>
      </c>
      <c r="F112" t="s">
        <v>2134</v>
      </c>
      <c r="G112" t="s">
        <v>2123</v>
      </c>
      <c r="H112" t="s">
        <v>2266</v>
      </c>
      <c r="I112" t="s">
        <v>2269</v>
      </c>
      <c r="J112" t="s">
        <v>2268</v>
      </c>
      <c r="K112" s="3">
        <v>46275</v>
      </c>
      <c r="L112">
        <v>11000</v>
      </c>
      <c r="M112">
        <v>1100</v>
      </c>
      <c r="N112">
        <v>1100</v>
      </c>
      <c r="O112">
        <v>1100</v>
      </c>
      <c r="P112">
        <v>1100</v>
      </c>
      <c r="Q112">
        <v>1100</v>
      </c>
      <c r="R112">
        <v>1100</v>
      </c>
      <c r="S112">
        <v>1100</v>
      </c>
      <c r="T112">
        <v>1100</v>
      </c>
      <c r="U112">
        <v>1100</v>
      </c>
      <c r="V112">
        <v>1100</v>
      </c>
      <c r="W112">
        <v>1100</v>
      </c>
      <c r="X112" t="s">
        <v>1908</v>
      </c>
      <c r="Y112" t="s">
        <v>1910</v>
      </c>
    </row>
    <row r="113" spans="1:25" x14ac:dyDescent="0.25">
      <c r="A113" t="s">
        <v>1887</v>
      </c>
      <c r="B113" t="s">
        <v>1888</v>
      </c>
      <c r="C113" t="s">
        <v>1889</v>
      </c>
      <c r="D113">
        <v>6074202200024380</v>
      </c>
      <c r="E113" t="s">
        <v>2472</v>
      </c>
      <c r="F113" t="s">
        <v>2134</v>
      </c>
      <c r="G113" t="s">
        <v>2123</v>
      </c>
      <c r="H113" t="s">
        <v>2266</v>
      </c>
      <c r="I113" t="s">
        <v>2267</v>
      </c>
      <c r="J113" t="s">
        <v>2268</v>
      </c>
      <c r="K113" s="3">
        <v>46275</v>
      </c>
      <c r="L113">
        <v>38000</v>
      </c>
      <c r="M113">
        <v>3500</v>
      </c>
      <c r="N113">
        <v>3000</v>
      </c>
      <c r="O113">
        <v>3000</v>
      </c>
      <c r="P113">
        <v>3000</v>
      </c>
      <c r="Q113">
        <v>3000</v>
      </c>
      <c r="R113">
        <v>3000</v>
      </c>
      <c r="S113">
        <v>3000</v>
      </c>
      <c r="T113">
        <v>3000</v>
      </c>
      <c r="U113">
        <v>3000</v>
      </c>
      <c r="V113">
        <v>3500</v>
      </c>
      <c r="W113">
        <v>3500</v>
      </c>
      <c r="X113">
        <v>3500</v>
      </c>
      <c r="Y113">
        <v>3500</v>
      </c>
    </row>
    <row r="114" spans="1:25" x14ac:dyDescent="0.25">
      <c r="A114" t="s">
        <v>1887</v>
      </c>
      <c r="B114" t="s">
        <v>1888</v>
      </c>
      <c r="C114" t="s">
        <v>1889</v>
      </c>
      <c r="D114">
        <v>6074202200013810</v>
      </c>
      <c r="E114" t="s">
        <v>2472</v>
      </c>
      <c r="F114" t="s">
        <v>2122</v>
      </c>
      <c r="G114" t="s">
        <v>2123</v>
      </c>
      <c r="H114" t="s">
        <v>2262</v>
      </c>
      <c r="I114" t="s">
        <v>2265</v>
      </c>
      <c r="J114" t="s">
        <v>2264</v>
      </c>
      <c r="K114" s="3">
        <v>46115</v>
      </c>
      <c r="L114">
        <v>9500</v>
      </c>
      <c r="M114">
        <v>950</v>
      </c>
      <c r="N114">
        <v>0</v>
      </c>
      <c r="O114">
        <v>950</v>
      </c>
      <c r="P114">
        <v>950</v>
      </c>
      <c r="Q114">
        <v>950</v>
      </c>
      <c r="R114">
        <v>950</v>
      </c>
      <c r="S114">
        <v>950</v>
      </c>
      <c r="T114">
        <v>950</v>
      </c>
      <c r="U114">
        <v>950</v>
      </c>
      <c r="V114">
        <v>950</v>
      </c>
      <c r="W114">
        <v>950</v>
      </c>
      <c r="X114">
        <v>950</v>
      </c>
    </row>
    <row r="115" spans="1:25" x14ac:dyDescent="0.25">
      <c r="A115" t="s">
        <v>1887</v>
      </c>
      <c r="B115" t="s">
        <v>1888</v>
      </c>
      <c r="C115" t="s">
        <v>1889</v>
      </c>
      <c r="D115">
        <v>6074202200013810</v>
      </c>
      <c r="E115" t="s">
        <v>2472</v>
      </c>
      <c r="F115" t="s">
        <v>2122</v>
      </c>
      <c r="G115" t="s">
        <v>2123</v>
      </c>
      <c r="H115" t="s">
        <v>2262</v>
      </c>
      <c r="I115" t="s">
        <v>2263</v>
      </c>
      <c r="J115" t="s">
        <v>2264</v>
      </c>
      <c r="K115" s="3">
        <v>46115</v>
      </c>
      <c r="L115">
        <v>86047.2</v>
      </c>
      <c r="M115">
        <v>7290.6</v>
      </c>
      <c r="N115">
        <v>6810.6</v>
      </c>
      <c r="O115">
        <v>6810.6</v>
      </c>
      <c r="P115">
        <v>6810.6</v>
      </c>
      <c r="Q115">
        <v>7290.6</v>
      </c>
      <c r="R115">
        <v>7290.6</v>
      </c>
      <c r="S115">
        <v>7290.6</v>
      </c>
      <c r="T115">
        <v>7290.6</v>
      </c>
      <c r="U115">
        <v>7290.6</v>
      </c>
      <c r="V115">
        <v>7290.6</v>
      </c>
      <c r="W115">
        <v>7290.6</v>
      </c>
      <c r="X115">
        <v>7290.6</v>
      </c>
      <c r="Y115">
        <v>7290.6</v>
      </c>
    </row>
    <row r="116" spans="1:25" x14ac:dyDescent="0.25">
      <c r="A116" t="s">
        <v>1887</v>
      </c>
      <c r="B116" t="s">
        <v>1888</v>
      </c>
      <c r="C116" t="s">
        <v>1889</v>
      </c>
      <c r="D116">
        <v>6074202100078260</v>
      </c>
      <c r="E116" t="s">
        <v>2472</v>
      </c>
      <c r="F116" t="s">
        <v>2122</v>
      </c>
      <c r="G116" t="s">
        <v>2123</v>
      </c>
      <c r="H116" t="s">
        <v>2254</v>
      </c>
      <c r="I116" t="s">
        <v>2258</v>
      </c>
      <c r="J116" t="s">
        <v>2256</v>
      </c>
      <c r="K116" s="3">
        <v>46371</v>
      </c>
      <c r="L116">
        <v>1200</v>
      </c>
      <c r="M116">
        <v>100</v>
      </c>
      <c r="N116">
        <v>0</v>
      </c>
      <c r="O116">
        <v>350</v>
      </c>
      <c r="P116">
        <v>0</v>
      </c>
      <c r="Q116">
        <v>0</v>
      </c>
      <c r="R116">
        <v>0</v>
      </c>
      <c r="S116">
        <v>0</v>
      </c>
      <c r="T116">
        <v>0</v>
      </c>
      <c r="U116">
        <v>0</v>
      </c>
      <c r="V116">
        <v>0</v>
      </c>
      <c r="W116">
        <v>0</v>
      </c>
      <c r="X116">
        <v>0</v>
      </c>
      <c r="Y116">
        <v>0</v>
      </c>
    </row>
    <row r="117" spans="1:25" x14ac:dyDescent="0.25">
      <c r="A117" t="s">
        <v>1887</v>
      </c>
      <c r="B117" t="s">
        <v>1888</v>
      </c>
      <c r="C117" t="s">
        <v>1889</v>
      </c>
      <c r="D117">
        <v>6074202100078260</v>
      </c>
      <c r="E117" t="s">
        <v>2472</v>
      </c>
      <c r="F117" t="s">
        <v>2122</v>
      </c>
      <c r="G117" t="s">
        <v>2123</v>
      </c>
      <c r="H117" t="s">
        <v>2254</v>
      </c>
      <c r="I117" t="s">
        <v>2257</v>
      </c>
      <c r="J117" t="s">
        <v>2256</v>
      </c>
      <c r="K117" s="3">
        <v>46371</v>
      </c>
      <c r="L117">
        <v>8000</v>
      </c>
      <c r="M117">
        <v>0</v>
      </c>
      <c r="N117">
        <v>0</v>
      </c>
      <c r="O117">
        <v>8000</v>
      </c>
      <c r="P117">
        <v>0</v>
      </c>
      <c r="Q117">
        <v>0</v>
      </c>
      <c r="R117">
        <v>0</v>
      </c>
      <c r="S117">
        <v>0</v>
      </c>
      <c r="T117">
        <v>0</v>
      </c>
      <c r="U117">
        <v>0</v>
      </c>
      <c r="V117">
        <v>0</v>
      </c>
      <c r="W117">
        <v>0</v>
      </c>
      <c r="X117">
        <v>0</v>
      </c>
      <c r="Y117">
        <v>0</v>
      </c>
    </row>
    <row r="118" spans="1:25" x14ac:dyDescent="0.25">
      <c r="A118" t="s">
        <v>1887</v>
      </c>
      <c r="B118" t="s">
        <v>1888</v>
      </c>
      <c r="C118" t="s">
        <v>1889</v>
      </c>
      <c r="D118">
        <v>6074202100078260</v>
      </c>
      <c r="E118" t="s">
        <v>2472</v>
      </c>
      <c r="F118" t="s">
        <v>2122</v>
      </c>
      <c r="G118" t="s">
        <v>2123</v>
      </c>
      <c r="H118" t="s">
        <v>2254</v>
      </c>
      <c r="I118" t="s">
        <v>2255</v>
      </c>
      <c r="J118" t="s">
        <v>2256</v>
      </c>
      <c r="K118" s="3">
        <v>46371</v>
      </c>
      <c r="L118">
        <v>96728.52</v>
      </c>
      <c r="M118">
        <v>8620.7099999999991</v>
      </c>
      <c r="N118">
        <v>8620.7099999999991</v>
      </c>
      <c r="O118">
        <v>8620.7099999999991</v>
      </c>
      <c r="P118">
        <v>8620.7099999999991</v>
      </c>
      <c r="Q118">
        <v>8620.7099999999991</v>
      </c>
      <c r="R118">
        <v>8620.7099999999991</v>
      </c>
      <c r="S118">
        <v>8620.7099999999991</v>
      </c>
      <c r="T118">
        <v>8620.7099999999991</v>
      </c>
      <c r="U118">
        <v>8620.7099999999991</v>
      </c>
      <c r="V118">
        <v>8620.7099999999991</v>
      </c>
      <c r="W118">
        <v>8620.7099999999991</v>
      </c>
      <c r="X118">
        <v>8620.7099999999991</v>
      </c>
      <c r="Y118">
        <v>9180.7099999999991</v>
      </c>
    </row>
    <row r="119" spans="1:25" x14ac:dyDescent="0.25">
      <c r="A119" t="s">
        <v>1887</v>
      </c>
      <c r="B119" t="s">
        <v>1888</v>
      </c>
      <c r="C119" t="s">
        <v>1889</v>
      </c>
      <c r="D119">
        <v>6074202500013480</v>
      </c>
      <c r="E119" t="s">
        <v>2472</v>
      </c>
      <c r="F119" t="s">
        <v>2082</v>
      </c>
      <c r="G119" t="s">
        <v>2083</v>
      </c>
      <c r="H119" t="s">
        <v>1983</v>
      </c>
      <c r="I119" t="s">
        <v>1984</v>
      </c>
      <c r="J119" t="s">
        <v>1985</v>
      </c>
      <c r="K119" s="3">
        <v>46236</v>
      </c>
      <c r="L119">
        <v>9642625.5600000005</v>
      </c>
      <c r="M119">
        <v>803552.13</v>
      </c>
      <c r="N119">
        <v>803552.13</v>
      </c>
      <c r="O119">
        <v>803552.13</v>
      </c>
      <c r="P119">
        <v>803552.13</v>
      </c>
      <c r="Q119">
        <v>803552.13</v>
      </c>
      <c r="R119">
        <v>803552.13</v>
      </c>
      <c r="S119">
        <v>803552.13</v>
      </c>
      <c r="T119">
        <v>803552.13</v>
      </c>
      <c r="U119">
        <v>803552.13</v>
      </c>
      <c r="V119">
        <v>803552.13</v>
      </c>
      <c r="W119">
        <v>803552.13</v>
      </c>
      <c r="X119">
        <v>803552.13</v>
      </c>
      <c r="Y119">
        <v>803552.13</v>
      </c>
    </row>
    <row r="120" spans="1:25" x14ac:dyDescent="0.25">
      <c r="A120" t="s">
        <v>1887</v>
      </c>
      <c r="B120" t="s">
        <v>1888</v>
      </c>
      <c r="C120" t="s">
        <v>1889</v>
      </c>
      <c r="D120">
        <v>6074202100066240</v>
      </c>
      <c r="E120" t="s">
        <v>2472</v>
      </c>
      <c r="F120" t="s">
        <v>2122</v>
      </c>
      <c r="G120" t="s">
        <v>2123</v>
      </c>
      <c r="H120" t="s">
        <v>2077</v>
      </c>
      <c r="I120" t="s">
        <v>2253</v>
      </c>
      <c r="J120" t="s">
        <v>2251</v>
      </c>
      <c r="K120" s="3">
        <v>46209</v>
      </c>
      <c r="L120">
        <v>1200</v>
      </c>
      <c r="M120">
        <v>100</v>
      </c>
      <c r="N120">
        <v>0</v>
      </c>
      <c r="O120">
        <v>0</v>
      </c>
      <c r="P120">
        <v>0</v>
      </c>
      <c r="Q120">
        <v>0</v>
      </c>
      <c r="R120">
        <v>0</v>
      </c>
      <c r="S120">
        <v>0</v>
      </c>
      <c r="T120">
        <v>0</v>
      </c>
      <c r="U120">
        <v>350</v>
      </c>
      <c r="V120">
        <v>0</v>
      </c>
      <c r="W120">
        <v>0</v>
      </c>
      <c r="X120">
        <v>0</v>
      </c>
      <c r="Y120">
        <v>0</v>
      </c>
    </row>
    <row r="121" spans="1:25" x14ac:dyDescent="0.25">
      <c r="A121" t="s">
        <v>1887</v>
      </c>
      <c r="B121" t="s">
        <v>1888</v>
      </c>
      <c r="C121" t="s">
        <v>1889</v>
      </c>
      <c r="D121" t="s">
        <v>2463</v>
      </c>
      <c r="E121" t="s">
        <v>2472</v>
      </c>
      <c r="F121" t="s">
        <v>2119</v>
      </c>
      <c r="G121" t="s">
        <v>2083</v>
      </c>
      <c r="H121" t="s">
        <v>1986</v>
      </c>
      <c r="I121" t="s">
        <v>2120</v>
      </c>
      <c r="J121" t="s">
        <v>1999</v>
      </c>
      <c r="K121" t="s">
        <v>1989</v>
      </c>
      <c r="L121">
        <v>15000</v>
      </c>
      <c r="M121">
        <v>15000</v>
      </c>
      <c r="O121">
        <v>15000</v>
      </c>
    </row>
    <row r="122" spans="1:25" x14ac:dyDescent="0.25">
      <c r="A122" t="s">
        <v>1887</v>
      </c>
      <c r="B122" t="s">
        <v>1888</v>
      </c>
      <c r="C122" t="s">
        <v>1889</v>
      </c>
      <c r="D122" t="s">
        <v>2463</v>
      </c>
      <c r="E122" t="s">
        <v>2472</v>
      </c>
      <c r="F122" t="s">
        <v>2119</v>
      </c>
      <c r="G122" t="s">
        <v>2083</v>
      </c>
      <c r="H122" t="s">
        <v>1986</v>
      </c>
      <c r="I122" t="s">
        <v>2121</v>
      </c>
      <c r="J122" t="s">
        <v>1999</v>
      </c>
      <c r="K122" t="s">
        <v>1989</v>
      </c>
      <c r="L122">
        <v>100000</v>
      </c>
      <c r="M122">
        <v>100000</v>
      </c>
      <c r="O122">
        <v>100000</v>
      </c>
    </row>
    <row r="123" spans="1:25" x14ac:dyDescent="0.25">
      <c r="A123" t="s">
        <v>1887</v>
      </c>
      <c r="B123" t="s">
        <v>1888</v>
      </c>
      <c r="C123" t="s">
        <v>1889</v>
      </c>
      <c r="D123">
        <v>6045201900013360</v>
      </c>
      <c r="E123" t="s">
        <v>2472</v>
      </c>
      <c r="F123" t="s">
        <v>2122</v>
      </c>
      <c r="G123" t="s">
        <v>2123</v>
      </c>
      <c r="H123" t="s">
        <v>2124</v>
      </c>
      <c r="I123" t="s">
        <v>2125</v>
      </c>
      <c r="J123" t="s">
        <v>2126</v>
      </c>
      <c r="K123" s="3">
        <v>46275</v>
      </c>
      <c r="L123">
        <v>43004.32</v>
      </c>
      <c r="M123">
        <v>3750.36</v>
      </c>
      <c r="N123">
        <v>3500.36</v>
      </c>
      <c r="O123">
        <v>3500.36</v>
      </c>
      <c r="P123">
        <v>3500.36</v>
      </c>
      <c r="Q123">
        <v>3500.36</v>
      </c>
      <c r="R123">
        <v>3500.36</v>
      </c>
      <c r="S123">
        <v>3500.36</v>
      </c>
      <c r="T123">
        <v>3500.36</v>
      </c>
      <c r="U123">
        <v>3500.36</v>
      </c>
      <c r="V123">
        <v>3750.36</v>
      </c>
      <c r="W123">
        <v>3750.36</v>
      </c>
      <c r="X123">
        <v>3750.36</v>
      </c>
      <c r="Y123">
        <v>3750.36</v>
      </c>
    </row>
    <row r="124" spans="1:25" x14ac:dyDescent="0.25">
      <c r="A124" t="s">
        <v>1887</v>
      </c>
      <c r="B124" t="s">
        <v>1888</v>
      </c>
      <c r="C124" t="s">
        <v>1889</v>
      </c>
      <c r="D124">
        <v>6045201900013360</v>
      </c>
      <c r="E124" t="s">
        <v>2472</v>
      </c>
      <c r="F124" t="s">
        <v>2127</v>
      </c>
      <c r="G124" t="s">
        <v>2123</v>
      </c>
      <c r="H124" t="s">
        <v>2124</v>
      </c>
      <c r="I124" t="s">
        <v>2128</v>
      </c>
      <c r="J124" t="s">
        <v>2129</v>
      </c>
      <c r="K124" s="3">
        <v>46275</v>
      </c>
      <c r="L124">
        <v>1700</v>
      </c>
      <c r="M124">
        <v>170</v>
      </c>
      <c r="N124">
        <v>0</v>
      </c>
      <c r="O124">
        <v>170</v>
      </c>
      <c r="P124">
        <v>170</v>
      </c>
      <c r="Q124">
        <v>170</v>
      </c>
      <c r="R124">
        <v>170</v>
      </c>
      <c r="S124">
        <v>170</v>
      </c>
      <c r="T124">
        <v>170</v>
      </c>
      <c r="U124">
        <v>170</v>
      </c>
      <c r="V124">
        <v>170</v>
      </c>
      <c r="W124">
        <v>170</v>
      </c>
      <c r="X124">
        <v>170</v>
      </c>
      <c r="Y124">
        <v>0</v>
      </c>
    </row>
    <row r="125" spans="1:25" x14ac:dyDescent="0.25">
      <c r="A125" t="s">
        <v>1887</v>
      </c>
      <c r="B125" t="s">
        <v>1888</v>
      </c>
      <c r="C125" t="s">
        <v>1889</v>
      </c>
      <c r="D125">
        <v>6045201900013360</v>
      </c>
      <c r="E125" t="s">
        <v>2472</v>
      </c>
      <c r="F125" t="s">
        <v>2122</v>
      </c>
      <c r="G125" t="s">
        <v>2123</v>
      </c>
      <c r="H125" t="s">
        <v>2124</v>
      </c>
      <c r="I125" t="s">
        <v>2130</v>
      </c>
      <c r="J125" t="s">
        <v>2129</v>
      </c>
      <c r="K125" s="3">
        <v>46275</v>
      </c>
      <c r="L125">
        <v>350</v>
      </c>
      <c r="M125">
        <v>350</v>
      </c>
      <c r="O125">
        <v>0</v>
      </c>
      <c r="P125">
        <v>350</v>
      </c>
      <c r="Q125">
        <v>0</v>
      </c>
      <c r="R125">
        <v>0</v>
      </c>
      <c r="S125">
        <v>0</v>
      </c>
      <c r="T125">
        <v>0</v>
      </c>
      <c r="U125">
        <v>0</v>
      </c>
      <c r="V125">
        <v>0</v>
      </c>
      <c r="W125">
        <v>0</v>
      </c>
      <c r="X125">
        <v>0</v>
      </c>
      <c r="Y125">
        <v>0</v>
      </c>
    </row>
    <row r="126" spans="1:25" x14ac:dyDescent="0.25">
      <c r="A126" t="s">
        <v>1887</v>
      </c>
      <c r="B126" t="s">
        <v>1888</v>
      </c>
      <c r="C126" t="s">
        <v>1889</v>
      </c>
      <c r="D126">
        <v>6031201700000350</v>
      </c>
      <c r="E126" t="s">
        <v>2472</v>
      </c>
      <c r="F126" t="s">
        <v>2127</v>
      </c>
      <c r="G126" t="s">
        <v>2123</v>
      </c>
      <c r="H126" t="s">
        <v>2131</v>
      </c>
      <c r="I126" t="s">
        <v>2132</v>
      </c>
      <c r="J126" t="s">
        <v>2133</v>
      </c>
      <c r="K126" s="3">
        <v>46374</v>
      </c>
      <c r="L126">
        <v>3500</v>
      </c>
      <c r="M126">
        <v>350</v>
      </c>
      <c r="O126">
        <v>350</v>
      </c>
      <c r="P126">
        <v>350</v>
      </c>
      <c r="Q126">
        <v>350</v>
      </c>
      <c r="R126">
        <v>350</v>
      </c>
      <c r="S126">
        <v>350</v>
      </c>
      <c r="T126">
        <v>350</v>
      </c>
      <c r="U126">
        <v>350</v>
      </c>
      <c r="V126">
        <v>350</v>
      </c>
      <c r="W126">
        <v>350</v>
      </c>
      <c r="X126">
        <v>350</v>
      </c>
    </row>
    <row r="127" spans="1:25" x14ac:dyDescent="0.25">
      <c r="A127" t="s">
        <v>1887</v>
      </c>
      <c r="B127" t="s">
        <v>1888</v>
      </c>
      <c r="C127" t="s">
        <v>1889</v>
      </c>
      <c r="D127">
        <v>6031201700000350</v>
      </c>
      <c r="E127" t="s">
        <v>2472</v>
      </c>
      <c r="F127" t="s">
        <v>2134</v>
      </c>
      <c r="G127" t="s">
        <v>2123</v>
      </c>
      <c r="H127" t="s">
        <v>2131</v>
      </c>
      <c r="I127" t="s">
        <v>2135</v>
      </c>
      <c r="J127" t="s">
        <v>2133</v>
      </c>
      <c r="K127" s="3">
        <v>46374</v>
      </c>
      <c r="L127">
        <v>28574.48</v>
      </c>
      <c r="M127">
        <v>2478.7399999999998</v>
      </c>
      <c r="N127">
        <v>2372.34</v>
      </c>
      <c r="O127">
        <v>2372.34</v>
      </c>
      <c r="P127">
        <v>2372.34</v>
      </c>
      <c r="Q127">
        <v>2372.34</v>
      </c>
      <c r="R127">
        <v>2372.34</v>
      </c>
      <c r="S127">
        <v>2372.34</v>
      </c>
      <c r="T127">
        <v>2372.34</v>
      </c>
      <c r="U127">
        <v>2372.34</v>
      </c>
      <c r="V127">
        <v>2372.34</v>
      </c>
      <c r="W127">
        <v>2372.34</v>
      </c>
      <c r="X127">
        <v>2372.34</v>
      </c>
      <c r="Y127">
        <v>2478.7399999999998</v>
      </c>
    </row>
    <row r="128" spans="1:25" x14ac:dyDescent="0.25">
      <c r="A128" t="s">
        <v>1887</v>
      </c>
      <c r="B128" t="s">
        <v>1888</v>
      </c>
      <c r="C128" t="s">
        <v>1889</v>
      </c>
      <c r="D128">
        <v>6031201700000350</v>
      </c>
      <c r="E128" t="s">
        <v>2472</v>
      </c>
      <c r="F128" t="s">
        <v>2134</v>
      </c>
      <c r="G128" t="s">
        <v>2123</v>
      </c>
      <c r="H128" t="s">
        <v>2131</v>
      </c>
      <c r="I128" t="s">
        <v>2136</v>
      </c>
      <c r="J128" t="s">
        <v>2133</v>
      </c>
      <c r="K128" s="3">
        <v>46374</v>
      </c>
      <c r="L128">
        <v>1200</v>
      </c>
      <c r="M128">
        <v>100</v>
      </c>
      <c r="N128">
        <v>0</v>
      </c>
      <c r="O128">
        <v>250</v>
      </c>
      <c r="P128">
        <v>0</v>
      </c>
      <c r="Q128">
        <v>0</v>
      </c>
      <c r="R128">
        <v>0</v>
      </c>
      <c r="S128">
        <v>0</v>
      </c>
      <c r="T128">
        <v>0</v>
      </c>
      <c r="U128">
        <v>0</v>
      </c>
      <c r="V128">
        <v>0</v>
      </c>
      <c r="W128">
        <v>0</v>
      </c>
      <c r="X128">
        <v>2372.34</v>
      </c>
      <c r="Y128">
        <v>0</v>
      </c>
    </row>
    <row r="129" spans="1:25" x14ac:dyDescent="0.25">
      <c r="A129" t="s">
        <v>1887</v>
      </c>
      <c r="B129" t="s">
        <v>1888</v>
      </c>
      <c r="C129" t="s">
        <v>1889</v>
      </c>
      <c r="D129">
        <v>6034201700000360</v>
      </c>
      <c r="E129" t="s">
        <v>2472</v>
      </c>
      <c r="F129" t="s">
        <v>2122</v>
      </c>
      <c r="G129" t="s">
        <v>2123</v>
      </c>
      <c r="H129" t="s">
        <v>2137</v>
      </c>
      <c r="I129" t="s">
        <v>2138</v>
      </c>
      <c r="J129" t="s">
        <v>2139</v>
      </c>
      <c r="K129" s="3">
        <v>46349</v>
      </c>
      <c r="L129">
        <v>45928</v>
      </c>
      <c r="M129">
        <v>4078.45</v>
      </c>
      <c r="N129">
        <v>3777.11</v>
      </c>
      <c r="O129">
        <v>3777.11</v>
      </c>
      <c r="P129">
        <v>3777.11</v>
      </c>
      <c r="Q129">
        <v>3777.11</v>
      </c>
      <c r="R129">
        <v>3777.11</v>
      </c>
      <c r="S129">
        <v>3777.11</v>
      </c>
      <c r="T129">
        <v>3777.11</v>
      </c>
      <c r="U129">
        <v>3777.11</v>
      </c>
      <c r="V129">
        <v>3777.11</v>
      </c>
      <c r="W129">
        <v>3777.11</v>
      </c>
      <c r="X129">
        <v>4078.45</v>
      </c>
      <c r="Y129">
        <v>4078.45</v>
      </c>
    </row>
    <row r="130" spans="1:25" x14ac:dyDescent="0.25">
      <c r="A130" t="s">
        <v>1887</v>
      </c>
      <c r="B130" t="s">
        <v>1888</v>
      </c>
      <c r="C130" t="s">
        <v>1889</v>
      </c>
      <c r="D130">
        <v>6034201700000360</v>
      </c>
      <c r="E130" t="s">
        <v>2472</v>
      </c>
      <c r="F130" t="s">
        <v>2122</v>
      </c>
      <c r="G130" t="s">
        <v>2123</v>
      </c>
      <c r="H130" t="s">
        <v>2137</v>
      </c>
      <c r="I130" t="s">
        <v>2140</v>
      </c>
      <c r="J130" t="s">
        <v>2139</v>
      </c>
      <c r="K130" s="3">
        <v>46349</v>
      </c>
      <c r="L130">
        <v>121</v>
      </c>
      <c r="M130">
        <v>121</v>
      </c>
      <c r="O130">
        <v>60.5</v>
      </c>
      <c r="P130">
        <v>60.5</v>
      </c>
      <c r="Q130" t="s">
        <v>1908</v>
      </c>
      <c r="R130" t="s">
        <v>1909</v>
      </c>
      <c r="S130" t="s">
        <v>1909</v>
      </c>
      <c r="T130" t="s">
        <v>1909</v>
      </c>
      <c r="U130" t="s">
        <v>1909</v>
      </c>
      <c r="V130" t="s">
        <v>1909</v>
      </c>
      <c r="W130" t="s">
        <v>1909</v>
      </c>
      <c r="X130" t="s">
        <v>1909</v>
      </c>
      <c r="Y130" t="s">
        <v>1909</v>
      </c>
    </row>
    <row r="131" spans="1:25" x14ac:dyDescent="0.25">
      <c r="A131" t="s">
        <v>1887</v>
      </c>
      <c r="B131" t="s">
        <v>1888</v>
      </c>
      <c r="C131" t="s">
        <v>1889</v>
      </c>
      <c r="D131">
        <v>6037201800001300</v>
      </c>
      <c r="E131" t="s">
        <v>2472</v>
      </c>
      <c r="F131" t="s">
        <v>2122</v>
      </c>
      <c r="G131" t="s">
        <v>2123</v>
      </c>
      <c r="H131" t="s">
        <v>2141</v>
      </c>
      <c r="I131" t="s">
        <v>2142</v>
      </c>
      <c r="J131" t="s">
        <v>2143</v>
      </c>
      <c r="K131" s="3">
        <v>46174</v>
      </c>
      <c r="L131">
        <v>2510</v>
      </c>
      <c r="M131">
        <v>251</v>
      </c>
      <c r="N131">
        <v>0</v>
      </c>
      <c r="O131">
        <v>251</v>
      </c>
      <c r="P131">
        <v>251</v>
      </c>
      <c r="Q131">
        <v>251</v>
      </c>
      <c r="R131">
        <v>251</v>
      </c>
      <c r="S131">
        <v>251</v>
      </c>
      <c r="T131">
        <v>251</v>
      </c>
      <c r="U131">
        <v>251</v>
      </c>
      <c r="V131">
        <v>251</v>
      </c>
      <c r="W131">
        <v>251</v>
      </c>
      <c r="X131">
        <v>251</v>
      </c>
    </row>
    <row r="132" spans="1:25" x14ac:dyDescent="0.25">
      <c r="A132" t="s">
        <v>1887</v>
      </c>
      <c r="B132" t="s">
        <v>1888</v>
      </c>
      <c r="C132" t="s">
        <v>1889</v>
      </c>
      <c r="D132">
        <v>6037201800001300</v>
      </c>
      <c r="E132" t="s">
        <v>2472</v>
      </c>
      <c r="F132" t="s">
        <v>2122</v>
      </c>
      <c r="G132" t="s">
        <v>2123</v>
      </c>
      <c r="H132" t="s">
        <v>2141</v>
      </c>
      <c r="I132" t="s">
        <v>2144</v>
      </c>
      <c r="J132" t="s">
        <v>2143</v>
      </c>
      <c r="K132" s="3">
        <v>46174</v>
      </c>
      <c r="L132">
        <v>35932.61</v>
      </c>
      <c r="M132">
        <v>2904.3</v>
      </c>
      <c r="N132">
        <v>2904.3</v>
      </c>
      <c r="O132">
        <v>2904.3</v>
      </c>
      <c r="P132">
        <v>2904.3</v>
      </c>
      <c r="Q132">
        <v>2904.3</v>
      </c>
      <c r="R132">
        <v>2904.3</v>
      </c>
      <c r="S132">
        <v>3058.73</v>
      </c>
      <c r="T132">
        <v>3058.73</v>
      </c>
      <c r="U132">
        <v>3058.73</v>
      </c>
      <c r="V132">
        <v>3058.73</v>
      </c>
      <c r="W132">
        <v>3058.73</v>
      </c>
      <c r="X132">
        <v>3058.73</v>
      </c>
      <c r="Y132">
        <v>3058.73</v>
      </c>
    </row>
    <row r="133" spans="1:25" x14ac:dyDescent="0.25">
      <c r="A133" t="s">
        <v>1887</v>
      </c>
      <c r="B133" t="s">
        <v>1888</v>
      </c>
      <c r="C133" t="s">
        <v>1889</v>
      </c>
      <c r="D133">
        <v>6039201600000700</v>
      </c>
      <c r="E133" t="s">
        <v>2472</v>
      </c>
      <c r="F133" t="s">
        <v>2122</v>
      </c>
      <c r="G133" t="s">
        <v>2123</v>
      </c>
      <c r="H133" t="s">
        <v>2145</v>
      </c>
      <c r="I133" t="s">
        <v>2146</v>
      </c>
      <c r="J133" t="s">
        <v>2147</v>
      </c>
      <c r="K133" s="3">
        <v>46062</v>
      </c>
      <c r="L133">
        <v>49455.28</v>
      </c>
      <c r="M133">
        <v>4275.9399999999996</v>
      </c>
      <c r="N133">
        <v>4043.94</v>
      </c>
      <c r="O133">
        <v>4043.94</v>
      </c>
      <c r="P133">
        <v>4043.94</v>
      </c>
      <c r="Q133">
        <v>4043.94</v>
      </c>
      <c r="R133">
        <v>4043.94</v>
      </c>
      <c r="S133">
        <v>4043.94</v>
      </c>
      <c r="T133">
        <v>4043.94</v>
      </c>
      <c r="U133">
        <v>4043.94</v>
      </c>
      <c r="V133">
        <v>4275.9399999999996</v>
      </c>
      <c r="W133">
        <v>4275.9399999999996</v>
      </c>
      <c r="X133">
        <v>4275.9399999999996</v>
      </c>
      <c r="Y133">
        <v>4275.9399999999996</v>
      </c>
    </row>
    <row r="134" spans="1:25" x14ac:dyDescent="0.25">
      <c r="A134" t="s">
        <v>1887</v>
      </c>
      <c r="B134" t="s">
        <v>1888</v>
      </c>
      <c r="C134" t="s">
        <v>1889</v>
      </c>
      <c r="D134">
        <v>6039201600000700</v>
      </c>
      <c r="E134" t="s">
        <v>2472</v>
      </c>
      <c r="F134" t="s">
        <v>2127</v>
      </c>
      <c r="G134" t="s">
        <v>2123</v>
      </c>
      <c r="H134" t="s">
        <v>2145</v>
      </c>
      <c r="I134" t="s">
        <v>2148</v>
      </c>
      <c r="J134" t="s">
        <v>2149</v>
      </c>
      <c r="K134" s="3">
        <v>46062</v>
      </c>
      <c r="L134">
        <v>21000</v>
      </c>
      <c r="O134">
        <v>2100</v>
      </c>
      <c r="P134">
        <v>2100</v>
      </c>
      <c r="Q134">
        <v>2100</v>
      </c>
      <c r="R134">
        <v>2100</v>
      </c>
      <c r="S134">
        <v>2100</v>
      </c>
      <c r="T134">
        <v>2100</v>
      </c>
      <c r="U134">
        <v>2100</v>
      </c>
      <c r="V134">
        <v>2100</v>
      </c>
      <c r="W134">
        <v>2100</v>
      </c>
      <c r="X134">
        <v>2100</v>
      </c>
    </row>
    <row r="135" spans="1:25" x14ac:dyDescent="0.25">
      <c r="A135" t="s">
        <v>1887</v>
      </c>
      <c r="B135" t="s">
        <v>1888</v>
      </c>
      <c r="C135" t="s">
        <v>1889</v>
      </c>
      <c r="D135">
        <v>6040201700000390</v>
      </c>
      <c r="E135" t="s">
        <v>2472</v>
      </c>
      <c r="F135" t="s">
        <v>2122</v>
      </c>
      <c r="G135" t="s">
        <v>2123</v>
      </c>
      <c r="H135" t="s">
        <v>2150</v>
      </c>
      <c r="I135" t="s">
        <v>2151</v>
      </c>
      <c r="J135" t="s">
        <v>2152</v>
      </c>
      <c r="K135" s="3">
        <v>46234</v>
      </c>
      <c r="L135">
        <v>41497.4</v>
      </c>
      <c r="M135">
        <v>2401</v>
      </c>
      <c r="N135">
        <v>3377.7</v>
      </c>
      <c r="O135">
        <v>3377.7</v>
      </c>
      <c r="P135">
        <v>3377.7</v>
      </c>
      <c r="Q135">
        <v>3377.7</v>
      </c>
      <c r="R135">
        <v>3377.7</v>
      </c>
      <c r="S135">
        <v>3377.7</v>
      </c>
      <c r="T135">
        <v>3377.7</v>
      </c>
      <c r="U135">
        <v>3570.7</v>
      </c>
      <c r="V135">
        <v>3570.7</v>
      </c>
      <c r="W135">
        <v>3570.7</v>
      </c>
      <c r="X135">
        <v>3570.7</v>
      </c>
      <c r="Y135">
        <v>3570.7</v>
      </c>
    </row>
    <row r="136" spans="1:25" x14ac:dyDescent="0.25">
      <c r="A136" t="s">
        <v>1887</v>
      </c>
      <c r="B136" t="s">
        <v>1888</v>
      </c>
      <c r="C136" t="s">
        <v>1889</v>
      </c>
      <c r="D136">
        <v>6040201700000390</v>
      </c>
      <c r="E136" t="s">
        <v>2472</v>
      </c>
      <c r="F136" t="s">
        <v>2122</v>
      </c>
      <c r="G136" t="s">
        <v>2123</v>
      </c>
      <c r="H136" t="s">
        <v>2150</v>
      </c>
      <c r="I136" t="s">
        <v>2153</v>
      </c>
      <c r="J136" t="s">
        <v>2152</v>
      </c>
      <c r="K136" s="3">
        <v>46234</v>
      </c>
      <c r="L136">
        <v>5200</v>
      </c>
      <c r="M136">
        <v>0</v>
      </c>
      <c r="N136">
        <v>0</v>
      </c>
      <c r="O136">
        <v>520</v>
      </c>
      <c r="P136">
        <v>520</v>
      </c>
      <c r="Q136">
        <v>520</v>
      </c>
      <c r="R136">
        <v>520</v>
      </c>
      <c r="S136">
        <v>520</v>
      </c>
      <c r="T136">
        <v>520</v>
      </c>
      <c r="U136">
        <v>520</v>
      </c>
      <c r="V136">
        <v>520</v>
      </c>
      <c r="W136">
        <v>520</v>
      </c>
      <c r="X136">
        <v>520</v>
      </c>
      <c r="Y136">
        <v>0</v>
      </c>
    </row>
    <row r="137" spans="1:25" x14ac:dyDescent="0.25">
      <c r="A137" t="s">
        <v>1887</v>
      </c>
      <c r="B137" t="s">
        <v>1888</v>
      </c>
      <c r="C137" t="s">
        <v>1889</v>
      </c>
      <c r="D137">
        <v>6040201700000390</v>
      </c>
      <c r="E137" t="s">
        <v>2472</v>
      </c>
      <c r="F137" t="s">
        <v>2122</v>
      </c>
      <c r="G137" t="s">
        <v>2123</v>
      </c>
      <c r="H137" t="s">
        <v>2150</v>
      </c>
      <c r="I137" t="s">
        <v>2154</v>
      </c>
      <c r="J137" t="s">
        <v>2152</v>
      </c>
      <c r="K137" s="3">
        <v>46234</v>
      </c>
      <c r="L137">
        <v>1200</v>
      </c>
      <c r="M137">
        <v>100</v>
      </c>
      <c r="N137">
        <v>0</v>
      </c>
      <c r="O137">
        <v>0</v>
      </c>
      <c r="P137">
        <v>0</v>
      </c>
      <c r="Q137">
        <v>650</v>
      </c>
      <c r="R137">
        <v>0</v>
      </c>
      <c r="S137">
        <v>0</v>
      </c>
      <c r="T137">
        <v>0</v>
      </c>
      <c r="U137">
        <v>0</v>
      </c>
      <c r="V137">
        <v>0</v>
      </c>
      <c r="W137">
        <v>0</v>
      </c>
      <c r="X137">
        <v>0</v>
      </c>
      <c r="Y137">
        <v>0</v>
      </c>
    </row>
    <row r="138" spans="1:25" x14ac:dyDescent="0.25">
      <c r="A138" t="s">
        <v>1887</v>
      </c>
      <c r="B138" t="s">
        <v>1888</v>
      </c>
      <c r="C138" t="s">
        <v>1889</v>
      </c>
      <c r="D138">
        <v>6045201700000370</v>
      </c>
      <c r="E138" t="s">
        <v>2472</v>
      </c>
      <c r="F138" t="s">
        <v>2122</v>
      </c>
      <c r="G138" t="s">
        <v>2123</v>
      </c>
      <c r="H138" t="s">
        <v>2155</v>
      </c>
      <c r="I138" t="s">
        <v>2156</v>
      </c>
      <c r="J138" t="s">
        <v>2157</v>
      </c>
      <c r="K138" s="3">
        <v>46310</v>
      </c>
      <c r="L138">
        <v>45593.760000000002</v>
      </c>
      <c r="M138">
        <v>2300</v>
      </c>
      <c r="N138">
        <v>3753.48</v>
      </c>
      <c r="O138">
        <v>3753.48</v>
      </c>
      <c r="P138">
        <v>3753.48</v>
      </c>
      <c r="Q138">
        <v>3753.48</v>
      </c>
      <c r="R138">
        <v>3753.48</v>
      </c>
      <c r="S138">
        <v>3753.48</v>
      </c>
      <c r="T138">
        <v>3753.48</v>
      </c>
      <c r="U138">
        <v>3753.48</v>
      </c>
      <c r="V138">
        <v>3753.48</v>
      </c>
      <c r="W138">
        <v>3937.48</v>
      </c>
      <c r="X138">
        <v>3937.48</v>
      </c>
      <c r="Y138">
        <v>3937.48</v>
      </c>
    </row>
    <row r="139" spans="1:25" x14ac:dyDescent="0.25">
      <c r="A139" t="s">
        <v>1887</v>
      </c>
      <c r="B139" t="s">
        <v>1888</v>
      </c>
      <c r="C139" t="s">
        <v>1889</v>
      </c>
      <c r="D139">
        <v>6045201700000370</v>
      </c>
      <c r="E139" t="s">
        <v>2472</v>
      </c>
      <c r="F139" t="s">
        <v>2122</v>
      </c>
      <c r="G139" t="s">
        <v>2123</v>
      </c>
      <c r="H139" t="s">
        <v>2155</v>
      </c>
      <c r="I139" t="s">
        <v>2158</v>
      </c>
      <c r="J139" t="s">
        <v>2157</v>
      </c>
      <c r="K139" s="3">
        <v>46310</v>
      </c>
      <c r="L139">
        <v>2700</v>
      </c>
      <c r="M139">
        <v>270</v>
      </c>
      <c r="O139">
        <v>270</v>
      </c>
      <c r="P139">
        <v>270</v>
      </c>
      <c r="Q139">
        <v>270</v>
      </c>
      <c r="R139">
        <v>270</v>
      </c>
      <c r="S139">
        <v>270</v>
      </c>
      <c r="T139">
        <v>270</v>
      </c>
      <c r="U139">
        <v>270</v>
      </c>
      <c r="V139">
        <v>270</v>
      </c>
      <c r="W139">
        <v>270</v>
      </c>
      <c r="X139">
        <v>270</v>
      </c>
    </row>
    <row r="140" spans="1:25" x14ac:dyDescent="0.25">
      <c r="A140" t="s">
        <v>1887</v>
      </c>
      <c r="B140" t="s">
        <v>1888</v>
      </c>
      <c r="C140" t="s">
        <v>1889</v>
      </c>
      <c r="D140">
        <v>6048201700000220</v>
      </c>
      <c r="E140" t="s">
        <v>2472</v>
      </c>
      <c r="F140" t="s">
        <v>2134</v>
      </c>
      <c r="G140" t="s">
        <v>2123</v>
      </c>
      <c r="H140" t="s">
        <v>2159</v>
      </c>
      <c r="I140" t="s">
        <v>2160</v>
      </c>
      <c r="J140" t="s">
        <v>2161</v>
      </c>
      <c r="K140" s="3">
        <v>46185</v>
      </c>
      <c r="L140">
        <v>48972.41</v>
      </c>
      <c r="M140">
        <v>2843.08</v>
      </c>
      <c r="N140">
        <v>4062.08</v>
      </c>
      <c r="O140">
        <v>4062.08</v>
      </c>
      <c r="P140">
        <v>4062.08</v>
      </c>
      <c r="Q140">
        <v>4062.08</v>
      </c>
      <c r="R140">
        <v>4062.08</v>
      </c>
      <c r="S140">
        <v>4062.08</v>
      </c>
      <c r="T140">
        <v>4062.08</v>
      </c>
      <c r="U140">
        <v>4062.08</v>
      </c>
      <c r="V140">
        <v>4062.08</v>
      </c>
      <c r="W140">
        <v>4062.08</v>
      </c>
      <c r="X140">
        <v>4062.08</v>
      </c>
      <c r="Y140">
        <v>4289.53</v>
      </c>
    </row>
    <row r="141" spans="1:25" x14ac:dyDescent="0.25">
      <c r="A141" t="s">
        <v>1887</v>
      </c>
      <c r="B141" t="s">
        <v>1888</v>
      </c>
      <c r="C141" t="s">
        <v>1889</v>
      </c>
      <c r="D141">
        <v>6048201700000220</v>
      </c>
      <c r="E141" t="s">
        <v>2472</v>
      </c>
      <c r="F141" t="s">
        <v>2134</v>
      </c>
      <c r="G141" t="s">
        <v>2123</v>
      </c>
      <c r="H141" t="s">
        <v>2159</v>
      </c>
      <c r="I141" t="s">
        <v>2162</v>
      </c>
      <c r="J141" t="s">
        <v>2161</v>
      </c>
      <c r="K141" s="3">
        <v>46185</v>
      </c>
      <c r="L141">
        <v>3320</v>
      </c>
      <c r="M141" t="s">
        <v>1908</v>
      </c>
      <c r="N141" t="s">
        <v>1909</v>
      </c>
      <c r="O141">
        <v>332</v>
      </c>
      <c r="P141">
        <v>332</v>
      </c>
      <c r="Q141">
        <v>332</v>
      </c>
      <c r="R141">
        <v>332</v>
      </c>
      <c r="S141">
        <v>332</v>
      </c>
      <c r="T141">
        <v>332</v>
      </c>
      <c r="U141">
        <v>332</v>
      </c>
      <c r="V141">
        <v>332</v>
      </c>
      <c r="W141">
        <v>332</v>
      </c>
      <c r="X141">
        <v>332</v>
      </c>
      <c r="Y141" t="s">
        <v>2092</v>
      </c>
    </row>
    <row r="142" spans="1:25" x14ac:dyDescent="0.25">
      <c r="A142" t="s">
        <v>1887</v>
      </c>
      <c r="B142" t="s">
        <v>1888</v>
      </c>
      <c r="C142" t="s">
        <v>1889</v>
      </c>
      <c r="D142">
        <v>6048201700000220</v>
      </c>
      <c r="E142" t="s">
        <v>2472</v>
      </c>
      <c r="F142" t="s">
        <v>2134</v>
      </c>
      <c r="G142" t="s">
        <v>2123</v>
      </c>
      <c r="H142" t="s">
        <v>2159</v>
      </c>
      <c r="I142" t="s">
        <v>2163</v>
      </c>
      <c r="J142" t="s">
        <v>2161</v>
      </c>
      <c r="K142" s="3">
        <v>46185</v>
      </c>
      <c r="L142">
        <v>350</v>
      </c>
      <c r="M142">
        <v>350</v>
      </c>
      <c r="N142" t="s">
        <v>1908</v>
      </c>
      <c r="O142">
        <v>350</v>
      </c>
      <c r="P142">
        <v>0</v>
      </c>
      <c r="Q142">
        <v>0</v>
      </c>
      <c r="R142">
        <v>0</v>
      </c>
      <c r="S142">
        <v>0</v>
      </c>
      <c r="T142">
        <v>0</v>
      </c>
      <c r="U142">
        <v>0</v>
      </c>
      <c r="V142">
        <v>0</v>
      </c>
      <c r="W142">
        <v>0</v>
      </c>
      <c r="X142">
        <v>0</v>
      </c>
      <c r="Y142" t="s">
        <v>2092</v>
      </c>
    </row>
    <row r="143" spans="1:25" x14ac:dyDescent="0.25">
      <c r="A143" t="s">
        <v>1887</v>
      </c>
      <c r="B143" t="s">
        <v>1888</v>
      </c>
      <c r="C143" t="s">
        <v>1889</v>
      </c>
      <c r="D143">
        <v>6049201600000240</v>
      </c>
      <c r="E143" t="s">
        <v>2472</v>
      </c>
      <c r="F143" t="s">
        <v>2122</v>
      </c>
      <c r="G143" t="s">
        <v>2123</v>
      </c>
      <c r="H143" t="s">
        <v>2164</v>
      </c>
      <c r="I143" t="s">
        <v>2165</v>
      </c>
      <c r="J143" t="s">
        <v>2166</v>
      </c>
      <c r="K143" s="3">
        <v>46268</v>
      </c>
      <c r="L143">
        <v>57500.28</v>
      </c>
      <c r="M143">
        <v>4959.6899999999996</v>
      </c>
      <c r="N143">
        <v>4707.6899999999996</v>
      </c>
      <c r="O143">
        <v>4707.6899999999996</v>
      </c>
      <c r="P143">
        <v>4707.6899999999996</v>
      </c>
      <c r="Q143">
        <v>4707.6899999999996</v>
      </c>
      <c r="R143">
        <v>4707.6899999999996</v>
      </c>
      <c r="S143">
        <v>4707.6899999999996</v>
      </c>
      <c r="T143">
        <v>4707.6899999999996</v>
      </c>
      <c r="U143">
        <v>4707.6899999999996</v>
      </c>
      <c r="V143">
        <v>4959.6899999999996</v>
      </c>
      <c r="W143">
        <v>4959.6899999999996</v>
      </c>
      <c r="X143">
        <v>4959.6899999999996</v>
      </c>
      <c r="Y143">
        <v>4959.6899999999996</v>
      </c>
    </row>
    <row r="144" spans="1:25" x14ac:dyDescent="0.25">
      <c r="A144" t="s">
        <v>1887</v>
      </c>
      <c r="B144" t="s">
        <v>1888</v>
      </c>
      <c r="C144" t="s">
        <v>1889</v>
      </c>
      <c r="D144">
        <v>6049201600000240</v>
      </c>
      <c r="E144" t="s">
        <v>2472</v>
      </c>
      <c r="F144" t="s">
        <v>2122</v>
      </c>
      <c r="G144" t="s">
        <v>2123</v>
      </c>
      <c r="H144" t="s">
        <v>2164</v>
      </c>
      <c r="I144" t="s">
        <v>2167</v>
      </c>
      <c r="J144" t="s">
        <v>2166</v>
      </c>
      <c r="K144" s="3">
        <v>46268</v>
      </c>
      <c r="L144">
        <v>1500</v>
      </c>
      <c r="M144">
        <v>150</v>
      </c>
      <c r="O144">
        <v>150</v>
      </c>
      <c r="P144">
        <v>150</v>
      </c>
      <c r="Q144">
        <v>150</v>
      </c>
      <c r="R144">
        <v>150</v>
      </c>
      <c r="S144">
        <v>150</v>
      </c>
      <c r="T144">
        <v>150</v>
      </c>
      <c r="U144">
        <v>150</v>
      </c>
      <c r="V144">
        <v>150</v>
      </c>
      <c r="W144">
        <v>150</v>
      </c>
      <c r="X144">
        <v>150</v>
      </c>
    </row>
    <row r="145" spans="1:25" x14ac:dyDescent="0.25">
      <c r="A145" t="s">
        <v>1887</v>
      </c>
      <c r="B145" t="s">
        <v>1888</v>
      </c>
      <c r="C145" t="s">
        <v>1889</v>
      </c>
      <c r="D145">
        <v>6049201600000240</v>
      </c>
      <c r="E145" t="s">
        <v>2472</v>
      </c>
      <c r="F145" t="s">
        <v>2122</v>
      </c>
      <c r="G145" t="s">
        <v>2123</v>
      </c>
      <c r="H145" t="s">
        <v>2164</v>
      </c>
      <c r="I145" t="s">
        <v>2168</v>
      </c>
      <c r="J145" t="s">
        <v>2166</v>
      </c>
      <c r="K145" s="3">
        <v>46268</v>
      </c>
      <c r="L145">
        <v>1200</v>
      </c>
      <c r="M145">
        <v>100</v>
      </c>
      <c r="O145">
        <v>0</v>
      </c>
      <c r="P145">
        <v>700</v>
      </c>
      <c r="Q145">
        <v>0</v>
      </c>
      <c r="R145">
        <v>0</v>
      </c>
      <c r="S145">
        <v>0</v>
      </c>
      <c r="T145">
        <v>0</v>
      </c>
      <c r="U145">
        <v>0</v>
      </c>
      <c r="V145">
        <v>0</v>
      </c>
      <c r="W145">
        <v>123.74</v>
      </c>
      <c r="X145">
        <v>0</v>
      </c>
      <c r="Y145">
        <v>0</v>
      </c>
    </row>
    <row r="146" spans="1:25" x14ac:dyDescent="0.25">
      <c r="A146" t="s">
        <v>1887</v>
      </c>
      <c r="B146" t="s">
        <v>1888</v>
      </c>
      <c r="C146" t="s">
        <v>1889</v>
      </c>
      <c r="D146">
        <v>6055201700004390</v>
      </c>
      <c r="E146" t="s">
        <v>2472</v>
      </c>
      <c r="F146" t="s">
        <v>2122</v>
      </c>
      <c r="G146" t="s">
        <v>2123</v>
      </c>
      <c r="H146" t="s">
        <v>2169</v>
      </c>
      <c r="I146" t="s">
        <v>2170</v>
      </c>
      <c r="J146" t="s">
        <v>2171</v>
      </c>
      <c r="K146" s="3">
        <v>46326</v>
      </c>
      <c r="L146">
        <v>100</v>
      </c>
      <c r="M146">
        <v>100</v>
      </c>
      <c r="N146">
        <v>0</v>
      </c>
      <c r="O146">
        <v>100</v>
      </c>
      <c r="P146">
        <v>0</v>
      </c>
      <c r="Q146">
        <v>0</v>
      </c>
      <c r="R146">
        <v>0</v>
      </c>
      <c r="S146">
        <v>0</v>
      </c>
      <c r="T146">
        <v>0</v>
      </c>
      <c r="U146">
        <v>0</v>
      </c>
      <c r="V146">
        <v>0</v>
      </c>
      <c r="W146">
        <v>0</v>
      </c>
      <c r="X146">
        <v>0</v>
      </c>
      <c r="Y146">
        <v>0</v>
      </c>
    </row>
    <row r="147" spans="1:25" x14ac:dyDescent="0.25">
      <c r="A147" t="s">
        <v>1887</v>
      </c>
      <c r="B147" t="s">
        <v>1888</v>
      </c>
      <c r="C147" t="s">
        <v>1889</v>
      </c>
      <c r="D147">
        <v>6055201700004390</v>
      </c>
      <c r="E147" t="s">
        <v>2472</v>
      </c>
      <c r="F147" t="s">
        <v>2122</v>
      </c>
      <c r="G147" t="s">
        <v>2123</v>
      </c>
      <c r="H147" t="s">
        <v>2169</v>
      </c>
      <c r="I147" t="s">
        <v>2172</v>
      </c>
      <c r="J147" t="s">
        <v>2171</v>
      </c>
      <c r="K147" s="3">
        <v>46326</v>
      </c>
      <c r="L147">
        <v>42454.86</v>
      </c>
      <c r="M147">
        <v>3705.11</v>
      </c>
      <c r="N147">
        <v>3482.17</v>
      </c>
      <c r="O147">
        <v>3482.17</v>
      </c>
      <c r="P147">
        <v>3482.17</v>
      </c>
      <c r="Q147">
        <v>3482.17</v>
      </c>
      <c r="R147">
        <v>3482.17</v>
      </c>
      <c r="S147">
        <v>3482.17</v>
      </c>
      <c r="T147">
        <v>3482.17</v>
      </c>
      <c r="U147">
        <v>3482.17</v>
      </c>
      <c r="V147">
        <v>3482.17</v>
      </c>
      <c r="W147">
        <v>3705.11</v>
      </c>
      <c r="X147">
        <v>3705.11</v>
      </c>
      <c r="Y147">
        <v>3705.11</v>
      </c>
    </row>
    <row r="148" spans="1:25" x14ac:dyDescent="0.25">
      <c r="A148" t="s">
        <v>1887</v>
      </c>
      <c r="B148" t="s">
        <v>1888</v>
      </c>
      <c r="C148" t="s">
        <v>1889</v>
      </c>
      <c r="D148">
        <v>6055201700004390</v>
      </c>
      <c r="E148" t="s">
        <v>2472</v>
      </c>
      <c r="F148" t="s">
        <v>2122</v>
      </c>
      <c r="G148" t="s">
        <v>2123</v>
      </c>
      <c r="H148" t="s">
        <v>2169</v>
      </c>
      <c r="I148" t="s">
        <v>2173</v>
      </c>
      <c r="J148" t="s">
        <v>2171</v>
      </c>
      <c r="K148" s="3">
        <v>46326</v>
      </c>
      <c r="L148">
        <v>1200</v>
      </c>
      <c r="M148">
        <v>100</v>
      </c>
      <c r="N148">
        <v>0</v>
      </c>
      <c r="O148">
        <v>0</v>
      </c>
      <c r="P148">
        <v>0</v>
      </c>
      <c r="Q148">
        <v>0</v>
      </c>
      <c r="R148">
        <v>0</v>
      </c>
      <c r="S148">
        <v>0</v>
      </c>
      <c r="T148">
        <v>0</v>
      </c>
      <c r="U148">
        <v>0</v>
      </c>
      <c r="V148">
        <v>0</v>
      </c>
      <c r="W148">
        <v>0</v>
      </c>
      <c r="X148">
        <v>500</v>
      </c>
      <c r="Y148">
        <v>0</v>
      </c>
    </row>
    <row r="149" spans="1:25" x14ac:dyDescent="0.25">
      <c r="A149" t="s">
        <v>1887</v>
      </c>
      <c r="B149" t="s">
        <v>1888</v>
      </c>
      <c r="C149" t="s">
        <v>1889</v>
      </c>
      <c r="D149">
        <v>6060201900024200</v>
      </c>
      <c r="E149" t="s">
        <v>2472</v>
      </c>
      <c r="F149" t="s">
        <v>2127</v>
      </c>
      <c r="G149" t="s">
        <v>2123</v>
      </c>
      <c r="H149" t="s">
        <v>2174</v>
      </c>
      <c r="I149" t="s">
        <v>2175</v>
      </c>
      <c r="J149" t="s">
        <v>2176</v>
      </c>
      <c r="K149" s="3">
        <v>46309</v>
      </c>
      <c r="L149">
        <v>9500</v>
      </c>
      <c r="O149">
        <v>950</v>
      </c>
      <c r="P149">
        <v>950</v>
      </c>
      <c r="Q149">
        <v>950</v>
      </c>
      <c r="R149">
        <v>950</v>
      </c>
      <c r="S149">
        <v>950</v>
      </c>
      <c r="T149">
        <v>950</v>
      </c>
      <c r="U149">
        <v>950</v>
      </c>
      <c r="V149">
        <v>950</v>
      </c>
      <c r="W149">
        <v>950</v>
      </c>
      <c r="X149">
        <v>950</v>
      </c>
    </row>
    <row r="150" spans="1:25" x14ac:dyDescent="0.25">
      <c r="A150" t="s">
        <v>1887</v>
      </c>
      <c r="B150" t="s">
        <v>1888</v>
      </c>
      <c r="C150" t="s">
        <v>1889</v>
      </c>
      <c r="D150">
        <v>6060201900024200</v>
      </c>
      <c r="E150" t="s">
        <v>2472</v>
      </c>
      <c r="F150" t="s">
        <v>2134</v>
      </c>
      <c r="G150" t="s">
        <v>2123</v>
      </c>
      <c r="H150" t="s">
        <v>2174</v>
      </c>
      <c r="I150" t="s">
        <v>2177</v>
      </c>
      <c r="J150" t="s">
        <v>2176</v>
      </c>
      <c r="K150" s="3">
        <v>46309</v>
      </c>
      <c r="L150">
        <v>400</v>
      </c>
      <c r="S150">
        <v>500</v>
      </c>
      <c r="X150">
        <v>400</v>
      </c>
    </row>
    <row r="151" spans="1:25" x14ac:dyDescent="0.25">
      <c r="A151" t="s">
        <v>1887</v>
      </c>
      <c r="B151" t="s">
        <v>1888</v>
      </c>
      <c r="C151" t="s">
        <v>1889</v>
      </c>
      <c r="D151">
        <v>6060201900024200</v>
      </c>
      <c r="E151" t="s">
        <v>2472</v>
      </c>
      <c r="F151" t="s">
        <v>2134</v>
      </c>
      <c r="G151" t="s">
        <v>2123</v>
      </c>
      <c r="H151" t="s">
        <v>2174</v>
      </c>
      <c r="I151" t="s">
        <v>2178</v>
      </c>
      <c r="J151" t="s">
        <v>2176</v>
      </c>
      <c r="K151" s="3">
        <v>46309</v>
      </c>
      <c r="L151">
        <v>92828.160000000003</v>
      </c>
      <c r="M151">
        <v>8065.68</v>
      </c>
      <c r="N151">
        <v>7625.68</v>
      </c>
      <c r="O151">
        <v>7625.68</v>
      </c>
      <c r="P151">
        <v>7625.68</v>
      </c>
      <c r="Q151">
        <v>7625.68</v>
      </c>
      <c r="R151">
        <v>7625.68</v>
      </c>
      <c r="S151">
        <v>7625.68</v>
      </c>
      <c r="T151">
        <v>7625.68</v>
      </c>
      <c r="U151">
        <v>7625.68</v>
      </c>
      <c r="V151">
        <v>7625.68</v>
      </c>
      <c r="W151">
        <v>8065.68</v>
      </c>
      <c r="X151">
        <v>8065.68</v>
      </c>
      <c r="Y151">
        <v>8065.68</v>
      </c>
    </row>
    <row r="152" spans="1:25" x14ac:dyDescent="0.25">
      <c r="A152" t="s">
        <v>1887</v>
      </c>
      <c r="B152" t="s">
        <v>1888</v>
      </c>
      <c r="C152" t="s">
        <v>1889</v>
      </c>
      <c r="D152" t="s">
        <v>2466</v>
      </c>
      <c r="E152" t="s">
        <v>2472</v>
      </c>
      <c r="F152" t="s">
        <v>2127</v>
      </c>
      <c r="G152" t="s">
        <v>2123</v>
      </c>
      <c r="H152" t="s">
        <v>1970</v>
      </c>
      <c r="I152" t="s">
        <v>2179</v>
      </c>
      <c r="J152" t="s">
        <v>2180</v>
      </c>
      <c r="K152" s="3">
        <v>46387</v>
      </c>
      <c r="L152">
        <v>4500000</v>
      </c>
      <c r="M152">
        <v>375000</v>
      </c>
      <c r="N152">
        <v>375000</v>
      </c>
      <c r="O152">
        <v>375000</v>
      </c>
      <c r="P152">
        <v>375000</v>
      </c>
      <c r="Q152">
        <v>375000</v>
      </c>
      <c r="R152">
        <v>375000</v>
      </c>
      <c r="S152">
        <v>375000</v>
      </c>
      <c r="T152">
        <v>375000</v>
      </c>
      <c r="U152">
        <v>375000</v>
      </c>
      <c r="V152">
        <v>375000</v>
      </c>
      <c r="W152">
        <v>375000</v>
      </c>
      <c r="X152">
        <v>375000</v>
      </c>
      <c r="Y152">
        <v>375000</v>
      </c>
    </row>
    <row r="153" spans="1:25" x14ac:dyDescent="0.25">
      <c r="A153" t="s">
        <v>1887</v>
      </c>
      <c r="B153" t="s">
        <v>1888</v>
      </c>
      <c r="C153" t="s">
        <v>1889</v>
      </c>
      <c r="D153">
        <v>6074202100066240</v>
      </c>
      <c r="E153" t="s">
        <v>2472</v>
      </c>
      <c r="F153" t="s">
        <v>2122</v>
      </c>
      <c r="G153" t="s">
        <v>2123</v>
      </c>
      <c r="H153" t="s">
        <v>2077</v>
      </c>
      <c r="I153" t="s">
        <v>2252</v>
      </c>
      <c r="J153" t="s">
        <v>2251</v>
      </c>
      <c r="K153" s="3">
        <v>46209</v>
      </c>
      <c r="L153">
        <v>600</v>
      </c>
      <c r="M153">
        <v>0</v>
      </c>
      <c r="N153">
        <v>0</v>
      </c>
      <c r="O153">
        <v>60</v>
      </c>
      <c r="P153">
        <v>60</v>
      </c>
      <c r="Q153">
        <v>60</v>
      </c>
      <c r="R153">
        <v>60</v>
      </c>
      <c r="S153">
        <v>60</v>
      </c>
      <c r="T153">
        <v>60</v>
      </c>
      <c r="U153">
        <v>60</v>
      </c>
      <c r="V153">
        <v>60</v>
      </c>
      <c r="W153">
        <v>60</v>
      </c>
      <c r="X153">
        <v>60</v>
      </c>
      <c r="Y153">
        <v>0</v>
      </c>
    </row>
    <row r="154" spans="1:25" x14ac:dyDescent="0.25">
      <c r="A154" t="s">
        <v>1887</v>
      </c>
      <c r="B154" t="s">
        <v>1888</v>
      </c>
      <c r="C154" t="s">
        <v>1889</v>
      </c>
      <c r="D154">
        <v>6074202000026790</v>
      </c>
      <c r="E154" t="s">
        <v>2472</v>
      </c>
      <c r="F154" t="s">
        <v>2122</v>
      </c>
      <c r="G154" t="s">
        <v>2123</v>
      </c>
      <c r="H154" t="s">
        <v>2183</v>
      </c>
      <c r="I154" t="s">
        <v>2184</v>
      </c>
      <c r="J154" t="s">
        <v>2185</v>
      </c>
      <c r="K154" s="3">
        <v>46370</v>
      </c>
      <c r="L154">
        <v>128665.60000000001</v>
      </c>
      <c r="M154">
        <v>8000</v>
      </c>
      <c r="N154">
        <v>10668.8</v>
      </c>
      <c r="O154">
        <v>10668.8</v>
      </c>
      <c r="P154">
        <v>10668.8</v>
      </c>
      <c r="Q154">
        <v>10668.8</v>
      </c>
      <c r="R154">
        <v>10668.8</v>
      </c>
      <c r="S154">
        <v>10668.8</v>
      </c>
      <c r="T154">
        <v>10668.8</v>
      </c>
      <c r="U154">
        <v>10668.8</v>
      </c>
      <c r="V154">
        <v>10668.8</v>
      </c>
      <c r="W154">
        <v>10668.8</v>
      </c>
      <c r="X154">
        <v>10668.8</v>
      </c>
      <c r="Y154">
        <v>11308.8</v>
      </c>
    </row>
    <row r="155" spans="1:25" x14ac:dyDescent="0.25">
      <c r="A155" t="s">
        <v>1887</v>
      </c>
      <c r="B155" t="s">
        <v>1888</v>
      </c>
      <c r="C155" t="s">
        <v>1889</v>
      </c>
      <c r="D155">
        <v>6074202000026790</v>
      </c>
      <c r="E155" t="s">
        <v>2472</v>
      </c>
      <c r="F155" t="s">
        <v>2127</v>
      </c>
      <c r="G155" t="s">
        <v>2123</v>
      </c>
      <c r="H155" t="s">
        <v>2183</v>
      </c>
      <c r="I155" t="s">
        <v>2186</v>
      </c>
      <c r="J155" t="s">
        <v>2185</v>
      </c>
      <c r="K155" s="3">
        <v>46370</v>
      </c>
      <c r="L155">
        <v>10032</v>
      </c>
      <c r="M155">
        <v>1003.2</v>
      </c>
      <c r="N155">
        <v>0</v>
      </c>
      <c r="O155">
        <v>1003.2</v>
      </c>
      <c r="P155">
        <v>1003.2</v>
      </c>
      <c r="Q155">
        <v>1003.2</v>
      </c>
      <c r="R155">
        <v>1003.2</v>
      </c>
      <c r="S155">
        <v>1003.2</v>
      </c>
      <c r="T155">
        <v>1003.2</v>
      </c>
      <c r="U155">
        <v>1003.2</v>
      </c>
      <c r="V155">
        <v>1003.2</v>
      </c>
      <c r="W155">
        <v>1003.2</v>
      </c>
      <c r="X155">
        <v>1003.2</v>
      </c>
    </row>
    <row r="156" spans="1:25" x14ac:dyDescent="0.25">
      <c r="A156" t="s">
        <v>1887</v>
      </c>
      <c r="B156" t="s">
        <v>1888</v>
      </c>
      <c r="C156" t="s">
        <v>1889</v>
      </c>
      <c r="D156">
        <v>6074202000026790</v>
      </c>
      <c r="E156" t="s">
        <v>2472</v>
      </c>
      <c r="F156" t="s">
        <v>2122</v>
      </c>
      <c r="G156" t="s">
        <v>2123</v>
      </c>
      <c r="H156" t="s">
        <v>2183</v>
      </c>
      <c r="I156" t="s">
        <v>2187</v>
      </c>
      <c r="J156" t="s">
        <v>2185</v>
      </c>
      <c r="K156" s="3">
        <v>46370</v>
      </c>
      <c r="L156">
        <v>1200</v>
      </c>
      <c r="M156">
        <v>100</v>
      </c>
      <c r="N156">
        <v>0</v>
      </c>
      <c r="O156">
        <v>0</v>
      </c>
      <c r="P156">
        <v>0</v>
      </c>
      <c r="Q156">
        <v>0</v>
      </c>
      <c r="R156">
        <v>0</v>
      </c>
      <c r="S156">
        <v>0</v>
      </c>
      <c r="T156">
        <v>0</v>
      </c>
      <c r="U156">
        <v>0</v>
      </c>
      <c r="V156">
        <v>0</v>
      </c>
      <c r="W156">
        <v>0</v>
      </c>
      <c r="X156">
        <v>0</v>
      </c>
      <c r="Y156">
        <v>600</v>
      </c>
    </row>
    <row r="157" spans="1:25" x14ac:dyDescent="0.25">
      <c r="A157" t="s">
        <v>1887</v>
      </c>
      <c r="B157" t="s">
        <v>1888</v>
      </c>
      <c r="C157" t="s">
        <v>1889</v>
      </c>
      <c r="D157">
        <v>6074202000030040</v>
      </c>
      <c r="E157" t="s">
        <v>2472</v>
      </c>
      <c r="F157" t="s">
        <v>2127</v>
      </c>
      <c r="G157" t="s">
        <v>2123</v>
      </c>
      <c r="H157" t="s">
        <v>2188</v>
      </c>
      <c r="I157" t="s">
        <v>2189</v>
      </c>
      <c r="J157" t="s">
        <v>2190</v>
      </c>
      <c r="K157" s="3">
        <v>46374</v>
      </c>
      <c r="L157">
        <v>3200</v>
      </c>
      <c r="N157">
        <v>0</v>
      </c>
      <c r="O157">
        <v>320</v>
      </c>
      <c r="P157">
        <v>320</v>
      </c>
      <c r="Q157">
        <v>320</v>
      </c>
      <c r="R157">
        <v>320</v>
      </c>
      <c r="S157">
        <v>320</v>
      </c>
      <c r="T157">
        <v>320</v>
      </c>
      <c r="U157">
        <v>320</v>
      </c>
      <c r="V157">
        <v>320</v>
      </c>
      <c r="W157">
        <v>320</v>
      </c>
      <c r="X157">
        <v>320</v>
      </c>
      <c r="Y157">
        <v>0</v>
      </c>
    </row>
    <row r="158" spans="1:25" x14ac:dyDescent="0.25">
      <c r="A158" t="s">
        <v>1887</v>
      </c>
      <c r="B158" t="s">
        <v>1888</v>
      </c>
      <c r="C158" t="s">
        <v>1889</v>
      </c>
      <c r="D158">
        <v>6074202000030040</v>
      </c>
      <c r="E158" t="s">
        <v>2472</v>
      </c>
      <c r="F158" t="s">
        <v>2134</v>
      </c>
      <c r="G158" t="s">
        <v>2123</v>
      </c>
      <c r="H158" t="s">
        <v>2188</v>
      </c>
      <c r="I158" t="s">
        <v>2191</v>
      </c>
      <c r="J158" t="s">
        <v>2190</v>
      </c>
      <c r="K158" s="3">
        <v>46374</v>
      </c>
      <c r="L158">
        <v>98416.8</v>
      </c>
      <c r="M158">
        <v>8561.4</v>
      </c>
      <c r="N158">
        <v>8081.4</v>
      </c>
      <c r="O158">
        <v>8081.4</v>
      </c>
      <c r="P158">
        <v>8081.4</v>
      </c>
      <c r="Q158">
        <v>8081.4</v>
      </c>
      <c r="R158">
        <v>8081.4</v>
      </c>
      <c r="S158">
        <v>8081.4</v>
      </c>
      <c r="T158">
        <v>8081.4</v>
      </c>
      <c r="U158">
        <v>8081.4</v>
      </c>
      <c r="V158">
        <v>8081.4</v>
      </c>
      <c r="W158">
        <v>8561.4</v>
      </c>
      <c r="X158">
        <v>8561.4</v>
      </c>
      <c r="Y158">
        <v>8561.4</v>
      </c>
    </row>
    <row r="159" spans="1:25" x14ac:dyDescent="0.25">
      <c r="A159" t="s">
        <v>1887</v>
      </c>
      <c r="B159" t="s">
        <v>1888</v>
      </c>
      <c r="C159" t="s">
        <v>1889</v>
      </c>
      <c r="D159">
        <v>6074202000030040</v>
      </c>
      <c r="E159" t="s">
        <v>2472</v>
      </c>
      <c r="F159" t="s">
        <v>2134</v>
      </c>
      <c r="G159" t="s">
        <v>2123</v>
      </c>
      <c r="H159" t="s">
        <v>2188</v>
      </c>
      <c r="I159" t="s">
        <v>2192</v>
      </c>
      <c r="J159" t="s">
        <v>2190</v>
      </c>
      <c r="K159" s="3">
        <v>46374</v>
      </c>
      <c r="L159">
        <v>1200</v>
      </c>
      <c r="M159">
        <v>100</v>
      </c>
      <c r="N159">
        <v>0</v>
      </c>
      <c r="O159">
        <v>0</v>
      </c>
      <c r="P159">
        <v>0</v>
      </c>
      <c r="Q159">
        <v>0</v>
      </c>
      <c r="R159">
        <v>600</v>
      </c>
      <c r="S159">
        <v>0</v>
      </c>
      <c r="T159">
        <v>0</v>
      </c>
      <c r="U159">
        <v>0</v>
      </c>
      <c r="V159">
        <v>0</v>
      </c>
      <c r="W159">
        <v>0</v>
      </c>
      <c r="X159">
        <v>320</v>
      </c>
      <c r="Y159">
        <v>0</v>
      </c>
    </row>
    <row r="160" spans="1:25" x14ac:dyDescent="0.25">
      <c r="A160" t="s">
        <v>1887</v>
      </c>
      <c r="B160" t="s">
        <v>1888</v>
      </c>
      <c r="C160" t="s">
        <v>1889</v>
      </c>
      <c r="D160">
        <v>6074202000031710</v>
      </c>
      <c r="E160" t="s">
        <v>2472</v>
      </c>
      <c r="F160" t="s">
        <v>2122</v>
      </c>
      <c r="G160" t="s">
        <v>2123</v>
      </c>
      <c r="H160" t="s">
        <v>2193</v>
      </c>
      <c r="I160" t="s">
        <v>2194</v>
      </c>
      <c r="J160" t="s">
        <v>2195</v>
      </c>
      <c r="K160" s="3">
        <v>46139</v>
      </c>
      <c r="L160">
        <v>77336</v>
      </c>
      <c r="M160">
        <v>5000</v>
      </c>
      <c r="N160">
        <v>6278</v>
      </c>
      <c r="O160">
        <v>6278</v>
      </c>
      <c r="P160">
        <v>6278</v>
      </c>
      <c r="Q160">
        <v>6278</v>
      </c>
      <c r="R160">
        <v>6278</v>
      </c>
      <c r="S160">
        <v>6278</v>
      </c>
      <c r="T160">
        <v>6278</v>
      </c>
      <c r="U160">
        <v>6678</v>
      </c>
      <c r="V160">
        <v>6678</v>
      </c>
      <c r="W160">
        <v>6678</v>
      </c>
      <c r="X160">
        <v>6678</v>
      </c>
      <c r="Y160">
        <v>6678</v>
      </c>
    </row>
    <row r="161" spans="1:25" x14ac:dyDescent="0.25">
      <c r="A161" t="s">
        <v>1887</v>
      </c>
      <c r="B161" t="s">
        <v>1888</v>
      </c>
      <c r="C161" t="s">
        <v>1889</v>
      </c>
      <c r="D161">
        <v>6074202000031710</v>
      </c>
      <c r="E161" t="s">
        <v>2472</v>
      </c>
      <c r="F161" t="s">
        <v>2127</v>
      </c>
      <c r="G161" t="s">
        <v>2123</v>
      </c>
      <c r="H161" t="s">
        <v>2193</v>
      </c>
      <c r="I161" t="s">
        <v>2196</v>
      </c>
      <c r="J161" t="s">
        <v>2195</v>
      </c>
      <c r="K161" s="3">
        <v>46139</v>
      </c>
      <c r="L161">
        <v>250</v>
      </c>
      <c r="O161">
        <v>83.33</v>
      </c>
      <c r="P161">
        <v>83.33</v>
      </c>
      <c r="Q161">
        <v>83.34</v>
      </c>
    </row>
    <row r="162" spans="1:25" x14ac:dyDescent="0.25">
      <c r="A162" t="s">
        <v>1887</v>
      </c>
      <c r="B162" t="s">
        <v>1888</v>
      </c>
      <c r="C162" t="s">
        <v>1889</v>
      </c>
      <c r="D162">
        <v>6074202000031710</v>
      </c>
      <c r="E162" t="s">
        <v>2472</v>
      </c>
      <c r="F162" t="s">
        <v>2122</v>
      </c>
      <c r="G162" t="s">
        <v>2123</v>
      </c>
      <c r="H162" t="s">
        <v>2193</v>
      </c>
      <c r="I162" t="s">
        <v>2197</v>
      </c>
      <c r="J162" t="s">
        <v>2195</v>
      </c>
      <c r="K162" s="3">
        <v>46139</v>
      </c>
      <c r="L162">
        <v>1200</v>
      </c>
      <c r="M162">
        <v>100</v>
      </c>
      <c r="S162">
        <v>350</v>
      </c>
    </row>
    <row r="163" spans="1:25" x14ac:dyDescent="0.25">
      <c r="A163" t="s">
        <v>1887</v>
      </c>
      <c r="B163" t="s">
        <v>1888</v>
      </c>
      <c r="C163" t="s">
        <v>1889</v>
      </c>
      <c r="D163">
        <v>6074202100066240</v>
      </c>
      <c r="E163" t="s">
        <v>2472</v>
      </c>
      <c r="F163" t="s">
        <v>2122</v>
      </c>
      <c r="G163" t="s">
        <v>2123</v>
      </c>
      <c r="H163" t="s">
        <v>2077</v>
      </c>
      <c r="I163" t="s">
        <v>2250</v>
      </c>
      <c r="J163" t="s">
        <v>2251</v>
      </c>
      <c r="K163" s="3">
        <v>46209</v>
      </c>
      <c r="L163">
        <v>66988.800000000003</v>
      </c>
      <c r="M163">
        <v>4800</v>
      </c>
      <c r="N163">
        <v>5390.4</v>
      </c>
      <c r="O163">
        <v>5390.4</v>
      </c>
      <c r="P163">
        <v>5390.4</v>
      </c>
      <c r="Q163">
        <v>5390.4</v>
      </c>
      <c r="R163">
        <v>5390.4</v>
      </c>
      <c r="S163">
        <v>5390.4</v>
      </c>
      <c r="T163">
        <v>5774.4</v>
      </c>
      <c r="U163">
        <v>5774.4</v>
      </c>
      <c r="V163">
        <v>5774.4</v>
      </c>
      <c r="W163">
        <v>5774.4</v>
      </c>
      <c r="X163">
        <v>5774.4</v>
      </c>
      <c r="Y163">
        <v>5774.4</v>
      </c>
    </row>
    <row r="164" spans="1:25" x14ac:dyDescent="0.25">
      <c r="A164" t="s">
        <v>1887</v>
      </c>
      <c r="B164" t="s">
        <v>1888</v>
      </c>
      <c r="C164" t="s">
        <v>1889</v>
      </c>
      <c r="D164">
        <v>6074202100065810</v>
      </c>
      <c r="E164" t="s">
        <v>2472</v>
      </c>
      <c r="F164" t="s">
        <v>2122</v>
      </c>
      <c r="G164" t="s">
        <v>2123</v>
      </c>
      <c r="H164" t="s">
        <v>2245</v>
      </c>
      <c r="I164" t="s">
        <v>2249</v>
      </c>
      <c r="J164" t="s">
        <v>2247</v>
      </c>
      <c r="K164" s="3">
        <v>46381</v>
      </c>
      <c r="L164">
        <v>1200</v>
      </c>
      <c r="M164">
        <v>100</v>
      </c>
      <c r="N164">
        <v>0</v>
      </c>
      <c r="O164" t="s">
        <v>1908</v>
      </c>
      <c r="Q164" t="s">
        <v>1908</v>
      </c>
      <c r="Y164">
        <v>200</v>
      </c>
    </row>
    <row r="165" spans="1:25" x14ac:dyDescent="0.25">
      <c r="A165" t="s">
        <v>1887</v>
      </c>
      <c r="B165" t="s">
        <v>1888</v>
      </c>
      <c r="C165" t="s">
        <v>1889</v>
      </c>
      <c r="D165">
        <v>6074202000037450</v>
      </c>
      <c r="E165" t="s">
        <v>2472</v>
      </c>
      <c r="F165" t="s">
        <v>2134</v>
      </c>
      <c r="G165" t="s">
        <v>2123</v>
      </c>
      <c r="H165" t="s">
        <v>2202</v>
      </c>
      <c r="I165" t="s">
        <v>2203</v>
      </c>
      <c r="J165" t="s">
        <v>2204</v>
      </c>
      <c r="K165" s="3">
        <v>46292</v>
      </c>
      <c r="L165">
        <v>53275.6</v>
      </c>
      <c r="M165">
        <v>4626.3</v>
      </c>
      <c r="N165">
        <v>4346.3</v>
      </c>
      <c r="O165">
        <v>4346.3</v>
      </c>
      <c r="P165">
        <v>4346.3</v>
      </c>
      <c r="Q165">
        <v>4346.3</v>
      </c>
      <c r="R165">
        <v>4346.3</v>
      </c>
      <c r="S165">
        <v>4346.3</v>
      </c>
      <c r="T165">
        <v>4346.3</v>
      </c>
      <c r="U165">
        <v>4346.3</v>
      </c>
      <c r="V165">
        <v>4626.3</v>
      </c>
      <c r="W165">
        <v>4626.3</v>
      </c>
      <c r="X165">
        <v>4626.3</v>
      </c>
      <c r="Y165">
        <v>4626.3</v>
      </c>
    </row>
    <row r="166" spans="1:25" x14ac:dyDescent="0.25">
      <c r="A166" t="s">
        <v>1887</v>
      </c>
      <c r="B166" t="s">
        <v>1888</v>
      </c>
      <c r="C166" t="s">
        <v>1889</v>
      </c>
      <c r="D166">
        <v>6074202000037450</v>
      </c>
      <c r="E166" t="s">
        <v>2472</v>
      </c>
      <c r="F166" t="s">
        <v>2134</v>
      </c>
      <c r="G166" t="s">
        <v>2123</v>
      </c>
      <c r="H166" t="s">
        <v>2202</v>
      </c>
      <c r="I166" t="s">
        <v>2205</v>
      </c>
      <c r="J166" t="s">
        <v>2204</v>
      </c>
      <c r="K166" s="3">
        <v>46292</v>
      </c>
      <c r="L166">
        <v>23200</v>
      </c>
      <c r="O166">
        <v>2320</v>
      </c>
      <c r="P166">
        <v>2320</v>
      </c>
      <c r="Q166">
        <v>2320</v>
      </c>
      <c r="R166">
        <v>2320</v>
      </c>
      <c r="S166">
        <v>2320</v>
      </c>
      <c r="T166">
        <v>2320</v>
      </c>
      <c r="U166">
        <v>2320</v>
      </c>
      <c r="V166">
        <v>2320</v>
      </c>
      <c r="W166">
        <v>2320</v>
      </c>
      <c r="X166">
        <v>2320</v>
      </c>
    </row>
    <row r="167" spans="1:25" x14ac:dyDescent="0.25">
      <c r="A167" t="s">
        <v>1887</v>
      </c>
      <c r="B167" t="s">
        <v>1888</v>
      </c>
      <c r="C167" t="s">
        <v>1889</v>
      </c>
      <c r="D167">
        <v>6074202100065810</v>
      </c>
      <c r="E167" t="s">
        <v>2472</v>
      </c>
      <c r="F167" t="s">
        <v>2122</v>
      </c>
      <c r="G167" t="s">
        <v>2123</v>
      </c>
      <c r="H167" t="s">
        <v>2245</v>
      </c>
      <c r="I167" t="s">
        <v>2248</v>
      </c>
      <c r="J167" t="s">
        <v>2247</v>
      </c>
      <c r="K167" s="3">
        <v>46381</v>
      </c>
      <c r="L167">
        <v>77832.639999999999</v>
      </c>
      <c r="M167">
        <v>6832.72</v>
      </c>
      <c r="N167">
        <v>6416.72</v>
      </c>
      <c r="O167">
        <v>6416.72</v>
      </c>
      <c r="P167">
        <v>6416.72</v>
      </c>
      <c r="Q167">
        <v>6416.72</v>
      </c>
      <c r="R167">
        <v>6416.72</v>
      </c>
      <c r="S167">
        <v>6416.72</v>
      </c>
      <c r="T167">
        <v>6416.72</v>
      </c>
      <c r="U167">
        <v>6416.72</v>
      </c>
      <c r="V167">
        <v>6416.72</v>
      </c>
      <c r="W167">
        <v>6416.72</v>
      </c>
      <c r="X167">
        <v>6832.72</v>
      </c>
      <c r="Y167">
        <v>6832.72</v>
      </c>
    </row>
    <row r="168" spans="1:25" x14ac:dyDescent="0.25">
      <c r="A168" t="s">
        <v>1887</v>
      </c>
      <c r="B168" t="s">
        <v>1888</v>
      </c>
      <c r="C168" t="s">
        <v>1889</v>
      </c>
      <c r="D168">
        <v>6074202100065810</v>
      </c>
      <c r="E168" t="s">
        <v>2472</v>
      </c>
      <c r="F168" t="s">
        <v>2122</v>
      </c>
      <c r="G168" t="s">
        <v>2123</v>
      </c>
      <c r="H168" t="s">
        <v>2245</v>
      </c>
      <c r="I168" t="s">
        <v>2246</v>
      </c>
      <c r="J168" t="s">
        <v>2247</v>
      </c>
      <c r="K168" s="3">
        <v>46381</v>
      </c>
      <c r="L168">
        <v>150</v>
      </c>
      <c r="M168">
        <v>150</v>
      </c>
      <c r="O168">
        <v>150</v>
      </c>
      <c r="Q168" t="s">
        <v>1908</v>
      </c>
    </row>
    <row r="169" spans="1:25" x14ac:dyDescent="0.25">
      <c r="A169" t="s">
        <v>1887</v>
      </c>
      <c r="B169" t="s">
        <v>1888</v>
      </c>
      <c r="C169" t="s">
        <v>1889</v>
      </c>
      <c r="D169">
        <v>6074202100065480</v>
      </c>
      <c r="E169" t="s">
        <v>2472</v>
      </c>
      <c r="F169" t="s">
        <v>2122</v>
      </c>
      <c r="G169" t="s">
        <v>2123</v>
      </c>
      <c r="H169" t="s">
        <v>2241</v>
      </c>
      <c r="I169" t="s">
        <v>2244</v>
      </c>
      <c r="J169" t="s">
        <v>2243</v>
      </c>
      <c r="K169" s="3">
        <v>46054</v>
      </c>
      <c r="L169">
        <v>5005</v>
      </c>
      <c r="O169">
        <v>500.5</v>
      </c>
      <c r="P169">
        <v>500.5</v>
      </c>
      <c r="Q169">
        <v>500.5</v>
      </c>
      <c r="R169">
        <v>500.5</v>
      </c>
      <c r="S169">
        <v>500.5</v>
      </c>
      <c r="T169">
        <v>500.5</v>
      </c>
      <c r="U169">
        <v>500.5</v>
      </c>
      <c r="V169">
        <v>500.5</v>
      </c>
      <c r="W169">
        <v>500.5</v>
      </c>
      <c r="X169">
        <v>500.5</v>
      </c>
    </row>
    <row r="170" spans="1:25" x14ac:dyDescent="0.25">
      <c r="A170" t="s">
        <v>1887</v>
      </c>
      <c r="B170" t="s">
        <v>1888</v>
      </c>
      <c r="C170" t="s">
        <v>1889</v>
      </c>
      <c r="D170">
        <v>6074202100014100</v>
      </c>
      <c r="E170" t="s">
        <v>2472</v>
      </c>
      <c r="F170" t="s">
        <v>2122</v>
      </c>
      <c r="G170" t="s">
        <v>2123</v>
      </c>
      <c r="H170" t="s">
        <v>2209</v>
      </c>
      <c r="I170" t="s">
        <v>2210</v>
      </c>
      <c r="J170" t="s">
        <v>2211</v>
      </c>
      <c r="K170" s="3">
        <v>46153</v>
      </c>
      <c r="L170">
        <v>63863.24</v>
      </c>
      <c r="M170">
        <v>4100</v>
      </c>
      <c r="N170">
        <v>5103.2700000000004</v>
      </c>
      <c r="O170">
        <v>5103.2700000000004</v>
      </c>
      <c r="P170">
        <v>5103.2700000000004</v>
      </c>
      <c r="Q170">
        <v>5103.2700000000004</v>
      </c>
      <c r="R170">
        <v>5431.27</v>
      </c>
      <c r="S170">
        <v>5431.27</v>
      </c>
      <c r="T170">
        <v>5431.27</v>
      </c>
      <c r="U170">
        <v>5431.27</v>
      </c>
      <c r="V170">
        <v>5431.27</v>
      </c>
      <c r="W170">
        <v>5431.27</v>
      </c>
      <c r="X170">
        <v>5431.27</v>
      </c>
      <c r="Y170">
        <v>5431.27</v>
      </c>
    </row>
    <row r="171" spans="1:25" x14ac:dyDescent="0.25">
      <c r="A171" t="s">
        <v>1887</v>
      </c>
      <c r="B171" t="s">
        <v>1888</v>
      </c>
      <c r="C171" t="s">
        <v>1889</v>
      </c>
      <c r="D171">
        <v>6074202100014100</v>
      </c>
      <c r="E171" t="s">
        <v>2472</v>
      </c>
      <c r="F171" t="s">
        <v>2122</v>
      </c>
      <c r="G171" t="s">
        <v>2123</v>
      </c>
      <c r="H171" t="s">
        <v>2209</v>
      </c>
      <c r="I171" t="s">
        <v>2212</v>
      </c>
      <c r="J171" t="s">
        <v>2211</v>
      </c>
      <c r="K171" s="3">
        <v>46153</v>
      </c>
      <c r="L171">
        <v>1700</v>
      </c>
      <c r="M171">
        <v>1700</v>
      </c>
      <c r="N171">
        <v>0</v>
      </c>
      <c r="O171">
        <v>170</v>
      </c>
      <c r="P171">
        <v>170</v>
      </c>
      <c r="Q171">
        <v>170</v>
      </c>
      <c r="R171">
        <v>170</v>
      </c>
      <c r="S171">
        <v>170</v>
      </c>
      <c r="T171">
        <v>170</v>
      </c>
      <c r="U171">
        <v>170</v>
      </c>
      <c r="V171">
        <v>170</v>
      </c>
      <c r="W171">
        <v>170</v>
      </c>
      <c r="X171">
        <v>170</v>
      </c>
      <c r="Y171">
        <v>0</v>
      </c>
    </row>
    <row r="172" spans="1:25" x14ac:dyDescent="0.25">
      <c r="A172" t="s">
        <v>1887</v>
      </c>
      <c r="B172" t="s">
        <v>1888</v>
      </c>
      <c r="C172" t="s">
        <v>1889</v>
      </c>
      <c r="D172">
        <v>6074202100014100</v>
      </c>
      <c r="E172" t="s">
        <v>2472</v>
      </c>
      <c r="F172" t="s">
        <v>2122</v>
      </c>
      <c r="G172" t="s">
        <v>2123</v>
      </c>
      <c r="H172" t="s">
        <v>2209</v>
      </c>
      <c r="I172" t="s">
        <v>2213</v>
      </c>
      <c r="J172" t="s">
        <v>2211</v>
      </c>
      <c r="K172" s="3">
        <v>46153</v>
      </c>
      <c r="L172">
        <v>1200</v>
      </c>
      <c r="M172">
        <v>100</v>
      </c>
      <c r="N172">
        <v>0</v>
      </c>
      <c r="O172">
        <v>0</v>
      </c>
      <c r="P172">
        <v>350</v>
      </c>
      <c r="Q172">
        <v>0</v>
      </c>
      <c r="R172">
        <v>0</v>
      </c>
      <c r="S172">
        <v>0</v>
      </c>
      <c r="T172">
        <v>0</v>
      </c>
      <c r="U172">
        <v>0</v>
      </c>
      <c r="V172">
        <v>0</v>
      </c>
      <c r="W172">
        <v>0</v>
      </c>
      <c r="X172">
        <v>0</v>
      </c>
      <c r="Y172">
        <v>0</v>
      </c>
    </row>
    <row r="173" spans="1:25" x14ac:dyDescent="0.25">
      <c r="A173" t="s">
        <v>1887</v>
      </c>
      <c r="B173" t="s">
        <v>1888</v>
      </c>
      <c r="C173" t="s">
        <v>1889</v>
      </c>
      <c r="D173">
        <v>6074202100065480</v>
      </c>
      <c r="E173" t="s">
        <v>2472</v>
      </c>
      <c r="F173" t="s">
        <v>2122</v>
      </c>
      <c r="G173" t="s">
        <v>2123</v>
      </c>
      <c r="H173" t="s">
        <v>2241</v>
      </c>
      <c r="I173" t="s">
        <v>2242</v>
      </c>
      <c r="J173" t="s">
        <v>2243</v>
      </c>
      <c r="K173" s="3">
        <v>46054</v>
      </c>
      <c r="L173">
        <v>66141</v>
      </c>
      <c r="M173">
        <v>4500</v>
      </c>
      <c r="N173">
        <v>5181.75</v>
      </c>
      <c r="O173">
        <v>5541.75</v>
      </c>
      <c r="P173">
        <v>5541.75</v>
      </c>
      <c r="Q173">
        <v>5541.75</v>
      </c>
      <c r="R173">
        <v>5541.75</v>
      </c>
      <c r="S173">
        <v>5541.75</v>
      </c>
      <c r="T173">
        <v>5541.75</v>
      </c>
      <c r="U173">
        <v>5541.75</v>
      </c>
      <c r="V173">
        <v>5541.75</v>
      </c>
      <c r="W173">
        <v>5541.75</v>
      </c>
      <c r="X173">
        <v>5541.75</v>
      </c>
      <c r="Y173">
        <v>5541.75</v>
      </c>
    </row>
    <row r="174" spans="1:25" x14ac:dyDescent="0.25">
      <c r="A174" t="s">
        <v>1887</v>
      </c>
      <c r="B174" t="s">
        <v>1888</v>
      </c>
      <c r="C174" t="s">
        <v>1889</v>
      </c>
      <c r="D174">
        <v>6074202100058360</v>
      </c>
      <c r="E174" t="s">
        <v>2472</v>
      </c>
      <c r="F174" t="s">
        <v>2122</v>
      </c>
      <c r="G174" t="s">
        <v>2123</v>
      </c>
      <c r="H174" t="s">
        <v>2236</v>
      </c>
      <c r="I174" t="s">
        <v>2240</v>
      </c>
      <c r="J174" t="s">
        <v>2238</v>
      </c>
      <c r="K174" s="3">
        <v>46309</v>
      </c>
      <c r="L174">
        <v>1200</v>
      </c>
      <c r="M174">
        <v>100</v>
      </c>
      <c r="N174">
        <v>0</v>
      </c>
      <c r="O174">
        <v>350</v>
      </c>
      <c r="P174">
        <v>0</v>
      </c>
      <c r="Q174">
        <v>0</v>
      </c>
      <c r="R174">
        <v>0</v>
      </c>
      <c r="S174">
        <v>0</v>
      </c>
      <c r="T174">
        <v>0</v>
      </c>
      <c r="U174">
        <v>0</v>
      </c>
      <c r="V174">
        <v>0</v>
      </c>
      <c r="W174">
        <v>0</v>
      </c>
      <c r="X174">
        <v>0</v>
      </c>
      <c r="Y174">
        <v>0</v>
      </c>
    </row>
    <row r="175" spans="1:25" x14ac:dyDescent="0.25">
      <c r="A175" t="s">
        <v>1887</v>
      </c>
      <c r="B175" t="s">
        <v>1888</v>
      </c>
      <c r="C175" t="s">
        <v>1889</v>
      </c>
      <c r="D175">
        <v>6074202100058360</v>
      </c>
      <c r="E175" t="s">
        <v>2472</v>
      </c>
      <c r="F175" t="s">
        <v>2122</v>
      </c>
      <c r="G175" t="s">
        <v>2123</v>
      </c>
      <c r="H175" t="s">
        <v>2236</v>
      </c>
      <c r="I175" t="s">
        <v>2239</v>
      </c>
      <c r="J175" t="s">
        <v>2238</v>
      </c>
      <c r="K175" s="3">
        <v>46309</v>
      </c>
      <c r="L175">
        <v>54012.480000000003</v>
      </c>
      <c r="M175">
        <v>4723.04</v>
      </c>
      <c r="N175">
        <v>4427.04</v>
      </c>
      <c r="O175">
        <v>4427.04</v>
      </c>
      <c r="P175">
        <v>4427.04</v>
      </c>
      <c r="Q175">
        <v>4427.04</v>
      </c>
      <c r="R175">
        <v>4427.04</v>
      </c>
      <c r="S175">
        <v>4427.04</v>
      </c>
      <c r="T175">
        <v>4427.04</v>
      </c>
      <c r="U175">
        <v>4427.04</v>
      </c>
      <c r="V175">
        <v>4427.04</v>
      </c>
      <c r="W175">
        <v>4723.04</v>
      </c>
      <c r="X175">
        <v>4723.04</v>
      </c>
      <c r="Y175">
        <v>4723.04</v>
      </c>
    </row>
    <row r="176" spans="1:25" x14ac:dyDescent="0.25">
      <c r="A176" t="s">
        <v>1887</v>
      </c>
      <c r="B176" t="s">
        <v>1888</v>
      </c>
      <c r="C176" t="s">
        <v>1889</v>
      </c>
      <c r="D176">
        <v>6074202100058360</v>
      </c>
      <c r="E176" t="s">
        <v>2472</v>
      </c>
      <c r="F176" t="s">
        <v>2122</v>
      </c>
      <c r="G176" t="s">
        <v>2123</v>
      </c>
      <c r="H176" t="s">
        <v>2236</v>
      </c>
      <c r="I176" t="s">
        <v>2237</v>
      </c>
      <c r="J176" t="s">
        <v>2238</v>
      </c>
      <c r="K176" s="3">
        <v>46309</v>
      </c>
      <c r="L176">
        <v>1100</v>
      </c>
      <c r="O176">
        <v>110</v>
      </c>
      <c r="P176">
        <v>110</v>
      </c>
      <c r="Q176">
        <v>110</v>
      </c>
      <c r="R176">
        <v>110</v>
      </c>
      <c r="S176">
        <v>110</v>
      </c>
      <c r="T176">
        <v>110</v>
      </c>
      <c r="U176">
        <v>110</v>
      </c>
      <c r="V176">
        <v>110</v>
      </c>
      <c r="W176">
        <v>110</v>
      </c>
      <c r="X176">
        <v>110</v>
      </c>
      <c r="Y176">
        <v>0</v>
      </c>
    </row>
    <row r="177" spans="1:25" x14ac:dyDescent="0.25">
      <c r="A177" t="s">
        <v>1887</v>
      </c>
      <c r="B177" t="s">
        <v>1888</v>
      </c>
      <c r="C177" t="s">
        <v>1889</v>
      </c>
      <c r="D177">
        <v>6074202100043010</v>
      </c>
      <c r="E177" t="s">
        <v>2472</v>
      </c>
      <c r="F177" t="s">
        <v>2122</v>
      </c>
      <c r="G177" t="s">
        <v>2123</v>
      </c>
      <c r="H177" t="s">
        <v>2222</v>
      </c>
      <c r="I177" t="s">
        <v>2223</v>
      </c>
      <c r="J177" t="s">
        <v>2224</v>
      </c>
      <c r="K177" s="3">
        <v>46288</v>
      </c>
      <c r="L177">
        <v>8500</v>
      </c>
      <c r="M177">
        <v>850</v>
      </c>
      <c r="O177">
        <v>850</v>
      </c>
      <c r="P177">
        <v>850</v>
      </c>
      <c r="Q177">
        <v>850</v>
      </c>
      <c r="R177">
        <v>850</v>
      </c>
      <c r="S177">
        <v>850</v>
      </c>
      <c r="T177">
        <v>850</v>
      </c>
      <c r="U177">
        <v>850</v>
      </c>
      <c r="V177">
        <v>850</v>
      </c>
      <c r="W177">
        <v>850</v>
      </c>
      <c r="X177">
        <v>850</v>
      </c>
    </row>
    <row r="178" spans="1:25" x14ac:dyDescent="0.25">
      <c r="A178" t="s">
        <v>1887</v>
      </c>
      <c r="B178" t="s">
        <v>1888</v>
      </c>
      <c r="C178" t="s">
        <v>1889</v>
      </c>
      <c r="D178">
        <v>6074202100043010</v>
      </c>
      <c r="E178" t="s">
        <v>2472</v>
      </c>
      <c r="F178" t="s">
        <v>2122</v>
      </c>
      <c r="G178" t="s">
        <v>2123</v>
      </c>
      <c r="H178" t="s">
        <v>2222</v>
      </c>
      <c r="I178" t="s">
        <v>2225</v>
      </c>
      <c r="J178" t="s">
        <v>2224</v>
      </c>
      <c r="K178" s="3">
        <v>46288</v>
      </c>
      <c r="L178">
        <v>75495.759999999995</v>
      </c>
      <c r="M178">
        <v>6557.98</v>
      </c>
      <c r="N178">
        <v>6157.98</v>
      </c>
      <c r="O178">
        <v>6157.98</v>
      </c>
      <c r="P178">
        <v>6157.98</v>
      </c>
      <c r="Q178">
        <v>6157.98</v>
      </c>
      <c r="R178">
        <v>6157.98</v>
      </c>
      <c r="S178">
        <v>6157.98</v>
      </c>
      <c r="T178">
        <v>6157.98</v>
      </c>
      <c r="U178">
        <v>6157.98</v>
      </c>
      <c r="V178">
        <v>6557.98</v>
      </c>
      <c r="W178">
        <v>6557.98</v>
      </c>
      <c r="X178">
        <v>6557.98</v>
      </c>
      <c r="Y178">
        <v>6557.98</v>
      </c>
    </row>
    <row r="179" spans="1:25" x14ac:dyDescent="0.25">
      <c r="A179" t="s">
        <v>1887</v>
      </c>
      <c r="B179" t="s">
        <v>1888</v>
      </c>
      <c r="C179" t="s">
        <v>1889</v>
      </c>
      <c r="D179">
        <v>6074202100043010</v>
      </c>
      <c r="E179" t="s">
        <v>2472</v>
      </c>
      <c r="F179" t="s">
        <v>2134</v>
      </c>
      <c r="G179" t="s">
        <v>2123</v>
      </c>
      <c r="H179" t="s">
        <v>2222</v>
      </c>
      <c r="I179" t="s">
        <v>2226</v>
      </c>
      <c r="J179" t="s">
        <v>2224</v>
      </c>
      <c r="K179" s="3">
        <v>46288</v>
      </c>
      <c r="L179">
        <v>1200</v>
      </c>
      <c r="M179">
        <v>100</v>
      </c>
      <c r="O179">
        <v>700</v>
      </c>
      <c r="P179">
        <v>0</v>
      </c>
      <c r="Q179">
        <v>0</v>
      </c>
      <c r="R179">
        <v>0</v>
      </c>
      <c r="S179">
        <v>0</v>
      </c>
      <c r="T179">
        <v>0</v>
      </c>
      <c r="U179">
        <v>0</v>
      </c>
      <c r="V179">
        <v>850</v>
      </c>
      <c r="W179">
        <v>850</v>
      </c>
      <c r="X179">
        <v>0</v>
      </c>
    </row>
    <row r="180" spans="1:25" x14ac:dyDescent="0.25">
      <c r="A180" t="s">
        <v>1887</v>
      </c>
      <c r="B180" t="s">
        <v>1888</v>
      </c>
      <c r="C180" t="s">
        <v>1889</v>
      </c>
      <c r="D180">
        <v>6074202100043970</v>
      </c>
      <c r="E180" t="s">
        <v>2472</v>
      </c>
      <c r="F180" t="s">
        <v>2134</v>
      </c>
      <c r="G180" t="s">
        <v>2123</v>
      </c>
      <c r="H180" t="s">
        <v>2227</v>
      </c>
      <c r="I180" t="s">
        <v>2228</v>
      </c>
      <c r="J180" t="s">
        <v>2229</v>
      </c>
      <c r="K180" s="3">
        <v>46237</v>
      </c>
      <c r="L180">
        <v>70408</v>
      </c>
      <c r="M180">
        <v>5364.5</v>
      </c>
      <c r="N180">
        <v>5364.5</v>
      </c>
      <c r="O180">
        <v>5364.5</v>
      </c>
      <c r="P180">
        <v>5364.5</v>
      </c>
      <c r="Q180">
        <v>5364.5</v>
      </c>
      <c r="R180">
        <v>5364.5</v>
      </c>
      <c r="S180">
        <v>6226.5</v>
      </c>
      <c r="T180">
        <v>6226.5</v>
      </c>
      <c r="U180">
        <v>6226.5</v>
      </c>
      <c r="V180">
        <v>6226.5</v>
      </c>
      <c r="W180">
        <v>6226.5</v>
      </c>
      <c r="X180">
        <v>6226.5</v>
      </c>
      <c r="Y180">
        <v>6226.5</v>
      </c>
    </row>
    <row r="181" spans="1:25" x14ac:dyDescent="0.25">
      <c r="A181" t="s">
        <v>1887</v>
      </c>
      <c r="B181" t="s">
        <v>1888</v>
      </c>
      <c r="C181" t="s">
        <v>1889</v>
      </c>
      <c r="D181">
        <v>6074202100043970</v>
      </c>
      <c r="E181" t="s">
        <v>2472</v>
      </c>
      <c r="F181" t="s">
        <v>2134</v>
      </c>
      <c r="G181" t="s">
        <v>2123</v>
      </c>
      <c r="H181" t="s">
        <v>2227</v>
      </c>
      <c r="I181" t="s">
        <v>2230</v>
      </c>
      <c r="J181" t="s">
        <v>2229</v>
      </c>
      <c r="K181" s="3">
        <v>46237</v>
      </c>
      <c r="L181">
        <v>3850</v>
      </c>
      <c r="M181">
        <v>385</v>
      </c>
      <c r="O181">
        <v>385</v>
      </c>
      <c r="P181">
        <v>385</v>
      </c>
      <c r="Q181">
        <v>385</v>
      </c>
      <c r="R181">
        <v>385</v>
      </c>
      <c r="S181">
        <v>385</v>
      </c>
      <c r="T181">
        <v>385</v>
      </c>
      <c r="U181">
        <v>385</v>
      </c>
      <c r="V181">
        <v>385</v>
      </c>
      <c r="W181">
        <v>385</v>
      </c>
      <c r="X181">
        <v>385</v>
      </c>
    </row>
    <row r="182" spans="1:25" x14ac:dyDescent="0.25">
      <c r="A182" t="s">
        <v>1887</v>
      </c>
      <c r="B182" t="s">
        <v>1888</v>
      </c>
      <c r="C182" t="s">
        <v>1889</v>
      </c>
      <c r="D182">
        <v>6074202100053370</v>
      </c>
      <c r="E182" t="s">
        <v>2472</v>
      </c>
      <c r="F182" t="s">
        <v>2122</v>
      </c>
      <c r="G182" t="s">
        <v>2123</v>
      </c>
      <c r="H182" t="s">
        <v>2231</v>
      </c>
      <c r="I182" t="s">
        <v>2232</v>
      </c>
      <c r="J182" t="s">
        <v>2233</v>
      </c>
      <c r="K182" s="3">
        <v>46130</v>
      </c>
      <c r="L182">
        <v>72194.34</v>
      </c>
      <c r="M182">
        <v>5293.33</v>
      </c>
      <c r="N182">
        <v>5698.57</v>
      </c>
      <c r="O182">
        <v>5698.57</v>
      </c>
      <c r="P182">
        <v>5698.57</v>
      </c>
      <c r="Q182">
        <v>6122.07</v>
      </c>
      <c r="R182">
        <v>6122.07</v>
      </c>
      <c r="S182">
        <v>6122.07</v>
      </c>
      <c r="T182">
        <v>6122.07</v>
      </c>
      <c r="U182">
        <v>6122.07</v>
      </c>
      <c r="V182">
        <v>6122.07</v>
      </c>
      <c r="W182">
        <v>6122.07</v>
      </c>
      <c r="X182">
        <v>6122.07</v>
      </c>
      <c r="Y182">
        <v>6122.07</v>
      </c>
    </row>
    <row r="183" spans="1:25" x14ac:dyDescent="0.25">
      <c r="A183" t="s">
        <v>1887</v>
      </c>
      <c r="B183" t="s">
        <v>1888</v>
      </c>
      <c r="C183" t="s">
        <v>1889</v>
      </c>
      <c r="D183">
        <v>6074202100053370</v>
      </c>
      <c r="E183" t="s">
        <v>2472</v>
      </c>
      <c r="F183" t="s">
        <v>2122</v>
      </c>
      <c r="G183" t="s">
        <v>2123</v>
      </c>
      <c r="H183" t="s">
        <v>2231</v>
      </c>
      <c r="I183" t="s">
        <v>2234</v>
      </c>
      <c r="J183" t="s">
        <v>2233</v>
      </c>
      <c r="K183" s="3">
        <v>46130</v>
      </c>
      <c r="L183">
        <v>3000</v>
      </c>
      <c r="M183">
        <v>300</v>
      </c>
      <c r="O183">
        <v>300</v>
      </c>
      <c r="P183">
        <v>300</v>
      </c>
      <c r="Q183">
        <v>300</v>
      </c>
      <c r="R183">
        <v>300</v>
      </c>
      <c r="S183">
        <v>300</v>
      </c>
      <c r="T183">
        <v>300</v>
      </c>
      <c r="U183">
        <v>300</v>
      </c>
      <c r="V183">
        <v>300</v>
      </c>
      <c r="W183">
        <v>300</v>
      </c>
      <c r="X183">
        <v>300</v>
      </c>
    </row>
    <row r="184" spans="1:25" x14ac:dyDescent="0.25">
      <c r="A184" t="s">
        <v>1887</v>
      </c>
      <c r="B184" t="s">
        <v>1888</v>
      </c>
      <c r="C184" t="s">
        <v>1889</v>
      </c>
      <c r="D184">
        <v>6074202100053370</v>
      </c>
      <c r="E184" t="s">
        <v>2472</v>
      </c>
      <c r="F184" t="s">
        <v>2122</v>
      </c>
      <c r="G184" t="s">
        <v>2123</v>
      </c>
      <c r="H184" t="s">
        <v>2231</v>
      </c>
      <c r="I184" t="s">
        <v>2235</v>
      </c>
      <c r="J184" t="s">
        <v>2233</v>
      </c>
      <c r="K184" s="3">
        <v>46130</v>
      </c>
      <c r="L184">
        <v>1200</v>
      </c>
      <c r="M184">
        <v>100</v>
      </c>
      <c r="S184">
        <v>350</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4923-CFFF-4A07-BE96-426E30DF48D1}">
  <dimension ref="A1:C6"/>
  <sheetViews>
    <sheetView workbookViewId="0">
      <selection activeCell="B5" sqref="B5"/>
    </sheetView>
  </sheetViews>
  <sheetFormatPr defaultRowHeight="15" x14ac:dyDescent="0.25"/>
  <cols>
    <col min="1" max="1" width="18" bestFit="1" customWidth="1"/>
    <col min="2" max="2" width="27" bestFit="1" customWidth="1"/>
    <col min="3" max="3" width="22.85546875" bestFit="1" customWidth="1"/>
  </cols>
  <sheetData>
    <row r="1" spans="1:3" x14ac:dyDescent="0.25">
      <c r="A1" s="6" t="s">
        <v>1863</v>
      </c>
      <c r="B1" t="s">
        <v>1887</v>
      </c>
    </row>
    <row r="3" spans="1:3" x14ac:dyDescent="0.25">
      <c r="A3" s="6" t="s">
        <v>2470</v>
      </c>
      <c r="B3" t="s">
        <v>2475</v>
      </c>
      <c r="C3" t="s">
        <v>2476</v>
      </c>
    </row>
    <row r="4" spans="1:3" x14ac:dyDescent="0.25">
      <c r="A4" s="7" t="s">
        <v>2471</v>
      </c>
      <c r="B4" s="5">
        <v>182316153.04000005</v>
      </c>
      <c r="C4" s="8">
        <v>172</v>
      </c>
    </row>
    <row r="5" spans="1:3" x14ac:dyDescent="0.25">
      <c r="A5" s="7" t="s">
        <v>2472</v>
      </c>
      <c r="B5" s="5">
        <v>83450410.980000004</v>
      </c>
      <c r="C5" s="8">
        <v>181</v>
      </c>
    </row>
    <row r="6" spans="1:3" x14ac:dyDescent="0.25">
      <c r="A6" s="7" t="s">
        <v>2473</v>
      </c>
      <c r="B6" s="5">
        <v>265766564.02000001</v>
      </c>
      <c r="C6" s="8">
        <v>353</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F5CEC-54E5-47D9-A5E8-D450A15460F5}">
  <dimension ref="A1:Y551"/>
  <sheetViews>
    <sheetView topLeftCell="G225" workbookViewId="0">
      <selection sqref="A1:Y358"/>
    </sheetView>
  </sheetViews>
  <sheetFormatPr defaultRowHeight="15" x14ac:dyDescent="0.25"/>
  <cols>
    <col min="4" max="5" width="12.42578125" customWidth="1"/>
    <col min="6" max="6" width="26.85546875" customWidth="1"/>
    <col min="7" max="7" width="17.140625" customWidth="1"/>
    <col min="8" max="8" width="13" customWidth="1"/>
    <col min="9" max="9" width="22.140625" customWidth="1"/>
    <col min="10" max="10" width="18.7109375" customWidth="1"/>
    <col min="11" max="11" width="11.42578125" customWidth="1"/>
    <col min="12" max="12" width="20.5703125" customWidth="1"/>
    <col min="13" max="13" width="28.28515625" customWidth="1"/>
    <col min="14" max="14" width="10.7109375" customWidth="1"/>
    <col min="15" max="15" width="12.7109375" customWidth="1"/>
    <col min="16" max="16" width="9.85546875" customWidth="1"/>
    <col min="19" max="19" width="9.28515625" customWidth="1"/>
    <col min="21" max="21" width="10.5703125" customWidth="1"/>
    <col min="22" max="22" width="12.5703125" customWidth="1"/>
    <col min="23" max="23" width="11.85546875" customWidth="1"/>
    <col min="24" max="24" width="13.7109375" customWidth="1"/>
    <col min="25" max="25" width="12.85546875" customWidth="1"/>
  </cols>
  <sheetData>
    <row r="1" spans="1:25" x14ac:dyDescent="0.25">
      <c r="A1" t="s">
        <v>1863</v>
      </c>
      <c r="B1" t="s">
        <v>1864</v>
      </c>
      <c r="C1" t="s">
        <v>1865</v>
      </c>
      <c r="D1" t="s">
        <v>1866</v>
      </c>
      <c r="E1" t="s">
        <v>2469</v>
      </c>
      <c r="F1" t="s">
        <v>1867</v>
      </c>
      <c r="G1" t="s">
        <v>1868</v>
      </c>
      <c r="H1" t="s">
        <v>1869</v>
      </c>
      <c r="I1" t="s">
        <v>1870</v>
      </c>
      <c r="J1" t="s">
        <v>1871</v>
      </c>
      <c r="K1" t="s">
        <v>1872</v>
      </c>
      <c r="L1" t="s">
        <v>1873</v>
      </c>
      <c r="M1" t="s">
        <v>1874</v>
      </c>
      <c r="N1" t="s">
        <v>1875</v>
      </c>
      <c r="O1" t="s">
        <v>1876</v>
      </c>
      <c r="P1" t="s">
        <v>1877</v>
      </c>
      <c r="Q1" t="s">
        <v>1878</v>
      </c>
      <c r="R1" t="s">
        <v>1879</v>
      </c>
      <c r="S1" t="s">
        <v>1880</v>
      </c>
      <c r="T1" t="s">
        <v>1881</v>
      </c>
      <c r="U1" t="s">
        <v>1882</v>
      </c>
      <c r="V1" t="s">
        <v>1883</v>
      </c>
      <c r="W1" t="s">
        <v>1884</v>
      </c>
      <c r="X1" t="s">
        <v>1885</v>
      </c>
      <c r="Y1" t="s">
        <v>1886</v>
      </c>
    </row>
    <row r="2" spans="1:25" x14ac:dyDescent="0.25">
      <c r="A2" t="s">
        <v>1887</v>
      </c>
      <c r="B2" t="s">
        <v>1888</v>
      </c>
      <c r="C2" t="s">
        <v>1889</v>
      </c>
      <c r="D2">
        <v>6074202300035830</v>
      </c>
      <c r="E2" t="str">
        <f>IF(COUNTIF(Tabela1[codProcesso],Tabela2[[#This Row],[PROCESSO]]),"Está","Não está")</f>
        <v>Está</v>
      </c>
      <c r="F2" t="s">
        <v>1890</v>
      </c>
      <c r="G2" t="s">
        <v>1891</v>
      </c>
      <c r="H2" t="s">
        <v>1892</v>
      </c>
      <c r="I2" t="s">
        <v>1893</v>
      </c>
      <c r="J2" t="s">
        <v>1894</v>
      </c>
      <c r="K2" s="3">
        <v>46326</v>
      </c>
      <c r="L2" s="4">
        <v>4110188.07</v>
      </c>
      <c r="M2" s="5">
        <v>331092.96999999997</v>
      </c>
      <c r="N2" s="4">
        <v>291600</v>
      </c>
      <c r="O2" s="4">
        <v>291600</v>
      </c>
      <c r="P2" s="4">
        <v>291600</v>
      </c>
      <c r="Q2" s="4">
        <v>291600</v>
      </c>
      <c r="R2" s="4">
        <v>291600</v>
      </c>
      <c r="S2" s="4">
        <v>291600</v>
      </c>
      <c r="T2" s="4">
        <v>291600</v>
      </c>
      <c r="U2" s="4">
        <v>291600</v>
      </c>
      <c r="V2" s="4">
        <v>291600</v>
      </c>
      <c r="W2" s="4">
        <v>313200</v>
      </c>
      <c r="X2" s="5">
        <v>334800</v>
      </c>
      <c r="Y2" s="5">
        <v>356400</v>
      </c>
    </row>
    <row r="3" spans="1:25" x14ac:dyDescent="0.25">
      <c r="A3" t="s">
        <v>1887</v>
      </c>
      <c r="B3" t="s">
        <v>1888</v>
      </c>
      <c r="C3" t="s">
        <v>1889</v>
      </c>
      <c r="D3">
        <v>6074202300067960</v>
      </c>
      <c r="E3" t="str">
        <f>IF(COUNTIF(Tabela1[codProcesso],Tabela2[[#This Row],[PROCESSO]]),"Está","Não está")</f>
        <v>Está</v>
      </c>
      <c r="F3" t="s">
        <v>1890</v>
      </c>
      <c r="G3" t="s">
        <v>1891</v>
      </c>
      <c r="H3" t="s">
        <v>92</v>
      </c>
      <c r="I3" t="s">
        <v>1895</v>
      </c>
      <c r="J3" t="s">
        <v>1896</v>
      </c>
      <c r="K3" s="3">
        <v>45897</v>
      </c>
      <c r="L3" s="5">
        <v>180594.96</v>
      </c>
      <c r="M3" s="5">
        <v>16128.78</v>
      </c>
      <c r="N3" s="5">
        <v>15049.58</v>
      </c>
      <c r="O3" s="5">
        <v>15049.58</v>
      </c>
      <c r="P3" s="5">
        <v>15049.58</v>
      </c>
      <c r="Q3" s="5">
        <v>15049.58</v>
      </c>
      <c r="R3" s="5">
        <v>15049.58</v>
      </c>
      <c r="S3" s="5">
        <v>15049.58</v>
      </c>
      <c r="T3" s="5">
        <v>15049.58</v>
      </c>
      <c r="U3" s="5">
        <v>15049.58</v>
      </c>
      <c r="V3" s="5">
        <v>15049.58</v>
      </c>
      <c r="W3" s="5">
        <v>15049.58</v>
      </c>
      <c r="X3" s="5">
        <v>15049.58</v>
      </c>
      <c r="Y3" s="5">
        <v>15049.58</v>
      </c>
    </row>
    <row r="4" spans="1:25" x14ac:dyDescent="0.25">
      <c r="A4" t="s">
        <v>1887</v>
      </c>
      <c r="B4" t="s">
        <v>1888</v>
      </c>
      <c r="C4" t="s">
        <v>1889</v>
      </c>
      <c r="D4">
        <v>6074202300090880</v>
      </c>
      <c r="E4" t="str">
        <f>IF(COUNTIF(Tabela1[codProcesso],Tabela2[[#This Row],[PROCESSO]]),"Está","Não está")</f>
        <v>Está</v>
      </c>
      <c r="F4" t="s">
        <v>1890</v>
      </c>
      <c r="G4" t="s">
        <v>1891</v>
      </c>
      <c r="H4" t="s">
        <v>234</v>
      </c>
      <c r="I4" t="s">
        <v>1897</v>
      </c>
      <c r="J4" t="s">
        <v>1894</v>
      </c>
      <c r="K4" s="3">
        <v>46234</v>
      </c>
      <c r="L4" s="5">
        <v>529952.24</v>
      </c>
      <c r="M4" s="5">
        <v>47476.79</v>
      </c>
      <c r="N4" s="5">
        <v>41795.47</v>
      </c>
      <c r="O4" s="5">
        <v>41795.47</v>
      </c>
      <c r="P4" s="5">
        <v>41795.47</v>
      </c>
      <c r="Q4" s="5">
        <v>41795.47</v>
      </c>
      <c r="R4" s="5">
        <v>41795.47</v>
      </c>
      <c r="S4" s="5">
        <v>41795.47</v>
      </c>
      <c r="T4" s="5">
        <v>41795.47</v>
      </c>
      <c r="U4" s="5">
        <v>47476.79</v>
      </c>
      <c r="V4" s="5">
        <v>47476.79</v>
      </c>
      <c r="W4" s="5">
        <v>47476.79</v>
      </c>
      <c r="X4" s="5">
        <v>47476.79</v>
      </c>
      <c r="Y4" s="5">
        <v>47476.79</v>
      </c>
    </row>
    <row r="5" spans="1:25" x14ac:dyDescent="0.25">
      <c r="A5" t="s">
        <v>1887</v>
      </c>
      <c r="B5" t="s">
        <v>1888</v>
      </c>
      <c r="C5" t="s">
        <v>1889</v>
      </c>
      <c r="D5">
        <v>6074202400026510</v>
      </c>
      <c r="E5" t="str">
        <f>IF(COUNTIF(Tabela1[codProcesso],Tabela2[[#This Row],[PROCESSO]]),"Está","Não está")</f>
        <v>Está</v>
      </c>
      <c r="F5" t="s">
        <v>1890</v>
      </c>
      <c r="G5" t="s">
        <v>1891</v>
      </c>
      <c r="H5" t="s">
        <v>194</v>
      </c>
      <c r="I5" t="s">
        <v>1898</v>
      </c>
      <c r="J5" t="s">
        <v>1896</v>
      </c>
      <c r="K5" s="3">
        <v>46235</v>
      </c>
      <c r="L5" s="5">
        <v>506030.4</v>
      </c>
      <c r="M5" s="5">
        <v>21084.6</v>
      </c>
      <c r="N5" s="5">
        <v>21084.6</v>
      </c>
      <c r="O5" s="5">
        <v>21084.6</v>
      </c>
      <c r="P5" s="5">
        <v>21084.6</v>
      </c>
      <c r="Q5" s="5">
        <v>21084.6</v>
      </c>
      <c r="R5" s="5">
        <v>21084.6</v>
      </c>
      <c r="S5" s="5">
        <v>21084.6</v>
      </c>
      <c r="T5" s="5">
        <v>21084.6</v>
      </c>
      <c r="U5" s="5">
        <v>22771.37</v>
      </c>
      <c r="V5" s="5">
        <v>22771.37</v>
      </c>
      <c r="W5" s="5">
        <v>22771.37</v>
      </c>
      <c r="X5" s="5">
        <v>22771.37</v>
      </c>
      <c r="Y5" s="5">
        <v>22771.37</v>
      </c>
    </row>
    <row r="6" spans="1:25" x14ac:dyDescent="0.25">
      <c r="A6" t="s">
        <v>1887</v>
      </c>
      <c r="B6" t="s">
        <v>1888</v>
      </c>
      <c r="C6" t="s">
        <v>1889</v>
      </c>
      <c r="D6">
        <v>6074202400044930</v>
      </c>
      <c r="E6" t="str">
        <f>IF(COUNTIF(Tabela1[codProcesso],Tabela2[[#This Row],[PROCESSO]]),"Está","Não está")</f>
        <v>Está</v>
      </c>
      <c r="F6" t="s">
        <v>1890</v>
      </c>
      <c r="G6" t="s">
        <v>1891</v>
      </c>
      <c r="H6" t="s">
        <v>201</v>
      </c>
      <c r="I6" t="s">
        <v>1899</v>
      </c>
      <c r="J6" t="s">
        <v>1894</v>
      </c>
      <c r="K6" s="3">
        <v>45869</v>
      </c>
      <c r="L6" s="5">
        <v>188304.73</v>
      </c>
      <c r="M6" s="5">
        <v>16349.81</v>
      </c>
      <c r="N6" s="5">
        <v>15222.24</v>
      </c>
      <c r="O6" s="5">
        <v>15222.24</v>
      </c>
      <c r="P6" s="5">
        <v>15222.24</v>
      </c>
      <c r="Q6" s="5">
        <v>15222.24</v>
      </c>
      <c r="R6" s="5">
        <v>15222.24</v>
      </c>
      <c r="S6" s="5">
        <v>15222.24</v>
      </c>
      <c r="T6" s="5">
        <v>15222.24</v>
      </c>
      <c r="U6" s="5">
        <v>16349.81</v>
      </c>
      <c r="V6" s="5">
        <v>16349.81</v>
      </c>
      <c r="W6" s="5">
        <v>16349.81</v>
      </c>
      <c r="X6" s="5">
        <v>16349.81</v>
      </c>
      <c r="Y6" s="5">
        <v>16349.81</v>
      </c>
    </row>
    <row r="7" spans="1:25" x14ac:dyDescent="0.25">
      <c r="A7" t="s">
        <v>1887</v>
      </c>
      <c r="B7" t="s">
        <v>1888</v>
      </c>
      <c r="C7" t="s">
        <v>1889</v>
      </c>
      <c r="D7">
        <v>6074202300008030</v>
      </c>
      <c r="E7" t="str">
        <f>IF(COUNTIF(Tabela1[codProcesso],Tabela2[[#This Row],[PROCESSO]]),"Está","Não está")</f>
        <v>Está</v>
      </c>
      <c r="F7" t="s">
        <v>1900</v>
      </c>
      <c r="G7" t="s">
        <v>1901</v>
      </c>
      <c r="H7" t="s">
        <v>1902</v>
      </c>
      <c r="I7" t="s">
        <v>1903</v>
      </c>
      <c r="J7" t="s">
        <v>1904</v>
      </c>
      <c r="K7" s="3">
        <v>46249</v>
      </c>
      <c r="L7" s="5">
        <v>61635.6</v>
      </c>
      <c r="M7" s="5">
        <v>5136.3</v>
      </c>
      <c r="N7" s="5">
        <v>5136.3</v>
      </c>
      <c r="O7" s="5">
        <v>5136.3</v>
      </c>
      <c r="P7" s="5">
        <v>5136.3</v>
      </c>
      <c r="Q7" s="5">
        <v>5136.3</v>
      </c>
      <c r="R7" s="5">
        <v>5136.3</v>
      </c>
      <c r="S7" s="5">
        <v>5136.3</v>
      </c>
      <c r="T7" s="5">
        <v>5136.3</v>
      </c>
      <c r="U7" s="5">
        <v>5997.2</v>
      </c>
      <c r="V7" s="5">
        <v>5997.2</v>
      </c>
      <c r="W7" s="5">
        <v>5997.2</v>
      </c>
      <c r="X7" s="5">
        <v>5997.2</v>
      </c>
      <c r="Y7" s="5">
        <v>5997.2</v>
      </c>
    </row>
    <row r="8" spans="1:25" x14ac:dyDescent="0.25">
      <c r="A8" t="s">
        <v>1887</v>
      </c>
      <c r="B8" t="s">
        <v>1888</v>
      </c>
      <c r="C8" t="s">
        <v>1889</v>
      </c>
      <c r="D8">
        <v>6074201700000330</v>
      </c>
      <c r="E8" t="str">
        <f>IF(COUNTIF(Tabela1[codProcesso],Tabela2[[#This Row],[PROCESSO]]),"Está","Não está")</f>
        <v>Não está</v>
      </c>
      <c r="F8" t="s">
        <v>1900</v>
      </c>
      <c r="G8" t="s">
        <v>1901</v>
      </c>
      <c r="H8" t="s">
        <v>1905</v>
      </c>
      <c r="I8" t="s">
        <v>1906</v>
      </c>
      <c r="J8" t="s">
        <v>1907</v>
      </c>
      <c r="K8" s="3">
        <v>46428</v>
      </c>
      <c r="L8" s="5">
        <v>4500</v>
      </c>
      <c r="N8" t="s">
        <v>1908</v>
      </c>
      <c r="O8" s="5">
        <v>4500</v>
      </c>
      <c r="P8" t="s">
        <v>1908</v>
      </c>
      <c r="Q8" t="s">
        <v>1909</v>
      </c>
      <c r="R8" t="s">
        <v>1909</v>
      </c>
      <c r="S8" t="s">
        <v>1909</v>
      </c>
      <c r="T8" t="s">
        <v>1909</v>
      </c>
      <c r="U8" t="s">
        <v>1909</v>
      </c>
      <c r="V8" t="s">
        <v>1909</v>
      </c>
      <c r="W8" t="s">
        <v>1909</v>
      </c>
      <c r="X8" t="s">
        <v>1909</v>
      </c>
      <c r="Y8" t="s">
        <v>1910</v>
      </c>
    </row>
    <row r="9" spans="1:25" x14ac:dyDescent="0.25">
      <c r="A9" t="s">
        <v>1887</v>
      </c>
      <c r="B9" t="s">
        <v>1888</v>
      </c>
      <c r="C9" t="s">
        <v>1889</v>
      </c>
      <c r="D9">
        <v>6074201700000330</v>
      </c>
      <c r="E9" t="str">
        <f>IF(COUNTIF(Tabela1[codProcesso],Tabela2[[#This Row],[PROCESSO]]),"Está","Não está")</f>
        <v>Não está</v>
      </c>
      <c r="F9" t="s">
        <v>1911</v>
      </c>
      <c r="G9" t="s">
        <v>1901</v>
      </c>
      <c r="H9" t="s">
        <v>1905</v>
      </c>
      <c r="I9" t="s">
        <v>1912</v>
      </c>
      <c r="J9" t="s">
        <v>1907</v>
      </c>
      <c r="K9" s="3">
        <v>46428</v>
      </c>
      <c r="L9" s="5">
        <v>178220</v>
      </c>
      <c r="M9" t="s">
        <v>1908</v>
      </c>
      <c r="O9" s="5">
        <v>178220</v>
      </c>
      <c r="P9" t="s">
        <v>1908</v>
      </c>
      <c r="Q9" t="s">
        <v>1909</v>
      </c>
      <c r="R9" t="s">
        <v>1909</v>
      </c>
      <c r="S9" t="s">
        <v>1909</v>
      </c>
      <c r="T9" t="s">
        <v>1909</v>
      </c>
      <c r="U9" t="s">
        <v>1909</v>
      </c>
      <c r="V9" t="s">
        <v>1909</v>
      </c>
      <c r="W9" t="s">
        <v>1909</v>
      </c>
      <c r="X9" t="s">
        <v>1909</v>
      </c>
      <c r="Y9" t="s">
        <v>1910</v>
      </c>
    </row>
    <row r="10" spans="1:25" x14ac:dyDescent="0.25">
      <c r="A10" t="s">
        <v>1887</v>
      </c>
      <c r="B10" t="s">
        <v>1888</v>
      </c>
      <c r="C10" t="s">
        <v>1889</v>
      </c>
      <c r="D10">
        <v>6074201700000330</v>
      </c>
      <c r="E10" t="str">
        <f>IF(COUNTIF(Tabela1[codProcesso],Tabela2[[#This Row],[PROCESSO]]),"Está","Não está")</f>
        <v>Não está</v>
      </c>
      <c r="F10" t="s">
        <v>1900</v>
      </c>
      <c r="G10" t="s">
        <v>1901</v>
      </c>
      <c r="H10" t="s">
        <v>1905</v>
      </c>
      <c r="I10" t="s">
        <v>1913</v>
      </c>
      <c r="J10" t="s">
        <v>1907</v>
      </c>
      <c r="K10" s="3">
        <v>46428</v>
      </c>
      <c r="L10" s="5">
        <v>2286215.62</v>
      </c>
      <c r="M10" s="5">
        <v>191701.31</v>
      </c>
      <c r="N10" s="5">
        <v>177501.21</v>
      </c>
      <c r="O10" s="5">
        <v>191701.31</v>
      </c>
      <c r="P10" s="5">
        <v>191701.31</v>
      </c>
      <c r="Q10" s="5">
        <v>191701.31</v>
      </c>
      <c r="R10" s="5">
        <v>191701.31</v>
      </c>
      <c r="S10" s="5">
        <v>191701.31</v>
      </c>
      <c r="T10" s="5">
        <v>191701.31</v>
      </c>
      <c r="U10" s="5">
        <v>191701.31</v>
      </c>
      <c r="V10" s="5">
        <v>191701.31</v>
      </c>
      <c r="W10" s="5">
        <v>191701.31</v>
      </c>
      <c r="X10" s="5">
        <v>191701.31</v>
      </c>
      <c r="Y10" s="5">
        <v>191701.31</v>
      </c>
    </row>
    <row r="11" spans="1:25" x14ac:dyDescent="0.25">
      <c r="A11" t="s">
        <v>1887</v>
      </c>
      <c r="B11" t="s">
        <v>1888</v>
      </c>
      <c r="C11" t="s">
        <v>1889</v>
      </c>
      <c r="D11">
        <v>6074201900011300</v>
      </c>
      <c r="E11" t="str">
        <f>IF(COUNTIF(Tabela1[codProcesso],Tabela2[[#This Row],[PROCESSO]]),"Está","Não está")</f>
        <v>Está</v>
      </c>
      <c r="F11" t="s">
        <v>1900</v>
      </c>
      <c r="G11" t="s">
        <v>1901</v>
      </c>
      <c r="H11" t="s">
        <v>1914</v>
      </c>
      <c r="I11" t="s">
        <v>1915</v>
      </c>
      <c r="J11" t="s">
        <v>1916</v>
      </c>
      <c r="K11" s="3">
        <v>46179</v>
      </c>
      <c r="L11" s="5">
        <v>19749</v>
      </c>
      <c r="M11" s="5">
        <v>1645.75</v>
      </c>
      <c r="N11" s="5">
        <v>1645.75</v>
      </c>
      <c r="O11" s="5">
        <v>1645.75</v>
      </c>
      <c r="P11" s="5">
        <v>1645.75</v>
      </c>
      <c r="Q11" s="5">
        <v>1645.75</v>
      </c>
      <c r="R11" s="5">
        <v>1645.75</v>
      </c>
      <c r="S11" s="5">
        <v>1645.75</v>
      </c>
      <c r="T11" s="5">
        <v>1645.75</v>
      </c>
      <c r="U11" s="5">
        <v>1645.75</v>
      </c>
      <c r="V11" s="5">
        <v>1645.75</v>
      </c>
      <c r="W11" s="5">
        <v>1645.75</v>
      </c>
      <c r="X11" s="5">
        <v>1645.75</v>
      </c>
      <c r="Y11" s="5">
        <v>1645.75</v>
      </c>
    </row>
    <row r="12" spans="1:25" x14ac:dyDescent="0.25">
      <c r="A12" t="s">
        <v>1887</v>
      </c>
      <c r="B12" t="s">
        <v>1888</v>
      </c>
      <c r="C12" t="s">
        <v>1889</v>
      </c>
      <c r="D12">
        <v>6074202000034310</v>
      </c>
      <c r="E12" t="str">
        <f>IF(COUNTIF(Tabela1[codProcesso],Tabela2[[#This Row],[PROCESSO]]),"Está","Não está")</f>
        <v>Está</v>
      </c>
      <c r="F12" t="s">
        <v>1900</v>
      </c>
      <c r="G12" t="s">
        <v>1901</v>
      </c>
      <c r="H12" t="s">
        <v>507</v>
      </c>
      <c r="I12" t="s">
        <v>1917</v>
      </c>
      <c r="J12" t="s">
        <v>1918</v>
      </c>
      <c r="K12" s="3">
        <v>46349</v>
      </c>
      <c r="L12" s="5">
        <v>248655.5</v>
      </c>
      <c r="M12" s="5">
        <v>23413</v>
      </c>
      <c r="N12" s="5">
        <v>20182.95</v>
      </c>
      <c r="O12" s="5">
        <v>20182.95</v>
      </c>
      <c r="P12" s="5">
        <v>20182.95</v>
      </c>
      <c r="Q12" s="5">
        <v>20182.95</v>
      </c>
      <c r="R12" s="5">
        <v>20182.95</v>
      </c>
      <c r="S12" s="5">
        <v>20182.95</v>
      </c>
      <c r="T12" s="5">
        <v>20182.95</v>
      </c>
      <c r="U12" s="5">
        <v>20182.95</v>
      </c>
      <c r="V12" s="5">
        <v>20182.95</v>
      </c>
      <c r="W12" s="5">
        <v>20182.95</v>
      </c>
      <c r="X12" s="5">
        <v>23413</v>
      </c>
      <c r="Y12" s="5">
        <v>23413</v>
      </c>
    </row>
    <row r="13" spans="1:25" x14ac:dyDescent="0.25">
      <c r="A13" t="s">
        <v>1887</v>
      </c>
      <c r="B13" t="s">
        <v>1888</v>
      </c>
      <c r="C13" t="s">
        <v>1889</v>
      </c>
      <c r="D13">
        <v>6074202100003880</v>
      </c>
      <c r="E13" t="str">
        <f>IF(COUNTIF(Tabela1[codProcesso],Tabela2[[#This Row],[PROCESSO]]),"Está","Não está")</f>
        <v>Está</v>
      </c>
      <c r="F13" t="s">
        <v>1919</v>
      </c>
      <c r="G13" t="s">
        <v>1901</v>
      </c>
      <c r="H13" t="s">
        <v>1920</v>
      </c>
      <c r="I13" t="s">
        <v>1921</v>
      </c>
      <c r="J13" t="s">
        <v>1922</v>
      </c>
      <c r="K13" s="3">
        <v>46349</v>
      </c>
      <c r="L13" s="5">
        <v>19961.400000000001</v>
      </c>
      <c r="M13" s="5">
        <v>1785</v>
      </c>
      <c r="N13" s="5">
        <v>1652.4</v>
      </c>
      <c r="O13" s="5">
        <v>1652.4</v>
      </c>
      <c r="P13" s="5">
        <v>1652.4</v>
      </c>
      <c r="Q13" s="5">
        <v>1652.4</v>
      </c>
      <c r="R13" s="5">
        <v>1652.4</v>
      </c>
      <c r="S13" s="5">
        <v>1652.4</v>
      </c>
      <c r="T13" s="5">
        <v>1652.4</v>
      </c>
      <c r="U13" s="5">
        <v>1652.4</v>
      </c>
      <c r="V13" s="5">
        <v>1652.4</v>
      </c>
      <c r="W13" s="5">
        <v>1652.4</v>
      </c>
      <c r="X13" s="5">
        <v>1652.4</v>
      </c>
      <c r="Y13" s="5">
        <v>1785</v>
      </c>
    </row>
    <row r="14" spans="1:25" x14ac:dyDescent="0.25">
      <c r="A14" t="s">
        <v>1887</v>
      </c>
      <c r="B14" t="s">
        <v>1888</v>
      </c>
      <c r="C14" t="s">
        <v>1889</v>
      </c>
      <c r="D14">
        <v>6074202100023310</v>
      </c>
      <c r="E14" t="str">
        <f>IF(COUNTIF(Tabela1[codProcesso],Tabela2[[#This Row],[PROCESSO]]),"Está","Não está")</f>
        <v>Está</v>
      </c>
      <c r="F14" t="s">
        <v>1900</v>
      </c>
      <c r="G14" t="s">
        <v>1901</v>
      </c>
      <c r="H14" t="s">
        <v>500</v>
      </c>
      <c r="I14" t="s">
        <v>1923</v>
      </c>
      <c r="J14" t="s">
        <v>1924</v>
      </c>
      <c r="K14" s="3">
        <v>46370</v>
      </c>
      <c r="L14" s="5">
        <v>461505.77</v>
      </c>
      <c r="M14" s="5">
        <v>41260.449999999997</v>
      </c>
      <c r="N14" s="5">
        <v>38204.120000000003</v>
      </c>
      <c r="O14" s="5">
        <v>38204.120000000003</v>
      </c>
      <c r="P14" s="5">
        <v>38204.120000000003</v>
      </c>
      <c r="Q14" s="5">
        <v>38204.120000000003</v>
      </c>
      <c r="R14" s="5">
        <v>38204.120000000003</v>
      </c>
      <c r="S14" s="5">
        <v>38204.120000000003</v>
      </c>
      <c r="T14" s="5">
        <v>38204.120000000003</v>
      </c>
      <c r="U14" s="5">
        <v>38204.120000000003</v>
      </c>
      <c r="V14" s="5">
        <v>38204.120000000003</v>
      </c>
      <c r="W14" s="5">
        <v>38204.120000000003</v>
      </c>
      <c r="X14" s="5">
        <v>38204.120000000003</v>
      </c>
      <c r="Y14" s="5">
        <v>41260.449999999997</v>
      </c>
    </row>
    <row r="15" spans="1:25" x14ac:dyDescent="0.25">
      <c r="A15" t="s">
        <v>1887</v>
      </c>
      <c r="B15" t="s">
        <v>1888</v>
      </c>
      <c r="C15" t="s">
        <v>1889</v>
      </c>
      <c r="D15">
        <v>6074202100086750</v>
      </c>
      <c r="E15" t="str">
        <f>IF(COUNTIF(Tabela1[codProcesso],Tabela2[[#This Row],[PROCESSO]]),"Está","Não está")</f>
        <v>Está</v>
      </c>
      <c r="F15" t="s">
        <v>1900</v>
      </c>
      <c r="G15" t="s">
        <v>1901</v>
      </c>
      <c r="H15">
        <v>9912565743</v>
      </c>
      <c r="I15" t="s">
        <v>1925</v>
      </c>
      <c r="J15" t="s">
        <v>1926</v>
      </c>
      <c r="K15" s="3">
        <v>46054</v>
      </c>
      <c r="L15" s="5">
        <v>6000</v>
      </c>
      <c r="M15" s="5">
        <v>500</v>
      </c>
      <c r="N15" s="5">
        <v>500</v>
      </c>
      <c r="O15" s="5">
        <v>500</v>
      </c>
      <c r="P15" s="5">
        <v>500</v>
      </c>
      <c r="Q15" s="5">
        <v>500</v>
      </c>
      <c r="R15" s="5">
        <v>500</v>
      </c>
      <c r="S15" s="5">
        <v>500</v>
      </c>
      <c r="T15" s="5">
        <v>500</v>
      </c>
      <c r="U15" s="5">
        <v>500</v>
      </c>
      <c r="V15" s="5">
        <v>500</v>
      </c>
      <c r="W15" s="5">
        <v>500</v>
      </c>
      <c r="X15" s="5">
        <v>500</v>
      </c>
      <c r="Y15" s="5">
        <v>500</v>
      </c>
    </row>
    <row r="16" spans="1:25" x14ac:dyDescent="0.25">
      <c r="A16" t="s">
        <v>1887</v>
      </c>
      <c r="B16" t="s">
        <v>1888</v>
      </c>
      <c r="C16" t="s">
        <v>1889</v>
      </c>
      <c r="D16">
        <v>6074202200013230</v>
      </c>
      <c r="E16" t="str">
        <f>IF(COUNTIF(Tabela1[codProcesso],Tabela2[[#This Row],[PROCESSO]]),"Está","Não está")</f>
        <v>Está</v>
      </c>
      <c r="F16" t="s">
        <v>1900</v>
      </c>
      <c r="G16" t="s">
        <v>1901</v>
      </c>
      <c r="H16" t="s">
        <v>1927</v>
      </c>
      <c r="I16" t="s">
        <v>1928</v>
      </c>
      <c r="J16" t="s">
        <v>1922</v>
      </c>
      <c r="K16" s="3">
        <v>46231</v>
      </c>
      <c r="L16" s="5">
        <v>175998.65</v>
      </c>
      <c r="M16" s="5">
        <v>15281.3</v>
      </c>
      <c r="N16" s="5">
        <v>14227.45</v>
      </c>
      <c r="O16" s="5">
        <v>14227.45</v>
      </c>
      <c r="P16" s="5">
        <v>14227.45</v>
      </c>
      <c r="Q16" s="5">
        <v>14227.45</v>
      </c>
      <c r="R16" s="5">
        <v>14227.45</v>
      </c>
      <c r="S16" s="5">
        <v>14227.45</v>
      </c>
      <c r="T16" s="5">
        <v>14227.45</v>
      </c>
      <c r="U16" s="5">
        <v>15281.3</v>
      </c>
      <c r="V16" s="5">
        <v>15281.3</v>
      </c>
      <c r="W16" s="5">
        <v>15281.3</v>
      </c>
      <c r="X16" s="5">
        <v>15281.3</v>
      </c>
      <c r="Y16" s="5">
        <v>15281.3</v>
      </c>
    </row>
    <row r="17" spans="1:25" x14ac:dyDescent="0.25">
      <c r="A17" t="s">
        <v>1887</v>
      </c>
      <c r="B17" t="s">
        <v>1888</v>
      </c>
      <c r="C17" t="s">
        <v>1889</v>
      </c>
      <c r="D17">
        <v>6074202200038580</v>
      </c>
      <c r="E17" t="str">
        <f>IF(COUNTIF(Tabela1[codProcesso],Tabela2[[#This Row],[PROCESSO]]),"Está","Não está")</f>
        <v>Está</v>
      </c>
      <c r="F17" t="s">
        <v>1900</v>
      </c>
      <c r="G17" t="s">
        <v>1901</v>
      </c>
      <c r="H17" t="s">
        <v>518</v>
      </c>
      <c r="I17" t="s">
        <v>1929</v>
      </c>
      <c r="J17" t="s">
        <v>1930</v>
      </c>
      <c r="K17" s="3">
        <v>46209</v>
      </c>
      <c r="L17" s="5">
        <v>1705.28</v>
      </c>
      <c r="M17" t="s">
        <v>1908</v>
      </c>
      <c r="N17" s="5">
        <v>852.64</v>
      </c>
      <c r="O17" t="s">
        <v>1908</v>
      </c>
      <c r="P17" t="s">
        <v>1909</v>
      </c>
      <c r="Q17" t="s">
        <v>1909</v>
      </c>
      <c r="R17" t="s">
        <v>1909</v>
      </c>
      <c r="S17" s="5">
        <v>852.64</v>
      </c>
      <c r="T17" t="s">
        <v>1908</v>
      </c>
      <c r="U17" t="s">
        <v>1909</v>
      </c>
      <c r="V17" t="s">
        <v>1909</v>
      </c>
      <c r="W17" t="s">
        <v>1909</v>
      </c>
      <c r="X17" t="s">
        <v>1909</v>
      </c>
      <c r="Y17" t="s">
        <v>1910</v>
      </c>
    </row>
    <row r="18" spans="1:25" x14ac:dyDescent="0.25">
      <c r="A18" t="s">
        <v>1887</v>
      </c>
      <c r="B18" t="s">
        <v>1888</v>
      </c>
      <c r="C18" t="s">
        <v>1889</v>
      </c>
      <c r="D18">
        <v>6074202200071840</v>
      </c>
      <c r="E18" t="str">
        <f>IF(COUNTIF(Tabela1[codProcesso],Tabela2[[#This Row],[PROCESSO]]),"Está","Não está")</f>
        <v>Está</v>
      </c>
      <c r="F18" t="s">
        <v>1900</v>
      </c>
      <c r="G18" t="s">
        <v>1901</v>
      </c>
      <c r="H18" t="s">
        <v>1931</v>
      </c>
      <c r="I18" t="s">
        <v>1932</v>
      </c>
      <c r="J18" t="s">
        <v>1933</v>
      </c>
      <c r="K18" s="3">
        <v>45953</v>
      </c>
      <c r="L18" s="5">
        <v>26999.18</v>
      </c>
      <c r="M18" s="5">
        <v>2446.34</v>
      </c>
      <c r="N18" s="5">
        <v>2193.77</v>
      </c>
      <c r="O18" s="5">
        <v>2193.77</v>
      </c>
      <c r="P18" s="5">
        <v>2193.77</v>
      </c>
      <c r="Q18" s="5">
        <v>2193.77</v>
      </c>
      <c r="R18" s="5">
        <v>2193.77</v>
      </c>
      <c r="S18" s="5">
        <v>2193.77</v>
      </c>
      <c r="T18" s="5">
        <v>2193.77</v>
      </c>
      <c r="U18" s="5">
        <v>2193.77</v>
      </c>
      <c r="V18" s="5">
        <v>2193.77</v>
      </c>
      <c r="W18" s="5">
        <v>2362.5700000000002</v>
      </c>
      <c r="X18" s="5">
        <v>2446.34</v>
      </c>
      <c r="Y18" s="5">
        <v>2446.34</v>
      </c>
    </row>
    <row r="19" spans="1:25" x14ac:dyDescent="0.25">
      <c r="A19" t="s">
        <v>1887</v>
      </c>
      <c r="B19" t="s">
        <v>1888</v>
      </c>
      <c r="C19" t="s">
        <v>1889</v>
      </c>
      <c r="D19">
        <v>6074202200079130</v>
      </c>
      <c r="E19" t="str">
        <f>IF(COUNTIF(Tabela1[codProcesso],Tabela2[[#This Row],[PROCESSO]]),"Está","Não está")</f>
        <v>Está</v>
      </c>
      <c r="F19" t="s">
        <v>1900</v>
      </c>
      <c r="G19" t="s">
        <v>1901</v>
      </c>
      <c r="H19" t="s">
        <v>535</v>
      </c>
      <c r="I19" t="s">
        <v>1934</v>
      </c>
      <c r="J19" t="s">
        <v>1935</v>
      </c>
      <c r="K19" s="3">
        <v>46093</v>
      </c>
      <c r="L19" s="5">
        <v>418574.16</v>
      </c>
      <c r="M19" s="5">
        <v>35299.47</v>
      </c>
      <c r="N19" s="5">
        <v>32789.730000000003</v>
      </c>
      <c r="O19" s="5">
        <v>32789.730000000003</v>
      </c>
      <c r="P19" s="5">
        <v>35299.47</v>
      </c>
      <c r="Q19" s="5">
        <v>35299.47</v>
      </c>
      <c r="R19" s="5">
        <v>35299.47</v>
      </c>
      <c r="S19" s="5">
        <v>35299.47</v>
      </c>
      <c r="T19" s="5">
        <v>35299.47</v>
      </c>
      <c r="U19" s="5">
        <v>35299.47</v>
      </c>
      <c r="V19" s="5">
        <v>35299.47</v>
      </c>
      <c r="W19" s="5">
        <v>35299.47</v>
      </c>
      <c r="X19" s="5">
        <v>35299.47</v>
      </c>
      <c r="Y19" s="5">
        <v>35299.47</v>
      </c>
    </row>
    <row r="20" spans="1:25" x14ac:dyDescent="0.25">
      <c r="A20" t="s">
        <v>1887</v>
      </c>
      <c r="B20" t="s">
        <v>1888</v>
      </c>
      <c r="C20" t="s">
        <v>1889</v>
      </c>
      <c r="D20">
        <v>6074202200079920</v>
      </c>
      <c r="E20" t="str">
        <f>IF(COUNTIF(Tabela1[codProcesso],Tabela2[[#This Row],[PROCESSO]]),"Está","Não está")</f>
        <v>Está</v>
      </c>
      <c r="F20" t="s">
        <v>1900</v>
      </c>
      <c r="G20" t="s">
        <v>1901</v>
      </c>
      <c r="H20" t="s">
        <v>580</v>
      </c>
      <c r="I20" t="s">
        <v>1936</v>
      </c>
      <c r="J20" t="s">
        <v>1937</v>
      </c>
      <c r="K20" s="3">
        <v>46379</v>
      </c>
      <c r="L20" s="5">
        <v>182275.44</v>
      </c>
      <c r="M20" s="5">
        <v>16145.74</v>
      </c>
      <c r="N20" s="4">
        <v>15102.7</v>
      </c>
      <c r="O20" s="5">
        <v>15102.7</v>
      </c>
      <c r="P20" s="5">
        <v>15102.7</v>
      </c>
      <c r="Q20" s="5">
        <v>15102.7</v>
      </c>
      <c r="R20" s="5">
        <v>15102.7</v>
      </c>
      <c r="S20" s="5">
        <v>15102.7</v>
      </c>
      <c r="T20" s="4">
        <v>15102.7</v>
      </c>
      <c r="U20" s="4">
        <v>15102.7</v>
      </c>
      <c r="V20" s="4">
        <v>15102.7</v>
      </c>
      <c r="W20" s="4">
        <v>15102.7</v>
      </c>
      <c r="X20" s="4">
        <v>15102.7</v>
      </c>
      <c r="Y20" s="5">
        <v>16145.74</v>
      </c>
    </row>
    <row r="21" spans="1:25" x14ac:dyDescent="0.25">
      <c r="A21" t="s">
        <v>1887</v>
      </c>
      <c r="B21" t="s">
        <v>1888</v>
      </c>
      <c r="C21" t="s">
        <v>1889</v>
      </c>
      <c r="D21">
        <v>6074202300019210</v>
      </c>
      <c r="E21" t="str">
        <f>IF(COUNTIF(Tabela1[codProcesso],Tabela2[[#This Row],[PROCESSO]]),"Está","Não está")</f>
        <v>Está</v>
      </c>
      <c r="F21" t="s">
        <v>1938</v>
      </c>
      <c r="G21" t="s">
        <v>1901</v>
      </c>
      <c r="H21" t="s">
        <v>1939</v>
      </c>
      <c r="I21" t="s">
        <v>1940</v>
      </c>
      <c r="J21" t="s">
        <v>1941</v>
      </c>
      <c r="K21" s="3">
        <v>46108</v>
      </c>
      <c r="L21" s="4">
        <v>100000</v>
      </c>
      <c r="M21" s="5">
        <v>8333.33</v>
      </c>
      <c r="N21" s="5">
        <v>8333.33</v>
      </c>
      <c r="O21" s="5">
        <v>8333.33</v>
      </c>
      <c r="P21" s="5">
        <v>8333.33</v>
      </c>
      <c r="Q21" s="5">
        <v>8333.33</v>
      </c>
      <c r="R21" s="5">
        <v>8333.33</v>
      </c>
      <c r="S21" s="5">
        <v>8333.33</v>
      </c>
      <c r="T21" s="5">
        <v>8333.33</v>
      </c>
      <c r="U21" s="5">
        <v>8333.33</v>
      </c>
      <c r="V21" s="5">
        <v>8333.33</v>
      </c>
      <c r="W21" s="5">
        <v>8333.33</v>
      </c>
      <c r="X21" s="5">
        <v>8333.33</v>
      </c>
      <c r="Y21" s="5">
        <v>8333.3700000000008</v>
      </c>
    </row>
    <row r="22" spans="1:25" x14ac:dyDescent="0.25">
      <c r="A22" t="s">
        <v>1887</v>
      </c>
      <c r="B22" t="s">
        <v>1888</v>
      </c>
      <c r="C22" t="s">
        <v>1889</v>
      </c>
      <c r="D22">
        <v>6074202300020630</v>
      </c>
      <c r="E22" t="str">
        <f>IF(COUNTIF(Tabela1[codProcesso],Tabela2[[#This Row],[PROCESSO]]),"Está","Não está")</f>
        <v>Está</v>
      </c>
      <c r="F22" t="s">
        <v>1900</v>
      </c>
      <c r="G22" t="s">
        <v>1901</v>
      </c>
      <c r="H22" t="s">
        <v>109</v>
      </c>
      <c r="I22" t="s">
        <v>1942</v>
      </c>
      <c r="J22" t="s">
        <v>1943</v>
      </c>
      <c r="K22" s="3">
        <v>46204</v>
      </c>
      <c r="L22" s="4">
        <v>90000</v>
      </c>
      <c r="M22" s="5">
        <v>7500</v>
      </c>
      <c r="N22" s="4">
        <v>7500</v>
      </c>
      <c r="O22" s="5">
        <v>7500</v>
      </c>
      <c r="P22" s="5">
        <v>7500</v>
      </c>
      <c r="Q22" s="5">
        <v>7500</v>
      </c>
      <c r="R22" s="5">
        <v>7500</v>
      </c>
      <c r="S22" s="5">
        <v>7500</v>
      </c>
      <c r="T22" s="4">
        <v>7500</v>
      </c>
      <c r="U22" s="4">
        <v>7500</v>
      </c>
      <c r="V22" s="4">
        <v>7500</v>
      </c>
      <c r="W22" s="4">
        <v>7500</v>
      </c>
      <c r="X22" s="4">
        <v>7500</v>
      </c>
      <c r="Y22" s="4">
        <v>7500</v>
      </c>
    </row>
    <row r="23" spans="1:25" x14ac:dyDescent="0.25">
      <c r="A23" t="s">
        <v>1887</v>
      </c>
      <c r="B23" t="s">
        <v>1888</v>
      </c>
      <c r="C23" t="s">
        <v>1889</v>
      </c>
      <c r="D23">
        <v>6074202300026080</v>
      </c>
      <c r="E23" t="str">
        <f>IF(COUNTIF(Tabela1[codProcesso],Tabela2[[#This Row],[PROCESSO]]),"Está","Não está")</f>
        <v>Está</v>
      </c>
      <c r="F23" t="s">
        <v>1900</v>
      </c>
      <c r="G23" t="s">
        <v>1901</v>
      </c>
      <c r="H23" t="s">
        <v>646</v>
      </c>
      <c r="I23" t="s">
        <v>1944</v>
      </c>
      <c r="J23" t="s">
        <v>1945</v>
      </c>
      <c r="K23" s="3">
        <v>46154</v>
      </c>
      <c r="L23" s="5">
        <v>2928800</v>
      </c>
      <c r="M23" s="5">
        <v>250000</v>
      </c>
      <c r="N23" s="5">
        <v>232200</v>
      </c>
      <c r="O23" s="5">
        <v>232200</v>
      </c>
      <c r="P23" s="5">
        <v>232200</v>
      </c>
      <c r="Q23" s="5">
        <v>232200</v>
      </c>
      <c r="R23" s="5">
        <v>250000</v>
      </c>
      <c r="S23" s="5">
        <v>250000</v>
      </c>
      <c r="T23" s="5">
        <v>250000</v>
      </c>
      <c r="U23" s="5">
        <v>250000</v>
      </c>
      <c r="V23" s="5">
        <v>250000</v>
      </c>
      <c r="W23" s="5">
        <v>250000</v>
      </c>
      <c r="X23" s="5">
        <v>250000</v>
      </c>
      <c r="Y23" s="5">
        <v>250000</v>
      </c>
    </row>
    <row r="24" spans="1:25" x14ac:dyDescent="0.25">
      <c r="A24" t="s">
        <v>1887</v>
      </c>
      <c r="B24" t="s">
        <v>1888</v>
      </c>
      <c r="C24" t="s">
        <v>1889</v>
      </c>
      <c r="D24">
        <v>6074202300027630</v>
      </c>
      <c r="E24" t="str">
        <f>IF(COUNTIF(Tabela1[codProcesso],Tabela2[[#This Row],[PROCESSO]]),"Está","Não está")</f>
        <v>Está</v>
      </c>
      <c r="F24" t="s">
        <v>1900</v>
      </c>
      <c r="G24" t="s">
        <v>1901</v>
      </c>
      <c r="H24" t="s">
        <v>384</v>
      </c>
      <c r="I24" t="s">
        <v>1946</v>
      </c>
      <c r="J24" t="s">
        <v>1947</v>
      </c>
      <c r="K24" s="3">
        <v>46317</v>
      </c>
      <c r="L24" s="5">
        <v>455716.5</v>
      </c>
      <c r="M24" s="5">
        <v>49189.05</v>
      </c>
      <c r="N24" s="5">
        <v>37533.839999999997</v>
      </c>
      <c r="O24" s="5">
        <v>37533.839999999997</v>
      </c>
      <c r="P24" s="5">
        <v>37533.839999999997</v>
      </c>
      <c r="Q24" s="5">
        <v>37533.839999999997</v>
      </c>
      <c r="R24" s="5">
        <v>37533.839999999997</v>
      </c>
      <c r="S24" s="5">
        <v>37533.839999999997</v>
      </c>
      <c r="T24" s="5">
        <v>37533.839999999997</v>
      </c>
      <c r="U24" s="5">
        <v>37533.839999999997</v>
      </c>
      <c r="V24" s="5">
        <v>37533.839999999997</v>
      </c>
      <c r="W24" s="5">
        <v>37533.839999999997</v>
      </c>
      <c r="X24" s="5">
        <v>40189.050000000003</v>
      </c>
      <c r="Y24" s="5">
        <v>40189.050000000003</v>
      </c>
    </row>
    <row r="25" spans="1:25" x14ac:dyDescent="0.25">
      <c r="A25" t="s">
        <v>1887</v>
      </c>
      <c r="B25" t="s">
        <v>1888</v>
      </c>
      <c r="C25" t="s">
        <v>1889</v>
      </c>
      <c r="D25">
        <v>6074202300065530</v>
      </c>
      <c r="E25" t="str">
        <f>IF(COUNTIF(Tabela1[codProcesso],Tabela2[[#This Row],[PROCESSO]]),"Está","Não está")</f>
        <v>Está</v>
      </c>
      <c r="F25" t="s">
        <v>1900</v>
      </c>
      <c r="G25" t="s">
        <v>1901</v>
      </c>
      <c r="H25" t="s">
        <v>857</v>
      </c>
      <c r="I25" t="s">
        <v>1948</v>
      </c>
      <c r="J25" t="s">
        <v>1949</v>
      </c>
      <c r="K25" s="3">
        <v>46281</v>
      </c>
      <c r="L25" s="5">
        <v>1304861.3999999999</v>
      </c>
      <c r="M25" s="5">
        <v>108738.45</v>
      </c>
      <c r="N25" s="5">
        <v>108738.45</v>
      </c>
      <c r="O25" s="5">
        <v>108738.45</v>
      </c>
      <c r="P25" s="5">
        <v>108738.45</v>
      </c>
      <c r="Q25" s="5">
        <v>108738.45</v>
      </c>
      <c r="R25" s="5">
        <v>108738.45</v>
      </c>
      <c r="S25" s="5">
        <v>108738.45</v>
      </c>
      <c r="T25" s="5">
        <v>108738.45</v>
      </c>
      <c r="U25" s="5">
        <v>108738.45</v>
      </c>
      <c r="V25" s="5">
        <v>108738.45</v>
      </c>
      <c r="W25" s="5">
        <v>108738.45</v>
      </c>
      <c r="X25" s="5">
        <v>108738.45</v>
      </c>
      <c r="Y25" s="5">
        <v>108738.45</v>
      </c>
    </row>
    <row r="26" spans="1:25" x14ac:dyDescent="0.25">
      <c r="A26" t="s">
        <v>1887</v>
      </c>
      <c r="B26" t="s">
        <v>1888</v>
      </c>
      <c r="C26" t="s">
        <v>1889</v>
      </c>
      <c r="D26">
        <v>6074202300072300</v>
      </c>
      <c r="E26" t="str">
        <f>IF(COUNTIF(Tabela1[codProcesso],Tabela2[[#This Row],[PROCESSO]]),"Está","Não está")</f>
        <v>Está</v>
      </c>
      <c r="F26" t="s">
        <v>1900</v>
      </c>
      <c r="G26" t="s">
        <v>1901</v>
      </c>
      <c r="H26" t="s">
        <v>567</v>
      </c>
      <c r="I26" t="s">
        <v>1950</v>
      </c>
      <c r="J26" t="s">
        <v>1951</v>
      </c>
      <c r="K26" s="3">
        <v>46295</v>
      </c>
      <c r="L26" s="5">
        <v>8255.8799999999992</v>
      </c>
      <c r="M26" s="5">
        <v>724.47</v>
      </c>
      <c r="N26" s="5">
        <v>675.83</v>
      </c>
      <c r="O26" s="5">
        <v>675.83</v>
      </c>
      <c r="P26" s="5">
        <v>675.83</v>
      </c>
      <c r="Q26" s="5">
        <v>675.83</v>
      </c>
      <c r="R26" s="5">
        <v>675.83</v>
      </c>
      <c r="S26" s="5">
        <v>675.83</v>
      </c>
      <c r="T26" s="5">
        <v>675.83</v>
      </c>
      <c r="U26" s="5">
        <v>675.83</v>
      </c>
      <c r="V26" s="5">
        <v>675.83</v>
      </c>
      <c r="W26" s="5">
        <v>724.47</v>
      </c>
      <c r="X26" s="5">
        <v>724.47</v>
      </c>
      <c r="Y26" s="5">
        <v>724.47</v>
      </c>
    </row>
    <row r="27" spans="1:25" x14ac:dyDescent="0.25">
      <c r="A27" t="s">
        <v>1887</v>
      </c>
      <c r="B27" t="s">
        <v>1888</v>
      </c>
      <c r="C27" t="s">
        <v>1889</v>
      </c>
      <c r="D27">
        <v>6074202400004070</v>
      </c>
      <c r="E27" t="str">
        <f>IF(COUNTIF(Tabela1[codProcesso],Tabela2[[#This Row],[PROCESSO]]),"Está","Não está")</f>
        <v>Está</v>
      </c>
      <c r="F27" t="s">
        <v>1900</v>
      </c>
      <c r="G27" t="s">
        <v>1901</v>
      </c>
      <c r="H27" t="s">
        <v>709</v>
      </c>
      <c r="I27" t="s">
        <v>1952</v>
      </c>
      <c r="J27" t="s">
        <v>1953</v>
      </c>
      <c r="K27" s="3">
        <v>46094</v>
      </c>
      <c r="L27" s="5">
        <v>36000</v>
      </c>
      <c r="M27" s="5">
        <v>3000</v>
      </c>
      <c r="N27" s="5">
        <v>3000</v>
      </c>
      <c r="O27" s="5">
        <v>3000</v>
      </c>
      <c r="P27" s="5">
        <v>3000</v>
      </c>
      <c r="Q27" s="5">
        <v>3000</v>
      </c>
      <c r="R27" s="5">
        <v>3000</v>
      </c>
      <c r="S27" s="5">
        <v>3000</v>
      </c>
      <c r="T27" s="5">
        <v>3000</v>
      </c>
      <c r="U27" s="5">
        <v>3000</v>
      </c>
      <c r="V27" s="5">
        <v>3000</v>
      </c>
      <c r="W27" s="5">
        <v>3000</v>
      </c>
      <c r="X27" s="5">
        <v>3000</v>
      </c>
      <c r="Y27" s="5">
        <v>3000</v>
      </c>
    </row>
    <row r="28" spans="1:25" x14ac:dyDescent="0.25">
      <c r="A28" t="s">
        <v>1887</v>
      </c>
      <c r="B28" t="s">
        <v>1888</v>
      </c>
      <c r="C28" t="s">
        <v>1889</v>
      </c>
      <c r="D28">
        <v>6074202400020500</v>
      </c>
      <c r="E28" t="str">
        <f>IF(COUNTIF(Tabela1[codProcesso],Tabela2[[#This Row],[PROCESSO]]),"Está","Não está")</f>
        <v>Está</v>
      </c>
      <c r="F28" t="s">
        <v>1900</v>
      </c>
      <c r="G28" t="s">
        <v>1901</v>
      </c>
      <c r="H28" t="s">
        <v>839</v>
      </c>
      <c r="I28" t="s">
        <v>1954</v>
      </c>
      <c r="J28" t="s">
        <v>1955</v>
      </c>
      <c r="K28" s="3">
        <v>46055</v>
      </c>
      <c r="L28" s="5">
        <v>42750</v>
      </c>
      <c r="M28" s="5">
        <v>3562.5</v>
      </c>
      <c r="N28" s="5">
        <v>3562.5</v>
      </c>
      <c r="O28" s="5">
        <v>3562.5</v>
      </c>
      <c r="P28" s="5">
        <v>3562.5</v>
      </c>
      <c r="Q28" s="5">
        <v>3562.5</v>
      </c>
      <c r="R28" s="5">
        <v>3562.5</v>
      </c>
      <c r="S28" s="5">
        <v>3562.5</v>
      </c>
      <c r="T28" s="5">
        <v>3562.5</v>
      </c>
      <c r="U28" s="5">
        <v>3562.5</v>
      </c>
      <c r="V28" s="5">
        <v>3562.5</v>
      </c>
      <c r="W28" s="5">
        <v>3562.5</v>
      </c>
      <c r="X28" s="5">
        <v>3562.5</v>
      </c>
      <c r="Y28" s="5">
        <v>3562.5</v>
      </c>
    </row>
    <row r="29" spans="1:25" x14ac:dyDescent="0.25">
      <c r="A29" t="s">
        <v>1887</v>
      </c>
      <c r="B29" t="s">
        <v>1888</v>
      </c>
      <c r="C29" t="s">
        <v>1889</v>
      </c>
      <c r="D29">
        <v>6074202400026080</v>
      </c>
      <c r="E29" t="str">
        <f>IF(COUNTIF(Tabela1[codProcesso],Tabela2[[#This Row],[PROCESSO]]),"Está","Não está")</f>
        <v>Está</v>
      </c>
      <c r="F29" t="s">
        <v>1900</v>
      </c>
      <c r="G29" t="s">
        <v>1901</v>
      </c>
      <c r="H29" t="s">
        <v>1956</v>
      </c>
      <c r="I29" t="s">
        <v>1957</v>
      </c>
      <c r="J29" t="s">
        <v>1958</v>
      </c>
      <c r="L29" s="5">
        <v>36580.879999999997</v>
      </c>
      <c r="M29" s="5">
        <v>3058.6</v>
      </c>
      <c r="N29" s="5">
        <v>3303.29</v>
      </c>
      <c r="O29" s="5">
        <v>3303.29</v>
      </c>
      <c r="P29" s="5">
        <v>3303.29</v>
      </c>
      <c r="Q29" s="5">
        <v>3303.29</v>
      </c>
      <c r="R29" s="5">
        <v>3303.29</v>
      </c>
      <c r="S29" s="5">
        <v>3303.29</v>
      </c>
      <c r="T29" s="5">
        <v>3303.29</v>
      </c>
      <c r="U29" s="5">
        <v>3303.29</v>
      </c>
      <c r="V29" s="5">
        <v>3303.29</v>
      </c>
      <c r="W29" s="5">
        <v>3303.29</v>
      </c>
      <c r="X29" s="5">
        <v>3303.29</v>
      </c>
      <c r="Y29" s="5">
        <v>3547.98</v>
      </c>
    </row>
    <row r="30" spans="1:25" x14ac:dyDescent="0.25">
      <c r="A30" t="s">
        <v>1887</v>
      </c>
      <c r="B30" t="s">
        <v>1888</v>
      </c>
      <c r="C30" t="s">
        <v>1889</v>
      </c>
      <c r="D30">
        <v>6074202400039430</v>
      </c>
      <c r="E30" t="str">
        <f>IF(COUNTIF(Tabela1[codProcesso],Tabela2[[#This Row],[PROCESSO]]),"Está","Não está")</f>
        <v>Está</v>
      </c>
      <c r="F30" t="s">
        <v>1959</v>
      </c>
      <c r="G30" t="s">
        <v>1901</v>
      </c>
      <c r="H30" t="s">
        <v>1960</v>
      </c>
      <c r="I30" t="s">
        <v>1961</v>
      </c>
      <c r="J30" t="s">
        <v>1962</v>
      </c>
      <c r="K30" s="3">
        <v>46259</v>
      </c>
      <c r="L30" s="5">
        <v>60000</v>
      </c>
      <c r="M30" s="5">
        <v>5000</v>
      </c>
      <c r="N30" s="5">
        <v>5000</v>
      </c>
      <c r="O30" s="5">
        <v>5000</v>
      </c>
      <c r="P30" s="5">
        <v>5000</v>
      </c>
      <c r="Q30" s="5">
        <v>5000</v>
      </c>
      <c r="R30" s="5">
        <v>5000</v>
      </c>
      <c r="S30" s="5">
        <v>5000</v>
      </c>
      <c r="T30" s="5">
        <v>5000</v>
      </c>
      <c r="U30" s="5">
        <v>5000</v>
      </c>
      <c r="V30" s="5">
        <v>5000</v>
      </c>
      <c r="W30" s="5">
        <v>5000</v>
      </c>
      <c r="X30" s="5">
        <v>5000</v>
      </c>
      <c r="Y30" s="5">
        <v>5000</v>
      </c>
    </row>
    <row r="31" spans="1:25" x14ac:dyDescent="0.25">
      <c r="A31" t="s">
        <v>1887</v>
      </c>
      <c r="B31" t="s">
        <v>1888</v>
      </c>
      <c r="C31" t="s">
        <v>1889</v>
      </c>
      <c r="D31">
        <v>6074202400061680</v>
      </c>
      <c r="E31" t="str">
        <f>IF(COUNTIF(Tabela1[codProcesso],Tabela2[[#This Row],[PROCESSO]]),"Está","Não está")</f>
        <v>Está</v>
      </c>
      <c r="F31" t="s">
        <v>1900</v>
      </c>
      <c r="G31" t="s">
        <v>1901</v>
      </c>
      <c r="H31" t="s">
        <v>723</v>
      </c>
      <c r="I31" t="s">
        <v>1963</v>
      </c>
      <c r="J31" t="s">
        <v>1964</v>
      </c>
      <c r="K31" s="3">
        <v>46350</v>
      </c>
      <c r="L31" s="5">
        <v>95380.12</v>
      </c>
      <c r="M31" s="5">
        <v>8471.26</v>
      </c>
      <c r="N31" s="5">
        <v>7843.76</v>
      </c>
      <c r="O31" s="5">
        <v>7843.76</v>
      </c>
      <c r="P31" s="5">
        <v>7843.76</v>
      </c>
      <c r="Q31" s="5">
        <v>7843.76</v>
      </c>
      <c r="R31" s="5">
        <v>7843.76</v>
      </c>
      <c r="S31" s="5">
        <v>7843.76</v>
      </c>
      <c r="T31" s="5">
        <v>7843.76</v>
      </c>
      <c r="U31" s="5">
        <v>7843.76</v>
      </c>
      <c r="V31" s="5">
        <v>7843.76</v>
      </c>
      <c r="W31" s="5">
        <v>7843.76</v>
      </c>
      <c r="X31" s="5">
        <v>8471.26</v>
      </c>
      <c r="Y31" s="5">
        <v>8471.26</v>
      </c>
    </row>
    <row r="32" spans="1:25" x14ac:dyDescent="0.25">
      <c r="A32" t="s">
        <v>1887</v>
      </c>
      <c r="B32" t="s">
        <v>1888</v>
      </c>
      <c r="C32" t="s">
        <v>1889</v>
      </c>
      <c r="D32">
        <v>6074202400065410</v>
      </c>
      <c r="E32" t="str">
        <f>IF(COUNTIF(Tabela1[codProcesso],Tabela2[[#This Row],[PROCESSO]]),"Está","Não está")</f>
        <v>Está</v>
      </c>
      <c r="F32" t="s">
        <v>1900</v>
      </c>
      <c r="G32" t="s">
        <v>1901</v>
      </c>
      <c r="H32" t="s">
        <v>370</v>
      </c>
      <c r="I32" t="s">
        <v>1965</v>
      </c>
      <c r="J32" t="s">
        <v>1967</v>
      </c>
      <c r="K32" s="3">
        <v>46359</v>
      </c>
      <c r="L32" s="5">
        <v>1240</v>
      </c>
      <c r="M32" t="s">
        <v>1908</v>
      </c>
      <c r="N32" s="5">
        <v>580</v>
      </c>
      <c r="O32" t="s">
        <v>1908</v>
      </c>
      <c r="P32" t="s">
        <v>1909</v>
      </c>
      <c r="Q32" t="s">
        <v>1909</v>
      </c>
      <c r="R32" t="s">
        <v>1909</v>
      </c>
      <c r="S32" t="s">
        <v>1909</v>
      </c>
      <c r="T32" t="s">
        <v>1909</v>
      </c>
      <c r="U32" t="s">
        <v>1909</v>
      </c>
      <c r="V32" t="s">
        <v>1909</v>
      </c>
      <c r="W32" s="5">
        <v>660</v>
      </c>
      <c r="X32" t="s">
        <v>1908</v>
      </c>
      <c r="Y32" t="s">
        <v>1910</v>
      </c>
    </row>
    <row r="33" spans="1:25" hidden="1" x14ac:dyDescent="0.25">
      <c r="E33" t="str">
        <f>IF(COUNTIF(Tabela1[codProcesso],Tabela2[[#This Row],[PROCESSO]]),"Está","Não está")</f>
        <v>Não está</v>
      </c>
      <c r="I33" t="s">
        <v>1966</v>
      </c>
    </row>
    <row r="34" spans="1:25" x14ac:dyDescent="0.25">
      <c r="A34" t="s">
        <v>1887</v>
      </c>
      <c r="B34" t="s">
        <v>1888</v>
      </c>
      <c r="C34" t="s">
        <v>1889</v>
      </c>
      <c r="D34">
        <v>6074202400089380</v>
      </c>
      <c r="E34" t="str">
        <f>IF(COUNTIF(Tabela1[codProcesso],Tabela2[[#This Row],[PROCESSO]]),"Está","Não está")</f>
        <v>Está</v>
      </c>
      <c r="F34" t="s">
        <v>1900</v>
      </c>
      <c r="G34" t="s">
        <v>1901</v>
      </c>
      <c r="H34" t="s">
        <v>1133</v>
      </c>
      <c r="I34" t="s">
        <v>1968</v>
      </c>
      <c r="J34" t="s">
        <v>1969</v>
      </c>
      <c r="K34" s="3">
        <v>46094</v>
      </c>
      <c r="L34" s="5">
        <v>111996</v>
      </c>
      <c r="M34" s="5">
        <v>9333</v>
      </c>
      <c r="N34" s="5">
        <v>9333</v>
      </c>
      <c r="O34" s="5">
        <v>9333</v>
      </c>
      <c r="P34" s="5">
        <v>9333</v>
      </c>
      <c r="Q34" s="5">
        <v>9333</v>
      </c>
      <c r="R34" s="5">
        <v>9333</v>
      </c>
      <c r="S34" s="5">
        <v>9333</v>
      </c>
      <c r="T34" s="5">
        <v>9333</v>
      </c>
      <c r="U34" s="5">
        <v>9333</v>
      </c>
      <c r="V34" s="5">
        <v>9333</v>
      </c>
      <c r="W34" s="5">
        <v>9333</v>
      </c>
      <c r="X34" s="5">
        <v>9333</v>
      </c>
      <c r="Y34" s="5">
        <v>9333</v>
      </c>
    </row>
    <row r="35" spans="1:25" x14ac:dyDescent="0.25">
      <c r="A35" t="s">
        <v>1887</v>
      </c>
      <c r="B35" t="s">
        <v>1888</v>
      </c>
      <c r="C35" t="s">
        <v>1889</v>
      </c>
      <c r="D35">
        <v>6074202400099120</v>
      </c>
      <c r="E35" t="str">
        <f>IF(COUNTIF(Tabela1[codProcesso],Tabela2[[#This Row],[PROCESSO]]),"Está","Não está")</f>
        <v>Está</v>
      </c>
      <c r="F35" t="s">
        <v>1900</v>
      </c>
      <c r="G35" t="s">
        <v>1901</v>
      </c>
      <c r="H35" t="s">
        <v>1970</v>
      </c>
      <c r="I35" t="s">
        <v>1971</v>
      </c>
      <c r="J35" t="s">
        <v>1972</v>
      </c>
      <c r="K35" s="3">
        <v>46387</v>
      </c>
      <c r="L35" s="5">
        <v>204000</v>
      </c>
      <c r="M35" s="5">
        <v>17000</v>
      </c>
      <c r="N35" s="5">
        <v>17000</v>
      </c>
      <c r="O35" s="5">
        <v>17000</v>
      </c>
      <c r="P35" s="5">
        <v>17000</v>
      </c>
      <c r="Q35" s="5">
        <v>17000</v>
      </c>
      <c r="R35" s="5">
        <v>17000</v>
      </c>
      <c r="S35" s="5">
        <v>17000</v>
      </c>
      <c r="T35" s="5">
        <v>17000</v>
      </c>
      <c r="U35" s="5">
        <v>17000</v>
      </c>
      <c r="V35" s="5">
        <v>17000</v>
      </c>
      <c r="W35" s="5">
        <v>17000</v>
      </c>
      <c r="X35" s="5">
        <v>17000</v>
      </c>
      <c r="Y35" s="5">
        <v>17000</v>
      </c>
    </row>
    <row r="36" spans="1:25" x14ac:dyDescent="0.25">
      <c r="A36" t="s">
        <v>1887</v>
      </c>
      <c r="B36" t="s">
        <v>1888</v>
      </c>
      <c r="C36" t="s">
        <v>1889</v>
      </c>
      <c r="D36">
        <v>6074202400099130</v>
      </c>
      <c r="E36" t="str">
        <f>IF(COUNTIF(Tabela1[codProcesso],Tabela2[[#This Row],[PROCESSO]]),"Está","Não está")</f>
        <v>Está</v>
      </c>
      <c r="F36" t="s">
        <v>1900</v>
      </c>
      <c r="G36" t="s">
        <v>1901</v>
      </c>
      <c r="H36" t="s">
        <v>1970</v>
      </c>
      <c r="I36" t="s">
        <v>1973</v>
      </c>
      <c r="J36" t="s">
        <v>1974</v>
      </c>
      <c r="K36" s="3">
        <v>46387</v>
      </c>
      <c r="L36" s="5">
        <v>7200</v>
      </c>
      <c r="M36" s="5">
        <v>600</v>
      </c>
      <c r="N36" s="5">
        <v>600</v>
      </c>
      <c r="O36" s="5">
        <v>600</v>
      </c>
      <c r="P36" s="5">
        <v>600</v>
      </c>
      <c r="Q36" s="5">
        <v>600</v>
      </c>
      <c r="R36" s="5">
        <v>600</v>
      </c>
      <c r="S36" s="5">
        <v>600</v>
      </c>
      <c r="T36" s="5">
        <v>600</v>
      </c>
      <c r="U36" s="5">
        <v>600</v>
      </c>
      <c r="V36" s="5">
        <v>600</v>
      </c>
      <c r="W36" s="5">
        <v>600</v>
      </c>
      <c r="X36" s="5">
        <v>600</v>
      </c>
      <c r="Y36" s="5">
        <v>600</v>
      </c>
    </row>
    <row r="37" spans="1:25" x14ac:dyDescent="0.25">
      <c r="A37" t="s">
        <v>1887</v>
      </c>
      <c r="B37" t="s">
        <v>1888</v>
      </c>
      <c r="C37" t="s">
        <v>1889</v>
      </c>
      <c r="D37">
        <v>6074202400099150</v>
      </c>
      <c r="E37" t="str">
        <f>IF(COUNTIF(Tabela1[codProcesso],Tabela2[[#This Row],[PROCESSO]]),"Está","Não está")</f>
        <v>Está</v>
      </c>
      <c r="F37" t="s">
        <v>1900</v>
      </c>
      <c r="G37" t="s">
        <v>1901</v>
      </c>
      <c r="H37" t="s">
        <v>1970</v>
      </c>
      <c r="I37" t="s">
        <v>1975</v>
      </c>
      <c r="J37" t="s">
        <v>1976</v>
      </c>
      <c r="K37" s="3">
        <v>46387</v>
      </c>
      <c r="L37" s="5">
        <v>240000</v>
      </c>
      <c r="M37" s="5">
        <v>20000</v>
      </c>
      <c r="N37" s="5">
        <v>20000</v>
      </c>
      <c r="O37" s="5">
        <v>20000</v>
      </c>
      <c r="P37" s="5">
        <v>20000</v>
      </c>
      <c r="Q37" s="5">
        <v>20000</v>
      </c>
      <c r="R37" s="5">
        <v>20000</v>
      </c>
      <c r="S37" s="5">
        <v>20000</v>
      </c>
      <c r="T37" s="5">
        <v>20000</v>
      </c>
      <c r="U37" s="5">
        <v>20000</v>
      </c>
      <c r="V37" s="5">
        <v>20000</v>
      </c>
      <c r="W37" s="5">
        <v>20000</v>
      </c>
      <c r="X37" s="5">
        <v>20000</v>
      </c>
      <c r="Y37" s="5">
        <v>20000</v>
      </c>
    </row>
    <row r="38" spans="1:25" x14ac:dyDescent="0.25">
      <c r="A38" t="s">
        <v>1887</v>
      </c>
      <c r="B38" t="s">
        <v>1888</v>
      </c>
      <c r="C38" t="s">
        <v>1889</v>
      </c>
      <c r="D38">
        <v>6074202500001940</v>
      </c>
      <c r="E38" t="str">
        <f>IF(COUNTIF(Tabela1[codProcesso],Tabela2[[#This Row],[PROCESSO]]),"Está","Não está")</f>
        <v>Está</v>
      </c>
      <c r="F38" t="s">
        <v>1977</v>
      </c>
      <c r="G38" t="s">
        <v>1901</v>
      </c>
      <c r="H38" t="s">
        <v>493</v>
      </c>
      <c r="I38" t="s">
        <v>1978</v>
      </c>
      <c r="J38" t="s">
        <v>1979</v>
      </c>
      <c r="K38" s="3">
        <v>46387</v>
      </c>
      <c r="L38" s="5">
        <v>7500</v>
      </c>
      <c r="O38" s="5">
        <v>7500</v>
      </c>
    </row>
    <row r="39" spans="1:25" x14ac:dyDescent="0.25">
      <c r="A39" t="s">
        <v>1887</v>
      </c>
      <c r="B39" t="s">
        <v>1888</v>
      </c>
      <c r="C39" t="s">
        <v>1889</v>
      </c>
      <c r="D39">
        <v>6074202500012870</v>
      </c>
      <c r="E39" t="str">
        <f>IF(COUNTIF(Tabela1[codProcesso],Tabela2[[#This Row],[PROCESSO]]),"Está","Não está")</f>
        <v>Está</v>
      </c>
      <c r="F39" t="s">
        <v>1900</v>
      </c>
      <c r="G39" t="s">
        <v>1901</v>
      </c>
      <c r="I39" t="s">
        <v>1980</v>
      </c>
      <c r="J39" t="s">
        <v>1981</v>
      </c>
      <c r="L39" s="5">
        <v>15000</v>
      </c>
      <c r="P39" s="5">
        <v>15000</v>
      </c>
    </row>
    <row r="40" spans="1:25" x14ac:dyDescent="0.25">
      <c r="A40" t="s">
        <v>1887</v>
      </c>
      <c r="B40" t="s">
        <v>1888</v>
      </c>
      <c r="C40" t="s">
        <v>1889</v>
      </c>
      <c r="D40">
        <v>6074202500013480</v>
      </c>
      <c r="E40" t="str">
        <f>IF(COUNTIF(Tabela1[codProcesso],Tabela2[[#This Row],[PROCESSO]]),"Está","Não está")</f>
        <v>Não está</v>
      </c>
      <c r="F40" t="s">
        <v>1982</v>
      </c>
      <c r="G40" t="s">
        <v>1901</v>
      </c>
      <c r="H40" t="s">
        <v>1983</v>
      </c>
      <c r="I40" t="s">
        <v>1984</v>
      </c>
      <c r="J40" t="s">
        <v>1985</v>
      </c>
      <c r="K40" s="3">
        <v>46236</v>
      </c>
      <c r="L40" s="4">
        <v>540504.6</v>
      </c>
      <c r="M40" s="5">
        <v>45042.05</v>
      </c>
      <c r="N40" s="5">
        <v>45042.05</v>
      </c>
      <c r="O40" s="5">
        <v>45042.05</v>
      </c>
      <c r="P40" s="5">
        <v>45042.05</v>
      </c>
      <c r="Q40" s="5">
        <v>45042.05</v>
      </c>
      <c r="R40" s="5">
        <v>45042.05</v>
      </c>
      <c r="S40" s="5">
        <v>45042.05</v>
      </c>
      <c r="T40" s="5">
        <v>45042.05</v>
      </c>
      <c r="U40" s="5">
        <v>45042.05</v>
      </c>
      <c r="V40" s="5">
        <v>45042.05</v>
      </c>
      <c r="W40" s="5">
        <v>45042.05</v>
      </c>
      <c r="X40" s="5">
        <v>45042.05</v>
      </c>
      <c r="Y40" s="5">
        <v>45042.05</v>
      </c>
    </row>
    <row r="41" spans="1:25" x14ac:dyDescent="0.25">
      <c r="A41" t="s">
        <v>1887</v>
      </c>
      <c r="B41" t="s">
        <v>1888</v>
      </c>
      <c r="C41" t="s">
        <v>1889</v>
      </c>
      <c r="D41">
        <v>6074202500013490</v>
      </c>
      <c r="E41" t="str">
        <f>IF(COUNTIF(Tabela1[codProcesso],Tabela2[[#This Row],[PROCESSO]]),"Está","Não está")</f>
        <v>Não está</v>
      </c>
      <c r="F41" t="s">
        <v>1900</v>
      </c>
      <c r="G41" t="s">
        <v>1901</v>
      </c>
      <c r="H41" t="s">
        <v>1986</v>
      </c>
      <c r="I41" t="s">
        <v>1987</v>
      </c>
      <c r="J41" t="s">
        <v>1988</v>
      </c>
      <c r="K41" t="s">
        <v>1989</v>
      </c>
      <c r="L41" s="5">
        <v>1239383.04</v>
      </c>
      <c r="M41" s="5">
        <v>103281.92</v>
      </c>
      <c r="N41" s="5">
        <v>103281.92</v>
      </c>
      <c r="O41" s="5">
        <v>103281.92</v>
      </c>
      <c r="P41" s="5">
        <v>103281.92</v>
      </c>
      <c r="Q41" s="5">
        <v>103281.92</v>
      </c>
      <c r="R41" s="5">
        <v>103281.92</v>
      </c>
      <c r="S41" s="5">
        <v>103281.92</v>
      </c>
      <c r="T41" s="5">
        <v>103281.92</v>
      </c>
      <c r="U41" s="5">
        <v>103281.92</v>
      </c>
      <c r="V41" s="5">
        <v>103281.92</v>
      </c>
      <c r="W41" s="5">
        <v>103281.92</v>
      </c>
      <c r="X41" s="5">
        <v>103281.92</v>
      </c>
      <c r="Y41" s="5">
        <v>103281.92</v>
      </c>
    </row>
    <row r="42" spans="1:25" x14ac:dyDescent="0.25">
      <c r="A42" t="s">
        <v>1887</v>
      </c>
      <c r="B42" t="s">
        <v>1888</v>
      </c>
      <c r="C42" t="s">
        <v>1889</v>
      </c>
      <c r="D42">
        <v>6074202500013490</v>
      </c>
      <c r="E42" t="str">
        <f>IF(COUNTIF(Tabela1[codProcesso],Tabela2[[#This Row],[PROCESSO]]),"Está","Não está")</f>
        <v>Não está</v>
      </c>
      <c r="F42" t="s">
        <v>1977</v>
      </c>
      <c r="G42" t="s">
        <v>1901</v>
      </c>
      <c r="H42" t="s">
        <v>1986</v>
      </c>
      <c r="I42" t="s">
        <v>1990</v>
      </c>
      <c r="J42" t="s">
        <v>1988</v>
      </c>
      <c r="K42" t="s">
        <v>1989</v>
      </c>
      <c r="L42" s="4">
        <v>309845.76000000001</v>
      </c>
      <c r="M42" s="5">
        <v>25820.48</v>
      </c>
      <c r="N42" s="5">
        <v>25820.48</v>
      </c>
      <c r="O42" s="5">
        <v>25820.48</v>
      </c>
      <c r="P42" s="5">
        <v>25820.48</v>
      </c>
      <c r="Q42" s="5">
        <v>25820.48</v>
      </c>
      <c r="R42" s="5">
        <v>25820.48</v>
      </c>
      <c r="S42" s="5">
        <v>25820.48</v>
      </c>
      <c r="T42" s="5">
        <v>25820.48</v>
      </c>
      <c r="U42" s="5">
        <v>25820.48</v>
      </c>
      <c r="V42" s="5">
        <v>25820.48</v>
      </c>
      <c r="W42" s="5">
        <v>25820.48</v>
      </c>
      <c r="X42" s="5">
        <v>25820.48</v>
      </c>
      <c r="Y42" s="5">
        <v>25820.48</v>
      </c>
    </row>
    <row r="43" spans="1:25" x14ac:dyDescent="0.25">
      <c r="A43" t="s">
        <v>1887</v>
      </c>
      <c r="B43" t="s">
        <v>1888</v>
      </c>
      <c r="C43" t="s">
        <v>1889</v>
      </c>
      <c r="D43">
        <v>6074202500013490</v>
      </c>
      <c r="E43" t="str">
        <f>IF(COUNTIF(Tabela1[codProcesso],Tabela2[[#This Row],[PROCESSO]]),"Está","Não está")</f>
        <v>Não está</v>
      </c>
      <c r="F43" t="s">
        <v>1977</v>
      </c>
      <c r="G43" t="s">
        <v>1901</v>
      </c>
      <c r="H43" t="s">
        <v>1986</v>
      </c>
      <c r="I43" t="s">
        <v>1991</v>
      </c>
      <c r="J43" t="s">
        <v>1992</v>
      </c>
      <c r="K43" t="s">
        <v>1989</v>
      </c>
      <c r="L43" s="5">
        <v>113336</v>
      </c>
      <c r="M43" s="5">
        <v>9444.67</v>
      </c>
      <c r="N43" s="5">
        <v>9140</v>
      </c>
      <c r="O43" s="5">
        <v>9140</v>
      </c>
      <c r="P43" s="5">
        <v>9140</v>
      </c>
      <c r="Q43" s="5">
        <v>9140</v>
      </c>
      <c r="R43" s="5">
        <v>9140</v>
      </c>
      <c r="S43" s="5">
        <v>9140</v>
      </c>
      <c r="T43" s="5">
        <v>9140</v>
      </c>
      <c r="U43" s="5">
        <v>9871.2000000000007</v>
      </c>
      <c r="V43" s="5">
        <v>9871.2000000000007</v>
      </c>
      <c r="W43" s="5">
        <v>9871.2000000000007</v>
      </c>
      <c r="X43" s="5">
        <v>9871.2000000000007</v>
      </c>
      <c r="Y43" s="5">
        <v>9871.2000000000007</v>
      </c>
    </row>
    <row r="44" spans="1:25" x14ac:dyDescent="0.25">
      <c r="A44" t="s">
        <v>1887</v>
      </c>
      <c r="B44" t="s">
        <v>1888</v>
      </c>
      <c r="C44" t="s">
        <v>1889</v>
      </c>
      <c r="D44">
        <v>6074202500046380</v>
      </c>
      <c r="E44" t="str">
        <f>IF(COUNTIF(Tabela1[codProcesso],Tabela2[[#This Row],[PROCESSO]]),"Está","Não está")</f>
        <v>Não está</v>
      </c>
      <c r="F44" t="s">
        <v>1900</v>
      </c>
      <c r="G44" t="s">
        <v>1901</v>
      </c>
      <c r="H44" t="s">
        <v>1993</v>
      </c>
      <c r="I44" t="s">
        <v>1994</v>
      </c>
      <c r="J44" t="s">
        <v>1995</v>
      </c>
      <c r="K44" s="3">
        <v>46238</v>
      </c>
      <c r="L44" s="4">
        <v>94649.52</v>
      </c>
      <c r="M44" s="5">
        <v>9140</v>
      </c>
      <c r="N44" s="5">
        <v>9140</v>
      </c>
      <c r="O44" s="5">
        <v>9140</v>
      </c>
      <c r="P44" s="5">
        <v>9140</v>
      </c>
      <c r="Q44" s="5">
        <v>9140</v>
      </c>
      <c r="R44" s="5">
        <v>9140</v>
      </c>
      <c r="S44" s="5">
        <v>9140</v>
      </c>
      <c r="T44" s="5">
        <v>9140</v>
      </c>
      <c r="U44" s="5">
        <v>9871.2000000000007</v>
      </c>
      <c r="V44" s="5">
        <v>9871.2000000000007</v>
      </c>
      <c r="W44" s="5">
        <v>9871.2000000000007</v>
      </c>
      <c r="X44" s="5">
        <v>9871.2000000000007</v>
      </c>
      <c r="Y44" s="5">
        <v>9871.2000000000007</v>
      </c>
    </row>
    <row r="45" spans="1:25" x14ac:dyDescent="0.25">
      <c r="A45" t="s">
        <v>1887</v>
      </c>
      <c r="B45" t="s">
        <v>1888</v>
      </c>
      <c r="C45" t="s">
        <v>1889</v>
      </c>
      <c r="D45">
        <v>6074202500047180</v>
      </c>
      <c r="E45" t="str">
        <f>IF(COUNTIF(Tabela1[codProcesso],Tabela2[[#This Row],[PROCESSO]]),"Está","Não está")</f>
        <v>Não está</v>
      </c>
      <c r="F45" t="s">
        <v>1900</v>
      </c>
      <c r="G45" t="s">
        <v>1901</v>
      </c>
      <c r="H45" t="s">
        <v>1986</v>
      </c>
      <c r="I45" t="s">
        <v>1996</v>
      </c>
      <c r="J45" t="s">
        <v>1997</v>
      </c>
      <c r="K45" t="s">
        <v>1989</v>
      </c>
      <c r="L45" s="5">
        <v>113336</v>
      </c>
      <c r="M45" s="5">
        <v>9444.67</v>
      </c>
      <c r="N45" s="5">
        <v>9140</v>
      </c>
      <c r="O45" s="5">
        <v>9140</v>
      </c>
      <c r="P45" s="5">
        <v>9140</v>
      </c>
      <c r="Q45" s="5">
        <v>9140</v>
      </c>
      <c r="R45" s="5">
        <v>9140</v>
      </c>
      <c r="S45" s="5">
        <v>9140</v>
      </c>
      <c r="T45" s="5">
        <v>9140</v>
      </c>
      <c r="U45" s="5">
        <v>9871.2000000000007</v>
      </c>
      <c r="V45" s="5">
        <v>9871.2000000000007</v>
      </c>
      <c r="W45" s="5">
        <v>9871.2000000000007</v>
      </c>
      <c r="X45" s="5">
        <v>9871.2000000000007</v>
      </c>
      <c r="Y45" s="5">
        <v>9871.2000000000007</v>
      </c>
    </row>
    <row r="46" spans="1:25" x14ac:dyDescent="0.25">
      <c r="A46" t="s">
        <v>1887</v>
      </c>
      <c r="B46" t="s">
        <v>1888</v>
      </c>
      <c r="C46" t="s">
        <v>1889</v>
      </c>
      <c r="D46" t="s">
        <v>2463</v>
      </c>
      <c r="E46" t="str">
        <f>IF(COUNTIF(Tabela1[codProcesso],Tabela2[[#This Row],[PROCESSO]]),"Está","Não está")</f>
        <v>Não está</v>
      </c>
      <c r="F46" t="s">
        <v>1977</v>
      </c>
      <c r="G46" t="s">
        <v>1901</v>
      </c>
      <c r="H46" t="s">
        <v>1986</v>
      </c>
      <c r="I46" t="s">
        <v>1998</v>
      </c>
      <c r="J46" t="s">
        <v>1999</v>
      </c>
      <c r="K46" t="s">
        <v>1989</v>
      </c>
      <c r="L46" s="5">
        <v>200000</v>
      </c>
      <c r="M46" s="5">
        <v>200000</v>
      </c>
      <c r="O46" s="5">
        <v>200000</v>
      </c>
    </row>
    <row r="47" spans="1:25" x14ac:dyDescent="0.25">
      <c r="A47" t="s">
        <v>1887</v>
      </c>
      <c r="B47" t="s">
        <v>1888</v>
      </c>
      <c r="C47" t="s">
        <v>1889</v>
      </c>
      <c r="D47" t="s">
        <v>2463</v>
      </c>
      <c r="E47" t="str">
        <f>IF(COUNTIF(Tabela1[codProcesso],Tabela2[[#This Row],[PROCESSO]]),"Está","Não está")</f>
        <v>Não está</v>
      </c>
      <c r="F47" t="s">
        <v>1977</v>
      </c>
      <c r="G47" t="s">
        <v>1901</v>
      </c>
      <c r="H47" t="s">
        <v>1986</v>
      </c>
      <c r="I47" t="s">
        <v>2000</v>
      </c>
      <c r="J47" t="s">
        <v>1999</v>
      </c>
      <c r="K47" t="s">
        <v>1989</v>
      </c>
      <c r="L47" s="5">
        <v>30000</v>
      </c>
      <c r="M47" s="5">
        <v>65000</v>
      </c>
      <c r="O47" s="5">
        <v>65000</v>
      </c>
    </row>
    <row r="48" spans="1:25" x14ac:dyDescent="0.25">
      <c r="A48" t="s">
        <v>1887</v>
      </c>
      <c r="B48" t="s">
        <v>1888</v>
      </c>
      <c r="C48" t="s">
        <v>1889</v>
      </c>
      <c r="D48" t="s">
        <v>2463</v>
      </c>
      <c r="E48" t="str">
        <f>IF(COUNTIF(Tabela1[codProcesso],Tabela2[[#This Row],[PROCESSO]]),"Está","Não está")</f>
        <v>Não está</v>
      </c>
      <c r="F48" t="s">
        <v>1977</v>
      </c>
      <c r="G48" t="s">
        <v>1901</v>
      </c>
      <c r="H48" t="s">
        <v>1986</v>
      </c>
      <c r="I48" t="s">
        <v>2001</v>
      </c>
      <c r="J48" t="s">
        <v>1999</v>
      </c>
      <c r="K48" t="s">
        <v>1989</v>
      </c>
      <c r="L48" s="5">
        <v>30000</v>
      </c>
      <c r="M48" s="5">
        <v>30000</v>
      </c>
      <c r="O48" s="5">
        <v>30000</v>
      </c>
    </row>
    <row r="49" spans="1:25" x14ac:dyDescent="0.25">
      <c r="A49" t="s">
        <v>1887</v>
      </c>
      <c r="B49" t="s">
        <v>1888</v>
      </c>
      <c r="C49" t="s">
        <v>1889</v>
      </c>
      <c r="D49" t="s">
        <v>2463</v>
      </c>
      <c r="E49" t="str">
        <f>IF(COUNTIF(Tabela1[codProcesso],Tabela2[[#This Row],[PROCESSO]]),"Está","Não está")</f>
        <v>Não está</v>
      </c>
      <c r="F49" t="s">
        <v>1977</v>
      </c>
      <c r="G49" t="s">
        <v>1901</v>
      </c>
      <c r="H49" t="s">
        <v>1986</v>
      </c>
      <c r="I49" t="s">
        <v>2002</v>
      </c>
      <c r="J49" t="s">
        <v>1999</v>
      </c>
      <c r="K49" t="s">
        <v>1989</v>
      </c>
      <c r="L49" s="5">
        <v>20000</v>
      </c>
      <c r="M49" s="5">
        <v>20000</v>
      </c>
      <c r="O49" s="5">
        <v>30000</v>
      </c>
    </row>
    <row r="50" spans="1:25" x14ac:dyDescent="0.25">
      <c r="A50" t="s">
        <v>1887</v>
      </c>
      <c r="B50" t="s">
        <v>1888</v>
      </c>
      <c r="C50" t="s">
        <v>1889</v>
      </c>
      <c r="D50" t="s">
        <v>2463</v>
      </c>
      <c r="E50" t="str">
        <f>IF(COUNTIF(Tabela1[codProcesso],Tabela2[[#This Row],[PROCESSO]]),"Está","Não está")</f>
        <v>Não está</v>
      </c>
      <c r="F50" t="s">
        <v>1977</v>
      </c>
      <c r="G50" t="s">
        <v>1901</v>
      </c>
      <c r="H50" t="s">
        <v>1986</v>
      </c>
      <c r="I50" t="s">
        <v>2003</v>
      </c>
      <c r="J50" t="s">
        <v>1999</v>
      </c>
      <c r="K50" t="s">
        <v>1989</v>
      </c>
      <c r="L50" s="5">
        <v>10000</v>
      </c>
      <c r="M50" s="5">
        <v>10000</v>
      </c>
    </row>
    <row r="51" spans="1:25" x14ac:dyDescent="0.25">
      <c r="A51" t="s">
        <v>1887</v>
      </c>
      <c r="B51" t="s">
        <v>1888</v>
      </c>
      <c r="C51" t="s">
        <v>1889</v>
      </c>
      <c r="D51" t="s">
        <v>2463</v>
      </c>
      <c r="E51" t="str">
        <f>IF(COUNTIF(Tabela1[codProcesso],Tabela2[[#This Row],[PROCESSO]]),"Está","Não está")</f>
        <v>Não está</v>
      </c>
      <c r="F51" t="s">
        <v>1977</v>
      </c>
      <c r="G51" t="s">
        <v>1901</v>
      </c>
      <c r="H51" t="s">
        <v>1986</v>
      </c>
      <c r="I51" t="s">
        <v>2004</v>
      </c>
      <c r="J51" t="s">
        <v>1999</v>
      </c>
      <c r="K51" t="s">
        <v>1989</v>
      </c>
      <c r="L51" s="5">
        <v>100000</v>
      </c>
      <c r="M51" s="5">
        <v>100000</v>
      </c>
      <c r="O51" s="5">
        <v>30000</v>
      </c>
      <c r="R51" s="5">
        <v>30000</v>
      </c>
      <c r="V51" s="5">
        <v>40000</v>
      </c>
    </row>
    <row r="52" spans="1:25" x14ac:dyDescent="0.25">
      <c r="A52" t="s">
        <v>1887</v>
      </c>
      <c r="B52" t="s">
        <v>1888</v>
      </c>
      <c r="C52" t="s">
        <v>1889</v>
      </c>
      <c r="D52" t="s">
        <v>2463</v>
      </c>
      <c r="E52" t="str">
        <f>IF(COUNTIF(Tabela1[codProcesso],Tabela2[[#This Row],[PROCESSO]]),"Está","Não está")</f>
        <v>Não está</v>
      </c>
      <c r="F52" t="s">
        <v>1977</v>
      </c>
      <c r="G52" t="s">
        <v>1901</v>
      </c>
      <c r="H52" t="s">
        <v>1986</v>
      </c>
      <c r="I52" t="s">
        <v>2005</v>
      </c>
      <c r="J52" t="s">
        <v>1999</v>
      </c>
      <c r="K52" t="s">
        <v>1989</v>
      </c>
      <c r="L52" s="5">
        <v>10000</v>
      </c>
      <c r="M52" s="5">
        <v>10000</v>
      </c>
      <c r="Q52" s="5">
        <v>10000</v>
      </c>
    </row>
    <row r="53" spans="1:25" x14ac:dyDescent="0.25">
      <c r="A53" t="s">
        <v>1887</v>
      </c>
      <c r="B53" t="s">
        <v>1888</v>
      </c>
      <c r="C53" t="s">
        <v>1889</v>
      </c>
      <c r="D53" t="s">
        <v>2006</v>
      </c>
      <c r="E53" t="str">
        <f>IF(COUNTIF(Tabela1[codProcesso],Tabela2[[#This Row],[PROCESSO]]),"Está","Não está")</f>
        <v>Não está</v>
      </c>
      <c r="F53" t="s">
        <v>2007</v>
      </c>
      <c r="G53" t="s">
        <v>1901</v>
      </c>
      <c r="H53" t="s">
        <v>2006</v>
      </c>
      <c r="I53" t="s">
        <v>2006</v>
      </c>
      <c r="J53" t="s">
        <v>2006</v>
      </c>
      <c r="K53" s="3">
        <v>46387</v>
      </c>
      <c r="L53" s="5">
        <v>252000</v>
      </c>
      <c r="M53" s="5">
        <v>21000</v>
      </c>
      <c r="N53" s="4">
        <v>21000</v>
      </c>
      <c r="O53" s="5">
        <v>21000</v>
      </c>
      <c r="P53" s="5">
        <v>21000</v>
      </c>
      <c r="Q53" s="5">
        <v>21000</v>
      </c>
      <c r="R53" s="5">
        <v>21000</v>
      </c>
      <c r="S53" s="5">
        <v>21000</v>
      </c>
      <c r="T53" s="4">
        <v>21000</v>
      </c>
      <c r="U53" s="4">
        <v>21000</v>
      </c>
      <c r="V53" s="4">
        <v>21000</v>
      </c>
      <c r="W53" s="4">
        <v>21000</v>
      </c>
      <c r="X53" s="4">
        <v>21000</v>
      </c>
      <c r="Y53" s="5">
        <v>21000</v>
      </c>
    </row>
    <row r="54" spans="1:25" x14ac:dyDescent="0.25">
      <c r="A54" t="s">
        <v>1887</v>
      </c>
      <c r="B54" t="s">
        <v>1888</v>
      </c>
      <c r="C54" t="s">
        <v>1889</v>
      </c>
      <c r="D54">
        <v>6074202300008030</v>
      </c>
      <c r="E54" t="str">
        <f>IF(COUNTIF(Tabela1[codProcesso],Tabela2[[#This Row],[PROCESSO]]),"Está","Não está")</f>
        <v>Está</v>
      </c>
      <c r="F54" t="s">
        <v>2008</v>
      </c>
      <c r="G54" t="s">
        <v>2009</v>
      </c>
      <c r="H54" t="s">
        <v>1902</v>
      </c>
      <c r="I54" t="s">
        <v>2010</v>
      </c>
      <c r="J54" t="s">
        <v>1904</v>
      </c>
      <c r="K54" s="3">
        <v>46249</v>
      </c>
      <c r="L54" s="5">
        <v>319964.28000000003</v>
      </c>
      <c r="M54" s="5">
        <v>26663.69</v>
      </c>
      <c r="N54" s="5">
        <v>26663.69</v>
      </c>
      <c r="O54" s="5">
        <v>26663.69</v>
      </c>
      <c r="P54" s="5">
        <v>26663.69</v>
      </c>
      <c r="Q54" s="5">
        <v>26663.69</v>
      </c>
      <c r="R54" s="5">
        <v>26663.69</v>
      </c>
      <c r="S54" s="5">
        <v>28691.94</v>
      </c>
      <c r="T54" s="5">
        <v>28691.94</v>
      </c>
      <c r="U54" s="5">
        <v>32310.92</v>
      </c>
      <c r="V54" s="5">
        <v>32310.92</v>
      </c>
      <c r="W54" s="5">
        <v>32310.92</v>
      </c>
      <c r="X54" s="5">
        <v>32310.92</v>
      </c>
      <c r="Y54" s="5">
        <v>32310.92</v>
      </c>
    </row>
    <row r="55" spans="1:25" x14ac:dyDescent="0.25">
      <c r="A55" t="s">
        <v>1887</v>
      </c>
      <c r="B55" t="s">
        <v>1888</v>
      </c>
      <c r="C55" t="s">
        <v>1889</v>
      </c>
      <c r="D55">
        <v>6074201800009400</v>
      </c>
      <c r="E55" t="str">
        <f>IF(COUNTIF(Tabela1[codProcesso],Tabela2[[#This Row],[PROCESSO]]),"Está","Não está")</f>
        <v>Está</v>
      </c>
      <c r="F55" t="s">
        <v>2008</v>
      </c>
      <c r="G55" t="s">
        <v>2009</v>
      </c>
      <c r="H55" t="s">
        <v>677</v>
      </c>
      <c r="I55" t="s">
        <v>2011</v>
      </c>
      <c r="J55" t="s">
        <v>2012</v>
      </c>
      <c r="K55" s="3">
        <v>46066</v>
      </c>
      <c r="L55" s="4">
        <v>15254.96</v>
      </c>
      <c r="M55" s="5">
        <v>1278.25</v>
      </c>
      <c r="N55" s="4">
        <v>1194.21</v>
      </c>
      <c r="O55" s="5">
        <v>1278.25</v>
      </c>
      <c r="P55" s="5">
        <v>1278.25</v>
      </c>
      <c r="Q55" s="5">
        <v>1278.25</v>
      </c>
      <c r="R55" s="5">
        <v>1278.25</v>
      </c>
      <c r="S55" s="5">
        <v>1278.25</v>
      </c>
      <c r="T55" s="5">
        <v>1278.25</v>
      </c>
      <c r="U55" s="5">
        <v>1278.25</v>
      </c>
      <c r="V55" s="5">
        <v>1278.25</v>
      </c>
      <c r="W55" s="5">
        <v>1278.25</v>
      </c>
      <c r="X55" s="5">
        <v>1278.25</v>
      </c>
      <c r="Y55" s="5">
        <v>1278.25</v>
      </c>
    </row>
    <row r="56" spans="1:25" x14ac:dyDescent="0.25">
      <c r="A56" t="s">
        <v>1887</v>
      </c>
      <c r="B56" t="s">
        <v>1888</v>
      </c>
      <c r="C56" t="s">
        <v>1889</v>
      </c>
      <c r="D56">
        <v>6074202000023030</v>
      </c>
      <c r="E56" t="str">
        <f>IF(COUNTIF(Tabela1[codProcesso],Tabela2[[#This Row],[PROCESSO]]),"Está","Não está")</f>
        <v>Está</v>
      </c>
      <c r="F56" t="s">
        <v>2008</v>
      </c>
      <c r="G56" t="s">
        <v>2009</v>
      </c>
      <c r="H56" t="s">
        <v>793</v>
      </c>
      <c r="I56" t="s">
        <v>2013</v>
      </c>
      <c r="J56" t="s">
        <v>2014</v>
      </c>
      <c r="K56" s="3">
        <v>46274</v>
      </c>
      <c r="L56" s="4">
        <v>256216.44</v>
      </c>
      <c r="M56" s="5">
        <v>22180.41</v>
      </c>
      <c r="N56" s="4">
        <v>20936.849999999999</v>
      </c>
      <c r="O56" s="4">
        <v>20936.849999999999</v>
      </c>
      <c r="P56" s="4">
        <v>20936.849999999999</v>
      </c>
      <c r="Q56" s="4">
        <v>20936.849999999999</v>
      </c>
      <c r="R56" s="4">
        <v>20936.849999999999</v>
      </c>
      <c r="S56" s="4">
        <v>20936.849999999999</v>
      </c>
      <c r="T56" s="4">
        <v>20936.849999999999</v>
      </c>
      <c r="U56" s="4">
        <v>20936.849999999999</v>
      </c>
      <c r="V56" s="4">
        <v>22180.41</v>
      </c>
      <c r="W56" s="4">
        <v>22180.41</v>
      </c>
      <c r="X56" s="4">
        <v>22180.41</v>
      </c>
      <c r="Y56" s="4">
        <v>22180.41</v>
      </c>
    </row>
    <row r="57" spans="1:25" x14ac:dyDescent="0.25">
      <c r="A57" t="s">
        <v>1887</v>
      </c>
      <c r="B57" t="s">
        <v>1888</v>
      </c>
      <c r="C57" t="s">
        <v>1889</v>
      </c>
      <c r="D57">
        <v>6074202000029570</v>
      </c>
      <c r="E57" t="str">
        <f>IF(COUNTIF(Tabela1[codProcesso],Tabela2[[#This Row],[PROCESSO]]),"Está","Não está")</f>
        <v>Está</v>
      </c>
      <c r="F57" t="s">
        <v>2008</v>
      </c>
      <c r="G57" t="s">
        <v>2009</v>
      </c>
      <c r="H57" t="s">
        <v>810</v>
      </c>
      <c r="I57" t="s">
        <v>2015</v>
      </c>
      <c r="J57" t="s">
        <v>2016</v>
      </c>
      <c r="K57" s="3">
        <v>46296</v>
      </c>
      <c r="L57" s="4">
        <v>211664.52</v>
      </c>
      <c r="M57" s="5">
        <v>18418.71</v>
      </c>
      <c r="N57" s="4">
        <v>17378.71</v>
      </c>
      <c r="O57" s="4">
        <v>17378.71</v>
      </c>
      <c r="P57" s="4">
        <v>17378.71</v>
      </c>
      <c r="Q57" s="4">
        <v>17378.71</v>
      </c>
      <c r="R57" s="4">
        <v>17378.71</v>
      </c>
      <c r="S57" s="4">
        <v>17378.71</v>
      </c>
      <c r="T57" s="4">
        <v>17378.71</v>
      </c>
      <c r="U57" s="4">
        <v>17378.71</v>
      </c>
      <c r="V57" s="4">
        <v>17378.71</v>
      </c>
      <c r="W57" s="4">
        <v>18418.71</v>
      </c>
      <c r="X57" s="4">
        <v>18418.71</v>
      </c>
      <c r="Y57" s="4">
        <v>18418.71</v>
      </c>
    </row>
    <row r="58" spans="1:25" x14ac:dyDescent="0.25">
      <c r="A58" t="s">
        <v>1887</v>
      </c>
      <c r="B58" t="s">
        <v>1888</v>
      </c>
      <c r="C58" t="s">
        <v>1889</v>
      </c>
      <c r="D58">
        <v>6074202000030460</v>
      </c>
      <c r="E58" t="str">
        <f>IF(COUNTIF(Tabela1[codProcesso],Tabela2[[#This Row],[PROCESSO]]),"Está","Não está")</f>
        <v>Está</v>
      </c>
      <c r="F58" t="s">
        <v>2008</v>
      </c>
      <c r="G58" t="s">
        <v>2009</v>
      </c>
      <c r="H58" t="s">
        <v>750</v>
      </c>
      <c r="I58" t="s">
        <v>2017</v>
      </c>
      <c r="J58" t="s">
        <v>2018</v>
      </c>
      <c r="K58" s="3">
        <v>46247</v>
      </c>
      <c r="L58" s="5">
        <v>11414.4</v>
      </c>
      <c r="M58" s="5">
        <v>1582.88</v>
      </c>
      <c r="N58" s="5">
        <v>500</v>
      </c>
      <c r="O58" s="5">
        <v>500</v>
      </c>
      <c r="P58" s="5">
        <v>500</v>
      </c>
      <c r="Q58" s="5">
        <v>500</v>
      </c>
      <c r="R58" s="5">
        <v>500</v>
      </c>
      <c r="S58" s="5">
        <v>500</v>
      </c>
      <c r="T58" s="5">
        <v>500</v>
      </c>
      <c r="U58" s="5">
        <v>1582.88</v>
      </c>
      <c r="V58" s="5">
        <v>1582.88</v>
      </c>
      <c r="W58" s="5">
        <v>1582.88</v>
      </c>
      <c r="X58" s="5">
        <v>1582.88</v>
      </c>
      <c r="Y58" s="5">
        <v>1582.88</v>
      </c>
    </row>
    <row r="59" spans="1:25" x14ac:dyDescent="0.25">
      <c r="A59" t="s">
        <v>1887</v>
      </c>
      <c r="B59" t="s">
        <v>1888</v>
      </c>
      <c r="C59" t="s">
        <v>1889</v>
      </c>
      <c r="D59">
        <v>6074202300013730</v>
      </c>
      <c r="E59" t="str">
        <f>IF(COUNTIF(Tabela1[codProcesso],Tabela2[[#This Row],[PROCESSO]]),"Está","Não está")</f>
        <v>Está</v>
      </c>
      <c r="F59" t="s">
        <v>2008</v>
      </c>
      <c r="G59" t="s">
        <v>2009</v>
      </c>
      <c r="H59" t="s">
        <v>2019</v>
      </c>
      <c r="I59" t="s">
        <v>2020</v>
      </c>
      <c r="J59" t="s">
        <v>1930</v>
      </c>
      <c r="K59" s="3">
        <v>46149</v>
      </c>
      <c r="L59" s="5">
        <v>691.2</v>
      </c>
      <c r="M59" t="s">
        <v>1908</v>
      </c>
      <c r="O59" s="5">
        <v>345.6</v>
      </c>
      <c r="P59" t="s">
        <v>1908</v>
      </c>
      <c r="Q59" t="s">
        <v>1909</v>
      </c>
      <c r="R59" t="s">
        <v>1909</v>
      </c>
      <c r="S59" t="s">
        <v>1909</v>
      </c>
      <c r="T59" s="5">
        <v>691.2</v>
      </c>
      <c r="U59" t="s">
        <v>1908</v>
      </c>
      <c r="V59" t="s">
        <v>1909</v>
      </c>
      <c r="W59" t="s">
        <v>1909</v>
      </c>
      <c r="X59" t="s">
        <v>1909</v>
      </c>
      <c r="Y59" t="s">
        <v>1910</v>
      </c>
    </row>
    <row r="60" spans="1:25" x14ac:dyDescent="0.25">
      <c r="A60" t="s">
        <v>1887</v>
      </c>
      <c r="B60" t="s">
        <v>1888</v>
      </c>
      <c r="C60" t="s">
        <v>1889</v>
      </c>
      <c r="D60">
        <v>6074202300066920</v>
      </c>
      <c r="E60" t="str">
        <f>IF(COUNTIF(Tabela1[codProcesso],Tabela2[[#This Row],[PROCESSO]]),"Está","Não está")</f>
        <v>Está</v>
      </c>
      <c r="F60" t="s">
        <v>2021</v>
      </c>
      <c r="G60" t="s">
        <v>2009</v>
      </c>
      <c r="H60" t="s">
        <v>2022</v>
      </c>
      <c r="I60" t="s">
        <v>2023</v>
      </c>
      <c r="J60" t="s">
        <v>2024</v>
      </c>
      <c r="L60" s="5">
        <v>1083009.8400000001</v>
      </c>
      <c r="M60" s="5">
        <v>95753.919999999998</v>
      </c>
      <c r="N60" s="5">
        <v>89150.2</v>
      </c>
      <c r="O60" s="5">
        <v>89150.2</v>
      </c>
      <c r="P60" s="5">
        <v>89150.2</v>
      </c>
      <c r="Q60" s="5">
        <v>89150.2</v>
      </c>
      <c r="R60" s="5">
        <v>89150.2</v>
      </c>
      <c r="S60" s="5">
        <v>89150.2</v>
      </c>
      <c r="T60" s="5">
        <v>89150.2</v>
      </c>
      <c r="U60" s="5">
        <v>89150.2</v>
      </c>
      <c r="V60" s="5">
        <v>89150.2</v>
      </c>
      <c r="W60" s="5">
        <v>89150.2</v>
      </c>
      <c r="X60" s="5">
        <v>95753.919999999998</v>
      </c>
      <c r="Y60" s="5">
        <v>95753.919999999998</v>
      </c>
    </row>
    <row r="61" spans="1:25" x14ac:dyDescent="0.25">
      <c r="A61" t="s">
        <v>1887</v>
      </c>
      <c r="B61" t="s">
        <v>1888</v>
      </c>
      <c r="C61" t="s">
        <v>1889</v>
      </c>
      <c r="D61">
        <v>6074202400020500</v>
      </c>
      <c r="E61" t="str">
        <f>IF(COUNTIF(Tabela1[codProcesso],Tabela2[[#This Row],[PROCESSO]]),"Está","Não está")</f>
        <v>Está</v>
      </c>
      <c r="F61" t="s">
        <v>2008</v>
      </c>
      <c r="G61" t="s">
        <v>2009</v>
      </c>
      <c r="H61" t="s">
        <v>839</v>
      </c>
      <c r="I61" t="s">
        <v>1954</v>
      </c>
      <c r="J61" t="s">
        <v>1955</v>
      </c>
      <c r="K61" s="3">
        <v>46055</v>
      </c>
      <c r="L61" s="5">
        <v>21375</v>
      </c>
      <c r="M61" s="5">
        <v>1781.25</v>
      </c>
      <c r="N61" s="5">
        <v>1781.25</v>
      </c>
      <c r="O61" s="5">
        <v>1781.25</v>
      </c>
      <c r="P61" s="5">
        <v>1781.25</v>
      </c>
      <c r="Q61" s="5">
        <v>1781.25</v>
      </c>
      <c r="R61" s="5">
        <v>1781.25</v>
      </c>
      <c r="S61" s="5">
        <v>1781.25</v>
      </c>
      <c r="T61" s="5">
        <v>1781.25</v>
      </c>
      <c r="U61" s="5">
        <v>1781.25</v>
      </c>
      <c r="V61" s="5">
        <v>1781.25</v>
      </c>
      <c r="W61" s="5">
        <v>1781.25</v>
      </c>
      <c r="X61" s="5">
        <v>1781.25</v>
      </c>
      <c r="Y61" s="5">
        <v>1781.25</v>
      </c>
    </row>
    <row r="62" spans="1:25" x14ac:dyDescent="0.25">
      <c r="A62" t="s">
        <v>1887</v>
      </c>
      <c r="B62" t="s">
        <v>1888</v>
      </c>
      <c r="C62" t="s">
        <v>1889</v>
      </c>
      <c r="D62">
        <v>6074202400026080</v>
      </c>
      <c r="E62" t="str">
        <f>IF(COUNTIF(Tabela1[codProcesso],Tabela2[[#This Row],[PROCESSO]]),"Está","Não está")</f>
        <v>Está</v>
      </c>
      <c r="F62" t="s">
        <v>2008</v>
      </c>
      <c r="G62" t="s">
        <v>2009</v>
      </c>
      <c r="H62" t="s">
        <v>1956</v>
      </c>
      <c r="I62" t="s">
        <v>1957</v>
      </c>
      <c r="J62" t="s">
        <v>1958</v>
      </c>
      <c r="K62" s="3">
        <v>46367</v>
      </c>
      <c r="L62" s="5">
        <v>12471.43</v>
      </c>
      <c r="M62" s="5">
        <v>1109.42</v>
      </c>
      <c r="N62" s="5">
        <v>1032.9100000000001</v>
      </c>
      <c r="O62" s="5">
        <v>1032.9100000000001</v>
      </c>
      <c r="P62" s="5">
        <v>1032.9100000000001</v>
      </c>
      <c r="Q62" s="5">
        <v>1032.9100000000001</v>
      </c>
      <c r="R62" s="5">
        <v>1032.9100000000001</v>
      </c>
      <c r="S62" s="5">
        <v>1032.9100000000001</v>
      </c>
      <c r="T62" s="5">
        <v>1032.9100000000001</v>
      </c>
      <c r="U62" s="5">
        <v>1032.9100000000001</v>
      </c>
      <c r="V62" s="5">
        <v>1032.9100000000001</v>
      </c>
      <c r="W62" s="5">
        <v>1032.9100000000001</v>
      </c>
      <c r="X62" s="5">
        <v>1032.9100000000001</v>
      </c>
      <c r="Y62" s="5">
        <v>1109.42</v>
      </c>
    </row>
    <row r="63" spans="1:25" x14ac:dyDescent="0.25">
      <c r="A63" t="s">
        <v>1887</v>
      </c>
      <c r="B63" t="s">
        <v>1888</v>
      </c>
      <c r="C63" t="s">
        <v>1889</v>
      </c>
      <c r="D63">
        <v>6074202400056480</v>
      </c>
      <c r="E63" t="str">
        <f>IF(COUNTIF(Tabela1[codProcesso],Tabela2[[#This Row],[PROCESSO]]),"Está","Não está")</f>
        <v>Está</v>
      </c>
      <c r="F63" t="s">
        <v>2008</v>
      </c>
      <c r="G63" t="s">
        <v>2009</v>
      </c>
      <c r="H63" t="s">
        <v>817</v>
      </c>
      <c r="I63" t="s">
        <v>2025</v>
      </c>
      <c r="J63" t="s">
        <v>2026</v>
      </c>
      <c r="K63" s="3">
        <v>46367</v>
      </c>
      <c r="L63" s="5">
        <v>1486890</v>
      </c>
      <c r="M63" s="5">
        <v>132570</v>
      </c>
      <c r="N63" s="5">
        <v>123120</v>
      </c>
      <c r="O63" s="5">
        <v>123120</v>
      </c>
      <c r="P63" s="5">
        <v>123120</v>
      </c>
      <c r="Q63" s="5">
        <v>123120</v>
      </c>
      <c r="R63" s="5">
        <v>123120</v>
      </c>
      <c r="S63" s="5">
        <v>123120</v>
      </c>
      <c r="T63" s="5">
        <v>123120</v>
      </c>
      <c r="U63" s="5">
        <v>123120</v>
      </c>
      <c r="V63" s="5">
        <v>123120</v>
      </c>
      <c r="W63" s="5">
        <v>123120</v>
      </c>
      <c r="X63" s="5">
        <v>123120</v>
      </c>
      <c r="Y63" s="5">
        <v>132570</v>
      </c>
    </row>
    <row r="64" spans="1:25" x14ac:dyDescent="0.25">
      <c r="A64" t="s">
        <v>1887</v>
      </c>
      <c r="B64" t="s">
        <v>1888</v>
      </c>
      <c r="C64" t="s">
        <v>1889</v>
      </c>
      <c r="D64">
        <v>6074202400073430</v>
      </c>
      <c r="E64" t="str">
        <f>IF(COUNTIF(Tabela1[codProcesso],Tabela2[[#This Row],[PROCESSO]]),"Está","Não está")</f>
        <v>Está</v>
      </c>
      <c r="F64" t="s">
        <v>2008</v>
      </c>
      <c r="G64" t="s">
        <v>2009</v>
      </c>
      <c r="H64" t="s">
        <v>912</v>
      </c>
      <c r="I64" t="s">
        <v>2027</v>
      </c>
      <c r="J64" t="s">
        <v>2028</v>
      </c>
      <c r="K64" s="3">
        <v>46357</v>
      </c>
      <c r="L64" s="5">
        <v>564797.17000000004</v>
      </c>
      <c r="M64" s="5">
        <v>50242.69</v>
      </c>
      <c r="N64" s="5">
        <v>46777.68</v>
      </c>
      <c r="O64" s="5">
        <v>46777.68</v>
      </c>
      <c r="P64" s="5">
        <v>46777.68</v>
      </c>
      <c r="Q64" s="5">
        <v>46777.68</v>
      </c>
      <c r="R64" s="5">
        <v>46777.68</v>
      </c>
      <c r="S64" s="5">
        <v>46777.68</v>
      </c>
      <c r="T64" s="5">
        <v>46777.68</v>
      </c>
      <c r="U64" s="5">
        <v>46777.68</v>
      </c>
      <c r="V64" s="5">
        <v>46777.68</v>
      </c>
      <c r="W64" s="5">
        <v>46777.68</v>
      </c>
      <c r="X64" s="5">
        <v>46777.68</v>
      </c>
      <c r="Y64" s="5">
        <v>50242.69</v>
      </c>
    </row>
    <row r="65" spans="1:25" x14ac:dyDescent="0.25">
      <c r="A65" t="s">
        <v>1887</v>
      </c>
      <c r="B65" t="s">
        <v>1888</v>
      </c>
      <c r="C65" t="s">
        <v>1889</v>
      </c>
      <c r="D65">
        <v>6074202500009730</v>
      </c>
      <c r="E65" t="str">
        <f>IF(COUNTIF(Tabela1[codProcesso],Tabela2[[#This Row],[PROCESSO]]),"Está","Não está")</f>
        <v>Está</v>
      </c>
      <c r="F65" t="s">
        <v>2008</v>
      </c>
      <c r="G65" t="s">
        <v>2009</v>
      </c>
      <c r="H65" t="s">
        <v>1970</v>
      </c>
      <c r="I65" t="s">
        <v>2029</v>
      </c>
      <c r="J65" t="s">
        <v>1972</v>
      </c>
      <c r="K65" s="3">
        <v>46387</v>
      </c>
      <c r="L65" s="5">
        <v>360000</v>
      </c>
      <c r="M65" s="5">
        <v>30000</v>
      </c>
      <c r="N65" s="5">
        <v>30000</v>
      </c>
      <c r="O65" s="5">
        <v>30000</v>
      </c>
      <c r="P65" s="5">
        <v>30000</v>
      </c>
      <c r="Q65" s="5">
        <v>30000</v>
      </c>
      <c r="R65" s="5">
        <v>30000</v>
      </c>
      <c r="S65" s="5">
        <v>30000</v>
      </c>
      <c r="T65" s="5">
        <v>30000</v>
      </c>
      <c r="U65" s="5">
        <v>30000</v>
      </c>
      <c r="V65" s="5">
        <v>30000</v>
      </c>
      <c r="W65" s="5">
        <v>30000</v>
      </c>
      <c r="X65" s="5">
        <v>30000</v>
      </c>
      <c r="Y65" s="5">
        <v>30000</v>
      </c>
    </row>
    <row r="66" spans="1:25" x14ac:dyDescent="0.25">
      <c r="A66" t="s">
        <v>1887</v>
      </c>
      <c r="B66" t="s">
        <v>1888</v>
      </c>
      <c r="C66" t="s">
        <v>1889</v>
      </c>
      <c r="D66">
        <v>6074202500013490</v>
      </c>
      <c r="E66" t="str">
        <f>IF(COUNTIF(Tabela1[codProcesso],Tabela2[[#This Row],[PROCESSO]]),"Está","Não está")</f>
        <v>Não está</v>
      </c>
      <c r="F66" t="s">
        <v>2008</v>
      </c>
      <c r="G66" t="s">
        <v>2009</v>
      </c>
      <c r="H66" t="s">
        <v>1986</v>
      </c>
      <c r="I66" t="s">
        <v>2030</v>
      </c>
      <c r="J66" t="s">
        <v>1988</v>
      </c>
      <c r="K66" t="s">
        <v>1989</v>
      </c>
      <c r="L66" s="5">
        <v>425464.8</v>
      </c>
      <c r="M66" s="5">
        <v>35455.4</v>
      </c>
      <c r="N66" s="5">
        <v>35455.4</v>
      </c>
      <c r="O66" s="5">
        <v>35455.4</v>
      </c>
      <c r="P66" s="5">
        <v>35455.4</v>
      </c>
      <c r="Q66" s="5">
        <v>35455.4</v>
      </c>
      <c r="R66" s="5">
        <v>35455.4</v>
      </c>
      <c r="S66" s="5">
        <v>35455.4</v>
      </c>
      <c r="T66" s="5">
        <v>35455.4</v>
      </c>
      <c r="U66" s="5">
        <v>35455.4</v>
      </c>
      <c r="V66" s="5">
        <v>35455.4</v>
      </c>
      <c r="W66" s="5">
        <v>35455.4</v>
      </c>
      <c r="X66" s="5">
        <v>35455.4</v>
      </c>
      <c r="Y66" s="5">
        <v>35455.4</v>
      </c>
    </row>
    <row r="67" spans="1:25" x14ac:dyDescent="0.25">
      <c r="A67" t="s">
        <v>1887</v>
      </c>
      <c r="B67" t="s">
        <v>1888</v>
      </c>
      <c r="C67" t="s">
        <v>1889</v>
      </c>
      <c r="D67">
        <v>6074202500013490</v>
      </c>
      <c r="E67" t="str">
        <f>IF(COUNTIF(Tabela1[codProcesso],Tabela2[[#This Row],[PROCESSO]]),"Está","Não está")</f>
        <v>Não está</v>
      </c>
      <c r="F67" t="s">
        <v>2031</v>
      </c>
      <c r="G67" t="s">
        <v>2009</v>
      </c>
      <c r="H67" t="s">
        <v>1986</v>
      </c>
      <c r="I67" t="s">
        <v>2032</v>
      </c>
      <c r="J67" t="s">
        <v>1988</v>
      </c>
      <c r="K67" t="s">
        <v>1989</v>
      </c>
      <c r="L67" s="5">
        <v>106366.2</v>
      </c>
      <c r="M67" s="5">
        <v>8863.85</v>
      </c>
      <c r="N67" s="5">
        <v>8863.85</v>
      </c>
      <c r="O67" s="5">
        <v>8863.85</v>
      </c>
      <c r="P67" s="5">
        <v>8863.85</v>
      </c>
      <c r="Q67" s="5">
        <v>8863.85</v>
      </c>
      <c r="R67" s="5">
        <v>8863.85</v>
      </c>
      <c r="S67" s="5">
        <v>8863.85</v>
      </c>
      <c r="T67" s="5">
        <v>8863.85</v>
      </c>
      <c r="U67" s="5">
        <v>8863.85</v>
      </c>
      <c r="V67" s="5">
        <v>8863.85</v>
      </c>
      <c r="W67" s="5">
        <v>8863.85</v>
      </c>
      <c r="X67" s="5">
        <v>8863.85</v>
      </c>
      <c r="Y67" s="5">
        <v>8863.85</v>
      </c>
    </row>
    <row r="68" spans="1:25" x14ac:dyDescent="0.25">
      <c r="A68" t="s">
        <v>1887</v>
      </c>
      <c r="B68" t="s">
        <v>1888</v>
      </c>
      <c r="C68" t="s">
        <v>1889</v>
      </c>
      <c r="D68">
        <v>6074202500014380</v>
      </c>
      <c r="E68" t="str">
        <f>IF(COUNTIF(Tabela1[codProcesso],Tabela2[[#This Row],[PROCESSO]]),"Está","Não está")</f>
        <v>Está</v>
      </c>
      <c r="F68" t="s">
        <v>2008</v>
      </c>
      <c r="G68" t="s">
        <v>2009</v>
      </c>
      <c r="H68" t="s">
        <v>1970</v>
      </c>
      <c r="I68" t="s">
        <v>2033</v>
      </c>
      <c r="J68" t="s">
        <v>1976</v>
      </c>
      <c r="K68" s="3">
        <v>46387</v>
      </c>
      <c r="L68" s="5">
        <v>240000</v>
      </c>
      <c r="M68" s="5">
        <v>20000</v>
      </c>
      <c r="N68" s="5">
        <v>20000</v>
      </c>
      <c r="O68" s="5">
        <v>20000</v>
      </c>
      <c r="P68" s="5">
        <v>20000</v>
      </c>
      <c r="Q68" s="5">
        <v>20000</v>
      </c>
      <c r="R68" s="5">
        <v>20000</v>
      </c>
      <c r="S68" s="5">
        <v>20000</v>
      </c>
      <c r="T68" s="5">
        <v>20000</v>
      </c>
      <c r="U68" s="5">
        <v>20000</v>
      </c>
      <c r="V68" s="5">
        <v>20000</v>
      </c>
      <c r="W68" s="5">
        <v>20000</v>
      </c>
      <c r="X68" s="5">
        <v>20000</v>
      </c>
      <c r="Y68" s="5">
        <v>20000</v>
      </c>
    </row>
    <row r="69" spans="1:25" x14ac:dyDescent="0.25">
      <c r="A69" t="s">
        <v>1887</v>
      </c>
      <c r="B69" t="s">
        <v>1888</v>
      </c>
      <c r="C69" t="s">
        <v>1889</v>
      </c>
      <c r="D69">
        <v>6074202500021280</v>
      </c>
      <c r="E69" t="str">
        <f>IF(COUNTIF(Tabela1[codProcesso],Tabela2[[#This Row],[PROCESSO]]),"Está","Não está")</f>
        <v>Está</v>
      </c>
      <c r="F69" t="s">
        <v>2008</v>
      </c>
      <c r="G69" t="s">
        <v>2009</v>
      </c>
      <c r="H69" t="s">
        <v>2034</v>
      </c>
      <c r="I69" t="s">
        <v>2035</v>
      </c>
      <c r="J69" t="s">
        <v>2036</v>
      </c>
      <c r="K69" s="3">
        <v>46168</v>
      </c>
      <c r="L69" s="5">
        <v>1498.5</v>
      </c>
      <c r="M69" s="5">
        <v>1498.5</v>
      </c>
      <c r="R69" s="5">
        <v>749.25</v>
      </c>
      <c r="Y69" s="5">
        <v>749.25</v>
      </c>
    </row>
    <row r="70" spans="1:25" x14ac:dyDescent="0.25">
      <c r="A70" t="s">
        <v>1887</v>
      </c>
      <c r="B70" t="s">
        <v>1888</v>
      </c>
      <c r="C70" t="s">
        <v>1889</v>
      </c>
      <c r="D70">
        <v>6074202500025000</v>
      </c>
      <c r="E70" t="str">
        <f>IF(COUNTIF(Tabela1[codProcesso],Tabela2[[#This Row],[PROCESSO]]),"Está","Não está")</f>
        <v>Está</v>
      </c>
      <c r="F70" t="s">
        <v>2031</v>
      </c>
      <c r="G70" t="s">
        <v>2009</v>
      </c>
      <c r="H70" t="s">
        <v>2037</v>
      </c>
      <c r="I70" t="s">
        <v>2038</v>
      </c>
      <c r="J70" t="s">
        <v>2039</v>
      </c>
      <c r="K70" s="3">
        <v>46387</v>
      </c>
      <c r="L70" s="5">
        <v>11336</v>
      </c>
      <c r="Y70" s="5">
        <v>11336</v>
      </c>
    </row>
    <row r="71" spans="1:25" x14ac:dyDescent="0.25">
      <c r="A71" t="s">
        <v>1887</v>
      </c>
      <c r="B71" t="s">
        <v>1888</v>
      </c>
      <c r="C71" t="s">
        <v>1889</v>
      </c>
      <c r="D71" t="s">
        <v>2464</v>
      </c>
      <c r="E71" t="str">
        <f>IF(COUNTIF(Tabela1[codProcesso],Tabela2[[#This Row],[PROCESSO]]),"Está","Não está")</f>
        <v>Não está</v>
      </c>
      <c r="F71" t="s">
        <v>2031</v>
      </c>
      <c r="G71" t="s">
        <v>2009</v>
      </c>
      <c r="H71" t="s">
        <v>1986</v>
      </c>
      <c r="I71" t="s">
        <v>2040</v>
      </c>
      <c r="J71" t="s">
        <v>1988</v>
      </c>
      <c r="K71" t="s">
        <v>1989</v>
      </c>
      <c r="L71" s="5">
        <v>200000</v>
      </c>
      <c r="M71" s="5">
        <v>0</v>
      </c>
      <c r="O71" s="5">
        <v>100000</v>
      </c>
      <c r="S71" s="5">
        <v>100000</v>
      </c>
    </row>
    <row r="72" spans="1:25" x14ac:dyDescent="0.25">
      <c r="A72" t="s">
        <v>1887</v>
      </c>
      <c r="B72" t="s">
        <v>1888</v>
      </c>
      <c r="C72" t="s">
        <v>1889</v>
      </c>
      <c r="D72">
        <v>6074202500006200</v>
      </c>
      <c r="E72" t="str">
        <f>IF(COUNTIF(Tabela1[codProcesso],Tabela2[[#This Row],[PROCESSO]]),"Está","Não está")</f>
        <v>Está</v>
      </c>
      <c r="F72" t="s">
        <v>2041</v>
      </c>
      <c r="G72" t="s">
        <v>2042</v>
      </c>
      <c r="H72" t="s">
        <v>1970</v>
      </c>
      <c r="I72" t="s">
        <v>2043</v>
      </c>
      <c r="J72" t="s">
        <v>2044</v>
      </c>
      <c r="K72" s="3">
        <v>46387</v>
      </c>
      <c r="L72" s="5">
        <v>9600000</v>
      </c>
      <c r="M72" s="5">
        <v>800000</v>
      </c>
      <c r="N72" s="5">
        <v>800000</v>
      </c>
      <c r="O72" s="5">
        <v>800000</v>
      </c>
      <c r="P72" s="5">
        <v>800000</v>
      </c>
      <c r="Q72" s="5">
        <v>800000</v>
      </c>
      <c r="R72" s="5">
        <v>800000</v>
      </c>
      <c r="S72" s="5">
        <v>800000</v>
      </c>
      <c r="T72" s="5">
        <v>800000</v>
      </c>
      <c r="U72" s="5">
        <v>800000</v>
      </c>
      <c r="V72" s="5">
        <v>800000</v>
      </c>
      <c r="W72" s="5">
        <v>800000</v>
      </c>
      <c r="X72" s="5">
        <v>800000</v>
      </c>
      <c r="Y72" s="5">
        <v>800000</v>
      </c>
    </row>
    <row r="73" spans="1:25" x14ac:dyDescent="0.25">
      <c r="A73" t="s">
        <v>1887</v>
      </c>
      <c r="B73" t="s">
        <v>1888</v>
      </c>
      <c r="C73" t="s">
        <v>1889</v>
      </c>
      <c r="D73" t="s">
        <v>2465</v>
      </c>
      <c r="E73" t="str">
        <f>IF(COUNTIF(Tabela1[codProcesso],Tabela2[[#This Row],[PROCESSO]]),"Está","Não está")</f>
        <v>Não está</v>
      </c>
      <c r="F73" t="s">
        <v>2045</v>
      </c>
      <c r="G73" t="s">
        <v>2042</v>
      </c>
      <c r="H73" t="s">
        <v>2046</v>
      </c>
      <c r="I73" t="s">
        <v>2047</v>
      </c>
      <c r="J73" t="s">
        <v>2048</v>
      </c>
      <c r="K73" s="3">
        <v>46387</v>
      </c>
      <c r="L73" s="5">
        <v>200000</v>
      </c>
      <c r="M73" s="5">
        <v>200000</v>
      </c>
      <c r="Q73" s="5">
        <v>200000</v>
      </c>
    </row>
    <row r="74" spans="1:25" x14ac:dyDescent="0.25">
      <c r="A74" t="s">
        <v>1887</v>
      </c>
      <c r="B74" t="s">
        <v>1888</v>
      </c>
      <c r="C74" t="s">
        <v>1889</v>
      </c>
      <c r="D74">
        <v>6074202200022450</v>
      </c>
      <c r="E74" t="str">
        <f>IF(COUNTIF(Tabela1[codProcesso],Tabela2[[#This Row],[PROCESSO]]),"Está","Não está")</f>
        <v>Está</v>
      </c>
      <c r="F74" t="s">
        <v>2049</v>
      </c>
      <c r="G74" t="s">
        <v>2050</v>
      </c>
      <c r="H74" t="s">
        <v>2051</v>
      </c>
      <c r="I74" t="s">
        <v>2052</v>
      </c>
      <c r="J74" t="s">
        <v>2018</v>
      </c>
      <c r="K74" s="3">
        <v>46138</v>
      </c>
      <c r="L74" s="5">
        <v>1200</v>
      </c>
      <c r="M74" s="5">
        <v>100</v>
      </c>
      <c r="N74" s="5">
        <v>100</v>
      </c>
      <c r="O74" s="5">
        <v>100</v>
      </c>
      <c r="P74" s="5">
        <v>100</v>
      </c>
      <c r="Q74" s="5">
        <v>100</v>
      </c>
      <c r="R74" s="5">
        <v>100</v>
      </c>
      <c r="S74" s="5">
        <v>100</v>
      </c>
      <c r="T74" s="5">
        <v>100</v>
      </c>
      <c r="U74" s="5">
        <v>100</v>
      </c>
      <c r="V74" s="5">
        <v>100</v>
      </c>
      <c r="W74" s="5">
        <v>100</v>
      </c>
      <c r="X74" s="5">
        <v>100</v>
      </c>
      <c r="Y74" s="5">
        <v>100</v>
      </c>
    </row>
    <row r="75" spans="1:25" x14ac:dyDescent="0.25">
      <c r="A75" t="s">
        <v>1887</v>
      </c>
      <c r="B75" t="s">
        <v>1888</v>
      </c>
      <c r="C75" t="s">
        <v>1889</v>
      </c>
      <c r="D75">
        <v>6074202200022450</v>
      </c>
      <c r="E75" t="str">
        <f>IF(COUNTIF(Tabela1[codProcesso],Tabela2[[#This Row],[PROCESSO]]),"Está","Não está")</f>
        <v>Está</v>
      </c>
      <c r="F75" t="s">
        <v>2049</v>
      </c>
      <c r="G75" t="s">
        <v>2050</v>
      </c>
      <c r="H75" t="s">
        <v>1970</v>
      </c>
      <c r="I75" t="s">
        <v>1973</v>
      </c>
      <c r="J75" t="s">
        <v>1974</v>
      </c>
      <c r="K75" s="3">
        <v>46387</v>
      </c>
      <c r="L75" s="5">
        <v>24000</v>
      </c>
      <c r="M75" s="5">
        <v>2000</v>
      </c>
      <c r="N75" s="5">
        <v>2000</v>
      </c>
      <c r="O75" s="5">
        <v>2000</v>
      </c>
      <c r="P75" s="5">
        <v>2000</v>
      </c>
      <c r="Q75" s="5">
        <v>2000</v>
      </c>
      <c r="R75" s="5">
        <v>2000</v>
      </c>
      <c r="S75" s="5">
        <v>2000</v>
      </c>
      <c r="T75" s="5">
        <v>2000</v>
      </c>
      <c r="U75" s="5">
        <v>2000</v>
      </c>
      <c r="V75" s="5">
        <v>2000</v>
      </c>
      <c r="W75" s="5">
        <v>2000</v>
      </c>
      <c r="X75" s="5">
        <v>2000</v>
      </c>
      <c r="Y75" s="5">
        <v>2000</v>
      </c>
    </row>
    <row r="76" spans="1:25" x14ac:dyDescent="0.25">
      <c r="A76" t="s">
        <v>1887</v>
      </c>
      <c r="B76" t="s">
        <v>1888</v>
      </c>
      <c r="C76" t="s">
        <v>1889</v>
      </c>
      <c r="D76">
        <v>6074202200022450</v>
      </c>
      <c r="E76" t="str">
        <f>IF(COUNTIF(Tabela1[codProcesso],Tabela2[[#This Row],[PROCESSO]]),"Está","Não está")</f>
        <v>Está</v>
      </c>
      <c r="F76" t="s">
        <v>2049</v>
      </c>
      <c r="G76" t="s">
        <v>2050</v>
      </c>
      <c r="H76" t="s">
        <v>1970</v>
      </c>
      <c r="I76" t="s">
        <v>2053</v>
      </c>
      <c r="J76" t="s">
        <v>1976</v>
      </c>
      <c r="K76" s="3">
        <v>46387</v>
      </c>
      <c r="L76" s="5">
        <v>84000</v>
      </c>
      <c r="M76" s="5">
        <v>7000</v>
      </c>
      <c r="N76" s="5">
        <v>7000</v>
      </c>
      <c r="O76" s="5">
        <v>7000</v>
      </c>
      <c r="P76" s="5">
        <v>7000</v>
      </c>
      <c r="Q76" s="5">
        <v>7000</v>
      </c>
      <c r="R76" s="5">
        <v>7000</v>
      </c>
      <c r="S76" s="5">
        <v>7000</v>
      </c>
      <c r="T76" s="5">
        <v>7000</v>
      </c>
      <c r="U76" s="5">
        <v>7000</v>
      </c>
      <c r="V76" s="5">
        <v>7000</v>
      </c>
      <c r="W76" s="5">
        <v>7000</v>
      </c>
      <c r="X76" s="5">
        <v>7000</v>
      </c>
      <c r="Y76" s="5">
        <v>7000</v>
      </c>
    </row>
    <row r="77" spans="1:25" x14ac:dyDescent="0.25">
      <c r="A77" t="s">
        <v>1887</v>
      </c>
      <c r="B77" t="s">
        <v>1888</v>
      </c>
      <c r="C77" t="s">
        <v>1889</v>
      </c>
      <c r="D77">
        <v>6074202300013730</v>
      </c>
      <c r="E77" t="str">
        <f>IF(COUNTIF(Tabela1[codProcesso],Tabela2[[#This Row],[PROCESSO]]),"Está","Não está")</f>
        <v>Está</v>
      </c>
      <c r="F77" t="s">
        <v>2049</v>
      </c>
      <c r="G77" t="s">
        <v>2050</v>
      </c>
      <c r="H77" t="s">
        <v>2019</v>
      </c>
      <c r="I77" t="s">
        <v>2054</v>
      </c>
      <c r="J77" t="s">
        <v>1930</v>
      </c>
      <c r="K77" s="3">
        <v>46149</v>
      </c>
      <c r="L77" s="5">
        <v>1000</v>
      </c>
      <c r="M77" s="5">
        <v>0</v>
      </c>
      <c r="N77" s="5">
        <v>0</v>
      </c>
      <c r="O77" s="5">
        <v>500</v>
      </c>
      <c r="P77" s="5">
        <v>0</v>
      </c>
      <c r="Q77" s="5">
        <v>0</v>
      </c>
      <c r="R77" s="5">
        <v>0</v>
      </c>
      <c r="S77" s="5">
        <v>0</v>
      </c>
      <c r="T77" s="5">
        <v>500</v>
      </c>
      <c r="U77" s="5">
        <v>0</v>
      </c>
      <c r="V77" s="5">
        <v>0</v>
      </c>
      <c r="W77" s="5">
        <v>0</v>
      </c>
      <c r="X77" s="5">
        <v>0</v>
      </c>
      <c r="Y77" s="5">
        <v>0</v>
      </c>
    </row>
    <row r="78" spans="1:25" x14ac:dyDescent="0.25">
      <c r="A78" t="s">
        <v>1887</v>
      </c>
      <c r="B78" t="s">
        <v>1888</v>
      </c>
      <c r="C78" t="s">
        <v>1889</v>
      </c>
      <c r="D78">
        <v>6074202300065530</v>
      </c>
      <c r="E78" t="str">
        <f>IF(COUNTIF(Tabela1[codProcesso],Tabela2[[#This Row],[PROCESSO]]),"Está","Não está")</f>
        <v>Está</v>
      </c>
      <c r="F78" t="s">
        <v>2049</v>
      </c>
      <c r="G78" t="s">
        <v>2050</v>
      </c>
      <c r="H78" t="s">
        <v>857</v>
      </c>
      <c r="I78" t="s">
        <v>2055</v>
      </c>
      <c r="J78" t="s">
        <v>2056</v>
      </c>
      <c r="K78" s="3">
        <v>46281</v>
      </c>
      <c r="L78" s="5">
        <v>371213.04</v>
      </c>
      <c r="M78" s="5">
        <v>30934.42</v>
      </c>
      <c r="N78" s="5">
        <v>30934.42</v>
      </c>
      <c r="O78" s="5">
        <v>30934.42</v>
      </c>
      <c r="P78" s="5">
        <v>30934.42</v>
      </c>
      <c r="Q78" s="5">
        <v>30934.42</v>
      </c>
      <c r="R78" s="5">
        <v>30934.42</v>
      </c>
      <c r="S78" s="5">
        <v>30934.42</v>
      </c>
      <c r="T78" s="5">
        <v>30934.42</v>
      </c>
      <c r="U78" s="5">
        <v>30934.42</v>
      </c>
      <c r="V78" s="5">
        <v>30934.42</v>
      </c>
      <c r="W78" s="5">
        <v>30934.42</v>
      </c>
      <c r="X78" s="5">
        <v>30934.42</v>
      </c>
      <c r="Y78" s="5">
        <v>30934.42</v>
      </c>
    </row>
    <row r="79" spans="1:25" x14ac:dyDescent="0.25">
      <c r="A79" t="s">
        <v>1887</v>
      </c>
      <c r="B79" t="s">
        <v>1888</v>
      </c>
      <c r="C79" t="s">
        <v>1889</v>
      </c>
      <c r="D79">
        <v>6074202300072300</v>
      </c>
      <c r="E79" t="str">
        <f>IF(COUNTIF(Tabela1[codProcesso],Tabela2[[#This Row],[PROCESSO]]),"Está","Não está")</f>
        <v>Está</v>
      </c>
      <c r="F79" t="s">
        <v>2049</v>
      </c>
      <c r="G79" t="s">
        <v>2050</v>
      </c>
      <c r="H79" t="s">
        <v>567</v>
      </c>
      <c r="I79" t="s">
        <v>2057</v>
      </c>
      <c r="J79" t="s">
        <v>1951</v>
      </c>
      <c r="K79" s="3">
        <v>46295</v>
      </c>
      <c r="L79" s="5">
        <v>871.6</v>
      </c>
      <c r="M79" s="5">
        <v>64</v>
      </c>
      <c r="N79" s="5">
        <v>66.02</v>
      </c>
      <c r="O79" s="5">
        <v>66.02</v>
      </c>
      <c r="P79" s="5">
        <v>66.02</v>
      </c>
      <c r="Q79" s="5">
        <v>66.02</v>
      </c>
      <c r="R79" s="5">
        <v>66.02</v>
      </c>
      <c r="S79" s="5">
        <v>66.02</v>
      </c>
      <c r="T79" s="5">
        <v>66.02</v>
      </c>
      <c r="U79" s="5">
        <v>66.02</v>
      </c>
      <c r="V79" s="5">
        <v>66.02</v>
      </c>
      <c r="W79" s="5">
        <v>71.14</v>
      </c>
      <c r="X79" s="5">
        <v>71.14</v>
      </c>
      <c r="Y79" s="5">
        <v>71.14</v>
      </c>
    </row>
    <row r="80" spans="1:25" x14ac:dyDescent="0.25">
      <c r="A80" t="s">
        <v>1887</v>
      </c>
      <c r="B80" t="s">
        <v>1888</v>
      </c>
      <c r="C80" t="s">
        <v>1889</v>
      </c>
      <c r="D80">
        <v>6074202400065410</v>
      </c>
      <c r="E80" t="str">
        <f>IF(COUNTIF(Tabela1[codProcesso],Tabela2[[#This Row],[PROCESSO]]),"Está","Não está")</f>
        <v>Está</v>
      </c>
      <c r="F80" t="s">
        <v>2049</v>
      </c>
      <c r="G80" t="s">
        <v>2050</v>
      </c>
      <c r="H80" t="s">
        <v>370</v>
      </c>
      <c r="I80" t="s">
        <v>2058</v>
      </c>
      <c r="J80" t="s">
        <v>1967</v>
      </c>
      <c r="K80" s="3">
        <v>46359</v>
      </c>
      <c r="L80" s="5">
        <v>620</v>
      </c>
      <c r="M80" t="s">
        <v>1908</v>
      </c>
      <c r="N80" s="5">
        <v>290</v>
      </c>
      <c r="O80" t="s">
        <v>1908</v>
      </c>
      <c r="P80" t="s">
        <v>1909</v>
      </c>
      <c r="Q80" t="s">
        <v>1909</v>
      </c>
      <c r="R80" t="s">
        <v>1909</v>
      </c>
      <c r="S80" t="s">
        <v>1909</v>
      </c>
      <c r="T80" t="s">
        <v>1909</v>
      </c>
      <c r="U80" t="s">
        <v>1909</v>
      </c>
      <c r="V80" t="s">
        <v>1909</v>
      </c>
      <c r="W80" s="5">
        <v>330</v>
      </c>
      <c r="X80" t="s">
        <v>1908</v>
      </c>
      <c r="Y80" t="s">
        <v>1910</v>
      </c>
    </row>
    <row r="81" spans="1:25" hidden="1" x14ac:dyDescent="0.25">
      <c r="E81" t="str">
        <f>IF(COUNTIF(Tabela1[codProcesso],Tabela2[[#This Row],[PROCESSO]]),"Está","Não está")</f>
        <v>Não está</v>
      </c>
      <c r="I81" t="s">
        <v>2059</v>
      </c>
    </row>
    <row r="82" spans="1:25" x14ac:dyDescent="0.25">
      <c r="A82" t="s">
        <v>1887</v>
      </c>
      <c r="B82" t="s">
        <v>1888</v>
      </c>
      <c r="C82" t="s">
        <v>1889</v>
      </c>
      <c r="D82">
        <v>6074202400091860</v>
      </c>
      <c r="E82" t="str">
        <f>IF(COUNTIF(Tabela1[codProcesso],Tabela2[[#This Row],[PROCESSO]]),"Está","Não está")</f>
        <v>Está</v>
      </c>
      <c r="F82" t="s">
        <v>2049</v>
      </c>
      <c r="G82" t="s">
        <v>2050</v>
      </c>
      <c r="H82" t="s">
        <v>587</v>
      </c>
      <c r="I82" t="s">
        <v>1957</v>
      </c>
      <c r="J82" t="s">
        <v>2060</v>
      </c>
      <c r="K82" s="3">
        <v>46083</v>
      </c>
      <c r="L82" s="5">
        <v>13559.46</v>
      </c>
      <c r="M82" s="5">
        <v>1144.08</v>
      </c>
      <c r="N82" s="5">
        <v>1059.33</v>
      </c>
      <c r="O82" s="5">
        <v>1059.33</v>
      </c>
      <c r="P82" s="5">
        <v>1144.08</v>
      </c>
      <c r="Q82" s="5">
        <v>1144.08</v>
      </c>
      <c r="R82" s="5">
        <v>1144.08</v>
      </c>
      <c r="S82" s="5">
        <v>1144.08</v>
      </c>
      <c r="T82" s="5">
        <v>1144.08</v>
      </c>
      <c r="U82" s="5">
        <v>1144.08</v>
      </c>
      <c r="V82" s="5">
        <v>1144.08</v>
      </c>
      <c r="W82" s="5">
        <v>1144.08</v>
      </c>
      <c r="X82" s="5">
        <v>1144.08</v>
      </c>
      <c r="Y82" s="5">
        <v>1144.08</v>
      </c>
    </row>
    <row r="83" spans="1:25" x14ac:dyDescent="0.25">
      <c r="A83" t="s">
        <v>1887</v>
      </c>
      <c r="B83" t="s">
        <v>1888</v>
      </c>
      <c r="C83" t="s">
        <v>1889</v>
      </c>
      <c r="D83">
        <v>6074202500013480</v>
      </c>
      <c r="E83" t="str">
        <f>IF(COUNTIF(Tabela1[codProcesso],Tabela2[[#This Row],[PROCESSO]]),"Está","Não está")</f>
        <v>Não está</v>
      </c>
      <c r="F83" t="s">
        <v>2061</v>
      </c>
      <c r="G83" t="s">
        <v>2050</v>
      </c>
      <c r="H83" t="s">
        <v>1983</v>
      </c>
      <c r="I83" t="s">
        <v>2062</v>
      </c>
      <c r="J83" t="s">
        <v>1985</v>
      </c>
      <c r="K83" s="3">
        <v>46236</v>
      </c>
      <c r="L83" s="5">
        <v>714268.56</v>
      </c>
      <c r="M83" s="5">
        <v>59522.38</v>
      </c>
      <c r="N83" s="5">
        <v>59522.38</v>
      </c>
      <c r="O83" s="5">
        <v>59522.38</v>
      </c>
      <c r="P83" s="5">
        <v>59522.38</v>
      </c>
      <c r="Q83" s="5">
        <v>59522.38</v>
      </c>
      <c r="R83" s="5">
        <v>59522.38</v>
      </c>
      <c r="S83" s="5">
        <v>59522.38</v>
      </c>
      <c r="T83" s="5">
        <v>59522.38</v>
      </c>
      <c r="U83" s="5">
        <v>59522.38</v>
      </c>
      <c r="V83" s="5">
        <v>59522.38</v>
      </c>
      <c r="W83" s="5">
        <v>59522.38</v>
      </c>
      <c r="X83" s="5">
        <v>59522.38</v>
      </c>
      <c r="Y83" s="5">
        <v>59522.38</v>
      </c>
    </row>
    <row r="84" spans="1:25" x14ac:dyDescent="0.25">
      <c r="A84" t="s">
        <v>1887</v>
      </c>
      <c r="B84" t="s">
        <v>1888</v>
      </c>
      <c r="C84" t="s">
        <v>1889</v>
      </c>
      <c r="D84" t="s">
        <v>2463</v>
      </c>
      <c r="E84" t="str">
        <f>IF(COUNTIF(Tabela1[codProcesso],Tabela2[[#This Row],[PROCESSO]]),"Está","Não está")</f>
        <v>Não está</v>
      </c>
      <c r="F84" t="s">
        <v>2049</v>
      </c>
      <c r="G84" t="s">
        <v>2050</v>
      </c>
      <c r="H84" t="s">
        <v>1986</v>
      </c>
      <c r="I84" t="s">
        <v>2063</v>
      </c>
      <c r="J84" t="s">
        <v>1999</v>
      </c>
      <c r="K84" t="s">
        <v>1989</v>
      </c>
      <c r="L84" s="5">
        <v>4000</v>
      </c>
      <c r="M84" s="5">
        <v>4000</v>
      </c>
      <c r="O84" s="5">
        <v>4000</v>
      </c>
    </row>
    <row r="85" spans="1:25" x14ac:dyDescent="0.25">
      <c r="A85" t="s">
        <v>1887</v>
      </c>
      <c r="B85" t="s">
        <v>1888</v>
      </c>
      <c r="C85" t="s">
        <v>1889</v>
      </c>
      <c r="D85" t="s">
        <v>2463</v>
      </c>
      <c r="E85" t="str">
        <f>IF(COUNTIF(Tabela1[codProcesso],Tabela2[[#This Row],[PROCESSO]]),"Está","Não está")</f>
        <v>Não está</v>
      </c>
      <c r="F85" t="s">
        <v>2049</v>
      </c>
      <c r="G85" t="s">
        <v>2050</v>
      </c>
      <c r="H85" t="s">
        <v>1986</v>
      </c>
      <c r="I85" t="s">
        <v>2064</v>
      </c>
      <c r="J85" t="s">
        <v>1999</v>
      </c>
      <c r="K85" t="s">
        <v>1989</v>
      </c>
      <c r="L85" s="5">
        <v>5000</v>
      </c>
      <c r="M85" s="5">
        <v>5000</v>
      </c>
      <c r="O85" s="5">
        <v>5000</v>
      </c>
    </row>
    <row r="86" spans="1:25" x14ac:dyDescent="0.25">
      <c r="A86" t="s">
        <v>1887</v>
      </c>
      <c r="B86" t="s">
        <v>1888</v>
      </c>
      <c r="C86" t="s">
        <v>1889</v>
      </c>
      <c r="D86" t="s">
        <v>2463</v>
      </c>
      <c r="E86" t="str">
        <f>IF(COUNTIF(Tabela1[codProcesso],Tabela2[[#This Row],[PROCESSO]]),"Está","Não está")</f>
        <v>Não está</v>
      </c>
      <c r="F86" t="s">
        <v>2049</v>
      </c>
      <c r="G86" t="s">
        <v>2050</v>
      </c>
      <c r="H86" t="s">
        <v>1986</v>
      </c>
      <c r="I86" t="s">
        <v>2063</v>
      </c>
      <c r="J86" t="s">
        <v>1999</v>
      </c>
      <c r="K86" t="s">
        <v>1989</v>
      </c>
      <c r="L86" s="5">
        <v>4000</v>
      </c>
      <c r="M86" s="5">
        <v>4000</v>
      </c>
      <c r="O86" s="5">
        <v>4000</v>
      </c>
    </row>
    <row r="87" spans="1:25" x14ac:dyDescent="0.25">
      <c r="A87" t="s">
        <v>1887</v>
      </c>
      <c r="B87" t="s">
        <v>1888</v>
      </c>
      <c r="C87" t="s">
        <v>1889</v>
      </c>
      <c r="D87" t="s">
        <v>2463</v>
      </c>
      <c r="E87" t="str">
        <f>IF(COUNTIF(Tabela1[codProcesso],Tabela2[[#This Row],[PROCESSO]]),"Está","Não está")</f>
        <v>Não está</v>
      </c>
      <c r="F87" t="s">
        <v>2049</v>
      </c>
      <c r="G87" t="s">
        <v>2050</v>
      </c>
      <c r="H87" t="s">
        <v>1986</v>
      </c>
      <c r="I87" t="s">
        <v>2064</v>
      </c>
      <c r="J87" t="s">
        <v>1999</v>
      </c>
      <c r="K87" t="s">
        <v>1989</v>
      </c>
      <c r="L87" s="5">
        <v>5000</v>
      </c>
      <c r="M87" s="5">
        <v>5000</v>
      </c>
      <c r="O87" s="5">
        <v>5000</v>
      </c>
    </row>
    <row r="88" spans="1:25" x14ac:dyDescent="0.25">
      <c r="A88" t="s">
        <v>1887</v>
      </c>
      <c r="B88" t="s">
        <v>1888</v>
      </c>
      <c r="C88" t="s">
        <v>1889</v>
      </c>
      <c r="D88">
        <v>6074202200022450</v>
      </c>
      <c r="E88" t="str">
        <f>IF(COUNTIF(Tabela1[codProcesso],Tabela2[[#This Row],[PROCESSO]]),"Está","Não está")</f>
        <v>Está</v>
      </c>
      <c r="F88" t="s">
        <v>2065</v>
      </c>
      <c r="G88" t="s">
        <v>2066</v>
      </c>
      <c r="H88" t="s">
        <v>2051</v>
      </c>
      <c r="I88" t="s">
        <v>2067</v>
      </c>
      <c r="J88" t="s">
        <v>2018</v>
      </c>
      <c r="K88" s="3">
        <v>46138</v>
      </c>
      <c r="L88" s="5">
        <v>1200</v>
      </c>
      <c r="M88" s="5">
        <v>100</v>
      </c>
      <c r="N88" s="5">
        <v>100</v>
      </c>
      <c r="O88" s="5">
        <v>100</v>
      </c>
      <c r="P88" s="5">
        <v>100</v>
      </c>
      <c r="Q88" s="5">
        <v>100</v>
      </c>
      <c r="R88" s="5">
        <v>100</v>
      </c>
      <c r="S88" s="5">
        <v>100</v>
      </c>
      <c r="T88" s="5">
        <v>100</v>
      </c>
      <c r="U88" s="5">
        <v>100</v>
      </c>
      <c r="V88" s="5">
        <v>100</v>
      </c>
      <c r="W88" s="5">
        <v>100</v>
      </c>
      <c r="X88" s="5">
        <v>100</v>
      </c>
      <c r="Y88" s="5">
        <v>100</v>
      </c>
    </row>
    <row r="89" spans="1:25" x14ac:dyDescent="0.25">
      <c r="A89" t="s">
        <v>1887</v>
      </c>
      <c r="B89" t="s">
        <v>1888</v>
      </c>
      <c r="C89" t="s">
        <v>1889</v>
      </c>
      <c r="D89">
        <v>6074202200032010</v>
      </c>
      <c r="E89" t="str">
        <f>IF(COUNTIF(Tabela1[codProcesso],Tabela2[[#This Row],[PROCESSO]]),"Está","Não está")</f>
        <v>Está</v>
      </c>
      <c r="F89" t="s">
        <v>2065</v>
      </c>
      <c r="G89" t="s">
        <v>2066</v>
      </c>
      <c r="H89" t="s">
        <v>362</v>
      </c>
      <c r="I89" t="s">
        <v>2068</v>
      </c>
      <c r="J89" t="s">
        <v>2069</v>
      </c>
      <c r="K89" s="3">
        <v>46062</v>
      </c>
      <c r="L89" s="5">
        <v>472242.17</v>
      </c>
      <c r="M89" s="5">
        <v>39598</v>
      </c>
      <c r="N89" s="5">
        <v>36664.17</v>
      </c>
      <c r="O89" s="5">
        <v>39598</v>
      </c>
      <c r="P89" s="5">
        <v>39598</v>
      </c>
      <c r="Q89" s="5">
        <v>39598</v>
      </c>
      <c r="R89" s="5">
        <v>39598</v>
      </c>
      <c r="S89" s="5">
        <v>39598</v>
      </c>
      <c r="T89" s="5">
        <v>39598</v>
      </c>
      <c r="U89" s="5">
        <v>39598</v>
      </c>
      <c r="V89" s="5">
        <v>39598</v>
      </c>
      <c r="W89" s="5">
        <v>39598</v>
      </c>
      <c r="X89" s="5">
        <v>39598</v>
      </c>
      <c r="Y89" s="5">
        <v>39598</v>
      </c>
    </row>
    <row r="90" spans="1:25" x14ac:dyDescent="0.25">
      <c r="A90" t="s">
        <v>1887</v>
      </c>
      <c r="B90" t="s">
        <v>1888</v>
      </c>
      <c r="C90" t="s">
        <v>1889</v>
      </c>
      <c r="D90">
        <v>6074202200032030</v>
      </c>
      <c r="E90" t="str">
        <f>IF(COUNTIF(Tabela1[codProcesso],Tabela2[[#This Row],[PROCESSO]]),"Está","Não está")</f>
        <v>Está</v>
      </c>
      <c r="F90" t="s">
        <v>2065</v>
      </c>
      <c r="G90" t="s">
        <v>2066</v>
      </c>
      <c r="H90" t="s">
        <v>1012</v>
      </c>
      <c r="I90" t="s">
        <v>2070</v>
      </c>
      <c r="J90" t="s">
        <v>2071</v>
      </c>
      <c r="K90" s="3">
        <v>46350</v>
      </c>
      <c r="L90" s="5">
        <v>2500</v>
      </c>
      <c r="M90" s="5">
        <v>2500</v>
      </c>
      <c r="O90" t="s">
        <v>1908</v>
      </c>
      <c r="P90" t="s">
        <v>1909</v>
      </c>
      <c r="Q90" t="s">
        <v>1909</v>
      </c>
      <c r="R90" t="s">
        <v>1909</v>
      </c>
      <c r="S90" t="s">
        <v>1909</v>
      </c>
      <c r="T90" t="s">
        <v>1909</v>
      </c>
      <c r="U90" t="s">
        <v>1909</v>
      </c>
      <c r="V90" t="s">
        <v>1909</v>
      </c>
      <c r="W90" s="5">
        <v>2500</v>
      </c>
      <c r="X90" t="s">
        <v>1908</v>
      </c>
      <c r="Y90" t="s">
        <v>1910</v>
      </c>
    </row>
    <row r="91" spans="1:25" x14ac:dyDescent="0.25">
      <c r="A91" t="s">
        <v>1887</v>
      </c>
      <c r="B91" t="s">
        <v>1888</v>
      </c>
      <c r="C91" t="s">
        <v>1889</v>
      </c>
      <c r="D91">
        <v>6074202200034160</v>
      </c>
      <c r="E91" t="str">
        <f>IF(COUNTIF(Tabela1[codProcesso],Tabela2[[#This Row],[PROCESSO]]),"Está","Não está")</f>
        <v>Está</v>
      </c>
      <c r="F91" t="s">
        <v>2065</v>
      </c>
      <c r="G91" t="s">
        <v>2066</v>
      </c>
      <c r="H91" t="s">
        <v>444</v>
      </c>
      <c r="I91" t="s">
        <v>2072</v>
      </c>
      <c r="J91" t="s">
        <v>2073</v>
      </c>
      <c r="K91" s="3">
        <v>46343</v>
      </c>
      <c r="L91" s="4">
        <v>85657.32</v>
      </c>
      <c r="M91" s="5">
        <v>7558.11</v>
      </c>
      <c r="N91" s="4">
        <v>7054.11</v>
      </c>
      <c r="O91" s="4">
        <v>7054.11</v>
      </c>
      <c r="P91" s="4">
        <v>7054.11</v>
      </c>
      <c r="Q91" s="4">
        <v>7054.11</v>
      </c>
      <c r="R91" s="4">
        <v>7054.11</v>
      </c>
      <c r="S91" s="4">
        <v>7054.11</v>
      </c>
      <c r="T91" s="4">
        <v>7054.11</v>
      </c>
      <c r="U91" s="4">
        <v>7054.11</v>
      </c>
      <c r="V91" s="4">
        <v>7054.11</v>
      </c>
      <c r="W91" s="4">
        <v>7054.11</v>
      </c>
      <c r="X91" s="5">
        <v>7558.11</v>
      </c>
      <c r="Y91" s="5">
        <v>7558.11</v>
      </c>
    </row>
    <row r="92" spans="1:25" x14ac:dyDescent="0.25">
      <c r="A92" t="s">
        <v>1887</v>
      </c>
      <c r="B92" t="s">
        <v>1888</v>
      </c>
      <c r="C92" t="s">
        <v>1889</v>
      </c>
      <c r="D92">
        <v>6074202200034170</v>
      </c>
      <c r="E92" t="str">
        <f>IF(COUNTIF(Tabela1[codProcesso],Tabela2[[#This Row],[PROCESSO]]),"Está","Não está")</f>
        <v>Está</v>
      </c>
      <c r="F92" t="s">
        <v>2065</v>
      </c>
      <c r="G92" t="s">
        <v>2066</v>
      </c>
      <c r="H92" t="s">
        <v>951</v>
      </c>
      <c r="I92" t="s">
        <v>2074</v>
      </c>
      <c r="J92" t="s">
        <v>2075</v>
      </c>
      <c r="K92" s="3">
        <v>46259</v>
      </c>
      <c r="L92" s="4">
        <v>2400.7399999999998</v>
      </c>
      <c r="M92" s="5">
        <v>204.45</v>
      </c>
      <c r="N92">
        <v>194.07</v>
      </c>
      <c r="O92">
        <v>194.07</v>
      </c>
      <c r="P92">
        <v>194.07</v>
      </c>
      <c r="Q92">
        <v>194.07</v>
      </c>
      <c r="R92">
        <v>194.07</v>
      </c>
      <c r="S92">
        <v>194.07</v>
      </c>
      <c r="T92">
        <v>194.07</v>
      </c>
      <c r="U92">
        <v>208.45</v>
      </c>
      <c r="V92">
        <v>208.45</v>
      </c>
      <c r="W92">
        <v>208.45</v>
      </c>
      <c r="X92">
        <v>208.45</v>
      </c>
      <c r="Y92">
        <v>208.45</v>
      </c>
    </row>
    <row r="93" spans="1:25" x14ac:dyDescent="0.25">
      <c r="A93" t="s">
        <v>1887</v>
      </c>
      <c r="B93" t="s">
        <v>1888</v>
      </c>
      <c r="C93" t="s">
        <v>1889</v>
      </c>
      <c r="D93">
        <v>6074202300072300</v>
      </c>
      <c r="E93" t="str">
        <f>IF(COUNTIF(Tabela1[codProcesso],Tabela2[[#This Row],[PROCESSO]]),"Está","Não está")</f>
        <v>Está</v>
      </c>
      <c r="F93" t="s">
        <v>2065</v>
      </c>
      <c r="G93" t="s">
        <v>2066</v>
      </c>
      <c r="H93" t="s">
        <v>567</v>
      </c>
      <c r="I93" t="s">
        <v>2076</v>
      </c>
      <c r="J93" t="s">
        <v>1951</v>
      </c>
      <c r="K93" s="3">
        <v>46295</v>
      </c>
      <c r="L93" s="5">
        <v>396.12</v>
      </c>
      <c r="M93" s="5">
        <v>32</v>
      </c>
      <c r="N93" s="5">
        <v>33.01</v>
      </c>
      <c r="O93" s="5">
        <v>33.01</v>
      </c>
      <c r="P93" s="5">
        <v>33.01</v>
      </c>
      <c r="Q93" s="5">
        <v>33.01</v>
      </c>
      <c r="R93" s="5">
        <v>33.01</v>
      </c>
      <c r="S93" s="5">
        <v>33.01</v>
      </c>
      <c r="T93" s="5">
        <v>33.01</v>
      </c>
      <c r="U93" s="5">
        <v>33.01</v>
      </c>
      <c r="V93" s="5">
        <v>33.01</v>
      </c>
      <c r="W93" s="5">
        <v>38.130000000000003</v>
      </c>
      <c r="X93" s="5">
        <v>38.130000000000003</v>
      </c>
      <c r="Y93" s="5">
        <v>38.130000000000003</v>
      </c>
    </row>
    <row r="94" spans="1:25" x14ac:dyDescent="0.25">
      <c r="A94" t="s">
        <v>1887</v>
      </c>
      <c r="B94" t="s">
        <v>1888</v>
      </c>
      <c r="C94" t="s">
        <v>1889</v>
      </c>
      <c r="D94">
        <v>6074202400008350</v>
      </c>
      <c r="E94" t="str">
        <f>IF(COUNTIF(Tabela1[codProcesso],Tabela2[[#This Row],[PROCESSO]]),"Está","Não está")</f>
        <v>Está</v>
      </c>
      <c r="F94" t="s">
        <v>2065</v>
      </c>
      <c r="G94" t="s">
        <v>2066</v>
      </c>
      <c r="H94" t="s">
        <v>2077</v>
      </c>
      <c r="I94" t="s">
        <v>2078</v>
      </c>
      <c r="J94" t="s">
        <v>2079</v>
      </c>
      <c r="K94" s="3">
        <v>46251</v>
      </c>
      <c r="L94" s="5">
        <v>560</v>
      </c>
      <c r="M94" t="s">
        <v>1908</v>
      </c>
      <c r="N94" t="s">
        <v>1909</v>
      </c>
      <c r="O94" s="5">
        <v>280</v>
      </c>
      <c r="P94" t="s">
        <v>1908</v>
      </c>
      <c r="R94" t="s">
        <v>1909</v>
      </c>
      <c r="S94" t="s">
        <v>1909</v>
      </c>
      <c r="T94" t="s">
        <v>1909</v>
      </c>
      <c r="U94" s="5">
        <v>280</v>
      </c>
      <c r="V94" t="s">
        <v>1908</v>
      </c>
      <c r="W94" t="s">
        <v>1909</v>
      </c>
      <c r="X94" t="s">
        <v>1909</v>
      </c>
      <c r="Y94" t="s">
        <v>1910</v>
      </c>
    </row>
    <row r="95" spans="1:25" x14ac:dyDescent="0.25">
      <c r="A95" t="s">
        <v>1887</v>
      </c>
      <c r="B95" t="s">
        <v>1888</v>
      </c>
      <c r="C95" t="s">
        <v>1889</v>
      </c>
      <c r="D95" t="s">
        <v>2463</v>
      </c>
      <c r="E95" t="str">
        <f>IF(COUNTIF(Tabela1[codProcesso],Tabela2[[#This Row],[PROCESSO]]),"Está","Não está")</f>
        <v>Não está</v>
      </c>
      <c r="F95" t="s">
        <v>2080</v>
      </c>
      <c r="G95" t="s">
        <v>2066</v>
      </c>
      <c r="H95" t="s">
        <v>1986</v>
      </c>
      <c r="I95" t="s">
        <v>2081</v>
      </c>
      <c r="J95" t="s">
        <v>1999</v>
      </c>
      <c r="K95" t="s">
        <v>1989</v>
      </c>
      <c r="L95" s="5">
        <v>10000</v>
      </c>
      <c r="M95" s="5">
        <v>10000</v>
      </c>
      <c r="Q95" s="5">
        <v>10000</v>
      </c>
    </row>
    <row r="96" spans="1:25" x14ac:dyDescent="0.25">
      <c r="A96" t="s">
        <v>1887</v>
      </c>
      <c r="B96" t="s">
        <v>1888</v>
      </c>
      <c r="C96" t="s">
        <v>1889</v>
      </c>
      <c r="D96">
        <v>6064202300002770</v>
      </c>
      <c r="E96" t="str">
        <f>IF(COUNTIF(Tabela1[codProcesso],Tabela2[[#This Row],[PROCESSO]]),"Está","Não está")</f>
        <v>Está</v>
      </c>
      <c r="F96" t="s">
        <v>2082</v>
      </c>
      <c r="G96" t="s">
        <v>2083</v>
      </c>
      <c r="H96" t="s">
        <v>2084</v>
      </c>
      <c r="I96" t="s">
        <v>2085</v>
      </c>
      <c r="J96" t="s">
        <v>2086</v>
      </c>
      <c r="K96" s="3">
        <v>46081</v>
      </c>
      <c r="L96" s="4">
        <v>364438.34</v>
      </c>
      <c r="M96" s="5">
        <v>30722.39</v>
      </c>
      <c r="N96" s="4">
        <v>28607.22</v>
      </c>
      <c r="O96" s="4">
        <v>28607.22</v>
      </c>
      <c r="P96" s="4">
        <v>30722.39</v>
      </c>
      <c r="Q96" s="4">
        <v>30722.39</v>
      </c>
      <c r="R96" s="4">
        <v>30722.39</v>
      </c>
      <c r="S96" s="4">
        <v>30722.39</v>
      </c>
      <c r="T96" s="4">
        <v>30722.39</v>
      </c>
      <c r="U96" s="4">
        <v>30722.39</v>
      </c>
      <c r="V96" s="4">
        <v>30722.39</v>
      </c>
      <c r="W96" s="4">
        <v>30722.39</v>
      </c>
      <c r="X96" s="4">
        <v>30722.39</v>
      </c>
      <c r="Y96" s="4">
        <v>30722.39</v>
      </c>
    </row>
    <row r="97" spans="1:25" x14ac:dyDescent="0.25">
      <c r="A97" t="s">
        <v>1887</v>
      </c>
      <c r="B97" t="s">
        <v>1888</v>
      </c>
      <c r="C97" t="s">
        <v>1889</v>
      </c>
      <c r="D97">
        <v>6074201700002600</v>
      </c>
      <c r="E97" t="str">
        <f>IF(COUNTIF(Tabela1[codProcesso],Tabela2[[#This Row],[PROCESSO]]),"Está","Não está")</f>
        <v>Não está</v>
      </c>
      <c r="F97" t="s">
        <v>2087</v>
      </c>
      <c r="G97" t="s">
        <v>2083</v>
      </c>
      <c r="H97" t="s">
        <v>2088</v>
      </c>
      <c r="I97" t="s">
        <v>2089</v>
      </c>
      <c r="J97" t="s">
        <v>2090</v>
      </c>
      <c r="K97" s="3">
        <v>46263</v>
      </c>
      <c r="L97" s="5">
        <v>128707.2</v>
      </c>
      <c r="M97" s="5">
        <v>11365.6</v>
      </c>
      <c r="N97" s="5">
        <v>11365.6</v>
      </c>
      <c r="O97" s="5">
        <v>11365.6</v>
      </c>
      <c r="P97" s="5">
        <v>11365.6</v>
      </c>
      <c r="Q97" s="5">
        <v>11365.6</v>
      </c>
      <c r="R97" s="5">
        <v>11365.6</v>
      </c>
      <c r="S97" s="5">
        <v>11365.6</v>
      </c>
      <c r="T97" s="5">
        <v>11365.6</v>
      </c>
      <c r="U97" s="5">
        <v>12005.6</v>
      </c>
      <c r="V97" s="5">
        <v>12005.6</v>
      </c>
      <c r="W97" s="5">
        <v>12005.6</v>
      </c>
      <c r="X97" s="5">
        <v>12005.6</v>
      </c>
      <c r="Y97" s="5">
        <v>12005.6</v>
      </c>
    </row>
    <row r="98" spans="1:25" x14ac:dyDescent="0.25">
      <c r="A98" t="s">
        <v>1887</v>
      </c>
      <c r="B98" t="s">
        <v>1888</v>
      </c>
      <c r="C98" t="s">
        <v>1889</v>
      </c>
      <c r="D98">
        <v>6074201700002600</v>
      </c>
      <c r="E98" t="str">
        <f>IF(COUNTIF(Tabela1[codProcesso],Tabela2[[#This Row],[PROCESSO]]),"Está","Não está")</f>
        <v>Não está</v>
      </c>
      <c r="F98" t="s">
        <v>2087</v>
      </c>
      <c r="G98" t="s">
        <v>2083</v>
      </c>
      <c r="H98" t="s">
        <v>2088</v>
      </c>
      <c r="I98" t="s">
        <v>2091</v>
      </c>
      <c r="J98" t="s">
        <v>2090</v>
      </c>
      <c r="K98" s="3">
        <v>46263</v>
      </c>
      <c r="L98" s="5">
        <v>2000</v>
      </c>
      <c r="M98" s="5">
        <v>2000</v>
      </c>
      <c r="N98" t="s">
        <v>1908</v>
      </c>
      <c r="O98" s="5">
        <v>0</v>
      </c>
      <c r="P98" s="5">
        <v>0</v>
      </c>
      <c r="Q98" s="5">
        <v>0</v>
      </c>
      <c r="R98" s="5">
        <v>0</v>
      </c>
      <c r="S98" s="5">
        <v>0</v>
      </c>
      <c r="T98" s="5">
        <v>0</v>
      </c>
      <c r="U98" s="5">
        <v>2000</v>
      </c>
      <c r="V98" s="5">
        <v>0</v>
      </c>
      <c r="W98" s="5">
        <v>0</v>
      </c>
      <c r="X98" s="5">
        <v>0</v>
      </c>
      <c r="Y98" t="s">
        <v>2092</v>
      </c>
    </row>
    <row r="99" spans="1:25" x14ac:dyDescent="0.25">
      <c r="A99" t="s">
        <v>1887</v>
      </c>
      <c r="B99" t="s">
        <v>1888</v>
      </c>
      <c r="C99" t="s">
        <v>1889</v>
      </c>
      <c r="D99">
        <v>6074201700002600</v>
      </c>
      <c r="E99" t="str">
        <f>IF(COUNTIF(Tabela1[codProcesso],Tabela2[[#This Row],[PROCESSO]]),"Está","Não está")</f>
        <v>Não está</v>
      </c>
      <c r="F99" t="s">
        <v>2093</v>
      </c>
      <c r="G99" t="s">
        <v>2083</v>
      </c>
      <c r="H99" t="s">
        <v>2088</v>
      </c>
      <c r="I99" t="s">
        <v>2094</v>
      </c>
      <c r="J99" t="s">
        <v>2090</v>
      </c>
      <c r="K99" s="3">
        <v>46263</v>
      </c>
      <c r="L99" s="5">
        <v>20000</v>
      </c>
      <c r="M99" s="5">
        <v>2000</v>
      </c>
      <c r="N99" t="s">
        <v>1908</v>
      </c>
      <c r="O99" s="5">
        <v>2000</v>
      </c>
      <c r="P99" s="5">
        <v>2000</v>
      </c>
      <c r="Q99" s="5">
        <v>2000</v>
      </c>
      <c r="R99" s="5">
        <v>2000</v>
      </c>
      <c r="S99" s="5">
        <v>2000</v>
      </c>
      <c r="T99" s="5">
        <v>2000</v>
      </c>
      <c r="U99" s="5">
        <v>2000</v>
      </c>
      <c r="V99" s="5">
        <v>2000</v>
      </c>
      <c r="W99" s="5">
        <v>2000</v>
      </c>
      <c r="X99" s="5">
        <v>2000</v>
      </c>
      <c r="Y99" t="s">
        <v>2092</v>
      </c>
    </row>
    <row r="100" spans="1:25" x14ac:dyDescent="0.25">
      <c r="A100" t="s">
        <v>1887</v>
      </c>
      <c r="B100" t="s">
        <v>1888</v>
      </c>
      <c r="C100" t="s">
        <v>1889</v>
      </c>
      <c r="D100">
        <v>6074202000023340</v>
      </c>
      <c r="E100" t="str">
        <f>IF(COUNTIF(Tabela1[codProcesso],Tabela2[[#This Row],[PROCESSO]]),"Está","Não está")</f>
        <v>Está</v>
      </c>
      <c r="F100" t="s">
        <v>2095</v>
      </c>
      <c r="G100" t="s">
        <v>2083</v>
      </c>
      <c r="H100" t="s">
        <v>844</v>
      </c>
      <c r="I100" t="s">
        <v>2096</v>
      </c>
      <c r="J100" t="s">
        <v>2097</v>
      </c>
      <c r="K100" s="3">
        <v>46211</v>
      </c>
      <c r="L100" s="5">
        <v>48189.599999999999</v>
      </c>
      <c r="M100" s="5">
        <v>4300</v>
      </c>
      <c r="N100" s="5">
        <v>4300</v>
      </c>
      <c r="O100" s="5">
        <v>4300</v>
      </c>
      <c r="P100" s="5">
        <v>4300</v>
      </c>
      <c r="Q100" s="5">
        <v>4300</v>
      </c>
      <c r="R100" s="5">
        <v>4300</v>
      </c>
      <c r="S100" s="5">
        <v>4300</v>
      </c>
      <c r="T100" s="5">
        <v>4300</v>
      </c>
      <c r="U100" s="5">
        <v>4300</v>
      </c>
      <c r="V100" s="5">
        <v>4300</v>
      </c>
      <c r="W100" s="5">
        <v>4300</v>
      </c>
      <c r="X100" s="5">
        <v>4300</v>
      </c>
      <c r="Y100" s="5">
        <v>4300</v>
      </c>
    </row>
    <row r="101" spans="1:25" x14ac:dyDescent="0.25">
      <c r="A101" t="s">
        <v>1887</v>
      </c>
      <c r="B101" t="s">
        <v>1888</v>
      </c>
      <c r="C101" t="s">
        <v>1889</v>
      </c>
      <c r="D101">
        <v>6074202100055800</v>
      </c>
      <c r="E101" t="str">
        <f>IF(COUNTIF(Tabela1[codProcesso],Tabela2[[#This Row],[PROCESSO]]),"Está","Não está")</f>
        <v>Está</v>
      </c>
      <c r="F101" t="s">
        <v>2095</v>
      </c>
      <c r="G101" t="s">
        <v>2083</v>
      </c>
      <c r="H101" t="s">
        <v>964</v>
      </c>
      <c r="I101" t="s">
        <v>2098</v>
      </c>
      <c r="J101" t="s">
        <v>2099</v>
      </c>
      <c r="K101" s="3">
        <v>46277</v>
      </c>
      <c r="L101" s="5">
        <v>253994.28</v>
      </c>
      <c r="M101" s="5">
        <v>19185.59</v>
      </c>
      <c r="N101" s="5">
        <v>20671.04</v>
      </c>
      <c r="O101" s="5">
        <v>20671.04</v>
      </c>
      <c r="P101" s="5">
        <v>20671.04</v>
      </c>
      <c r="Q101" s="5">
        <v>20671.04</v>
      </c>
      <c r="R101" s="5">
        <v>20671.04</v>
      </c>
      <c r="S101" s="5">
        <v>20671.04</v>
      </c>
      <c r="T101" s="5">
        <v>20671.04</v>
      </c>
      <c r="U101" s="5">
        <v>20671.04</v>
      </c>
      <c r="V101" s="5">
        <v>22156.49</v>
      </c>
      <c r="W101" s="5">
        <v>22156.49</v>
      </c>
      <c r="X101" s="5">
        <v>22156.49</v>
      </c>
      <c r="Y101" s="5">
        <v>22156.49</v>
      </c>
    </row>
    <row r="102" spans="1:25" x14ac:dyDescent="0.25">
      <c r="A102" t="s">
        <v>1887</v>
      </c>
      <c r="B102" t="s">
        <v>1888</v>
      </c>
      <c r="C102" t="s">
        <v>1889</v>
      </c>
      <c r="D102">
        <v>6074202100065360</v>
      </c>
      <c r="E102" t="str">
        <f>IF(COUNTIF(Tabela1[codProcesso],Tabela2[[#This Row],[PROCESSO]]),"Está","Não está")</f>
        <v>Está</v>
      </c>
      <c r="F102" t="s">
        <v>2095</v>
      </c>
      <c r="G102" t="s">
        <v>2083</v>
      </c>
      <c r="H102" t="s">
        <v>1019</v>
      </c>
      <c r="I102" t="s">
        <v>2100</v>
      </c>
      <c r="J102" t="s">
        <v>2018</v>
      </c>
      <c r="K102" s="3">
        <v>45863</v>
      </c>
      <c r="L102" s="5">
        <v>0</v>
      </c>
      <c r="M102" s="5">
        <v>0</v>
      </c>
      <c r="N102" s="5">
        <v>100</v>
      </c>
      <c r="O102" s="5">
        <v>100</v>
      </c>
      <c r="P102" s="5">
        <v>100</v>
      </c>
      <c r="Q102" s="5">
        <v>100</v>
      </c>
      <c r="R102" s="5">
        <v>100</v>
      </c>
      <c r="S102" s="5">
        <v>100</v>
      </c>
      <c r="T102" s="5">
        <v>100</v>
      </c>
      <c r="U102" s="5">
        <v>100</v>
      </c>
      <c r="V102" s="5">
        <v>100</v>
      </c>
      <c r="W102" s="5">
        <v>100</v>
      </c>
      <c r="X102" s="5">
        <v>100</v>
      </c>
      <c r="Y102" s="5">
        <v>100</v>
      </c>
    </row>
    <row r="103" spans="1:25" x14ac:dyDescent="0.25">
      <c r="A103" t="s">
        <v>1887</v>
      </c>
      <c r="B103" t="s">
        <v>1888</v>
      </c>
      <c r="C103" t="s">
        <v>1889</v>
      </c>
      <c r="D103">
        <v>6074202200031730</v>
      </c>
      <c r="E103" t="str">
        <f>IF(COUNTIF(Tabela1[codProcesso],Tabela2[[#This Row],[PROCESSO]]),"Está","Não está")</f>
        <v>Está</v>
      </c>
      <c r="F103" t="s">
        <v>2082</v>
      </c>
      <c r="G103" t="s">
        <v>2083</v>
      </c>
      <c r="H103" t="s">
        <v>421</v>
      </c>
      <c r="I103" t="s">
        <v>2101</v>
      </c>
      <c r="J103" t="s">
        <v>2102</v>
      </c>
      <c r="K103" s="3">
        <v>46362</v>
      </c>
      <c r="L103" s="4">
        <v>122941.18</v>
      </c>
      <c r="M103" s="5">
        <v>10892.87</v>
      </c>
      <c r="N103" s="4">
        <v>10186.209999999999</v>
      </c>
      <c r="O103" s="5">
        <v>10186.209999999999</v>
      </c>
      <c r="P103" s="5">
        <v>10186.209999999999</v>
      </c>
      <c r="Q103" s="5">
        <v>10186.209999999999</v>
      </c>
      <c r="R103" s="5">
        <v>10186.209999999999</v>
      </c>
      <c r="S103" s="5">
        <v>10186.209999999999</v>
      </c>
      <c r="T103" s="4">
        <v>10186.209999999999</v>
      </c>
      <c r="U103" s="4">
        <v>10186.209999999999</v>
      </c>
      <c r="V103" s="4">
        <v>10186.209999999999</v>
      </c>
      <c r="W103" s="4">
        <v>10186.209999999999</v>
      </c>
      <c r="X103" s="4">
        <v>10186.209999999999</v>
      </c>
      <c r="Y103" s="4">
        <v>10892.87</v>
      </c>
    </row>
    <row r="104" spans="1:25" x14ac:dyDescent="0.25">
      <c r="A104" t="s">
        <v>1887</v>
      </c>
      <c r="B104" t="s">
        <v>1888</v>
      </c>
      <c r="C104" t="s">
        <v>1889</v>
      </c>
      <c r="D104">
        <v>6074202200032010</v>
      </c>
      <c r="E104" t="str">
        <f>IF(COUNTIF(Tabela1[codProcesso],Tabela2[[#This Row],[PROCESSO]]),"Está","Não está")</f>
        <v>Está</v>
      </c>
      <c r="F104" t="s">
        <v>2095</v>
      </c>
      <c r="G104" t="s">
        <v>2083</v>
      </c>
      <c r="H104" t="s">
        <v>362</v>
      </c>
      <c r="I104" t="s">
        <v>2103</v>
      </c>
      <c r="J104" t="s">
        <v>2069</v>
      </c>
      <c r="K104" s="3">
        <v>46062</v>
      </c>
      <c r="L104" s="5">
        <v>344814.06</v>
      </c>
      <c r="M104" s="5">
        <v>28913</v>
      </c>
      <c r="N104" s="5">
        <v>26771.06</v>
      </c>
      <c r="O104" s="5">
        <v>28913</v>
      </c>
      <c r="P104" s="5">
        <v>28913</v>
      </c>
      <c r="Q104" s="5">
        <v>28913</v>
      </c>
      <c r="R104" s="5">
        <v>28913</v>
      </c>
      <c r="S104" s="5">
        <v>28913</v>
      </c>
      <c r="T104" s="5">
        <v>28913</v>
      </c>
      <c r="U104" s="5">
        <v>28913</v>
      </c>
      <c r="V104" s="5">
        <v>28913</v>
      </c>
      <c r="W104" s="5">
        <v>28913</v>
      </c>
      <c r="X104" s="5">
        <v>28913</v>
      </c>
      <c r="Y104" s="5">
        <v>28913</v>
      </c>
    </row>
    <row r="105" spans="1:25" x14ac:dyDescent="0.25">
      <c r="A105" t="s">
        <v>1887</v>
      </c>
      <c r="B105" t="s">
        <v>1888</v>
      </c>
      <c r="C105" t="s">
        <v>1889</v>
      </c>
      <c r="D105">
        <v>6074202200032030</v>
      </c>
      <c r="E105" t="str">
        <f>IF(COUNTIF(Tabela1[codProcesso],Tabela2[[#This Row],[PROCESSO]]),"Está","Não está")</f>
        <v>Está</v>
      </c>
      <c r="F105" t="s">
        <v>2095</v>
      </c>
      <c r="G105" t="s">
        <v>2083</v>
      </c>
      <c r="H105" t="s">
        <v>1012</v>
      </c>
      <c r="I105" t="s">
        <v>2104</v>
      </c>
      <c r="J105" t="s">
        <v>2071</v>
      </c>
      <c r="K105" s="3">
        <v>46350</v>
      </c>
      <c r="L105" s="5">
        <v>1600</v>
      </c>
      <c r="M105" s="5">
        <v>1600</v>
      </c>
      <c r="O105" t="s">
        <v>1908</v>
      </c>
      <c r="P105" t="s">
        <v>1909</v>
      </c>
      <c r="Q105" t="s">
        <v>1909</v>
      </c>
      <c r="R105" t="s">
        <v>1909</v>
      </c>
      <c r="S105" t="s">
        <v>1909</v>
      </c>
      <c r="T105" t="s">
        <v>1909</v>
      </c>
      <c r="U105" t="s">
        <v>1909</v>
      </c>
      <c r="V105" t="s">
        <v>1909</v>
      </c>
      <c r="W105" s="5">
        <v>1600</v>
      </c>
      <c r="X105" t="s">
        <v>1908</v>
      </c>
      <c r="Y105" t="s">
        <v>1910</v>
      </c>
    </row>
    <row r="106" spans="1:25" x14ac:dyDescent="0.25">
      <c r="A106" t="s">
        <v>1887</v>
      </c>
      <c r="B106" t="s">
        <v>1888</v>
      </c>
      <c r="C106" t="s">
        <v>1889</v>
      </c>
      <c r="D106">
        <v>6074202200034160</v>
      </c>
      <c r="E106" t="str">
        <f>IF(COUNTIF(Tabela1[codProcesso],Tabela2[[#This Row],[PROCESSO]]),"Está","Não está")</f>
        <v>Está</v>
      </c>
      <c r="F106" t="s">
        <v>2095</v>
      </c>
      <c r="G106" t="s">
        <v>2083</v>
      </c>
      <c r="H106" t="s">
        <v>444</v>
      </c>
      <c r="I106" t="s">
        <v>2072</v>
      </c>
      <c r="J106" t="s">
        <v>2073</v>
      </c>
      <c r="K106" s="3">
        <v>46343</v>
      </c>
      <c r="L106" s="4">
        <v>42831.9</v>
      </c>
      <c r="M106" s="5">
        <v>3780</v>
      </c>
      <c r="N106" s="4">
        <v>3527.19</v>
      </c>
      <c r="O106" s="4">
        <v>3527.19</v>
      </c>
      <c r="P106" s="4">
        <v>3527.19</v>
      </c>
      <c r="Q106" s="4">
        <v>3527.19</v>
      </c>
      <c r="R106" s="4">
        <v>3527.19</v>
      </c>
      <c r="S106" s="4">
        <v>3527.19</v>
      </c>
      <c r="T106" s="4">
        <v>3527.19</v>
      </c>
      <c r="U106" s="4">
        <v>3527.19</v>
      </c>
      <c r="V106" s="4">
        <v>3527.19</v>
      </c>
      <c r="W106" s="4">
        <v>3527.19</v>
      </c>
      <c r="X106" s="5">
        <v>3780</v>
      </c>
      <c r="Y106" s="5">
        <v>3780</v>
      </c>
    </row>
    <row r="107" spans="1:25" x14ac:dyDescent="0.25">
      <c r="A107" t="s">
        <v>1887</v>
      </c>
      <c r="B107" t="s">
        <v>1888</v>
      </c>
      <c r="C107" t="s">
        <v>1889</v>
      </c>
      <c r="D107">
        <v>6074202200034170</v>
      </c>
      <c r="E107" t="str">
        <f>IF(COUNTIF(Tabela1[codProcesso],Tabela2[[#This Row],[PROCESSO]]),"Está","Não está")</f>
        <v>Está</v>
      </c>
      <c r="F107" t="s">
        <v>2095</v>
      </c>
      <c r="G107" t="s">
        <v>2083</v>
      </c>
      <c r="H107" t="s">
        <v>951</v>
      </c>
      <c r="I107" t="s">
        <v>2074</v>
      </c>
      <c r="J107" t="s">
        <v>2075</v>
      </c>
      <c r="K107" s="3">
        <v>46259</v>
      </c>
      <c r="L107" s="4">
        <v>1600.46</v>
      </c>
      <c r="M107" s="5">
        <v>138.96</v>
      </c>
      <c r="N107">
        <v>129.38</v>
      </c>
      <c r="O107">
        <v>129.38</v>
      </c>
      <c r="P107">
        <v>129.38</v>
      </c>
      <c r="Q107">
        <v>129.38</v>
      </c>
      <c r="R107">
        <v>129.38</v>
      </c>
      <c r="S107">
        <v>129.38</v>
      </c>
      <c r="T107">
        <v>129.38</v>
      </c>
      <c r="U107">
        <v>138.96</v>
      </c>
      <c r="V107">
        <v>138.96</v>
      </c>
      <c r="W107">
        <v>138.96</v>
      </c>
      <c r="X107">
        <v>138.96</v>
      </c>
      <c r="Y107">
        <v>138.96</v>
      </c>
    </row>
    <row r="108" spans="1:25" x14ac:dyDescent="0.25">
      <c r="A108" t="s">
        <v>1887</v>
      </c>
      <c r="B108" t="s">
        <v>1888</v>
      </c>
      <c r="C108" t="s">
        <v>1889</v>
      </c>
      <c r="D108">
        <v>6074202200064630</v>
      </c>
      <c r="E108" t="str">
        <f>IF(COUNTIF(Tabela1[codProcesso],Tabela2[[#This Row],[PROCESSO]]),"Está","Não está")</f>
        <v>Está</v>
      </c>
      <c r="F108" t="s">
        <v>2095</v>
      </c>
      <c r="G108" t="s">
        <v>2083</v>
      </c>
      <c r="H108" t="s">
        <v>2105</v>
      </c>
      <c r="I108" t="s">
        <v>2106</v>
      </c>
      <c r="J108" t="s">
        <v>2107</v>
      </c>
      <c r="K108" s="3">
        <v>46341</v>
      </c>
      <c r="L108" s="5">
        <v>333200</v>
      </c>
      <c r="M108" s="5">
        <v>29400</v>
      </c>
      <c r="N108" s="5">
        <v>27440</v>
      </c>
      <c r="O108" s="5">
        <v>27440</v>
      </c>
      <c r="P108" s="5">
        <v>27440</v>
      </c>
      <c r="Q108" s="5">
        <v>27440</v>
      </c>
      <c r="R108" s="5">
        <v>27440</v>
      </c>
      <c r="S108" s="5">
        <v>27440</v>
      </c>
      <c r="T108" s="5">
        <v>27440</v>
      </c>
      <c r="U108" s="5">
        <v>27440</v>
      </c>
      <c r="V108" s="5">
        <v>27440</v>
      </c>
      <c r="W108" s="5">
        <v>27440</v>
      </c>
      <c r="X108" s="5">
        <v>29400</v>
      </c>
      <c r="Y108" s="5">
        <v>29400</v>
      </c>
    </row>
    <row r="109" spans="1:25" x14ac:dyDescent="0.25">
      <c r="A109" t="s">
        <v>1887</v>
      </c>
      <c r="B109" t="s">
        <v>1888</v>
      </c>
      <c r="C109" t="s">
        <v>1889</v>
      </c>
      <c r="D109">
        <v>6074202300072300</v>
      </c>
      <c r="E109" t="str">
        <f>IF(COUNTIF(Tabela1[codProcesso],Tabela2[[#This Row],[PROCESSO]]),"Está","Não está")</f>
        <v>Está</v>
      </c>
      <c r="F109" t="s">
        <v>2095</v>
      </c>
      <c r="G109" t="s">
        <v>2083</v>
      </c>
      <c r="H109" t="s">
        <v>567</v>
      </c>
      <c r="I109" t="s">
        <v>2108</v>
      </c>
      <c r="J109" t="s">
        <v>1951</v>
      </c>
      <c r="K109" s="3">
        <v>46295</v>
      </c>
      <c r="L109" s="5">
        <v>869.04</v>
      </c>
      <c r="M109" s="5">
        <v>76.260000000000005</v>
      </c>
      <c r="N109" s="5">
        <v>71.14</v>
      </c>
      <c r="O109" s="5">
        <v>71.14</v>
      </c>
      <c r="P109" s="5">
        <v>71.14</v>
      </c>
      <c r="Q109" s="5">
        <v>71.14</v>
      </c>
      <c r="R109" s="5">
        <v>71.14</v>
      </c>
      <c r="S109" s="5">
        <v>71.14</v>
      </c>
      <c r="T109" s="5">
        <v>71.14</v>
      </c>
      <c r="U109" s="5">
        <v>71.14</v>
      </c>
      <c r="V109" s="5">
        <v>71.14</v>
      </c>
      <c r="W109" s="5">
        <v>76.260000000000005</v>
      </c>
      <c r="X109" s="5">
        <v>76.260000000000005</v>
      </c>
      <c r="Y109" s="5">
        <v>76.260000000000005</v>
      </c>
    </row>
    <row r="110" spans="1:25" x14ac:dyDescent="0.25">
      <c r="A110" t="s">
        <v>1887</v>
      </c>
      <c r="B110" t="s">
        <v>1888</v>
      </c>
      <c r="C110" t="s">
        <v>1889</v>
      </c>
      <c r="D110">
        <v>6074202300102770</v>
      </c>
      <c r="E110" t="str">
        <f>IF(COUNTIF(Tabela1[codProcesso],Tabela2[[#This Row],[PROCESSO]]),"Está","Não está")</f>
        <v>Está</v>
      </c>
      <c r="F110" t="s">
        <v>2095</v>
      </c>
      <c r="G110" t="s">
        <v>2083</v>
      </c>
      <c r="H110" t="s">
        <v>75</v>
      </c>
      <c r="I110" t="s">
        <v>2109</v>
      </c>
      <c r="J110" t="s">
        <v>2110</v>
      </c>
      <c r="K110" s="3">
        <v>46072</v>
      </c>
      <c r="L110" s="5">
        <v>20271</v>
      </c>
      <c r="M110" s="5">
        <v>1700</v>
      </c>
      <c r="N110" s="5">
        <v>1571</v>
      </c>
      <c r="O110" s="5">
        <v>1700</v>
      </c>
      <c r="P110" s="5">
        <v>1700</v>
      </c>
      <c r="Q110" s="5">
        <v>1700</v>
      </c>
      <c r="R110" s="5">
        <v>1700</v>
      </c>
      <c r="S110" s="5">
        <v>1700</v>
      </c>
      <c r="T110" s="5">
        <v>1700</v>
      </c>
      <c r="U110" s="5">
        <v>1700</v>
      </c>
      <c r="V110" s="5">
        <v>1700</v>
      </c>
      <c r="W110" s="5">
        <v>1700</v>
      </c>
      <c r="X110" s="5">
        <v>1700</v>
      </c>
      <c r="Y110" s="5">
        <v>1700</v>
      </c>
    </row>
    <row r="111" spans="1:25" x14ac:dyDescent="0.25">
      <c r="A111" t="s">
        <v>1887</v>
      </c>
      <c r="B111" t="s">
        <v>1888</v>
      </c>
      <c r="C111" t="s">
        <v>1889</v>
      </c>
      <c r="D111">
        <v>6074202400065410</v>
      </c>
      <c r="E111" t="str">
        <f>IF(COUNTIF(Tabela1[codProcesso],Tabela2[[#This Row],[PROCESSO]]),"Está","Não está")</f>
        <v>Está</v>
      </c>
      <c r="F111" t="s">
        <v>2095</v>
      </c>
      <c r="G111" t="s">
        <v>2083</v>
      </c>
      <c r="H111" t="s">
        <v>370</v>
      </c>
      <c r="I111" t="s">
        <v>2058</v>
      </c>
      <c r="J111" t="s">
        <v>1967</v>
      </c>
      <c r="K111" s="3">
        <v>46359</v>
      </c>
      <c r="L111" s="5">
        <v>620</v>
      </c>
      <c r="M111" t="s">
        <v>1908</v>
      </c>
      <c r="N111" s="5">
        <v>290</v>
      </c>
      <c r="O111" t="s">
        <v>1908</v>
      </c>
      <c r="P111" t="s">
        <v>1909</v>
      </c>
      <c r="Q111" t="s">
        <v>1909</v>
      </c>
      <c r="R111" t="s">
        <v>1909</v>
      </c>
      <c r="S111" t="s">
        <v>1909</v>
      </c>
      <c r="T111" t="s">
        <v>1909</v>
      </c>
      <c r="U111" t="s">
        <v>1909</v>
      </c>
      <c r="V111" t="s">
        <v>1909</v>
      </c>
      <c r="W111" s="5">
        <v>330</v>
      </c>
      <c r="X111" t="s">
        <v>1908</v>
      </c>
      <c r="Y111" t="s">
        <v>1910</v>
      </c>
    </row>
    <row r="112" spans="1:25" hidden="1" x14ac:dyDescent="0.25">
      <c r="E112" t="str">
        <f>IF(COUNTIF(Tabela1[codProcesso],Tabela2[[#This Row],[PROCESSO]]),"Está","Não está")</f>
        <v>Não está</v>
      </c>
      <c r="I112" t="s">
        <v>2111</v>
      </c>
    </row>
    <row r="113" spans="1:25" x14ac:dyDescent="0.25">
      <c r="A113" t="s">
        <v>1887</v>
      </c>
      <c r="B113" t="s">
        <v>1888</v>
      </c>
      <c r="C113" t="s">
        <v>1889</v>
      </c>
      <c r="D113">
        <v>6074202400087020</v>
      </c>
      <c r="E113" t="str">
        <f>IF(COUNTIF(Tabela1[codProcesso],Tabela2[[#This Row],[PROCESSO]]),"Está","Não está")</f>
        <v>Está</v>
      </c>
      <c r="F113" t="s">
        <v>2095</v>
      </c>
      <c r="G113" t="s">
        <v>2083</v>
      </c>
      <c r="H113" t="s">
        <v>2112</v>
      </c>
      <c r="I113" t="s">
        <v>2113</v>
      </c>
      <c r="J113" t="s">
        <v>2099</v>
      </c>
      <c r="K113" s="3">
        <v>46036</v>
      </c>
      <c r="L113" s="5">
        <v>370440</v>
      </c>
      <c r="M113" s="5">
        <v>30870</v>
      </c>
      <c r="N113" s="5">
        <v>30870</v>
      </c>
      <c r="O113" s="5">
        <v>30870</v>
      </c>
      <c r="P113" s="5">
        <v>30870</v>
      </c>
      <c r="Q113" s="5">
        <v>30870</v>
      </c>
      <c r="R113" s="5">
        <v>30870</v>
      </c>
      <c r="S113" s="5">
        <v>30870</v>
      </c>
      <c r="T113" s="5">
        <v>30870</v>
      </c>
      <c r="U113" s="5">
        <v>30870</v>
      </c>
      <c r="V113" s="5">
        <v>30870</v>
      </c>
      <c r="W113" s="5">
        <v>30870</v>
      </c>
      <c r="X113" s="5">
        <v>30870</v>
      </c>
      <c r="Y113" s="5">
        <v>30870</v>
      </c>
    </row>
    <row r="114" spans="1:25" x14ac:dyDescent="0.25">
      <c r="A114" t="s">
        <v>1887</v>
      </c>
      <c r="B114" t="s">
        <v>1888</v>
      </c>
      <c r="C114" t="s">
        <v>1889</v>
      </c>
      <c r="D114">
        <v>6074202400099120</v>
      </c>
      <c r="E114" t="str">
        <f>IF(COUNTIF(Tabela1[codProcesso],Tabela2[[#This Row],[PROCESSO]]),"Está","Não está")</f>
        <v>Está</v>
      </c>
      <c r="F114" t="s">
        <v>2095</v>
      </c>
      <c r="G114" t="s">
        <v>2083</v>
      </c>
      <c r="H114" t="s">
        <v>1970</v>
      </c>
      <c r="I114" t="s">
        <v>2114</v>
      </c>
      <c r="J114" t="s">
        <v>1972</v>
      </c>
      <c r="K114" s="3">
        <v>46387</v>
      </c>
      <c r="L114" s="5">
        <v>72000</v>
      </c>
      <c r="M114" s="5">
        <v>6000</v>
      </c>
      <c r="N114" s="5">
        <v>6000</v>
      </c>
      <c r="O114" s="5">
        <v>6000</v>
      </c>
      <c r="P114" s="5">
        <v>6000</v>
      </c>
      <c r="Q114" s="5">
        <v>6000</v>
      </c>
      <c r="R114" s="5">
        <v>6000</v>
      </c>
      <c r="S114" s="5">
        <v>6000</v>
      </c>
      <c r="T114" s="5">
        <v>6000</v>
      </c>
      <c r="U114" s="5">
        <v>6000</v>
      </c>
      <c r="V114" s="5">
        <v>6000</v>
      </c>
      <c r="W114" s="5">
        <v>6000</v>
      </c>
      <c r="X114" s="5">
        <v>6000</v>
      </c>
      <c r="Y114" s="5">
        <v>6000</v>
      </c>
    </row>
    <row r="115" spans="1:25" x14ac:dyDescent="0.25">
      <c r="A115" t="s">
        <v>1887</v>
      </c>
      <c r="B115" t="s">
        <v>1888</v>
      </c>
      <c r="C115" t="s">
        <v>1889</v>
      </c>
      <c r="D115">
        <v>6074202500006200</v>
      </c>
      <c r="E115" t="str">
        <f>IF(COUNTIF(Tabela1[codProcesso],Tabela2[[#This Row],[PROCESSO]]),"Está","Não está")</f>
        <v>Está</v>
      </c>
      <c r="F115" t="s">
        <v>2115</v>
      </c>
      <c r="G115" t="s">
        <v>2083</v>
      </c>
      <c r="H115" t="s">
        <v>1970</v>
      </c>
      <c r="I115" t="s">
        <v>2116</v>
      </c>
      <c r="J115" t="s">
        <v>2044</v>
      </c>
      <c r="K115" s="3">
        <v>46387</v>
      </c>
      <c r="L115" s="5">
        <v>9000000</v>
      </c>
      <c r="M115" s="5">
        <v>750000</v>
      </c>
      <c r="N115" s="5">
        <v>750000</v>
      </c>
      <c r="O115" s="5">
        <v>750000</v>
      </c>
      <c r="P115" s="5">
        <v>750000</v>
      </c>
      <c r="Q115" s="5">
        <v>750000</v>
      </c>
      <c r="R115" s="5">
        <v>750000</v>
      </c>
      <c r="S115" s="5">
        <v>750000</v>
      </c>
      <c r="T115" s="5">
        <v>750000</v>
      </c>
      <c r="U115" s="5">
        <v>750000</v>
      </c>
      <c r="V115" s="5">
        <v>750000</v>
      </c>
      <c r="W115" s="5">
        <v>750000</v>
      </c>
      <c r="X115" s="5">
        <v>750000</v>
      </c>
      <c r="Y115" s="5">
        <v>750000</v>
      </c>
    </row>
    <row r="116" spans="1:25" x14ac:dyDescent="0.25">
      <c r="A116" t="s">
        <v>1887</v>
      </c>
      <c r="B116" t="s">
        <v>1888</v>
      </c>
      <c r="C116" t="s">
        <v>1889</v>
      </c>
      <c r="D116">
        <v>6074202500010240</v>
      </c>
      <c r="E116" t="str">
        <f>IF(COUNTIF(Tabela1[codProcesso],Tabela2[[#This Row],[PROCESSO]]),"Está","Não está")</f>
        <v>Está</v>
      </c>
      <c r="F116" t="s">
        <v>2095</v>
      </c>
      <c r="G116" t="s">
        <v>2083</v>
      </c>
      <c r="H116" t="s">
        <v>1970</v>
      </c>
      <c r="I116" t="s">
        <v>2117</v>
      </c>
      <c r="J116" t="s">
        <v>1972</v>
      </c>
      <c r="K116" s="3">
        <v>46387</v>
      </c>
      <c r="L116" s="5">
        <v>216000</v>
      </c>
      <c r="M116" s="5">
        <v>18000</v>
      </c>
      <c r="N116" s="5">
        <v>18000</v>
      </c>
      <c r="O116" s="5">
        <v>18000</v>
      </c>
      <c r="P116" s="5">
        <v>18000</v>
      </c>
      <c r="Q116" s="5">
        <v>18000</v>
      </c>
      <c r="R116" s="5">
        <v>18000</v>
      </c>
      <c r="S116" s="5">
        <v>18000</v>
      </c>
      <c r="T116" s="5">
        <v>18000</v>
      </c>
      <c r="U116" s="5">
        <v>18000</v>
      </c>
      <c r="V116" s="5">
        <v>18000</v>
      </c>
      <c r="W116" s="5">
        <v>18000</v>
      </c>
      <c r="X116" s="5">
        <v>18000</v>
      </c>
      <c r="Y116" s="5">
        <v>18000</v>
      </c>
    </row>
    <row r="117" spans="1:25" x14ac:dyDescent="0.25">
      <c r="A117" t="s">
        <v>1887</v>
      </c>
      <c r="B117" t="s">
        <v>1888</v>
      </c>
      <c r="C117" t="s">
        <v>1889</v>
      </c>
      <c r="D117">
        <v>6074202500013480</v>
      </c>
      <c r="E117" t="str">
        <f>IF(COUNTIF(Tabela1[codProcesso],Tabela2[[#This Row],[PROCESSO]]),"Está","Não está")</f>
        <v>Não está</v>
      </c>
      <c r="F117" t="s">
        <v>2082</v>
      </c>
      <c r="G117" t="s">
        <v>2083</v>
      </c>
      <c r="H117" t="s">
        <v>1983</v>
      </c>
      <c r="I117" t="s">
        <v>1984</v>
      </c>
      <c r="J117" t="s">
        <v>1985</v>
      </c>
      <c r="K117" s="3">
        <v>46236</v>
      </c>
      <c r="L117" s="5">
        <v>9642625.5600000005</v>
      </c>
      <c r="M117" s="5">
        <v>803552.13</v>
      </c>
      <c r="N117" s="5">
        <v>803552.13</v>
      </c>
      <c r="O117" s="5">
        <v>803552.13</v>
      </c>
      <c r="P117" s="5">
        <v>803552.13</v>
      </c>
      <c r="Q117" s="5">
        <v>803552.13</v>
      </c>
      <c r="R117" s="5">
        <v>803552.13</v>
      </c>
      <c r="S117" s="5">
        <v>803552.13</v>
      </c>
      <c r="T117" s="5">
        <v>803552.13</v>
      </c>
      <c r="U117" s="5">
        <v>803552.13</v>
      </c>
      <c r="V117" s="5">
        <v>803552.13</v>
      </c>
      <c r="W117" s="5">
        <v>803552.13</v>
      </c>
      <c r="X117" s="5">
        <v>803552.13</v>
      </c>
      <c r="Y117" s="5">
        <v>803552.13</v>
      </c>
    </row>
    <row r="118" spans="1:25" x14ac:dyDescent="0.25">
      <c r="A118" t="s">
        <v>1887</v>
      </c>
      <c r="B118" t="s">
        <v>1888</v>
      </c>
      <c r="C118" t="s">
        <v>1889</v>
      </c>
      <c r="D118">
        <v>6074202500014470</v>
      </c>
      <c r="E118" t="str">
        <f>IF(COUNTIF(Tabela1[codProcesso],Tabela2[[#This Row],[PROCESSO]]),"Está","Não está")</f>
        <v>Está</v>
      </c>
      <c r="F118" t="s">
        <v>2095</v>
      </c>
      <c r="G118" t="s">
        <v>2083</v>
      </c>
      <c r="H118" t="s">
        <v>1970</v>
      </c>
      <c r="I118" t="s">
        <v>2118</v>
      </c>
      <c r="J118" t="s">
        <v>1976</v>
      </c>
      <c r="K118" s="3">
        <v>46387</v>
      </c>
      <c r="L118" s="5">
        <v>60000</v>
      </c>
      <c r="M118" s="5">
        <v>5000</v>
      </c>
      <c r="N118" s="5">
        <v>5000</v>
      </c>
      <c r="O118" s="5">
        <v>5000</v>
      </c>
      <c r="P118" s="5">
        <v>5000</v>
      </c>
      <c r="Q118" s="5">
        <v>5000</v>
      </c>
      <c r="R118" s="5">
        <v>5000</v>
      </c>
      <c r="S118" s="5">
        <v>5000</v>
      </c>
      <c r="T118" s="5">
        <v>5000</v>
      </c>
      <c r="U118" s="5">
        <v>5000</v>
      </c>
      <c r="V118" s="5">
        <v>5000</v>
      </c>
      <c r="W118" s="5">
        <v>5000</v>
      </c>
      <c r="X118" s="5">
        <v>5000</v>
      </c>
      <c r="Y118" s="5">
        <v>5000</v>
      </c>
    </row>
    <row r="119" spans="1:25" x14ac:dyDescent="0.25">
      <c r="A119" t="s">
        <v>1887</v>
      </c>
      <c r="B119" t="s">
        <v>1888</v>
      </c>
      <c r="C119" t="s">
        <v>1889</v>
      </c>
      <c r="D119" t="s">
        <v>2463</v>
      </c>
      <c r="E119" t="str">
        <f>IF(COUNTIF(Tabela1[codProcesso],Tabela2[[#This Row],[PROCESSO]]),"Está","Não está")</f>
        <v>Não está</v>
      </c>
      <c r="F119" t="s">
        <v>2119</v>
      </c>
      <c r="G119" t="s">
        <v>2083</v>
      </c>
      <c r="H119" t="s">
        <v>1986</v>
      </c>
      <c r="I119" t="s">
        <v>2120</v>
      </c>
      <c r="J119" t="s">
        <v>1999</v>
      </c>
      <c r="K119" t="s">
        <v>1989</v>
      </c>
      <c r="L119" s="5">
        <v>15000</v>
      </c>
      <c r="M119" s="5">
        <v>15000</v>
      </c>
      <c r="O119" s="5">
        <v>15000</v>
      </c>
    </row>
    <row r="120" spans="1:25" x14ac:dyDescent="0.25">
      <c r="A120" t="s">
        <v>1887</v>
      </c>
      <c r="B120" t="s">
        <v>1888</v>
      </c>
      <c r="C120" t="s">
        <v>1889</v>
      </c>
      <c r="D120" t="s">
        <v>2463</v>
      </c>
      <c r="E120" t="str">
        <f>IF(COUNTIF(Tabela1[codProcesso],Tabela2[[#This Row],[PROCESSO]]),"Está","Não está")</f>
        <v>Não está</v>
      </c>
      <c r="F120" t="s">
        <v>2119</v>
      </c>
      <c r="G120" t="s">
        <v>2083</v>
      </c>
      <c r="H120" t="s">
        <v>1986</v>
      </c>
      <c r="I120" t="s">
        <v>2121</v>
      </c>
      <c r="J120" t="s">
        <v>1999</v>
      </c>
      <c r="K120" t="s">
        <v>1989</v>
      </c>
      <c r="L120" s="5">
        <v>100000</v>
      </c>
      <c r="M120" s="5">
        <v>100000</v>
      </c>
      <c r="O120" s="5">
        <v>100000</v>
      </c>
    </row>
    <row r="121" spans="1:25" x14ac:dyDescent="0.25">
      <c r="A121" t="s">
        <v>1887</v>
      </c>
      <c r="B121" t="s">
        <v>1888</v>
      </c>
      <c r="C121" t="s">
        <v>1889</v>
      </c>
      <c r="D121">
        <v>6045201900013360</v>
      </c>
      <c r="E121" t="str">
        <f>IF(COUNTIF(Tabela1[codProcesso],Tabela2[[#This Row],[PROCESSO]]),"Está","Não está")</f>
        <v>Não está</v>
      </c>
      <c r="F121" t="s">
        <v>2122</v>
      </c>
      <c r="G121" t="s">
        <v>2123</v>
      </c>
      <c r="H121" t="s">
        <v>2124</v>
      </c>
      <c r="I121" t="s">
        <v>2125</v>
      </c>
      <c r="J121" t="s">
        <v>2126</v>
      </c>
      <c r="K121" s="3">
        <v>46275</v>
      </c>
      <c r="L121" s="5">
        <v>43004.32</v>
      </c>
      <c r="M121" s="5">
        <v>3750.36</v>
      </c>
      <c r="N121" s="5">
        <v>3500.36</v>
      </c>
      <c r="O121" s="5">
        <v>3500.36</v>
      </c>
      <c r="P121" s="5">
        <v>3500.36</v>
      </c>
      <c r="Q121" s="5">
        <v>3500.36</v>
      </c>
      <c r="R121" s="5">
        <v>3500.36</v>
      </c>
      <c r="S121" s="5">
        <v>3500.36</v>
      </c>
      <c r="T121" s="5">
        <v>3500.36</v>
      </c>
      <c r="U121" s="5">
        <v>3500.36</v>
      </c>
      <c r="V121" s="5">
        <v>3750.36</v>
      </c>
      <c r="W121" s="5">
        <v>3750.36</v>
      </c>
      <c r="X121" s="5">
        <v>3750.36</v>
      </c>
      <c r="Y121" s="5">
        <v>3750.36</v>
      </c>
    </row>
    <row r="122" spans="1:25" x14ac:dyDescent="0.25">
      <c r="A122" t="s">
        <v>1887</v>
      </c>
      <c r="B122" t="s">
        <v>1888</v>
      </c>
      <c r="C122" t="s">
        <v>1889</v>
      </c>
      <c r="D122">
        <v>6045201900013360</v>
      </c>
      <c r="E122" t="str">
        <f>IF(COUNTIF(Tabela1[codProcesso],Tabela2[[#This Row],[PROCESSO]]),"Está","Não está")</f>
        <v>Não está</v>
      </c>
      <c r="F122" t="s">
        <v>2127</v>
      </c>
      <c r="G122" t="s">
        <v>2123</v>
      </c>
      <c r="H122" t="s">
        <v>2124</v>
      </c>
      <c r="I122" t="s">
        <v>2128</v>
      </c>
      <c r="J122" t="s">
        <v>2129</v>
      </c>
      <c r="K122" s="3">
        <v>46275</v>
      </c>
      <c r="L122" s="5">
        <v>1700</v>
      </c>
      <c r="M122" s="5">
        <v>170</v>
      </c>
      <c r="N122" s="5">
        <v>0</v>
      </c>
      <c r="O122" s="5">
        <v>170</v>
      </c>
      <c r="P122" s="5">
        <v>170</v>
      </c>
      <c r="Q122" s="5">
        <v>170</v>
      </c>
      <c r="R122" s="5">
        <v>170</v>
      </c>
      <c r="S122" s="5">
        <v>170</v>
      </c>
      <c r="T122" s="5">
        <v>170</v>
      </c>
      <c r="U122" s="5">
        <v>170</v>
      </c>
      <c r="V122" s="5">
        <v>170</v>
      </c>
      <c r="W122" s="5">
        <v>170</v>
      </c>
      <c r="X122" s="5">
        <v>170</v>
      </c>
      <c r="Y122" s="5">
        <v>0</v>
      </c>
    </row>
    <row r="123" spans="1:25" x14ac:dyDescent="0.25">
      <c r="A123" t="s">
        <v>1887</v>
      </c>
      <c r="B123" t="s">
        <v>1888</v>
      </c>
      <c r="C123" t="s">
        <v>1889</v>
      </c>
      <c r="D123">
        <v>6045201900013360</v>
      </c>
      <c r="E123" t="str">
        <f>IF(COUNTIF(Tabela1[codProcesso],Tabela2[[#This Row],[PROCESSO]]),"Está","Não está")</f>
        <v>Não está</v>
      </c>
      <c r="F123" t="s">
        <v>2122</v>
      </c>
      <c r="G123" t="s">
        <v>2123</v>
      </c>
      <c r="H123" t="s">
        <v>2124</v>
      </c>
      <c r="I123" t="s">
        <v>2130</v>
      </c>
      <c r="J123" t="s">
        <v>2129</v>
      </c>
      <c r="K123" s="3">
        <v>46275</v>
      </c>
      <c r="L123" s="5">
        <v>350</v>
      </c>
      <c r="M123" s="5">
        <v>350</v>
      </c>
      <c r="O123" s="5">
        <v>0</v>
      </c>
      <c r="P123" s="5">
        <v>350</v>
      </c>
      <c r="Q123" s="5">
        <v>0</v>
      </c>
      <c r="R123" s="5">
        <v>0</v>
      </c>
      <c r="S123" s="5">
        <v>0</v>
      </c>
      <c r="T123" s="5">
        <v>0</v>
      </c>
      <c r="U123" s="5">
        <v>0</v>
      </c>
      <c r="V123" s="5">
        <v>0</v>
      </c>
      <c r="W123" s="5">
        <v>0</v>
      </c>
      <c r="X123" s="5">
        <v>0</v>
      </c>
      <c r="Y123" s="5">
        <v>0</v>
      </c>
    </row>
    <row r="124" spans="1:25" x14ac:dyDescent="0.25">
      <c r="A124" t="s">
        <v>1887</v>
      </c>
      <c r="B124" t="s">
        <v>1888</v>
      </c>
      <c r="C124" t="s">
        <v>1889</v>
      </c>
      <c r="D124">
        <v>6031201700000350</v>
      </c>
      <c r="E124" t="str">
        <f>IF(COUNTIF(Tabela1[codProcesso],Tabela2[[#This Row],[PROCESSO]]),"Está","Não está")</f>
        <v>Não está</v>
      </c>
      <c r="F124" t="s">
        <v>2127</v>
      </c>
      <c r="G124" t="s">
        <v>2123</v>
      </c>
      <c r="H124" t="s">
        <v>2131</v>
      </c>
      <c r="I124" t="s">
        <v>2132</v>
      </c>
      <c r="J124" t="s">
        <v>2133</v>
      </c>
      <c r="K124" s="3">
        <v>46374</v>
      </c>
      <c r="L124" s="5">
        <v>3500</v>
      </c>
      <c r="M124" s="5">
        <v>350</v>
      </c>
      <c r="O124" s="5">
        <v>350</v>
      </c>
      <c r="P124" s="5">
        <v>350</v>
      </c>
      <c r="Q124" s="5">
        <v>350</v>
      </c>
      <c r="R124" s="5">
        <v>350</v>
      </c>
      <c r="S124" s="5">
        <v>350</v>
      </c>
      <c r="T124" s="5">
        <v>350</v>
      </c>
      <c r="U124" s="5">
        <v>350</v>
      </c>
      <c r="V124" s="5">
        <v>350</v>
      </c>
      <c r="W124" s="5">
        <v>350</v>
      </c>
      <c r="X124" s="5">
        <v>350</v>
      </c>
    </row>
    <row r="125" spans="1:25" x14ac:dyDescent="0.25">
      <c r="A125" t="s">
        <v>1887</v>
      </c>
      <c r="B125" t="s">
        <v>1888</v>
      </c>
      <c r="C125" t="s">
        <v>1889</v>
      </c>
      <c r="D125">
        <v>6031201700000350</v>
      </c>
      <c r="E125" t="str">
        <f>IF(COUNTIF(Tabela1[codProcesso],Tabela2[[#This Row],[PROCESSO]]),"Está","Não está")</f>
        <v>Não está</v>
      </c>
      <c r="F125" t="s">
        <v>2134</v>
      </c>
      <c r="G125" t="s">
        <v>2123</v>
      </c>
      <c r="H125" t="s">
        <v>2131</v>
      </c>
      <c r="I125" t="s">
        <v>2135</v>
      </c>
      <c r="J125" t="s">
        <v>2133</v>
      </c>
      <c r="K125" s="3">
        <v>46374</v>
      </c>
      <c r="L125" s="4">
        <v>28574.48</v>
      </c>
      <c r="M125" s="5">
        <v>2478.7399999999998</v>
      </c>
      <c r="N125" s="5">
        <v>2372.34</v>
      </c>
      <c r="O125" s="5">
        <v>2372.34</v>
      </c>
      <c r="P125" s="5">
        <v>2372.34</v>
      </c>
      <c r="Q125" s="5">
        <v>2372.34</v>
      </c>
      <c r="R125" s="5">
        <v>2372.34</v>
      </c>
      <c r="S125" s="5">
        <v>2372.34</v>
      </c>
      <c r="T125" s="5">
        <v>2372.34</v>
      </c>
      <c r="U125" s="5">
        <v>2372.34</v>
      </c>
      <c r="V125" s="5">
        <v>2372.34</v>
      </c>
      <c r="W125" s="5">
        <v>2372.34</v>
      </c>
      <c r="X125" s="5">
        <v>2372.34</v>
      </c>
      <c r="Y125" s="5">
        <v>2478.7399999999998</v>
      </c>
    </row>
    <row r="126" spans="1:25" x14ac:dyDescent="0.25">
      <c r="A126" t="s">
        <v>1887</v>
      </c>
      <c r="B126" t="s">
        <v>1888</v>
      </c>
      <c r="C126" t="s">
        <v>1889</v>
      </c>
      <c r="D126">
        <v>6031201700000350</v>
      </c>
      <c r="E126" t="str">
        <f>IF(COUNTIF(Tabela1[codProcesso],Tabela2[[#This Row],[PROCESSO]]),"Está","Não está")</f>
        <v>Não está</v>
      </c>
      <c r="F126" t="s">
        <v>2134</v>
      </c>
      <c r="G126" t="s">
        <v>2123</v>
      </c>
      <c r="H126" t="s">
        <v>2131</v>
      </c>
      <c r="I126" t="s">
        <v>2136</v>
      </c>
      <c r="J126" t="s">
        <v>2133</v>
      </c>
      <c r="K126" s="3">
        <v>46374</v>
      </c>
      <c r="L126" s="5">
        <v>1200</v>
      </c>
      <c r="M126" s="5">
        <v>100</v>
      </c>
      <c r="N126" s="5">
        <v>0</v>
      </c>
      <c r="O126" s="5">
        <v>250</v>
      </c>
      <c r="P126" s="5">
        <v>0</v>
      </c>
      <c r="Q126" s="5">
        <v>0</v>
      </c>
      <c r="R126" s="5">
        <v>0</v>
      </c>
      <c r="S126" s="5">
        <v>0</v>
      </c>
      <c r="T126" s="5">
        <v>0</v>
      </c>
      <c r="U126" s="5">
        <v>0</v>
      </c>
      <c r="V126" s="5">
        <v>0</v>
      </c>
      <c r="W126" s="5">
        <v>0</v>
      </c>
      <c r="X126" s="5">
        <v>2372.34</v>
      </c>
      <c r="Y126" s="5">
        <v>0</v>
      </c>
    </row>
    <row r="127" spans="1:25" x14ac:dyDescent="0.25">
      <c r="A127" t="s">
        <v>1887</v>
      </c>
      <c r="B127" t="s">
        <v>1888</v>
      </c>
      <c r="C127" t="s">
        <v>1889</v>
      </c>
      <c r="D127">
        <v>6034201700000360</v>
      </c>
      <c r="E127" t="str">
        <f>IF(COUNTIF(Tabela1[codProcesso],Tabela2[[#This Row],[PROCESSO]]),"Está","Não está")</f>
        <v>Não está</v>
      </c>
      <c r="F127" t="s">
        <v>2122</v>
      </c>
      <c r="G127" t="s">
        <v>2123</v>
      </c>
      <c r="H127" t="s">
        <v>2137</v>
      </c>
      <c r="I127" t="s">
        <v>2138</v>
      </c>
      <c r="J127" t="s">
        <v>2139</v>
      </c>
      <c r="K127" s="3">
        <v>46349</v>
      </c>
      <c r="L127" s="5">
        <v>45928</v>
      </c>
      <c r="M127" s="5">
        <v>4078.45</v>
      </c>
      <c r="N127" s="5">
        <v>3777.11</v>
      </c>
      <c r="O127" s="5">
        <v>3777.11</v>
      </c>
      <c r="P127" s="5">
        <v>3777.11</v>
      </c>
      <c r="Q127" s="5">
        <v>3777.11</v>
      </c>
      <c r="R127" s="5">
        <v>3777.11</v>
      </c>
      <c r="S127" s="5">
        <v>3777.11</v>
      </c>
      <c r="T127" s="5">
        <v>3777.11</v>
      </c>
      <c r="U127" s="5">
        <v>3777.11</v>
      </c>
      <c r="V127" s="5">
        <v>3777.11</v>
      </c>
      <c r="W127" s="5">
        <v>3777.11</v>
      </c>
      <c r="X127" s="5">
        <v>4078.45</v>
      </c>
      <c r="Y127" s="5">
        <v>4078.45</v>
      </c>
    </row>
    <row r="128" spans="1:25" x14ac:dyDescent="0.25">
      <c r="A128" t="s">
        <v>1887</v>
      </c>
      <c r="B128" t="s">
        <v>1888</v>
      </c>
      <c r="C128" t="s">
        <v>1889</v>
      </c>
      <c r="D128">
        <v>6034201700000360</v>
      </c>
      <c r="E128" t="str">
        <f>IF(COUNTIF(Tabela1[codProcesso],Tabela2[[#This Row],[PROCESSO]]),"Está","Não está")</f>
        <v>Não está</v>
      </c>
      <c r="F128" t="s">
        <v>2122</v>
      </c>
      <c r="G128" t="s">
        <v>2123</v>
      </c>
      <c r="H128" t="s">
        <v>2137</v>
      </c>
      <c r="I128" t="s">
        <v>2140</v>
      </c>
      <c r="J128" t="s">
        <v>2139</v>
      </c>
      <c r="K128" s="3">
        <v>46349</v>
      </c>
      <c r="L128" s="5">
        <v>121</v>
      </c>
      <c r="M128" s="5">
        <v>121</v>
      </c>
      <c r="O128" s="5">
        <v>60.5</v>
      </c>
      <c r="P128" s="5">
        <v>60.5</v>
      </c>
      <c r="Q128" t="s">
        <v>1908</v>
      </c>
      <c r="R128" t="s">
        <v>1909</v>
      </c>
      <c r="S128" t="s">
        <v>1909</v>
      </c>
      <c r="T128" t="s">
        <v>1909</v>
      </c>
      <c r="U128" t="s">
        <v>1909</v>
      </c>
      <c r="V128" t="s">
        <v>1909</v>
      </c>
      <c r="W128" t="s">
        <v>1909</v>
      </c>
      <c r="X128" t="s">
        <v>1909</v>
      </c>
      <c r="Y128" t="s">
        <v>1909</v>
      </c>
    </row>
    <row r="129" spans="1:25" x14ac:dyDescent="0.25">
      <c r="A129" t="s">
        <v>1887</v>
      </c>
      <c r="B129" t="s">
        <v>1888</v>
      </c>
      <c r="C129" t="s">
        <v>1889</v>
      </c>
      <c r="D129">
        <v>6037201800001300</v>
      </c>
      <c r="E129" t="str">
        <f>IF(COUNTIF(Tabela1[codProcesso],Tabela2[[#This Row],[PROCESSO]]),"Está","Não está")</f>
        <v>Não está</v>
      </c>
      <c r="F129" t="s">
        <v>2122</v>
      </c>
      <c r="G129" t="s">
        <v>2123</v>
      </c>
      <c r="H129" t="s">
        <v>2141</v>
      </c>
      <c r="I129" t="s">
        <v>2142</v>
      </c>
      <c r="J129" t="s">
        <v>2143</v>
      </c>
      <c r="K129" s="3">
        <v>46174</v>
      </c>
      <c r="L129" s="5">
        <v>2510</v>
      </c>
      <c r="M129" s="5">
        <v>251</v>
      </c>
      <c r="N129">
        <v>0</v>
      </c>
      <c r="O129" s="5">
        <v>251</v>
      </c>
      <c r="P129" s="5">
        <v>251</v>
      </c>
      <c r="Q129" s="5">
        <v>251</v>
      </c>
      <c r="R129" s="5">
        <v>251</v>
      </c>
      <c r="S129" s="5">
        <v>251</v>
      </c>
      <c r="T129" s="5">
        <v>251</v>
      </c>
      <c r="U129" s="5">
        <v>251</v>
      </c>
      <c r="V129" s="5">
        <v>251</v>
      </c>
      <c r="W129" s="5">
        <v>251</v>
      </c>
      <c r="X129" s="5">
        <v>251</v>
      </c>
    </row>
    <row r="130" spans="1:25" x14ac:dyDescent="0.25">
      <c r="A130" t="s">
        <v>1887</v>
      </c>
      <c r="B130" t="s">
        <v>1888</v>
      </c>
      <c r="C130" t="s">
        <v>1889</v>
      </c>
      <c r="D130">
        <v>6037201800001300</v>
      </c>
      <c r="E130" t="str">
        <f>IF(COUNTIF(Tabela1[codProcesso],Tabela2[[#This Row],[PROCESSO]]),"Está","Não está")</f>
        <v>Não está</v>
      </c>
      <c r="F130" t="s">
        <v>2122</v>
      </c>
      <c r="G130" t="s">
        <v>2123</v>
      </c>
      <c r="H130" t="s">
        <v>2141</v>
      </c>
      <c r="I130" t="s">
        <v>2144</v>
      </c>
      <c r="J130" t="s">
        <v>2143</v>
      </c>
      <c r="K130" s="3">
        <v>46174</v>
      </c>
      <c r="L130" s="4">
        <v>35932.61</v>
      </c>
      <c r="M130" s="5">
        <v>2904.3</v>
      </c>
      <c r="N130" s="5">
        <v>2904.3</v>
      </c>
      <c r="O130" s="5">
        <v>2904.3</v>
      </c>
      <c r="P130" s="5">
        <v>2904.3</v>
      </c>
      <c r="Q130" s="5">
        <v>2904.3</v>
      </c>
      <c r="R130" s="5">
        <v>2904.3</v>
      </c>
      <c r="S130" s="5">
        <v>3058.73</v>
      </c>
      <c r="T130" s="5">
        <v>3058.73</v>
      </c>
      <c r="U130" s="5">
        <v>3058.73</v>
      </c>
      <c r="V130" s="5">
        <v>3058.73</v>
      </c>
      <c r="W130" s="5">
        <v>3058.73</v>
      </c>
      <c r="X130" s="5">
        <v>3058.73</v>
      </c>
      <c r="Y130" s="5">
        <v>3058.73</v>
      </c>
    </row>
    <row r="131" spans="1:25" x14ac:dyDescent="0.25">
      <c r="A131" t="s">
        <v>1887</v>
      </c>
      <c r="B131" t="s">
        <v>1888</v>
      </c>
      <c r="C131" t="s">
        <v>1889</v>
      </c>
      <c r="D131">
        <v>6039201600000700</v>
      </c>
      <c r="E131" t="str">
        <f>IF(COUNTIF(Tabela1[codProcesso],Tabela2[[#This Row],[PROCESSO]]),"Está","Não está")</f>
        <v>Não está</v>
      </c>
      <c r="F131" t="s">
        <v>2122</v>
      </c>
      <c r="G131" t="s">
        <v>2123</v>
      </c>
      <c r="H131" t="s">
        <v>2145</v>
      </c>
      <c r="I131" t="s">
        <v>2146</v>
      </c>
      <c r="J131" t="s">
        <v>2147</v>
      </c>
      <c r="K131" s="3">
        <v>46062</v>
      </c>
      <c r="L131" s="5">
        <v>49455.28</v>
      </c>
      <c r="M131" s="5">
        <v>4275.9399999999996</v>
      </c>
      <c r="N131" s="5">
        <v>4043.94</v>
      </c>
      <c r="O131" s="5">
        <v>4043.94</v>
      </c>
      <c r="P131" s="5">
        <v>4043.94</v>
      </c>
      <c r="Q131" s="5">
        <v>4043.94</v>
      </c>
      <c r="R131" s="5">
        <v>4043.94</v>
      </c>
      <c r="S131" s="5">
        <v>4043.94</v>
      </c>
      <c r="T131" s="5">
        <v>4043.94</v>
      </c>
      <c r="U131" s="5">
        <v>4043.94</v>
      </c>
      <c r="V131" s="5">
        <v>4275.9399999999996</v>
      </c>
      <c r="W131" s="5">
        <v>4275.9399999999996</v>
      </c>
      <c r="X131" s="5">
        <v>4275.9399999999996</v>
      </c>
      <c r="Y131" s="5">
        <v>4275.9399999999996</v>
      </c>
    </row>
    <row r="132" spans="1:25" x14ac:dyDescent="0.25">
      <c r="A132" t="s">
        <v>1887</v>
      </c>
      <c r="B132" t="s">
        <v>1888</v>
      </c>
      <c r="C132" t="s">
        <v>1889</v>
      </c>
      <c r="D132">
        <v>6039201600000700</v>
      </c>
      <c r="E132" t="str">
        <f>IF(COUNTIF(Tabela1[codProcesso],Tabela2[[#This Row],[PROCESSO]]),"Está","Não está")</f>
        <v>Não está</v>
      </c>
      <c r="F132" t="s">
        <v>2127</v>
      </c>
      <c r="G132" t="s">
        <v>2123</v>
      </c>
      <c r="H132" t="s">
        <v>2145</v>
      </c>
      <c r="I132" t="s">
        <v>2148</v>
      </c>
      <c r="J132" t="s">
        <v>2149</v>
      </c>
      <c r="K132" s="3">
        <v>46062</v>
      </c>
      <c r="L132" s="5">
        <v>21000</v>
      </c>
      <c r="O132" s="5">
        <v>2100</v>
      </c>
      <c r="P132" s="5">
        <v>2100</v>
      </c>
      <c r="Q132" s="5">
        <v>2100</v>
      </c>
      <c r="R132" s="5">
        <v>2100</v>
      </c>
      <c r="S132" s="5">
        <v>2100</v>
      </c>
      <c r="T132" s="5">
        <v>2100</v>
      </c>
      <c r="U132" s="5">
        <v>2100</v>
      </c>
      <c r="V132" s="5">
        <v>2100</v>
      </c>
      <c r="W132" s="5">
        <v>2100</v>
      </c>
      <c r="X132" s="5">
        <v>2100</v>
      </c>
    </row>
    <row r="133" spans="1:25" x14ac:dyDescent="0.25">
      <c r="A133" t="s">
        <v>1887</v>
      </c>
      <c r="B133" t="s">
        <v>1888</v>
      </c>
      <c r="C133" t="s">
        <v>1889</v>
      </c>
      <c r="D133">
        <v>6040201700000390</v>
      </c>
      <c r="E133" t="str">
        <f>IF(COUNTIF(Tabela1[codProcesso],Tabela2[[#This Row],[PROCESSO]]),"Está","Não está")</f>
        <v>Não está</v>
      </c>
      <c r="F133" t="s">
        <v>2122</v>
      </c>
      <c r="G133" t="s">
        <v>2123</v>
      </c>
      <c r="H133" t="s">
        <v>2150</v>
      </c>
      <c r="I133" t="s">
        <v>2151</v>
      </c>
      <c r="J133" t="s">
        <v>2152</v>
      </c>
      <c r="K133" s="3">
        <v>46234</v>
      </c>
      <c r="L133" s="5">
        <v>41497.4</v>
      </c>
      <c r="M133" s="5">
        <v>2401</v>
      </c>
      <c r="N133" s="5">
        <v>3377.7</v>
      </c>
      <c r="O133" s="5">
        <v>3377.7</v>
      </c>
      <c r="P133" s="5">
        <v>3377.7</v>
      </c>
      <c r="Q133" s="5">
        <v>3377.7</v>
      </c>
      <c r="R133" s="5">
        <v>3377.7</v>
      </c>
      <c r="S133" s="5">
        <v>3377.7</v>
      </c>
      <c r="T133" s="5">
        <v>3377.7</v>
      </c>
      <c r="U133" s="5">
        <v>3570.7</v>
      </c>
      <c r="V133" s="5">
        <v>3570.7</v>
      </c>
      <c r="W133" s="5">
        <v>3570.7</v>
      </c>
      <c r="X133" s="5">
        <v>3570.7</v>
      </c>
      <c r="Y133" s="5">
        <v>3570.7</v>
      </c>
    </row>
    <row r="134" spans="1:25" x14ac:dyDescent="0.25">
      <c r="A134" t="s">
        <v>1887</v>
      </c>
      <c r="B134" t="s">
        <v>1888</v>
      </c>
      <c r="C134" t="s">
        <v>1889</v>
      </c>
      <c r="D134">
        <v>6040201700000390</v>
      </c>
      <c r="E134" t="str">
        <f>IF(COUNTIF(Tabela1[codProcesso],Tabela2[[#This Row],[PROCESSO]]),"Está","Não está")</f>
        <v>Não está</v>
      </c>
      <c r="F134" t="s">
        <v>2122</v>
      </c>
      <c r="G134" t="s">
        <v>2123</v>
      </c>
      <c r="H134" t="s">
        <v>2150</v>
      </c>
      <c r="I134" t="s">
        <v>2153</v>
      </c>
      <c r="J134" t="s">
        <v>2152</v>
      </c>
      <c r="K134" s="3">
        <v>46234</v>
      </c>
      <c r="L134" s="5">
        <v>5200</v>
      </c>
      <c r="M134" s="5">
        <v>0</v>
      </c>
      <c r="N134" s="5">
        <v>0</v>
      </c>
      <c r="O134" s="5">
        <v>520</v>
      </c>
      <c r="P134" s="5">
        <v>520</v>
      </c>
      <c r="Q134" s="5">
        <v>520</v>
      </c>
      <c r="R134" s="5">
        <v>520</v>
      </c>
      <c r="S134" s="5">
        <v>520</v>
      </c>
      <c r="T134" s="5">
        <v>520</v>
      </c>
      <c r="U134" s="5">
        <v>520</v>
      </c>
      <c r="V134" s="5">
        <v>520</v>
      </c>
      <c r="W134" s="5">
        <v>520</v>
      </c>
      <c r="X134" s="5">
        <v>520</v>
      </c>
      <c r="Y134" s="5">
        <v>0</v>
      </c>
    </row>
    <row r="135" spans="1:25" x14ac:dyDescent="0.25">
      <c r="A135" t="s">
        <v>1887</v>
      </c>
      <c r="B135" t="s">
        <v>1888</v>
      </c>
      <c r="C135" t="s">
        <v>1889</v>
      </c>
      <c r="D135">
        <v>6040201700000390</v>
      </c>
      <c r="E135" t="str">
        <f>IF(COUNTIF(Tabela1[codProcesso],Tabela2[[#This Row],[PROCESSO]]),"Está","Não está")</f>
        <v>Não está</v>
      </c>
      <c r="F135" t="s">
        <v>2122</v>
      </c>
      <c r="G135" t="s">
        <v>2123</v>
      </c>
      <c r="H135" t="s">
        <v>2150</v>
      </c>
      <c r="I135" t="s">
        <v>2154</v>
      </c>
      <c r="J135" t="s">
        <v>2152</v>
      </c>
      <c r="K135" s="3">
        <v>46234</v>
      </c>
      <c r="L135" s="5">
        <v>1200</v>
      </c>
      <c r="M135" s="5">
        <v>100</v>
      </c>
      <c r="N135" s="5">
        <v>0</v>
      </c>
      <c r="O135" s="5">
        <v>0</v>
      </c>
      <c r="P135" s="5">
        <v>0</v>
      </c>
      <c r="Q135" s="5">
        <v>650</v>
      </c>
      <c r="R135" s="5">
        <v>0</v>
      </c>
      <c r="S135" s="5">
        <v>0</v>
      </c>
      <c r="T135" s="5">
        <v>0</v>
      </c>
      <c r="U135" s="5">
        <v>0</v>
      </c>
      <c r="V135" s="5">
        <v>0</v>
      </c>
      <c r="W135" s="5">
        <v>0</v>
      </c>
      <c r="X135" s="5">
        <v>0</v>
      </c>
      <c r="Y135" s="5">
        <v>0</v>
      </c>
    </row>
    <row r="136" spans="1:25" x14ac:dyDescent="0.25">
      <c r="A136" t="s">
        <v>1887</v>
      </c>
      <c r="B136" t="s">
        <v>1888</v>
      </c>
      <c r="C136" t="s">
        <v>1889</v>
      </c>
      <c r="D136">
        <v>6045201700000370</v>
      </c>
      <c r="E136" t="str">
        <f>IF(COUNTIF(Tabela1[codProcesso],Tabela2[[#This Row],[PROCESSO]]),"Está","Não está")</f>
        <v>Não está</v>
      </c>
      <c r="F136" t="s">
        <v>2122</v>
      </c>
      <c r="G136" t="s">
        <v>2123</v>
      </c>
      <c r="H136" t="s">
        <v>2155</v>
      </c>
      <c r="I136" t="s">
        <v>2156</v>
      </c>
      <c r="J136" t="s">
        <v>2157</v>
      </c>
      <c r="K136" s="3">
        <v>46310</v>
      </c>
      <c r="L136" s="5">
        <v>45593.760000000002</v>
      </c>
      <c r="M136" s="5">
        <v>2300</v>
      </c>
      <c r="N136" s="5">
        <v>3753.48</v>
      </c>
      <c r="O136" s="5">
        <v>3753.48</v>
      </c>
      <c r="P136" s="5">
        <v>3753.48</v>
      </c>
      <c r="Q136" s="5">
        <v>3753.48</v>
      </c>
      <c r="R136" s="5">
        <v>3753.48</v>
      </c>
      <c r="S136" s="5">
        <v>3753.48</v>
      </c>
      <c r="T136" s="5">
        <v>3753.48</v>
      </c>
      <c r="U136" s="5">
        <v>3753.48</v>
      </c>
      <c r="V136" s="5">
        <v>3753.48</v>
      </c>
      <c r="W136" s="5">
        <v>3937.48</v>
      </c>
      <c r="X136" s="5">
        <v>3937.48</v>
      </c>
      <c r="Y136" s="5">
        <v>3937.48</v>
      </c>
    </row>
    <row r="137" spans="1:25" x14ac:dyDescent="0.25">
      <c r="A137" t="s">
        <v>1887</v>
      </c>
      <c r="B137" t="s">
        <v>1888</v>
      </c>
      <c r="C137" t="s">
        <v>1889</v>
      </c>
      <c r="D137">
        <v>6045201700000370</v>
      </c>
      <c r="E137" t="str">
        <f>IF(COUNTIF(Tabela1[codProcesso],Tabela2[[#This Row],[PROCESSO]]),"Está","Não está")</f>
        <v>Não está</v>
      </c>
      <c r="F137" t="s">
        <v>2122</v>
      </c>
      <c r="G137" t="s">
        <v>2123</v>
      </c>
      <c r="H137" t="s">
        <v>2155</v>
      </c>
      <c r="I137" t="s">
        <v>2158</v>
      </c>
      <c r="J137" t="s">
        <v>2157</v>
      </c>
      <c r="K137" s="3">
        <v>46310</v>
      </c>
      <c r="L137" s="5">
        <v>2700</v>
      </c>
      <c r="M137" s="5">
        <v>270</v>
      </c>
      <c r="O137" s="5">
        <v>270</v>
      </c>
      <c r="P137" s="5">
        <v>270</v>
      </c>
      <c r="Q137" s="5">
        <v>270</v>
      </c>
      <c r="R137" s="5">
        <v>270</v>
      </c>
      <c r="S137" s="5">
        <v>270</v>
      </c>
      <c r="T137" s="5">
        <v>270</v>
      </c>
      <c r="U137" s="5">
        <v>270</v>
      </c>
      <c r="V137" s="5">
        <v>270</v>
      </c>
      <c r="W137" s="5">
        <v>270</v>
      </c>
      <c r="X137" s="5">
        <v>270</v>
      </c>
    </row>
    <row r="138" spans="1:25" x14ac:dyDescent="0.25">
      <c r="A138" t="s">
        <v>1887</v>
      </c>
      <c r="B138" t="s">
        <v>1888</v>
      </c>
      <c r="C138" t="s">
        <v>1889</v>
      </c>
      <c r="D138">
        <v>6048201700000220</v>
      </c>
      <c r="E138" t="str">
        <f>IF(COUNTIF(Tabela1[codProcesso],Tabela2[[#This Row],[PROCESSO]]),"Está","Não está")</f>
        <v>Não está</v>
      </c>
      <c r="F138" t="s">
        <v>2134</v>
      </c>
      <c r="G138" t="s">
        <v>2123</v>
      </c>
      <c r="H138" t="s">
        <v>2159</v>
      </c>
      <c r="I138" t="s">
        <v>2160</v>
      </c>
      <c r="J138" t="s">
        <v>2161</v>
      </c>
      <c r="K138" s="3">
        <v>46185</v>
      </c>
      <c r="L138" s="5">
        <v>48972.41</v>
      </c>
      <c r="M138" s="5">
        <v>2843.08</v>
      </c>
      <c r="N138" s="5">
        <v>4062.08</v>
      </c>
      <c r="O138" s="5">
        <v>4062.08</v>
      </c>
      <c r="P138" s="5">
        <v>4062.08</v>
      </c>
      <c r="Q138" s="5">
        <v>4062.08</v>
      </c>
      <c r="R138" s="5">
        <v>4062.08</v>
      </c>
      <c r="S138" s="5">
        <v>4062.08</v>
      </c>
      <c r="T138" s="5">
        <v>4062.08</v>
      </c>
      <c r="U138" s="5">
        <v>4062.08</v>
      </c>
      <c r="V138" s="5">
        <v>4062.08</v>
      </c>
      <c r="W138" s="5">
        <v>4062.08</v>
      </c>
      <c r="X138" s="5">
        <v>4062.08</v>
      </c>
      <c r="Y138" s="5">
        <v>4289.53</v>
      </c>
    </row>
    <row r="139" spans="1:25" x14ac:dyDescent="0.25">
      <c r="A139" t="s">
        <v>1887</v>
      </c>
      <c r="B139" t="s">
        <v>1888</v>
      </c>
      <c r="C139" t="s">
        <v>1889</v>
      </c>
      <c r="D139">
        <v>6048201700000220</v>
      </c>
      <c r="E139" t="str">
        <f>IF(COUNTIF(Tabela1[codProcesso],Tabela2[[#This Row],[PROCESSO]]),"Está","Não está")</f>
        <v>Não está</v>
      </c>
      <c r="F139" t="s">
        <v>2134</v>
      </c>
      <c r="G139" t="s">
        <v>2123</v>
      </c>
      <c r="H139" t="s">
        <v>2159</v>
      </c>
      <c r="I139" t="s">
        <v>2162</v>
      </c>
      <c r="J139" t="s">
        <v>2161</v>
      </c>
      <c r="K139" s="3">
        <v>46185</v>
      </c>
      <c r="L139" s="5">
        <v>3320</v>
      </c>
      <c r="M139" t="s">
        <v>1908</v>
      </c>
      <c r="N139" t="s">
        <v>1909</v>
      </c>
      <c r="O139" s="5">
        <v>332</v>
      </c>
      <c r="P139" s="5">
        <v>332</v>
      </c>
      <c r="Q139" s="5">
        <v>332</v>
      </c>
      <c r="R139" s="5">
        <v>332</v>
      </c>
      <c r="S139" s="5">
        <v>332</v>
      </c>
      <c r="T139" s="5">
        <v>332</v>
      </c>
      <c r="U139" s="5">
        <v>332</v>
      </c>
      <c r="V139" s="5">
        <v>332</v>
      </c>
      <c r="W139" s="5">
        <v>332</v>
      </c>
      <c r="X139" s="5">
        <v>332</v>
      </c>
      <c r="Y139" t="s">
        <v>2092</v>
      </c>
    </row>
    <row r="140" spans="1:25" x14ac:dyDescent="0.25">
      <c r="A140" t="s">
        <v>1887</v>
      </c>
      <c r="B140" t="s">
        <v>1888</v>
      </c>
      <c r="C140" t="s">
        <v>1889</v>
      </c>
      <c r="D140">
        <v>6048201700000220</v>
      </c>
      <c r="E140" t="str">
        <f>IF(COUNTIF(Tabela1[codProcesso],Tabela2[[#This Row],[PROCESSO]]),"Está","Não está")</f>
        <v>Não está</v>
      </c>
      <c r="F140" t="s">
        <v>2134</v>
      </c>
      <c r="G140" t="s">
        <v>2123</v>
      </c>
      <c r="H140" t="s">
        <v>2159</v>
      </c>
      <c r="I140" t="s">
        <v>2163</v>
      </c>
      <c r="J140" t="s">
        <v>2161</v>
      </c>
      <c r="K140" s="3">
        <v>46185</v>
      </c>
      <c r="L140" s="5">
        <v>350</v>
      </c>
      <c r="M140" s="5">
        <v>350</v>
      </c>
      <c r="N140" t="s">
        <v>1908</v>
      </c>
      <c r="O140" s="5">
        <v>350</v>
      </c>
      <c r="P140" s="5">
        <v>0</v>
      </c>
      <c r="Q140" s="5">
        <v>0</v>
      </c>
      <c r="R140" s="5">
        <v>0</v>
      </c>
      <c r="S140" s="5">
        <v>0</v>
      </c>
      <c r="T140" s="5">
        <v>0</v>
      </c>
      <c r="U140" s="5">
        <v>0</v>
      </c>
      <c r="V140" s="5">
        <v>0</v>
      </c>
      <c r="W140" s="5">
        <v>0</v>
      </c>
      <c r="X140" s="5">
        <v>0</v>
      </c>
      <c r="Y140" t="s">
        <v>2092</v>
      </c>
    </row>
    <row r="141" spans="1:25" x14ac:dyDescent="0.25">
      <c r="A141" t="s">
        <v>1887</v>
      </c>
      <c r="B141" t="s">
        <v>1888</v>
      </c>
      <c r="C141" t="s">
        <v>1889</v>
      </c>
      <c r="D141">
        <v>6049201600000240</v>
      </c>
      <c r="E141" t="str">
        <f>IF(COUNTIF(Tabela1[codProcesso],Tabela2[[#This Row],[PROCESSO]]),"Está","Não está")</f>
        <v>Não está</v>
      </c>
      <c r="F141" t="s">
        <v>2122</v>
      </c>
      <c r="G141" t="s">
        <v>2123</v>
      </c>
      <c r="H141" t="s">
        <v>2164</v>
      </c>
      <c r="I141" t="s">
        <v>2165</v>
      </c>
      <c r="J141" t="s">
        <v>2166</v>
      </c>
      <c r="K141" s="3">
        <v>46268</v>
      </c>
      <c r="L141" s="5">
        <v>57500.28</v>
      </c>
      <c r="M141" s="5">
        <v>4959.6899999999996</v>
      </c>
      <c r="N141" s="5">
        <v>4707.6899999999996</v>
      </c>
      <c r="O141" s="5">
        <v>4707.6899999999996</v>
      </c>
      <c r="P141" s="5">
        <v>4707.6899999999996</v>
      </c>
      <c r="Q141" s="5">
        <v>4707.6899999999996</v>
      </c>
      <c r="R141" s="5">
        <v>4707.6899999999996</v>
      </c>
      <c r="S141" s="5">
        <v>4707.6899999999996</v>
      </c>
      <c r="T141" s="5">
        <v>4707.6899999999996</v>
      </c>
      <c r="U141" s="5">
        <v>4707.6899999999996</v>
      </c>
      <c r="V141" s="5">
        <v>4959.6899999999996</v>
      </c>
      <c r="W141" s="5">
        <v>4959.6899999999996</v>
      </c>
      <c r="X141" s="5">
        <v>4959.6899999999996</v>
      </c>
      <c r="Y141" s="5">
        <v>4959.6899999999996</v>
      </c>
    </row>
    <row r="142" spans="1:25" x14ac:dyDescent="0.25">
      <c r="A142" t="s">
        <v>1887</v>
      </c>
      <c r="B142" t="s">
        <v>1888</v>
      </c>
      <c r="C142" t="s">
        <v>1889</v>
      </c>
      <c r="D142">
        <v>6049201600000240</v>
      </c>
      <c r="E142" t="str">
        <f>IF(COUNTIF(Tabela1[codProcesso],Tabela2[[#This Row],[PROCESSO]]),"Está","Não está")</f>
        <v>Não está</v>
      </c>
      <c r="F142" t="s">
        <v>2122</v>
      </c>
      <c r="G142" t="s">
        <v>2123</v>
      </c>
      <c r="H142" t="s">
        <v>2164</v>
      </c>
      <c r="I142" t="s">
        <v>2167</v>
      </c>
      <c r="J142" t="s">
        <v>2166</v>
      </c>
      <c r="K142" s="3">
        <v>46268</v>
      </c>
      <c r="L142" s="5">
        <v>1500</v>
      </c>
      <c r="M142" s="5">
        <v>150</v>
      </c>
      <c r="O142" s="5">
        <v>150</v>
      </c>
      <c r="P142" s="5">
        <v>150</v>
      </c>
      <c r="Q142" s="5">
        <v>150</v>
      </c>
      <c r="R142" s="5">
        <v>150</v>
      </c>
      <c r="S142" s="5">
        <v>150</v>
      </c>
      <c r="T142" s="5">
        <v>150</v>
      </c>
      <c r="U142" s="5">
        <v>150</v>
      </c>
      <c r="V142" s="5">
        <v>150</v>
      </c>
      <c r="W142" s="5">
        <v>150</v>
      </c>
      <c r="X142" s="5">
        <v>150</v>
      </c>
    </row>
    <row r="143" spans="1:25" x14ac:dyDescent="0.25">
      <c r="A143" t="s">
        <v>1887</v>
      </c>
      <c r="B143" t="s">
        <v>1888</v>
      </c>
      <c r="C143" t="s">
        <v>1889</v>
      </c>
      <c r="D143">
        <v>6049201600000240</v>
      </c>
      <c r="E143" t="str">
        <f>IF(COUNTIF(Tabela1[codProcesso],Tabela2[[#This Row],[PROCESSO]]),"Está","Não está")</f>
        <v>Não está</v>
      </c>
      <c r="F143" t="s">
        <v>2122</v>
      </c>
      <c r="G143" t="s">
        <v>2123</v>
      </c>
      <c r="H143" t="s">
        <v>2164</v>
      </c>
      <c r="I143" t="s">
        <v>2168</v>
      </c>
      <c r="J143" t="s">
        <v>2166</v>
      </c>
      <c r="K143" s="3">
        <v>46268</v>
      </c>
      <c r="L143" s="5">
        <v>1200</v>
      </c>
      <c r="M143" s="5">
        <v>100</v>
      </c>
      <c r="O143" s="5">
        <v>0</v>
      </c>
      <c r="P143" s="5">
        <v>700</v>
      </c>
      <c r="Q143" s="5">
        <v>0</v>
      </c>
      <c r="R143" s="5">
        <v>0</v>
      </c>
      <c r="S143" s="5">
        <v>0</v>
      </c>
      <c r="T143" s="5">
        <v>0</v>
      </c>
      <c r="U143" s="5">
        <v>0</v>
      </c>
      <c r="V143" s="5">
        <v>0</v>
      </c>
      <c r="W143" s="5">
        <v>123.74</v>
      </c>
      <c r="X143" s="5">
        <v>0</v>
      </c>
      <c r="Y143" s="5">
        <v>0</v>
      </c>
    </row>
    <row r="144" spans="1:25" x14ac:dyDescent="0.25">
      <c r="A144" t="s">
        <v>1887</v>
      </c>
      <c r="B144" t="s">
        <v>1888</v>
      </c>
      <c r="C144" t="s">
        <v>1889</v>
      </c>
      <c r="D144">
        <v>6055201700004390</v>
      </c>
      <c r="E144" t="str">
        <f>IF(COUNTIF(Tabela1[codProcesso],Tabela2[[#This Row],[PROCESSO]]),"Está","Não está")</f>
        <v>Não está</v>
      </c>
      <c r="F144" t="s">
        <v>2122</v>
      </c>
      <c r="G144" t="s">
        <v>2123</v>
      </c>
      <c r="H144" t="s">
        <v>2169</v>
      </c>
      <c r="I144" t="s">
        <v>2170</v>
      </c>
      <c r="J144" t="s">
        <v>2171</v>
      </c>
      <c r="K144" s="3">
        <v>46326</v>
      </c>
      <c r="L144" s="5">
        <v>100</v>
      </c>
      <c r="M144" s="5">
        <v>100</v>
      </c>
      <c r="N144" s="5">
        <v>0</v>
      </c>
      <c r="O144" s="5">
        <v>100</v>
      </c>
      <c r="P144" s="5">
        <v>0</v>
      </c>
      <c r="Q144" s="5">
        <v>0</v>
      </c>
      <c r="R144" s="5">
        <v>0</v>
      </c>
      <c r="S144" s="5">
        <v>0</v>
      </c>
      <c r="T144" s="5">
        <v>0</v>
      </c>
      <c r="U144" s="5">
        <v>0</v>
      </c>
      <c r="V144" s="5">
        <v>0</v>
      </c>
      <c r="W144" s="5">
        <v>0</v>
      </c>
      <c r="X144" s="5">
        <v>0</v>
      </c>
      <c r="Y144" s="5">
        <v>0</v>
      </c>
    </row>
    <row r="145" spans="1:25" x14ac:dyDescent="0.25">
      <c r="A145" t="s">
        <v>1887</v>
      </c>
      <c r="B145" t="s">
        <v>1888</v>
      </c>
      <c r="C145" t="s">
        <v>1889</v>
      </c>
      <c r="D145">
        <v>6055201700004390</v>
      </c>
      <c r="E145" t="str">
        <f>IF(COUNTIF(Tabela1[codProcesso],Tabela2[[#This Row],[PROCESSO]]),"Está","Não está")</f>
        <v>Não está</v>
      </c>
      <c r="F145" t="s">
        <v>2122</v>
      </c>
      <c r="G145" t="s">
        <v>2123</v>
      </c>
      <c r="H145" t="s">
        <v>2169</v>
      </c>
      <c r="I145" t="s">
        <v>2172</v>
      </c>
      <c r="J145" t="s">
        <v>2171</v>
      </c>
      <c r="K145" s="3">
        <v>46326</v>
      </c>
      <c r="L145" s="4">
        <v>42454.86</v>
      </c>
      <c r="M145" s="5">
        <v>3705.11</v>
      </c>
      <c r="N145" s="5">
        <v>3482.17</v>
      </c>
      <c r="O145" s="5">
        <v>3482.17</v>
      </c>
      <c r="P145" s="5">
        <v>3482.17</v>
      </c>
      <c r="Q145" s="5">
        <v>3482.17</v>
      </c>
      <c r="R145" s="5">
        <v>3482.17</v>
      </c>
      <c r="S145" s="5">
        <v>3482.17</v>
      </c>
      <c r="T145" s="5">
        <v>3482.17</v>
      </c>
      <c r="U145" s="5">
        <v>3482.17</v>
      </c>
      <c r="V145" s="5">
        <v>3482.17</v>
      </c>
      <c r="W145" s="5">
        <v>3705.11</v>
      </c>
      <c r="X145" s="5">
        <v>3705.11</v>
      </c>
      <c r="Y145" s="5">
        <v>3705.11</v>
      </c>
    </row>
    <row r="146" spans="1:25" x14ac:dyDescent="0.25">
      <c r="A146" t="s">
        <v>1887</v>
      </c>
      <c r="B146" t="s">
        <v>1888</v>
      </c>
      <c r="C146" t="s">
        <v>1889</v>
      </c>
      <c r="D146">
        <v>6055201700004390</v>
      </c>
      <c r="E146" t="str">
        <f>IF(COUNTIF(Tabela1[codProcesso],Tabela2[[#This Row],[PROCESSO]]),"Está","Não está")</f>
        <v>Não está</v>
      </c>
      <c r="F146" t="s">
        <v>2122</v>
      </c>
      <c r="G146" t="s">
        <v>2123</v>
      </c>
      <c r="H146" t="s">
        <v>2169</v>
      </c>
      <c r="I146" t="s">
        <v>2173</v>
      </c>
      <c r="J146" t="s">
        <v>2171</v>
      </c>
      <c r="K146" s="3">
        <v>46326</v>
      </c>
      <c r="L146" s="5">
        <v>1200</v>
      </c>
      <c r="M146" s="5">
        <v>100</v>
      </c>
      <c r="N146" s="5">
        <v>0</v>
      </c>
      <c r="O146" s="5">
        <v>0</v>
      </c>
      <c r="P146" s="5">
        <v>0</v>
      </c>
      <c r="Q146" s="5">
        <v>0</v>
      </c>
      <c r="R146" s="5">
        <v>0</v>
      </c>
      <c r="S146" s="5">
        <v>0</v>
      </c>
      <c r="T146" s="5">
        <v>0</v>
      </c>
      <c r="U146" s="5">
        <v>0</v>
      </c>
      <c r="V146" s="5">
        <v>0</v>
      </c>
      <c r="W146" s="5">
        <v>0</v>
      </c>
      <c r="X146" s="5">
        <v>500</v>
      </c>
      <c r="Y146" s="5">
        <v>0</v>
      </c>
    </row>
    <row r="147" spans="1:25" x14ac:dyDescent="0.25">
      <c r="A147" t="s">
        <v>1887</v>
      </c>
      <c r="B147" t="s">
        <v>1888</v>
      </c>
      <c r="C147" t="s">
        <v>1889</v>
      </c>
      <c r="D147">
        <v>6060201900024200</v>
      </c>
      <c r="E147" t="str">
        <f>IF(COUNTIF(Tabela1[codProcesso],Tabela2[[#This Row],[PROCESSO]]),"Está","Não está")</f>
        <v>Não está</v>
      </c>
      <c r="F147" t="s">
        <v>2127</v>
      </c>
      <c r="G147" t="s">
        <v>2123</v>
      </c>
      <c r="H147" t="s">
        <v>2174</v>
      </c>
      <c r="I147" t="s">
        <v>2175</v>
      </c>
      <c r="J147" t="s">
        <v>2176</v>
      </c>
      <c r="K147" s="3">
        <v>46309</v>
      </c>
      <c r="L147" s="5">
        <v>9500</v>
      </c>
      <c r="O147" s="5">
        <v>950</v>
      </c>
      <c r="P147" s="5">
        <v>950</v>
      </c>
      <c r="Q147" s="5">
        <v>950</v>
      </c>
      <c r="R147" s="5">
        <v>950</v>
      </c>
      <c r="S147" s="5">
        <v>950</v>
      </c>
      <c r="T147" s="5">
        <v>950</v>
      </c>
      <c r="U147" s="5">
        <v>950</v>
      </c>
      <c r="V147" s="5">
        <v>950</v>
      </c>
      <c r="W147" s="5">
        <v>950</v>
      </c>
      <c r="X147" s="5">
        <v>950</v>
      </c>
    </row>
    <row r="148" spans="1:25" x14ac:dyDescent="0.25">
      <c r="A148" t="s">
        <v>1887</v>
      </c>
      <c r="B148" t="s">
        <v>1888</v>
      </c>
      <c r="C148" t="s">
        <v>1889</v>
      </c>
      <c r="D148">
        <v>6060201900024200</v>
      </c>
      <c r="E148" t="str">
        <f>IF(COUNTIF(Tabela1[codProcesso],Tabela2[[#This Row],[PROCESSO]]),"Está","Não está")</f>
        <v>Não está</v>
      </c>
      <c r="F148" t="s">
        <v>2134</v>
      </c>
      <c r="G148" t="s">
        <v>2123</v>
      </c>
      <c r="H148" t="s">
        <v>2174</v>
      </c>
      <c r="I148" t="s">
        <v>2177</v>
      </c>
      <c r="J148" t="s">
        <v>2176</v>
      </c>
      <c r="K148" s="3">
        <v>46309</v>
      </c>
      <c r="L148" s="5">
        <v>400</v>
      </c>
      <c r="S148" s="5">
        <v>500</v>
      </c>
      <c r="X148" s="5">
        <v>400</v>
      </c>
    </row>
    <row r="149" spans="1:25" x14ac:dyDescent="0.25">
      <c r="A149" t="s">
        <v>1887</v>
      </c>
      <c r="B149" t="s">
        <v>1888</v>
      </c>
      <c r="C149" t="s">
        <v>1889</v>
      </c>
      <c r="D149">
        <v>6060201900024200</v>
      </c>
      <c r="E149" t="str">
        <f>IF(COUNTIF(Tabela1[codProcesso],Tabela2[[#This Row],[PROCESSO]]),"Está","Não está")</f>
        <v>Não está</v>
      </c>
      <c r="F149" t="s">
        <v>2134</v>
      </c>
      <c r="G149" t="s">
        <v>2123</v>
      </c>
      <c r="H149" t="s">
        <v>2174</v>
      </c>
      <c r="I149" t="s">
        <v>2178</v>
      </c>
      <c r="J149" t="s">
        <v>2176</v>
      </c>
      <c r="K149" s="3">
        <v>46309</v>
      </c>
      <c r="L149" s="4">
        <v>92828.160000000003</v>
      </c>
      <c r="M149" s="5">
        <v>8065.68</v>
      </c>
      <c r="N149" s="5">
        <v>7625.68</v>
      </c>
      <c r="O149" s="5">
        <v>7625.68</v>
      </c>
      <c r="P149" s="5">
        <v>7625.68</v>
      </c>
      <c r="Q149" s="5">
        <v>7625.68</v>
      </c>
      <c r="R149" s="5">
        <v>7625.68</v>
      </c>
      <c r="S149" s="5">
        <v>7625.68</v>
      </c>
      <c r="T149" s="5">
        <v>7625.68</v>
      </c>
      <c r="U149" s="5">
        <v>7625.68</v>
      </c>
      <c r="V149" s="5">
        <v>7625.68</v>
      </c>
      <c r="W149" s="5">
        <v>8065.68</v>
      </c>
      <c r="X149" s="5">
        <v>8065.68</v>
      </c>
      <c r="Y149" s="5">
        <v>8065.68</v>
      </c>
    </row>
    <row r="150" spans="1:25" x14ac:dyDescent="0.25">
      <c r="A150" t="s">
        <v>1887</v>
      </c>
      <c r="B150" t="s">
        <v>1888</v>
      </c>
      <c r="C150" t="s">
        <v>1889</v>
      </c>
      <c r="D150" t="s">
        <v>2466</v>
      </c>
      <c r="E150" t="str">
        <f>IF(COUNTIF(Tabela1[codProcesso],Tabela2[[#This Row],[PROCESSO]]),"Está","Não está")</f>
        <v>Não está</v>
      </c>
      <c r="F150" t="s">
        <v>2127</v>
      </c>
      <c r="G150" t="s">
        <v>2123</v>
      </c>
      <c r="H150" t="s">
        <v>1970</v>
      </c>
      <c r="I150" t="s">
        <v>2179</v>
      </c>
      <c r="J150" t="s">
        <v>2180</v>
      </c>
      <c r="K150" s="3">
        <v>46387</v>
      </c>
      <c r="L150" s="5">
        <v>4500000</v>
      </c>
      <c r="M150" s="5">
        <v>375000</v>
      </c>
      <c r="N150" s="5">
        <v>375000</v>
      </c>
      <c r="O150" s="5">
        <v>375000</v>
      </c>
      <c r="P150" s="5">
        <v>375000</v>
      </c>
      <c r="Q150" s="5">
        <v>375000</v>
      </c>
      <c r="R150" s="5">
        <v>375000</v>
      </c>
      <c r="S150" s="5">
        <v>375000</v>
      </c>
      <c r="T150" s="5">
        <v>375000</v>
      </c>
      <c r="U150" s="5">
        <v>375000</v>
      </c>
      <c r="V150" s="5">
        <v>375000</v>
      </c>
      <c r="W150" s="5">
        <v>375000</v>
      </c>
      <c r="X150" s="5">
        <v>375000</v>
      </c>
      <c r="Y150" s="5">
        <v>375000</v>
      </c>
    </row>
    <row r="151" spans="1:25" x14ac:dyDescent="0.25">
      <c r="A151" t="s">
        <v>1887</v>
      </c>
      <c r="B151" t="s">
        <v>1888</v>
      </c>
      <c r="C151" t="s">
        <v>1889</v>
      </c>
      <c r="D151">
        <v>6074202000015330</v>
      </c>
      <c r="E151" t="str">
        <f>IF(COUNTIF(Tabela1[codProcesso],Tabela2[[#This Row],[PROCESSO]]),"Está","Não está")</f>
        <v>Está</v>
      </c>
      <c r="F151" t="s">
        <v>2134</v>
      </c>
      <c r="G151" t="s">
        <v>2123</v>
      </c>
      <c r="H151" t="s">
        <v>2077</v>
      </c>
      <c r="I151" t="s">
        <v>2181</v>
      </c>
      <c r="J151" t="s">
        <v>2182</v>
      </c>
      <c r="K151" s="3">
        <v>46211</v>
      </c>
      <c r="L151" s="4">
        <v>145540.14000000001</v>
      </c>
      <c r="M151" s="5">
        <v>12561.5</v>
      </c>
      <c r="N151" s="4">
        <v>11695.19</v>
      </c>
      <c r="O151" s="4">
        <v>11695.19</v>
      </c>
      <c r="P151" s="4">
        <v>11695.19</v>
      </c>
      <c r="Q151" s="4">
        <v>11695.19</v>
      </c>
      <c r="R151" s="4">
        <v>11695.19</v>
      </c>
      <c r="S151" s="4">
        <v>11695.19</v>
      </c>
      <c r="T151" s="4">
        <v>12561.5</v>
      </c>
      <c r="U151" s="4">
        <v>12561.5</v>
      </c>
      <c r="V151" s="4">
        <v>12561.5</v>
      </c>
      <c r="W151" s="4">
        <v>12561.5</v>
      </c>
      <c r="X151" s="4">
        <v>12561.5</v>
      </c>
      <c r="Y151" s="4">
        <v>12561.5</v>
      </c>
    </row>
    <row r="152" spans="1:25" x14ac:dyDescent="0.25">
      <c r="A152" t="s">
        <v>1887</v>
      </c>
      <c r="B152" t="s">
        <v>1888</v>
      </c>
      <c r="C152" t="s">
        <v>1889</v>
      </c>
      <c r="D152">
        <v>6074202000026790</v>
      </c>
      <c r="E152" t="str">
        <f>IF(COUNTIF(Tabela1[codProcesso],Tabela2[[#This Row],[PROCESSO]]),"Está","Não está")</f>
        <v>Não está</v>
      </c>
      <c r="F152" t="s">
        <v>2122</v>
      </c>
      <c r="G152" t="s">
        <v>2123</v>
      </c>
      <c r="H152" t="s">
        <v>2183</v>
      </c>
      <c r="I152" t="s">
        <v>2184</v>
      </c>
      <c r="J152" t="s">
        <v>2185</v>
      </c>
      <c r="K152" s="3">
        <v>46370</v>
      </c>
      <c r="L152" s="5">
        <v>128665.60000000001</v>
      </c>
      <c r="M152" s="5">
        <v>8000</v>
      </c>
      <c r="N152" s="5">
        <v>10668.8</v>
      </c>
      <c r="O152" s="5">
        <v>10668.8</v>
      </c>
      <c r="P152" s="5">
        <v>10668.8</v>
      </c>
      <c r="Q152" s="5">
        <v>10668.8</v>
      </c>
      <c r="R152" s="5">
        <v>10668.8</v>
      </c>
      <c r="S152" s="5">
        <v>10668.8</v>
      </c>
      <c r="T152" s="5">
        <v>10668.8</v>
      </c>
      <c r="U152" s="5">
        <v>10668.8</v>
      </c>
      <c r="V152" s="5">
        <v>10668.8</v>
      </c>
      <c r="W152" s="5">
        <v>10668.8</v>
      </c>
      <c r="X152" s="5">
        <v>10668.8</v>
      </c>
      <c r="Y152" s="5">
        <v>11308.8</v>
      </c>
    </row>
    <row r="153" spans="1:25" x14ac:dyDescent="0.25">
      <c r="A153" t="s">
        <v>1887</v>
      </c>
      <c r="B153" t="s">
        <v>1888</v>
      </c>
      <c r="C153" t="s">
        <v>1889</v>
      </c>
      <c r="D153">
        <v>6074202000026790</v>
      </c>
      <c r="E153" t="str">
        <f>IF(COUNTIF(Tabela1[codProcesso],Tabela2[[#This Row],[PROCESSO]]),"Está","Não está")</f>
        <v>Não está</v>
      </c>
      <c r="F153" t="s">
        <v>2127</v>
      </c>
      <c r="G153" t="s">
        <v>2123</v>
      </c>
      <c r="H153" t="s">
        <v>2183</v>
      </c>
      <c r="I153" t="s">
        <v>2186</v>
      </c>
      <c r="J153" t="s">
        <v>2185</v>
      </c>
      <c r="K153" s="3">
        <v>46370</v>
      </c>
      <c r="L153" s="5">
        <v>10032</v>
      </c>
      <c r="M153" s="5">
        <v>1003.2</v>
      </c>
      <c r="N153" s="5">
        <v>0</v>
      </c>
      <c r="O153" s="5">
        <v>1003.2</v>
      </c>
      <c r="P153" s="5">
        <v>1003.2</v>
      </c>
      <c r="Q153" s="5">
        <v>1003.2</v>
      </c>
      <c r="R153" s="5">
        <v>1003.2</v>
      </c>
      <c r="S153" s="5">
        <v>1003.2</v>
      </c>
      <c r="T153" s="5">
        <v>1003.2</v>
      </c>
      <c r="U153" s="5">
        <v>1003.2</v>
      </c>
      <c r="V153" s="5">
        <v>1003.2</v>
      </c>
      <c r="W153" s="5">
        <v>1003.2</v>
      </c>
      <c r="X153" s="5">
        <v>1003.2</v>
      </c>
    </row>
    <row r="154" spans="1:25" x14ac:dyDescent="0.25">
      <c r="A154" t="s">
        <v>1887</v>
      </c>
      <c r="B154" t="s">
        <v>1888</v>
      </c>
      <c r="C154" t="s">
        <v>1889</v>
      </c>
      <c r="D154">
        <v>6074202000026790</v>
      </c>
      <c r="E154" t="str">
        <f>IF(COUNTIF(Tabela1[codProcesso],Tabela2[[#This Row],[PROCESSO]]),"Está","Não está")</f>
        <v>Não está</v>
      </c>
      <c r="F154" t="s">
        <v>2122</v>
      </c>
      <c r="G154" t="s">
        <v>2123</v>
      </c>
      <c r="H154" t="s">
        <v>2183</v>
      </c>
      <c r="I154" t="s">
        <v>2187</v>
      </c>
      <c r="J154" t="s">
        <v>2185</v>
      </c>
      <c r="K154" s="3">
        <v>46370</v>
      </c>
      <c r="L154" s="5">
        <v>1200</v>
      </c>
      <c r="M154" s="5">
        <v>100</v>
      </c>
      <c r="N154" s="5">
        <v>0</v>
      </c>
      <c r="O154" s="5">
        <v>0</v>
      </c>
      <c r="P154" s="5">
        <v>0</v>
      </c>
      <c r="Q154" s="5">
        <v>0</v>
      </c>
      <c r="R154" s="5">
        <v>0</v>
      </c>
      <c r="S154" s="5">
        <v>0</v>
      </c>
      <c r="T154" s="5">
        <v>0</v>
      </c>
      <c r="U154" s="5">
        <v>0</v>
      </c>
      <c r="V154" s="5">
        <v>0</v>
      </c>
      <c r="W154" s="5">
        <v>0</v>
      </c>
      <c r="X154" s="5">
        <v>0</v>
      </c>
      <c r="Y154" s="5">
        <v>600</v>
      </c>
    </row>
    <row r="155" spans="1:25" x14ac:dyDescent="0.25">
      <c r="A155" t="s">
        <v>1887</v>
      </c>
      <c r="B155" t="s">
        <v>1888</v>
      </c>
      <c r="C155" t="s">
        <v>1889</v>
      </c>
      <c r="D155">
        <v>6074202000030040</v>
      </c>
      <c r="E155" t="str">
        <f>IF(COUNTIF(Tabela1[codProcesso],Tabela2[[#This Row],[PROCESSO]]),"Está","Não está")</f>
        <v>Não está</v>
      </c>
      <c r="F155" t="s">
        <v>2127</v>
      </c>
      <c r="G155" t="s">
        <v>2123</v>
      </c>
      <c r="H155" t="s">
        <v>2188</v>
      </c>
      <c r="I155" t="s">
        <v>2189</v>
      </c>
      <c r="J155" t="s">
        <v>2190</v>
      </c>
      <c r="K155" s="3">
        <v>46374</v>
      </c>
      <c r="L155" s="5">
        <v>3200</v>
      </c>
      <c r="N155" s="5">
        <v>0</v>
      </c>
      <c r="O155" s="5">
        <v>320</v>
      </c>
      <c r="P155" s="5">
        <v>320</v>
      </c>
      <c r="Q155" s="5">
        <v>320</v>
      </c>
      <c r="R155" s="5">
        <v>320</v>
      </c>
      <c r="S155" s="5">
        <v>320</v>
      </c>
      <c r="T155" s="5">
        <v>320</v>
      </c>
      <c r="U155" s="5">
        <v>320</v>
      </c>
      <c r="V155" s="5">
        <v>320</v>
      </c>
      <c r="W155" s="5">
        <v>320</v>
      </c>
      <c r="X155" s="5">
        <v>320</v>
      </c>
      <c r="Y155" s="5">
        <v>0</v>
      </c>
    </row>
    <row r="156" spans="1:25" x14ac:dyDescent="0.25">
      <c r="A156" t="s">
        <v>1887</v>
      </c>
      <c r="B156" t="s">
        <v>1888</v>
      </c>
      <c r="C156" t="s">
        <v>1889</v>
      </c>
      <c r="D156">
        <v>6074202000030040</v>
      </c>
      <c r="E156" t="str">
        <f>IF(COUNTIF(Tabela1[codProcesso],Tabela2[[#This Row],[PROCESSO]]),"Está","Não está")</f>
        <v>Não está</v>
      </c>
      <c r="F156" t="s">
        <v>2134</v>
      </c>
      <c r="G156" t="s">
        <v>2123</v>
      </c>
      <c r="H156" t="s">
        <v>2188</v>
      </c>
      <c r="I156" t="s">
        <v>2191</v>
      </c>
      <c r="J156" t="s">
        <v>2190</v>
      </c>
      <c r="K156" s="3">
        <v>46374</v>
      </c>
      <c r="L156" s="4">
        <v>98416.8</v>
      </c>
      <c r="M156" s="5">
        <v>8561.4</v>
      </c>
      <c r="N156" s="5">
        <v>8081.4</v>
      </c>
      <c r="O156" s="5">
        <v>8081.4</v>
      </c>
      <c r="P156" s="5">
        <v>8081.4</v>
      </c>
      <c r="Q156" s="5">
        <v>8081.4</v>
      </c>
      <c r="R156" s="5">
        <v>8081.4</v>
      </c>
      <c r="S156" s="5">
        <v>8081.4</v>
      </c>
      <c r="T156" s="5">
        <v>8081.4</v>
      </c>
      <c r="U156" s="5">
        <v>8081.4</v>
      </c>
      <c r="V156" s="5">
        <v>8081.4</v>
      </c>
      <c r="W156" s="5">
        <v>8561.4</v>
      </c>
      <c r="X156" s="5">
        <v>8561.4</v>
      </c>
      <c r="Y156" s="5">
        <v>8561.4</v>
      </c>
    </row>
    <row r="157" spans="1:25" x14ac:dyDescent="0.25">
      <c r="A157" t="s">
        <v>1887</v>
      </c>
      <c r="B157" t="s">
        <v>1888</v>
      </c>
      <c r="C157" t="s">
        <v>1889</v>
      </c>
      <c r="D157">
        <v>6074202000030040</v>
      </c>
      <c r="E157" t="str">
        <f>IF(COUNTIF(Tabela1[codProcesso],Tabela2[[#This Row],[PROCESSO]]),"Está","Não está")</f>
        <v>Não está</v>
      </c>
      <c r="F157" t="s">
        <v>2134</v>
      </c>
      <c r="G157" t="s">
        <v>2123</v>
      </c>
      <c r="H157" t="s">
        <v>2188</v>
      </c>
      <c r="I157" t="s">
        <v>2192</v>
      </c>
      <c r="J157" t="s">
        <v>2190</v>
      </c>
      <c r="K157" s="3">
        <v>46374</v>
      </c>
      <c r="L157" s="5">
        <v>1200</v>
      </c>
      <c r="M157" s="5">
        <v>100</v>
      </c>
      <c r="N157" s="5">
        <v>0</v>
      </c>
      <c r="O157" s="5">
        <v>0</v>
      </c>
      <c r="P157" s="5">
        <v>0</v>
      </c>
      <c r="Q157" s="5">
        <v>0</v>
      </c>
      <c r="R157" s="5">
        <v>600</v>
      </c>
      <c r="S157" s="5">
        <v>0</v>
      </c>
      <c r="T157" s="5">
        <v>0</v>
      </c>
      <c r="U157" s="5">
        <v>0</v>
      </c>
      <c r="V157" s="5">
        <v>0</v>
      </c>
      <c r="W157" s="5">
        <v>0</v>
      </c>
      <c r="X157" s="5">
        <v>320</v>
      </c>
      <c r="Y157" s="5">
        <v>0</v>
      </c>
    </row>
    <row r="158" spans="1:25" x14ac:dyDescent="0.25">
      <c r="A158" t="s">
        <v>1887</v>
      </c>
      <c r="B158" t="s">
        <v>1888</v>
      </c>
      <c r="C158" t="s">
        <v>1889</v>
      </c>
      <c r="D158">
        <v>6074202000031710</v>
      </c>
      <c r="E158" t="str">
        <f>IF(COUNTIF(Tabela1[codProcesso],Tabela2[[#This Row],[PROCESSO]]),"Está","Não está")</f>
        <v>Não está</v>
      </c>
      <c r="F158" t="s">
        <v>2122</v>
      </c>
      <c r="G158" t="s">
        <v>2123</v>
      </c>
      <c r="H158" t="s">
        <v>2193</v>
      </c>
      <c r="I158" t="s">
        <v>2194</v>
      </c>
      <c r="J158" t="s">
        <v>2195</v>
      </c>
      <c r="K158" s="3">
        <v>46139</v>
      </c>
      <c r="L158" s="5">
        <v>77336</v>
      </c>
      <c r="M158" s="5">
        <v>5000</v>
      </c>
      <c r="N158" s="5">
        <v>6278</v>
      </c>
      <c r="O158" s="5">
        <v>6278</v>
      </c>
      <c r="P158" s="5">
        <v>6278</v>
      </c>
      <c r="Q158" s="5">
        <v>6278</v>
      </c>
      <c r="R158" s="5">
        <v>6278</v>
      </c>
      <c r="S158" s="5">
        <v>6278</v>
      </c>
      <c r="T158" s="5">
        <v>6278</v>
      </c>
      <c r="U158" s="5">
        <v>6678</v>
      </c>
      <c r="V158" s="5">
        <v>6678</v>
      </c>
      <c r="W158" s="5">
        <v>6678</v>
      </c>
      <c r="X158" s="5">
        <v>6678</v>
      </c>
      <c r="Y158" s="5">
        <v>6678</v>
      </c>
    </row>
    <row r="159" spans="1:25" x14ac:dyDescent="0.25">
      <c r="A159" t="s">
        <v>1887</v>
      </c>
      <c r="B159" t="s">
        <v>1888</v>
      </c>
      <c r="C159" t="s">
        <v>1889</v>
      </c>
      <c r="D159">
        <v>6074202000031710</v>
      </c>
      <c r="E159" t="str">
        <f>IF(COUNTIF(Tabela1[codProcesso],Tabela2[[#This Row],[PROCESSO]]),"Está","Não está")</f>
        <v>Não está</v>
      </c>
      <c r="F159" t="s">
        <v>2127</v>
      </c>
      <c r="G159" t="s">
        <v>2123</v>
      </c>
      <c r="H159" t="s">
        <v>2193</v>
      </c>
      <c r="I159" t="s">
        <v>2196</v>
      </c>
      <c r="J159" t="s">
        <v>2195</v>
      </c>
      <c r="K159" s="3">
        <v>46139</v>
      </c>
      <c r="L159" s="5">
        <v>250</v>
      </c>
      <c r="O159" s="5">
        <v>83.33</v>
      </c>
      <c r="P159" s="5">
        <v>83.33</v>
      </c>
      <c r="Q159" s="5">
        <v>83.34</v>
      </c>
    </row>
    <row r="160" spans="1:25" x14ac:dyDescent="0.25">
      <c r="A160" t="s">
        <v>1887</v>
      </c>
      <c r="B160" t="s">
        <v>1888</v>
      </c>
      <c r="C160" t="s">
        <v>1889</v>
      </c>
      <c r="D160">
        <v>6074202000031710</v>
      </c>
      <c r="E160" t="str">
        <f>IF(COUNTIF(Tabela1[codProcesso],Tabela2[[#This Row],[PROCESSO]]),"Está","Não está")</f>
        <v>Não está</v>
      </c>
      <c r="F160" t="s">
        <v>2122</v>
      </c>
      <c r="G160" t="s">
        <v>2123</v>
      </c>
      <c r="H160" t="s">
        <v>2193</v>
      </c>
      <c r="I160" t="s">
        <v>2197</v>
      </c>
      <c r="J160" t="s">
        <v>2195</v>
      </c>
      <c r="K160" s="3">
        <v>46139</v>
      </c>
      <c r="L160" s="5">
        <v>1200</v>
      </c>
      <c r="M160" s="5">
        <v>100</v>
      </c>
      <c r="S160" s="5">
        <v>350</v>
      </c>
    </row>
    <row r="161" spans="1:25" x14ac:dyDescent="0.25">
      <c r="A161" t="s">
        <v>1887</v>
      </c>
      <c r="B161" t="s">
        <v>1888</v>
      </c>
      <c r="C161" t="s">
        <v>1889</v>
      </c>
      <c r="D161">
        <v>6074202000035720</v>
      </c>
      <c r="E161" t="str">
        <f>IF(COUNTIF(Tabela1[codProcesso],Tabela2[[#This Row],[PROCESSO]]),"Está","Não está")</f>
        <v>Está</v>
      </c>
      <c r="F161" t="s">
        <v>2134</v>
      </c>
      <c r="G161" t="s">
        <v>2123</v>
      </c>
      <c r="H161" t="s">
        <v>2077</v>
      </c>
      <c r="I161" t="s">
        <v>2198</v>
      </c>
      <c r="J161" t="s">
        <v>2018</v>
      </c>
      <c r="K161" s="3">
        <v>46321</v>
      </c>
      <c r="L161" s="5">
        <v>108901.5</v>
      </c>
      <c r="M161" s="5">
        <v>9075.1299999999992</v>
      </c>
      <c r="N161" s="5">
        <v>9075.1299999999992</v>
      </c>
      <c r="O161" s="5">
        <v>9075.1299999999992</v>
      </c>
      <c r="P161" s="5">
        <v>9075.1299999999992</v>
      </c>
      <c r="Q161" s="5">
        <v>9075.1299999999992</v>
      </c>
      <c r="R161" s="5">
        <v>9075.1299999999992</v>
      </c>
      <c r="S161" s="5">
        <v>9075.1299999999992</v>
      </c>
      <c r="T161" s="5">
        <v>9075.1299999999992</v>
      </c>
      <c r="U161" s="5">
        <v>9075.1299999999992</v>
      </c>
      <c r="V161" s="5">
        <v>9075.1299999999992</v>
      </c>
      <c r="W161" s="5">
        <v>9075.1299999999992</v>
      </c>
      <c r="X161" s="5">
        <v>9075.1299999999992</v>
      </c>
      <c r="Y161" s="5">
        <v>9075.1299999999992</v>
      </c>
    </row>
    <row r="162" spans="1:25" x14ac:dyDescent="0.25">
      <c r="A162" t="s">
        <v>1887</v>
      </c>
      <c r="B162" t="s">
        <v>1888</v>
      </c>
      <c r="C162" t="s">
        <v>1889</v>
      </c>
      <c r="D162">
        <v>6074202000035890</v>
      </c>
      <c r="E162" t="str">
        <f>IF(COUNTIF(Tabela1[codProcesso],Tabela2[[#This Row],[PROCESSO]]),"Está","Não está")</f>
        <v>Está</v>
      </c>
      <c r="F162" t="s">
        <v>2199</v>
      </c>
      <c r="G162" t="s">
        <v>2123</v>
      </c>
      <c r="H162" t="s">
        <v>2077</v>
      </c>
      <c r="I162" t="s">
        <v>2200</v>
      </c>
      <c r="J162" t="s">
        <v>2201</v>
      </c>
      <c r="K162" s="3">
        <v>46323</v>
      </c>
      <c r="L162" s="4">
        <v>277973.28000000003</v>
      </c>
      <c r="M162" s="5">
        <v>26123.86</v>
      </c>
      <c r="N162" s="4">
        <v>24644.15</v>
      </c>
      <c r="O162" s="4">
        <v>24644.15</v>
      </c>
      <c r="P162" s="4">
        <v>24644.15</v>
      </c>
      <c r="Q162" s="4">
        <v>24644.15</v>
      </c>
      <c r="R162" s="4">
        <v>24644.15</v>
      </c>
      <c r="S162" s="4">
        <v>24644.15</v>
      </c>
      <c r="T162" s="4">
        <v>24644.15</v>
      </c>
      <c r="U162" s="4">
        <v>24644.15</v>
      </c>
      <c r="V162" s="4">
        <v>24644.15</v>
      </c>
      <c r="W162" s="4">
        <v>24644.15</v>
      </c>
      <c r="X162" s="5">
        <v>26123.86</v>
      </c>
      <c r="Y162" s="5">
        <v>26123.86</v>
      </c>
    </row>
    <row r="163" spans="1:25" x14ac:dyDescent="0.25">
      <c r="A163" t="s">
        <v>1887</v>
      </c>
      <c r="B163" t="s">
        <v>1888</v>
      </c>
      <c r="C163" t="s">
        <v>1889</v>
      </c>
      <c r="D163">
        <v>6074202000037450</v>
      </c>
      <c r="E163" t="str">
        <f>IF(COUNTIF(Tabela1[codProcesso],Tabela2[[#This Row],[PROCESSO]]),"Está","Não está")</f>
        <v>Não está</v>
      </c>
      <c r="F163" t="s">
        <v>2134</v>
      </c>
      <c r="G163" t="s">
        <v>2123</v>
      </c>
      <c r="H163" t="s">
        <v>2202</v>
      </c>
      <c r="I163" t="s">
        <v>2203</v>
      </c>
      <c r="J163" t="s">
        <v>2204</v>
      </c>
      <c r="K163" s="3">
        <v>46292</v>
      </c>
      <c r="L163" s="5">
        <v>53275.6</v>
      </c>
      <c r="M163" s="5">
        <v>4626.3</v>
      </c>
      <c r="N163" s="5">
        <v>4346.3</v>
      </c>
      <c r="O163" s="5">
        <v>4346.3</v>
      </c>
      <c r="P163" s="5">
        <v>4346.3</v>
      </c>
      <c r="Q163" s="5">
        <v>4346.3</v>
      </c>
      <c r="R163" s="5">
        <v>4346.3</v>
      </c>
      <c r="S163" s="5">
        <v>4346.3</v>
      </c>
      <c r="T163" s="5">
        <v>4346.3</v>
      </c>
      <c r="U163" s="5">
        <v>4346.3</v>
      </c>
      <c r="V163" s="5">
        <v>4626.3</v>
      </c>
      <c r="W163" s="5">
        <v>4626.3</v>
      </c>
      <c r="X163" s="5">
        <v>4626.3</v>
      </c>
      <c r="Y163" s="5">
        <v>4626.3</v>
      </c>
    </row>
    <row r="164" spans="1:25" x14ac:dyDescent="0.25">
      <c r="A164" t="s">
        <v>1887</v>
      </c>
      <c r="B164" t="s">
        <v>1888</v>
      </c>
      <c r="C164" t="s">
        <v>1889</v>
      </c>
      <c r="D164">
        <v>6074202000037450</v>
      </c>
      <c r="E164" t="str">
        <f>IF(COUNTIF(Tabela1[codProcesso],Tabela2[[#This Row],[PROCESSO]]),"Está","Não está")</f>
        <v>Não está</v>
      </c>
      <c r="F164" t="s">
        <v>2134</v>
      </c>
      <c r="G164" t="s">
        <v>2123</v>
      </c>
      <c r="H164" t="s">
        <v>2202</v>
      </c>
      <c r="I164" t="s">
        <v>2205</v>
      </c>
      <c r="J164" t="s">
        <v>2204</v>
      </c>
      <c r="K164" s="3">
        <v>46292</v>
      </c>
      <c r="L164" s="5">
        <v>23200</v>
      </c>
      <c r="O164" s="5">
        <v>2320</v>
      </c>
      <c r="P164" s="5">
        <v>2320</v>
      </c>
      <c r="Q164" s="5">
        <v>2320</v>
      </c>
      <c r="R164" s="5">
        <v>2320</v>
      </c>
      <c r="S164" s="5">
        <v>2320</v>
      </c>
      <c r="T164" s="5">
        <v>2320</v>
      </c>
      <c r="U164" s="5">
        <v>2320</v>
      </c>
      <c r="V164" s="5">
        <v>2320</v>
      </c>
      <c r="W164" s="5">
        <v>2320</v>
      </c>
      <c r="X164" s="5">
        <v>2320</v>
      </c>
    </row>
    <row r="165" spans="1:25" x14ac:dyDescent="0.25">
      <c r="A165" t="s">
        <v>1887</v>
      </c>
      <c r="B165" t="s">
        <v>1888</v>
      </c>
      <c r="C165" t="s">
        <v>1889</v>
      </c>
      <c r="D165">
        <v>6074202000039610</v>
      </c>
      <c r="E165" t="str">
        <f>IF(COUNTIF(Tabela1[codProcesso],Tabela2[[#This Row],[PROCESSO]]),"Está","Não está")</f>
        <v>Está</v>
      </c>
      <c r="F165" t="s">
        <v>2134</v>
      </c>
      <c r="G165" t="s">
        <v>2123</v>
      </c>
      <c r="H165" t="s">
        <v>2077</v>
      </c>
      <c r="I165" t="s">
        <v>2206</v>
      </c>
      <c r="J165" t="s">
        <v>2060</v>
      </c>
      <c r="K165" s="3">
        <v>46328</v>
      </c>
      <c r="L165" s="4">
        <v>96932.160000000003</v>
      </c>
      <c r="M165" s="5">
        <v>6448.52</v>
      </c>
      <c r="N165" s="4">
        <v>8609.56</v>
      </c>
      <c r="O165" s="4">
        <v>8609.56</v>
      </c>
      <c r="P165" s="4">
        <v>8609.56</v>
      </c>
      <c r="Q165" s="4">
        <v>8609.56</v>
      </c>
      <c r="R165" s="4">
        <v>8609.56</v>
      </c>
      <c r="S165" s="4">
        <v>8609.56</v>
      </c>
      <c r="T165" s="4">
        <v>8609.56</v>
      </c>
      <c r="U165" s="4">
        <v>8609.56</v>
      </c>
      <c r="V165" s="4">
        <v>8609.56</v>
      </c>
      <c r="W165" s="4">
        <v>8609.56</v>
      </c>
      <c r="X165" s="5">
        <v>9125.44</v>
      </c>
      <c r="Y165" s="5">
        <v>9125.44</v>
      </c>
    </row>
    <row r="166" spans="1:25" x14ac:dyDescent="0.25">
      <c r="A166" t="s">
        <v>1887</v>
      </c>
      <c r="B166" t="s">
        <v>1888</v>
      </c>
      <c r="C166" t="s">
        <v>1889</v>
      </c>
      <c r="D166">
        <v>6074202100003880</v>
      </c>
      <c r="E166" t="str">
        <f>IF(COUNTIF(Tabela1[codProcesso],Tabela2[[#This Row],[PROCESSO]]),"Está","Não está")</f>
        <v>Está</v>
      </c>
      <c r="F166" t="s">
        <v>2134</v>
      </c>
      <c r="G166" t="s">
        <v>2123</v>
      </c>
      <c r="H166" t="s">
        <v>1920</v>
      </c>
      <c r="I166" t="s">
        <v>2207</v>
      </c>
      <c r="J166" t="s">
        <v>1922</v>
      </c>
      <c r="K166" s="3">
        <v>46349</v>
      </c>
      <c r="L166" s="5">
        <v>65200</v>
      </c>
      <c r="M166" s="5">
        <v>5800</v>
      </c>
      <c r="N166" s="5">
        <v>5400</v>
      </c>
      <c r="O166" s="5">
        <v>5400</v>
      </c>
      <c r="P166" s="5">
        <v>5400</v>
      </c>
      <c r="Q166" s="5">
        <v>5400</v>
      </c>
      <c r="R166" s="5">
        <v>5400</v>
      </c>
      <c r="S166" s="5">
        <v>5400</v>
      </c>
      <c r="T166" s="5">
        <v>5400</v>
      </c>
      <c r="U166" s="5">
        <v>5400</v>
      </c>
      <c r="V166" s="5">
        <v>5400</v>
      </c>
      <c r="W166" s="5">
        <v>5400</v>
      </c>
      <c r="X166" s="5">
        <v>5400</v>
      </c>
      <c r="Y166" s="5">
        <v>5800</v>
      </c>
    </row>
    <row r="167" spans="1:25" x14ac:dyDescent="0.25">
      <c r="A167" t="s">
        <v>1887</v>
      </c>
      <c r="B167" t="s">
        <v>1888</v>
      </c>
      <c r="C167" t="s">
        <v>1889</v>
      </c>
      <c r="D167">
        <v>6074202100003880</v>
      </c>
      <c r="E167" t="str">
        <f>IF(COUNTIF(Tabela1[codProcesso],Tabela2[[#This Row],[PROCESSO]]),"Está","Não está")</f>
        <v>Está</v>
      </c>
      <c r="F167" t="s">
        <v>2134</v>
      </c>
      <c r="G167" t="s">
        <v>2123</v>
      </c>
      <c r="H167" t="s">
        <v>722</v>
      </c>
      <c r="I167" t="s">
        <v>2207</v>
      </c>
      <c r="J167" t="s">
        <v>2208</v>
      </c>
      <c r="K167" s="3">
        <v>46349</v>
      </c>
      <c r="L167" s="5">
        <v>483200</v>
      </c>
      <c r="M167" s="5">
        <v>43200</v>
      </c>
      <c r="N167" s="5">
        <v>40000</v>
      </c>
      <c r="O167" s="5">
        <v>40000</v>
      </c>
      <c r="P167" s="5">
        <v>40000</v>
      </c>
      <c r="Q167" s="5">
        <v>40000</v>
      </c>
      <c r="R167" s="5">
        <v>40000</v>
      </c>
      <c r="S167" s="5">
        <v>40000</v>
      </c>
      <c r="T167" s="5">
        <v>40000</v>
      </c>
      <c r="U167" s="5">
        <v>40000</v>
      </c>
      <c r="V167" s="5">
        <v>40000</v>
      </c>
      <c r="W167" s="5">
        <v>40000</v>
      </c>
      <c r="X167" s="5">
        <v>40000</v>
      </c>
      <c r="Y167" s="5">
        <v>43200</v>
      </c>
    </row>
    <row r="168" spans="1:25" x14ac:dyDescent="0.25">
      <c r="A168" t="s">
        <v>1887</v>
      </c>
      <c r="B168" t="s">
        <v>1888</v>
      </c>
      <c r="C168" t="s">
        <v>1889</v>
      </c>
      <c r="D168">
        <v>6074202100014100</v>
      </c>
      <c r="E168" t="str">
        <f>IF(COUNTIF(Tabela1[codProcesso],Tabela2[[#This Row],[PROCESSO]]),"Está","Não está")</f>
        <v>Não está</v>
      </c>
      <c r="F168" t="s">
        <v>2122</v>
      </c>
      <c r="G168" t="s">
        <v>2123</v>
      </c>
      <c r="H168" t="s">
        <v>2209</v>
      </c>
      <c r="I168" t="s">
        <v>2210</v>
      </c>
      <c r="J168" t="s">
        <v>2211</v>
      </c>
      <c r="K168" s="3">
        <v>46153</v>
      </c>
      <c r="L168" s="5">
        <v>63863.24</v>
      </c>
      <c r="M168" s="5">
        <v>4100</v>
      </c>
      <c r="N168" s="5">
        <v>5103.2700000000004</v>
      </c>
      <c r="O168" s="5">
        <v>5103.2700000000004</v>
      </c>
      <c r="P168" s="5">
        <v>5103.2700000000004</v>
      </c>
      <c r="Q168" s="5">
        <v>5103.2700000000004</v>
      </c>
      <c r="R168" s="5">
        <v>5431.27</v>
      </c>
      <c r="S168" s="5">
        <v>5431.27</v>
      </c>
      <c r="T168" s="5">
        <v>5431.27</v>
      </c>
      <c r="U168" s="5">
        <v>5431.27</v>
      </c>
      <c r="V168" s="5">
        <v>5431.27</v>
      </c>
      <c r="W168" s="5">
        <v>5431.27</v>
      </c>
      <c r="X168" s="5">
        <v>5431.27</v>
      </c>
      <c r="Y168" s="5">
        <v>5431.27</v>
      </c>
    </row>
    <row r="169" spans="1:25" x14ac:dyDescent="0.25">
      <c r="A169" t="s">
        <v>1887</v>
      </c>
      <c r="B169" t="s">
        <v>1888</v>
      </c>
      <c r="C169" t="s">
        <v>1889</v>
      </c>
      <c r="D169">
        <v>6074202100014100</v>
      </c>
      <c r="E169" t="str">
        <f>IF(COUNTIF(Tabela1[codProcesso],Tabela2[[#This Row],[PROCESSO]]),"Está","Não está")</f>
        <v>Não está</v>
      </c>
      <c r="F169" t="s">
        <v>2122</v>
      </c>
      <c r="G169" t="s">
        <v>2123</v>
      </c>
      <c r="H169" t="s">
        <v>2209</v>
      </c>
      <c r="I169" t="s">
        <v>2212</v>
      </c>
      <c r="J169" t="s">
        <v>2211</v>
      </c>
      <c r="K169" s="3">
        <v>46153</v>
      </c>
      <c r="L169" s="5">
        <v>1700</v>
      </c>
      <c r="M169" s="5">
        <v>1700</v>
      </c>
      <c r="N169" s="5">
        <v>0</v>
      </c>
      <c r="O169" s="5">
        <v>170</v>
      </c>
      <c r="P169" s="5">
        <v>170</v>
      </c>
      <c r="Q169" s="5">
        <v>170</v>
      </c>
      <c r="R169" s="5">
        <v>170</v>
      </c>
      <c r="S169" s="5">
        <v>170</v>
      </c>
      <c r="T169" s="5">
        <v>170</v>
      </c>
      <c r="U169" s="5">
        <v>170</v>
      </c>
      <c r="V169" s="5">
        <v>170</v>
      </c>
      <c r="W169" s="5">
        <v>170</v>
      </c>
      <c r="X169" s="5">
        <v>170</v>
      </c>
      <c r="Y169" s="5">
        <v>0</v>
      </c>
    </row>
    <row r="170" spans="1:25" x14ac:dyDescent="0.25">
      <c r="A170" t="s">
        <v>1887</v>
      </c>
      <c r="B170" t="s">
        <v>1888</v>
      </c>
      <c r="C170" t="s">
        <v>1889</v>
      </c>
      <c r="D170">
        <v>6074202100014100</v>
      </c>
      <c r="E170" t="str">
        <f>IF(COUNTIF(Tabela1[codProcesso],Tabela2[[#This Row],[PROCESSO]]),"Está","Não está")</f>
        <v>Não está</v>
      </c>
      <c r="F170" t="s">
        <v>2122</v>
      </c>
      <c r="G170" t="s">
        <v>2123</v>
      </c>
      <c r="H170" t="s">
        <v>2209</v>
      </c>
      <c r="I170" t="s">
        <v>2213</v>
      </c>
      <c r="J170" t="s">
        <v>2211</v>
      </c>
      <c r="K170" s="3">
        <v>46153</v>
      </c>
      <c r="L170" s="5">
        <v>1200</v>
      </c>
      <c r="M170" s="5">
        <v>100</v>
      </c>
      <c r="N170" s="5">
        <v>0</v>
      </c>
      <c r="O170" s="5">
        <v>0</v>
      </c>
      <c r="P170" s="5">
        <v>350</v>
      </c>
      <c r="Q170" s="5">
        <v>0</v>
      </c>
      <c r="R170" s="5">
        <v>0</v>
      </c>
      <c r="S170" s="5">
        <v>0</v>
      </c>
      <c r="T170" s="5">
        <v>0</v>
      </c>
      <c r="U170" s="5">
        <v>0</v>
      </c>
      <c r="V170" s="5">
        <v>0</v>
      </c>
      <c r="W170" s="5">
        <v>0</v>
      </c>
      <c r="X170" s="5">
        <v>0</v>
      </c>
      <c r="Y170" s="5">
        <v>0</v>
      </c>
    </row>
    <row r="171" spans="1:25" x14ac:dyDescent="0.25">
      <c r="A171" t="s">
        <v>1887</v>
      </c>
      <c r="B171" t="s">
        <v>1888</v>
      </c>
      <c r="C171" t="s">
        <v>1889</v>
      </c>
      <c r="D171">
        <v>6074202100023310</v>
      </c>
      <c r="E171" t="str">
        <f>IF(COUNTIF(Tabela1[codProcesso],Tabela2[[#This Row],[PROCESSO]]),"Está","Não está")</f>
        <v>Está</v>
      </c>
      <c r="F171" t="s">
        <v>2134</v>
      </c>
      <c r="G171" t="s">
        <v>2123</v>
      </c>
      <c r="H171" t="s">
        <v>2077</v>
      </c>
      <c r="I171" t="s">
        <v>2214</v>
      </c>
      <c r="J171" t="s">
        <v>1924</v>
      </c>
      <c r="K171" s="3">
        <v>46370</v>
      </c>
      <c r="L171" s="5">
        <v>997082.96</v>
      </c>
      <c r="M171" s="5">
        <v>89143.18</v>
      </c>
      <c r="N171" s="5">
        <v>82539.98</v>
      </c>
      <c r="O171" s="5">
        <v>82539.98</v>
      </c>
      <c r="P171" s="5">
        <v>82539.98</v>
      </c>
      <c r="Q171" s="5">
        <v>82539.98</v>
      </c>
      <c r="R171" s="5">
        <v>82539.98</v>
      </c>
      <c r="S171" s="5">
        <v>82539.98</v>
      </c>
      <c r="T171" s="5">
        <v>82539.98</v>
      </c>
      <c r="U171" s="5">
        <v>82539.98</v>
      </c>
      <c r="V171" s="5">
        <v>82539.98</v>
      </c>
      <c r="W171" s="5">
        <v>82539.98</v>
      </c>
      <c r="X171" s="5">
        <v>82539.98</v>
      </c>
      <c r="Y171" s="5">
        <v>89143.18</v>
      </c>
    </row>
    <row r="172" spans="1:25" x14ac:dyDescent="0.25">
      <c r="A172" t="s">
        <v>1887</v>
      </c>
      <c r="B172" t="s">
        <v>1888</v>
      </c>
      <c r="C172" t="s">
        <v>1889</v>
      </c>
      <c r="D172">
        <v>6074202100030840</v>
      </c>
      <c r="E172" t="str">
        <f>IF(COUNTIF(Tabela1[codProcesso],Tabela2[[#This Row],[PROCESSO]]),"Está","Não está")</f>
        <v>Está</v>
      </c>
      <c r="F172" t="s">
        <v>2134</v>
      </c>
      <c r="G172" t="s">
        <v>2123</v>
      </c>
      <c r="H172" t="s">
        <v>2077</v>
      </c>
      <c r="I172" t="s">
        <v>2215</v>
      </c>
      <c r="J172" t="s">
        <v>2216</v>
      </c>
      <c r="K172" s="3">
        <v>46235</v>
      </c>
      <c r="L172" s="5">
        <v>396000</v>
      </c>
      <c r="M172" s="5">
        <v>33000</v>
      </c>
      <c r="N172" s="5">
        <v>33000</v>
      </c>
      <c r="O172" s="5">
        <v>33000</v>
      </c>
      <c r="P172" s="5">
        <v>33000</v>
      </c>
      <c r="Q172" s="5">
        <v>33000</v>
      </c>
      <c r="R172" s="5">
        <v>33000</v>
      </c>
      <c r="S172" s="5">
        <v>33000</v>
      </c>
      <c r="T172" s="5">
        <v>33000</v>
      </c>
      <c r="U172" s="5">
        <v>33000</v>
      </c>
      <c r="V172" s="5">
        <v>33000</v>
      </c>
      <c r="W172" s="5">
        <v>33000</v>
      </c>
      <c r="X172" s="5">
        <v>33000</v>
      </c>
      <c r="Y172" s="5">
        <v>33000</v>
      </c>
    </row>
    <row r="173" spans="1:25" x14ac:dyDescent="0.25">
      <c r="A173" t="s">
        <v>1887</v>
      </c>
      <c r="B173" t="s">
        <v>1888</v>
      </c>
      <c r="C173" t="s">
        <v>1889</v>
      </c>
      <c r="D173">
        <v>6074202100037760</v>
      </c>
      <c r="E173" t="str">
        <f>IF(COUNTIF(Tabela1[codProcesso],Tabela2[[#This Row],[PROCESSO]]),"Está","Não está")</f>
        <v>Está</v>
      </c>
      <c r="F173" t="s">
        <v>2134</v>
      </c>
      <c r="G173" t="s">
        <v>2123</v>
      </c>
      <c r="H173" t="s">
        <v>377</v>
      </c>
      <c r="I173" t="s">
        <v>2217</v>
      </c>
      <c r="J173" t="s">
        <v>2218</v>
      </c>
      <c r="K173" s="3">
        <v>46253</v>
      </c>
      <c r="L173" s="5">
        <v>38463.599999999999</v>
      </c>
      <c r="M173" s="5">
        <v>5517.8</v>
      </c>
      <c r="N173" s="5">
        <v>6410.6</v>
      </c>
      <c r="O173" s="5">
        <v>6852.02</v>
      </c>
      <c r="P173" s="5">
        <v>6852.02</v>
      </c>
      <c r="Q173" s="5">
        <v>6852.02</v>
      </c>
      <c r="R173" s="5">
        <v>6852.02</v>
      </c>
      <c r="S173" s="5">
        <v>6852.02</v>
      </c>
      <c r="T173" s="5">
        <v>6852.02</v>
      </c>
      <c r="U173" s="5">
        <v>7839.92</v>
      </c>
      <c r="V173" s="5">
        <v>7839.92</v>
      </c>
      <c r="W173" s="5">
        <v>7839.92</v>
      </c>
      <c r="X173" s="5">
        <v>7839.92</v>
      </c>
      <c r="Y173" s="5">
        <v>7839.92</v>
      </c>
    </row>
    <row r="174" spans="1:25" x14ac:dyDescent="0.25">
      <c r="A174" t="s">
        <v>1887</v>
      </c>
      <c r="B174" t="s">
        <v>1888</v>
      </c>
      <c r="C174" t="s">
        <v>1889</v>
      </c>
      <c r="D174">
        <v>6074202100041150</v>
      </c>
      <c r="E174" t="str">
        <f>IF(COUNTIF(Tabela1[codProcesso],Tabela2[[#This Row],[PROCESSO]]),"Está","Não está")</f>
        <v>Está</v>
      </c>
      <c r="F174" t="s">
        <v>2134</v>
      </c>
      <c r="G174" t="s">
        <v>2123</v>
      </c>
      <c r="H174" t="s">
        <v>2219</v>
      </c>
      <c r="I174" t="s">
        <v>2220</v>
      </c>
      <c r="J174" t="s">
        <v>2221</v>
      </c>
      <c r="K174" s="3">
        <v>46343</v>
      </c>
      <c r="L174" s="4">
        <v>1198631.2</v>
      </c>
      <c r="M174" s="5">
        <v>105224.6</v>
      </c>
      <c r="N174" s="4">
        <v>98818.2</v>
      </c>
      <c r="O174" s="4">
        <v>98818.2</v>
      </c>
      <c r="P174" s="4">
        <v>98818.2</v>
      </c>
      <c r="Q174" s="4">
        <v>98818.2</v>
      </c>
      <c r="R174" s="4">
        <v>98818.2</v>
      </c>
      <c r="S174" s="4">
        <v>98818.2</v>
      </c>
      <c r="T174" s="4">
        <v>98818.2</v>
      </c>
      <c r="U174" s="4">
        <v>98818.2</v>
      </c>
      <c r="V174" s="4">
        <v>98818.2</v>
      </c>
      <c r="W174" s="4">
        <v>98818.2</v>
      </c>
      <c r="X174" s="5">
        <v>105224.6</v>
      </c>
      <c r="Y174" s="5">
        <v>105224.6</v>
      </c>
    </row>
    <row r="175" spans="1:25" x14ac:dyDescent="0.25">
      <c r="A175" t="s">
        <v>1887</v>
      </c>
      <c r="B175" t="s">
        <v>1888</v>
      </c>
      <c r="C175" t="s">
        <v>1889</v>
      </c>
      <c r="D175">
        <v>6074202100043010</v>
      </c>
      <c r="E175" t="str">
        <f>IF(COUNTIF(Tabela1[codProcesso],Tabela2[[#This Row],[PROCESSO]]),"Está","Não está")</f>
        <v>Não está</v>
      </c>
      <c r="F175" t="s">
        <v>2122</v>
      </c>
      <c r="G175" t="s">
        <v>2123</v>
      </c>
      <c r="H175" t="s">
        <v>2222</v>
      </c>
      <c r="I175" t="s">
        <v>2223</v>
      </c>
      <c r="J175" t="s">
        <v>2224</v>
      </c>
      <c r="K175" s="3">
        <v>46288</v>
      </c>
      <c r="L175" s="5">
        <v>8500</v>
      </c>
      <c r="M175" s="5">
        <v>850</v>
      </c>
      <c r="O175" s="5">
        <v>850</v>
      </c>
      <c r="P175" s="5">
        <v>850</v>
      </c>
      <c r="Q175" s="5">
        <v>850</v>
      </c>
      <c r="R175" s="5">
        <v>850</v>
      </c>
      <c r="S175" s="5">
        <v>850</v>
      </c>
      <c r="T175" s="5">
        <v>850</v>
      </c>
      <c r="U175" s="5">
        <v>850</v>
      </c>
      <c r="V175" s="5">
        <v>850</v>
      </c>
      <c r="W175" s="5">
        <v>850</v>
      </c>
      <c r="X175" s="5">
        <v>850</v>
      </c>
    </row>
    <row r="176" spans="1:25" x14ac:dyDescent="0.25">
      <c r="A176" t="s">
        <v>1887</v>
      </c>
      <c r="B176" t="s">
        <v>1888</v>
      </c>
      <c r="C176" t="s">
        <v>1889</v>
      </c>
      <c r="D176">
        <v>6074202100043010</v>
      </c>
      <c r="E176" t="str">
        <f>IF(COUNTIF(Tabela1[codProcesso],Tabela2[[#This Row],[PROCESSO]]),"Está","Não está")</f>
        <v>Não está</v>
      </c>
      <c r="F176" t="s">
        <v>2122</v>
      </c>
      <c r="G176" t="s">
        <v>2123</v>
      </c>
      <c r="H176" t="s">
        <v>2222</v>
      </c>
      <c r="I176" t="s">
        <v>2225</v>
      </c>
      <c r="J176" t="s">
        <v>2224</v>
      </c>
      <c r="K176" s="3">
        <v>46288</v>
      </c>
      <c r="L176" s="5">
        <v>75495.759999999995</v>
      </c>
      <c r="M176" s="5">
        <v>6557.98</v>
      </c>
      <c r="N176" s="5">
        <v>6157.98</v>
      </c>
      <c r="O176" s="5">
        <v>6157.98</v>
      </c>
      <c r="P176" s="5">
        <v>6157.98</v>
      </c>
      <c r="Q176" s="5">
        <v>6157.98</v>
      </c>
      <c r="R176" s="5">
        <v>6157.98</v>
      </c>
      <c r="S176" s="5">
        <v>6157.98</v>
      </c>
      <c r="T176" s="5">
        <v>6157.98</v>
      </c>
      <c r="U176" s="5">
        <v>6157.98</v>
      </c>
      <c r="V176" s="5">
        <v>6557.98</v>
      </c>
      <c r="W176" s="5">
        <v>6557.98</v>
      </c>
      <c r="X176" s="5">
        <v>6557.98</v>
      </c>
      <c r="Y176" s="5">
        <v>6557.98</v>
      </c>
    </row>
    <row r="177" spans="1:25" x14ac:dyDescent="0.25">
      <c r="A177" t="s">
        <v>1887</v>
      </c>
      <c r="B177" t="s">
        <v>1888</v>
      </c>
      <c r="C177" t="s">
        <v>1889</v>
      </c>
      <c r="D177">
        <v>6074202100043010</v>
      </c>
      <c r="E177" t="str">
        <f>IF(COUNTIF(Tabela1[codProcesso],Tabela2[[#This Row],[PROCESSO]]),"Está","Não está")</f>
        <v>Não está</v>
      </c>
      <c r="F177" t="s">
        <v>2134</v>
      </c>
      <c r="G177" t="s">
        <v>2123</v>
      </c>
      <c r="H177" t="s">
        <v>2222</v>
      </c>
      <c r="I177" t="s">
        <v>2226</v>
      </c>
      <c r="J177" t="s">
        <v>2224</v>
      </c>
      <c r="K177" s="3">
        <v>46288</v>
      </c>
      <c r="L177" s="5">
        <v>1200</v>
      </c>
      <c r="M177" s="5">
        <v>100</v>
      </c>
      <c r="O177" s="5">
        <v>700</v>
      </c>
      <c r="P177" s="5">
        <v>0</v>
      </c>
      <c r="Q177" s="5">
        <v>0</v>
      </c>
      <c r="R177" s="5">
        <v>0</v>
      </c>
      <c r="S177" s="5">
        <v>0</v>
      </c>
      <c r="T177" s="5">
        <v>0</v>
      </c>
      <c r="U177" s="5">
        <v>0</v>
      </c>
      <c r="V177" s="5">
        <v>850</v>
      </c>
      <c r="W177" s="5">
        <v>850</v>
      </c>
      <c r="X177" s="5">
        <v>0</v>
      </c>
    </row>
    <row r="178" spans="1:25" x14ac:dyDescent="0.25">
      <c r="A178" t="s">
        <v>1887</v>
      </c>
      <c r="B178" t="s">
        <v>1888</v>
      </c>
      <c r="C178" t="s">
        <v>1889</v>
      </c>
      <c r="D178">
        <v>6074202100043970</v>
      </c>
      <c r="E178" t="str">
        <f>IF(COUNTIF(Tabela1[codProcesso],Tabela2[[#This Row],[PROCESSO]]),"Está","Não está")</f>
        <v>Não está</v>
      </c>
      <c r="F178" t="s">
        <v>2134</v>
      </c>
      <c r="G178" t="s">
        <v>2123</v>
      </c>
      <c r="H178" t="s">
        <v>2227</v>
      </c>
      <c r="I178" t="s">
        <v>2228</v>
      </c>
      <c r="J178" t="s">
        <v>2229</v>
      </c>
      <c r="K178" s="3">
        <v>46237</v>
      </c>
      <c r="L178" s="5">
        <v>70408</v>
      </c>
      <c r="M178" s="5">
        <v>5364.5</v>
      </c>
      <c r="N178" s="5">
        <v>5364.5</v>
      </c>
      <c r="O178" s="5">
        <v>5364.5</v>
      </c>
      <c r="P178" s="5">
        <v>5364.5</v>
      </c>
      <c r="Q178" s="5">
        <v>5364.5</v>
      </c>
      <c r="R178" s="5">
        <v>5364.5</v>
      </c>
      <c r="S178" s="5">
        <v>6226.5</v>
      </c>
      <c r="T178" s="5">
        <v>6226.5</v>
      </c>
      <c r="U178" s="5">
        <v>6226.5</v>
      </c>
      <c r="V178" s="5">
        <v>6226.5</v>
      </c>
      <c r="W178" s="5">
        <v>6226.5</v>
      </c>
      <c r="X178" s="5">
        <v>6226.5</v>
      </c>
      <c r="Y178" s="5">
        <v>6226.5</v>
      </c>
    </row>
    <row r="179" spans="1:25" x14ac:dyDescent="0.25">
      <c r="A179" t="s">
        <v>1887</v>
      </c>
      <c r="B179" t="s">
        <v>1888</v>
      </c>
      <c r="C179" t="s">
        <v>1889</v>
      </c>
      <c r="D179">
        <v>6074202100043970</v>
      </c>
      <c r="E179" t="str">
        <f>IF(COUNTIF(Tabela1[codProcesso],Tabela2[[#This Row],[PROCESSO]]),"Está","Não está")</f>
        <v>Não está</v>
      </c>
      <c r="F179" t="s">
        <v>2134</v>
      </c>
      <c r="G179" t="s">
        <v>2123</v>
      </c>
      <c r="H179" t="s">
        <v>2227</v>
      </c>
      <c r="I179" t="s">
        <v>2230</v>
      </c>
      <c r="J179" t="s">
        <v>2229</v>
      </c>
      <c r="K179" s="3">
        <v>46237</v>
      </c>
      <c r="L179" s="5">
        <v>3850</v>
      </c>
      <c r="M179" s="5">
        <v>385</v>
      </c>
      <c r="O179" s="5">
        <v>385</v>
      </c>
      <c r="P179" s="5">
        <v>385</v>
      </c>
      <c r="Q179" s="5">
        <v>385</v>
      </c>
      <c r="R179" s="5">
        <v>385</v>
      </c>
      <c r="S179" s="5">
        <v>385</v>
      </c>
      <c r="T179" s="5">
        <v>385</v>
      </c>
      <c r="U179" s="5">
        <v>385</v>
      </c>
      <c r="V179" s="5">
        <v>385</v>
      </c>
      <c r="W179" s="5">
        <v>385</v>
      </c>
      <c r="X179" s="5">
        <v>385</v>
      </c>
    </row>
    <row r="180" spans="1:25" x14ac:dyDescent="0.25">
      <c r="A180" t="s">
        <v>1887</v>
      </c>
      <c r="B180" t="s">
        <v>1888</v>
      </c>
      <c r="C180" t="s">
        <v>1889</v>
      </c>
      <c r="D180">
        <v>6074202100053370</v>
      </c>
      <c r="E180" t="str">
        <f>IF(COUNTIF(Tabela1[codProcesso],Tabela2[[#This Row],[PROCESSO]]),"Está","Não está")</f>
        <v>Não está</v>
      </c>
      <c r="F180" t="s">
        <v>2122</v>
      </c>
      <c r="G180" t="s">
        <v>2123</v>
      </c>
      <c r="H180" t="s">
        <v>2231</v>
      </c>
      <c r="I180" t="s">
        <v>2232</v>
      </c>
      <c r="J180" t="s">
        <v>2233</v>
      </c>
      <c r="K180" s="3">
        <v>46130</v>
      </c>
      <c r="L180" s="5">
        <v>72194.34</v>
      </c>
      <c r="M180" s="5">
        <v>5293.33</v>
      </c>
      <c r="N180" s="5">
        <v>5698.57</v>
      </c>
      <c r="O180" s="5">
        <v>5698.57</v>
      </c>
      <c r="P180" s="5">
        <v>5698.57</v>
      </c>
      <c r="Q180" s="5">
        <v>6122.07</v>
      </c>
      <c r="R180" s="5">
        <v>6122.07</v>
      </c>
      <c r="S180" s="5">
        <v>6122.07</v>
      </c>
      <c r="T180" s="5">
        <v>6122.07</v>
      </c>
      <c r="U180" s="5">
        <v>6122.07</v>
      </c>
      <c r="V180" s="5">
        <v>6122.07</v>
      </c>
      <c r="W180" s="5">
        <v>6122.07</v>
      </c>
      <c r="X180" s="5">
        <v>6122.07</v>
      </c>
      <c r="Y180" s="5">
        <v>6122.07</v>
      </c>
    </row>
    <row r="181" spans="1:25" x14ac:dyDescent="0.25">
      <c r="A181" t="s">
        <v>1887</v>
      </c>
      <c r="B181" t="s">
        <v>1888</v>
      </c>
      <c r="C181" t="s">
        <v>1889</v>
      </c>
      <c r="D181">
        <v>6074202100053370</v>
      </c>
      <c r="E181" t="str">
        <f>IF(COUNTIF(Tabela1[codProcesso],Tabela2[[#This Row],[PROCESSO]]),"Está","Não está")</f>
        <v>Não está</v>
      </c>
      <c r="F181" t="s">
        <v>2122</v>
      </c>
      <c r="G181" t="s">
        <v>2123</v>
      </c>
      <c r="H181" t="s">
        <v>2231</v>
      </c>
      <c r="I181" t="s">
        <v>2234</v>
      </c>
      <c r="J181" t="s">
        <v>2233</v>
      </c>
      <c r="K181" s="3">
        <v>46130</v>
      </c>
      <c r="L181" s="5">
        <v>3000</v>
      </c>
      <c r="M181" s="5">
        <v>300</v>
      </c>
      <c r="O181" s="5">
        <v>300</v>
      </c>
      <c r="P181" s="5">
        <v>300</v>
      </c>
      <c r="Q181" s="5">
        <v>300</v>
      </c>
      <c r="R181" s="5">
        <v>300</v>
      </c>
      <c r="S181" s="5">
        <v>300</v>
      </c>
      <c r="T181" s="5">
        <v>300</v>
      </c>
      <c r="U181" s="5">
        <v>300</v>
      </c>
      <c r="V181" s="5">
        <v>300</v>
      </c>
      <c r="W181" s="5">
        <v>300</v>
      </c>
      <c r="X181" s="5">
        <v>300</v>
      </c>
    </row>
    <row r="182" spans="1:25" x14ac:dyDescent="0.25">
      <c r="A182" t="s">
        <v>1887</v>
      </c>
      <c r="B182" t="s">
        <v>1888</v>
      </c>
      <c r="C182" t="s">
        <v>1889</v>
      </c>
      <c r="D182">
        <v>6074202100053370</v>
      </c>
      <c r="E182" t="str">
        <f>IF(COUNTIF(Tabela1[codProcesso],Tabela2[[#This Row],[PROCESSO]]),"Está","Não está")</f>
        <v>Não está</v>
      </c>
      <c r="F182" t="s">
        <v>2122</v>
      </c>
      <c r="G182" t="s">
        <v>2123</v>
      </c>
      <c r="H182" t="s">
        <v>2231</v>
      </c>
      <c r="I182" t="s">
        <v>2235</v>
      </c>
      <c r="J182" t="s">
        <v>2233</v>
      </c>
      <c r="K182" s="3">
        <v>46130</v>
      </c>
      <c r="L182" s="5">
        <v>1200</v>
      </c>
      <c r="M182" s="5">
        <v>100</v>
      </c>
      <c r="S182" s="5">
        <v>350</v>
      </c>
    </row>
    <row r="183" spans="1:25" x14ac:dyDescent="0.25">
      <c r="A183" t="s">
        <v>1887</v>
      </c>
      <c r="B183" t="s">
        <v>1888</v>
      </c>
      <c r="C183" t="s">
        <v>1889</v>
      </c>
      <c r="D183">
        <v>6074202100058360</v>
      </c>
      <c r="E183" t="str">
        <f>IF(COUNTIF(Tabela1[codProcesso],Tabela2[[#This Row],[PROCESSO]]),"Está","Não está")</f>
        <v>Não está</v>
      </c>
      <c r="F183" t="s">
        <v>2122</v>
      </c>
      <c r="G183" t="s">
        <v>2123</v>
      </c>
      <c r="H183" t="s">
        <v>2236</v>
      </c>
      <c r="I183" t="s">
        <v>2237</v>
      </c>
      <c r="J183" t="s">
        <v>2238</v>
      </c>
      <c r="K183" s="3">
        <v>46309</v>
      </c>
      <c r="L183" s="5">
        <v>1100</v>
      </c>
      <c r="O183" s="5">
        <v>110</v>
      </c>
      <c r="P183" s="5">
        <v>110</v>
      </c>
      <c r="Q183" s="5">
        <v>110</v>
      </c>
      <c r="R183" s="5">
        <v>110</v>
      </c>
      <c r="S183" s="5">
        <v>110</v>
      </c>
      <c r="T183" s="5">
        <v>110</v>
      </c>
      <c r="U183" s="5">
        <v>110</v>
      </c>
      <c r="V183" s="5">
        <v>110</v>
      </c>
      <c r="W183" s="5">
        <v>110</v>
      </c>
      <c r="X183" s="5">
        <v>110</v>
      </c>
      <c r="Y183" s="5">
        <v>0</v>
      </c>
    </row>
    <row r="184" spans="1:25" x14ac:dyDescent="0.25">
      <c r="A184" t="s">
        <v>1887</v>
      </c>
      <c r="B184" t="s">
        <v>1888</v>
      </c>
      <c r="C184" t="s">
        <v>1889</v>
      </c>
      <c r="D184">
        <v>6074202100058360</v>
      </c>
      <c r="E184" t="str">
        <f>IF(COUNTIF(Tabela1[codProcesso],Tabela2[[#This Row],[PROCESSO]]),"Está","Não está")</f>
        <v>Não está</v>
      </c>
      <c r="F184" t="s">
        <v>2122</v>
      </c>
      <c r="G184" t="s">
        <v>2123</v>
      </c>
      <c r="H184" t="s">
        <v>2236</v>
      </c>
      <c r="I184" t="s">
        <v>2239</v>
      </c>
      <c r="J184" t="s">
        <v>2238</v>
      </c>
      <c r="K184" s="3">
        <v>46309</v>
      </c>
      <c r="L184" s="5">
        <v>54012.480000000003</v>
      </c>
      <c r="M184" s="5">
        <v>4723.04</v>
      </c>
      <c r="N184" s="5">
        <v>4427.04</v>
      </c>
      <c r="O184" s="5">
        <v>4427.04</v>
      </c>
      <c r="P184" s="5">
        <v>4427.04</v>
      </c>
      <c r="Q184" s="5">
        <v>4427.04</v>
      </c>
      <c r="R184" s="5">
        <v>4427.04</v>
      </c>
      <c r="S184" s="5">
        <v>4427.04</v>
      </c>
      <c r="T184" s="5">
        <v>4427.04</v>
      </c>
      <c r="U184" s="5">
        <v>4427.04</v>
      </c>
      <c r="V184" s="5">
        <v>4427.04</v>
      </c>
      <c r="W184" s="5">
        <v>4723.04</v>
      </c>
      <c r="X184" s="5">
        <v>4723.04</v>
      </c>
      <c r="Y184" s="5">
        <v>4723.04</v>
      </c>
    </row>
    <row r="185" spans="1:25" x14ac:dyDescent="0.25">
      <c r="A185" t="s">
        <v>1887</v>
      </c>
      <c r="B185" t="s">
        <v>1888</v>
      </c>
      <c r="C185" t="s">
        <v>1889</v>
      </c>
      <c r="D185">
        <v>6074202100058360</v>
      </c>
      <c r="E185" t="str">
        <f>IF(COUNTIF(Tabela1[codProcesso],Tabela2[[#This Row],[PROCESSO]]),"Está","Não está")</f>
        <v>Não está</v>
      </c>
      <c r="F185" t="s">
        <v>2122</v>
      </c>
      <c r="G185" t="s">
        <v>2123</v>
      </c>
      <c r="H185" t="s">
        <v>2236</v>
      </c>
      <c r="I185" t="s">
        <v>2240</v>
      </c>
      <c r="J185" t="s">
        <v>2238</v>
      </c>
      <c r="K185" s="3">
        <v>46309</v>
      </c>
      <c r="L185" s="5">
        <v>1200</v>
      </c>
      <c r="M185" s="5">
        <v>100</v>
      </c>
      <c r="N185" s="5">
        <v>0</v>
      </c>
      <c r="O185" s="5">
        <v>350</v>
      </c>
      <c r="P185" s="5">
        <v>0</v>
      </c>
      <c r="Q185" s="5">
        <v>0</v>
      </c>
      <c r="R185" s="5">
        <v>0</v>
      </c>
      <c r="S185" s="5">
        <v>0</v>
      </c>
      <c r="T185" s="5">
        <v>0</v>
      </c>
      <c r="U185" s="5">
        <v>0</v>
      </c>
      <c r="V185" s="5">
        <v>0</v>
      </c>
      <c r="W185" s="5">
        <v>0</v>
      </c>
      <c r="X185" s="5">
        <v>0</v>
      </c>
      <c r="Y185" s="5">
        <v>0</v>
      </c>
    </row>
    <row r="186" spans="1:25" x14ac:dyDescent="0.25">
      <c r="A186" t="s">
        <v>1887</v>
      </c>
      <c r="B186" t="s">
        <v>1888</v>
      </c>
      <c r="C186" t="s">
        <v>1889</v>
      </c>
      <c r="D186">
        <v>6074202100065480</v>
      </c>
      <c r="E186" t="str">
        <f>IF(COUNTIF(Tabela1[codProcesso],Tabela2[[#This Row],[PROCESSO]]),"Está","Não está")</f>
        <v>Não está</v>
      </c>
      <c r="F186" t="s">
        <v>2122</v>
      </c>
      <c r="G186" t="s">
        <v>2123</v>
      </c>
      <c r="H186" t="s">
        <v>2241</v>
      </c>
      <c r="I186" t="s">
        <v>2242</v>
      </c>
      <c r="J186" t="s">
        <v>2243</v>
      </c>
      <c r="K186" s="3">
        <v>46054</v>
      </c>
      <c r="L186" s="5">
        <v>66141</v>
      </c>
      <c r="M186" s="5">
        <v>4500</v>
      </c>
      <c r="N186" s="5">
        <v>5181.75</v>
      </c>
      <c r="O186" s="5">
        <v>5541.75</v>
      </c>
      <c r="P186" s="5">
        <v>5541.75</v>
      </c>
      <c r="Q186" s="5">
        <v>5541.75</v>
      </c>
      <c r="R186" s="5">
        <v>5541.75</v>
      </c>
      <c r="S186" s="5">
        <v>5541.75</v>
      </c>
      <c r="T186" s="5">
        <v>5541.75</v>
      </c>
      <c r="U186" s="5">
        <v>5541.75</v>
      </c>
      <c r="V186" s="5">
        <v>5541.75</v>
      </c>
      <c r="W186" s="5">
        <v>5541.75</v>
      </c>
      <c r="X186" s="5">
        <v>5541.75</v>
      </c>
      <c r="Y186" s="5">
        <v>5541.75</v>
      </c>
    </row>
    <row r="187" spans="1:25" x14ac:dyDescent="0.25">
      <c r="A187" t="s">
        <v>1887</v>
      </c>
      <c r="B187" t="s">
        <v>1888</v>
      </c>
      <c r="C187" t="s">
        <v>1889</v>
      </c>
      <c r="D187">
        <v>6074202100065480</v>
      </c>
      <c r="E187" t="str">
        <f>IF(COUNTIF(Tabela1[codProcesso],Tabela2[[#This Row],[PROCESSO]]),"Está","Não está")</f>
        <v>Não está</v>
      </c>
      <c r="F187" t="s">
        <v>2122</v>
      </c>
      <c r="G187" t="s">
        <v>2123</v>
      </c>
      <c r="H187" t="s">
        <v>2241</v>
      </c>
      <c r="I187" t="s">
        <v>2244</v>
      </c>
      <c r="J187" t="s">
        <v>2243</v>
      </c>
      <c r="K187" s="3">
        <v>46054</v>
      </c>
      <c r="L187" s="5">
        <v>5005</v>
      </c>
      <c r="O187" s="5">
        <v>500.5</v>
      </c>
      <c r="P187" s="5">
        <v>500.5</v>
      </c>
      <c r="Q187" s="5">
        <v>500.5</v>
      </c>
      <c r="R187" s="5">
        <v>500.5</v>
      </c>
      <c r="S187" s="5">
        <v>500.5</v>
      </c>
      <c r="T187" s="5">
        <v>500.5</v>
      </c>
      <c r="U187" s="5">
        <v>500.5</v>
      </c>
      <c r="V187" s="5">
        <v>500.5</v>
      </c>
      <c r="W187" s="5">
        <v>500.5</v>
      </c>
      <c r="X187" s="5">
        <v>500.5</v>
      </c>
    </row>
    <row r="188" spans="1:25" x14ac:dyDescent="0.25">
      <c r="A188" t="s">
        <v>1887</v>
      </c>
      <c r="B188" t="s">
        <v>1888</v>
      </c>
      <c r="C188" t="s">
        <v>1889</v>
      </c>
      <c r="D188">
        <v>6074202100065810</v>
      </c>
      <c r="E188" t="str">
        <f>IF(COUNTIF(Tabela1[codProcesso],Tabela2[[#This Row],[PROCESSO]]),"Está","Não está")</f>
        <v>Não está</v>
      </c>
      <c r="F188" t="s">
        <v>2122</v>
      </c>
      <c r="G188" t="s">
        <v>2123</v>
      </c>
      <c r="H188" t="s">
        <v>2245</v>
      </c>
      <c r="I188" t="s">
        <v>2246</v>
      </c>
      <c r="J188" t="s">
        <v>2247</v>
      </c>
      <c r="K188" s="3">
        <v>46381</v>
      </c>
      <c r="L188" s="5">
        <v>150</v>
      </c>
      <c r="M188" s="5">
        <v>150</v>
      </c>
      <c r="O188" s="5">
        <v>150</v>
      </c>
      <c r="Q188" t="s">
        <v>1908</v>
      </c>
    </row>
    <row r="189" spans="1:25" x14ac:dyDescent="0.25">
      <c r="A189" t="s">
        <v>1887</v>
      </c>
      <c r="B189" t="s">
        <v>1888</v>
      </c>
      <c r="C189" t="s">
        <v>1889</v>
      </c>
      <c r="D189">
        <v>6074202100065810</v>
      </c>
      <c r="E189" t="str">
        <f>IF(COUNTIF(Tabela1[codProcesso],Tabela2[[#This Row],[PROCESSO]]),"Está","Não está")</f>
        <v>Não está</v>
      </c>
      <c r="F189" t="s">
        <v>2122</v>
      </c>
      <c r="G189" t="s">
        <v>2123</v>
      </c>
      <c r="H189" t="s">
        <v>2245</v>
      </c>
      <c r="I189" t="s">
        <v>2248</v>
      </c>
      <c r="J189" t="s">
        <v>2247</v>
      </c>
      <c r="K189" s="3">
        <v>46381</v>
      </c>
      <c r="L189" s="4">
        <v>77832.639999999999</v>
      </c>
      <c r="M189" s="5">
        <v>6832.72</v>
      </c>
      <c r="N189" s="5">
        <v>6416.72</v>
      </c>
      <c r="O189" s="5">
        <v>6416.72</v>
      </c>
      <c r="P189" s="5">
        <v>6416.72</v>
      </c>
      <c r="Q189" s="5">
        <v>6416.72</v>
      </c>
      <c r="R189" s="5">
        <v>6416.72</v>
      </c>
      <c r="S189" s="5">
        <v>6416.72</v>
      </c>
      <c r="T189" s="5">
        <v>6416.72</v>
      </c>
      <c r="U189" s="5">
        <v>6416.72</v>
      </c>
      <c r="V189" s="5">
        <v>6416.72</v>
      </c>
      <c r="W189" s="5">
        <v>6416.72</v>
      </c>
      <c r="X189" s="5">
        <v>6832.72</v>
      </c>
      <c r="Y189" s="5">
        <v>6832.72</v>
      </c>
    </row>
    <row r="190" spans="1:25" x14ac:dyDescent="0.25">
      <c r="A190" t="s">
        <v>1887</v>
      </c>
      <c r="B190" t="s">
        <v>1888</v>
      </c>
      <c r="C190" t="s">
        <v>1889</v>
      </c>
      <c r="D190">
        <v>6074202100065810</v>
      </c>
      <c r="E190" t="str">
        <f>IF(COUNTIF(Tabela1[codProcesso],Tabela2[[#This Row],[PROCESSO]]),"Está","Não está")</f>
        <v>Não está</v>
      </c>
      <c r="F190" t="s">
        <v>2122</v>
      </c>
      <c r="G190" t="s">
        <v>2123</v>
      </c>
      <c r="H190" t="s">
        <v>2245</v>
      </c>
      <c r="I190" t="s">
        <v>2249</v>
      </c>
      <c r="J190" t="s">
        <v>2247</v>
      </c>
      <c r="K190" s="3">
        <v>46381</v>
      </c>
      <c r="L190" s="5">
        <v>1200</v>
      </c>
      <c r="M190" s="5">
        <v>100</v>
      </c>
      <c r="N190" s="5">
        <v>0</v>
      </c>
      <c r="O190" t="s">
        <v>1908</v>
      </c>
      <c r="Q190" t="s">
        <v>1908</v>
      </c>
      <c r="Y190" s="5">
        <v>200</v>
      </c>
    </row>
    <row r="191" spans="1:25" x14ac:dyDescent="0.25">
      <c r="A191" t="s">
        <v>1887</v>
      </c>
      <c r="B191" t="s">
        <v>1888</v>
      </c>
      <c r="C191" t="s">
        <v>1889</v>
      </c>
      <c r="D191">
        <v>6074202100066240</v>
      </c>
      <c r="E191" t="str">
        <f>IF(COUNTIF(Tabela1[codProcesso],Tabela2[[#This Row],[PROCESSO]]),"Está","Não está")</f>
        <v>Não está</v>
      </c>
      <c r="F191" t="s">
        <v>2122</v>
      </c>
      <c r="G191" t="s">
        <v>2123</v>
      </c>
      <c r="H191" t="s">
        <v>2077</v>
      </c>
      <c r="I191" t="s">
        <v>2250</v>
      </c>
      <c r="J191" t="s">
        <v>2251</v>
      </c>
      <c r="K191" s="3">
        <v>46209</v>
      </c>
      <c r="L191" s="5">
        <v>66988.800000000003</v>
      </c>
      <c r="M191" s="5">
        <v>4800</v>
      </c>
      <c r="N191" s="5">
        <v>5390.4</v>
      </c>
      <c r="O191" s="5">
        <v>5390.4</v>
      </c>
      <c r="P191" s="5">
        <v>5390.4</v>
      </c>
      <c r="Q191" s="5">
        <v>5390.4</v>
      </c>
      <c r="R191" s="5">
        <v>5390.4</v>
      </c>
      <c r="S191" s="5">
        <v>5390.4</v>
      </c>
      <c r="T191" s="5">
        <v>5774.4</v>
      </c>
      <c r="U191" s="5">
        <v>5774.4</v>
      </c>
      <c r="V191" s="5">
        <v>5774.4</v>
      </c>
      <c r="W191" s="5">
        <v>5774.4</v>
      </c>
      <c r="X191" s="5">
        <v>5774.4</v>
      </c>
      <c r="Y191" s="5">
        <v>5774.4</v>
      </c>
    </row>
    <row r="192" spans="1:25" x14ac:dyDescent="0.25">
      <c r="A192" t="s">
        <v>1887</v>
      </c>
      <c r="B192" t="s">
        <v>1888</v>
      </c>
      <c r="C192" t="s">
        <v>1889</v>
      </c>
      <c r="D192">
        <v>6074202100066240</v>
      </c>
      <c r="E192" t="str">
        <f>IF(COUNTIF(Tabela1[codProcesso],Tabela2[[#This Row],[PROCESSO]]),"Está","Não está")</f>
        <v>Não está</v>
      </c>
      <c r="F192" t="s">
        <v>2122</v>
      </c>
      <c r="G192" t="s">
        <v>2123</v>
      </c>
      <c r="H192" t="s">
        <v>2077</v>
      </c>
      <c r="I192" t="s">
        <v>2252</v>
      </c>
      <c r="J192" t="s">
        <v>2251</v>
      </c>
      <c r="K192" s="3">
        <v>46209</v>
      </c>
      <c r="L192" s="5">
        <v>600</v>
      </c>
      <c r="M192" s="5">
        <v>0</v>
      </c>
      <c r="N192" s="5">
        <v>0</v>
      </c>
      <c r="O192" s="5">
        <v>60</v>
      </c>
      <c r="P192" s="5">
        <v>60</v>
      </c>
      <c r="Q192" s="5">
        <v>60</v>
      </c>
      <c r="R192" s="5">
        <v>60</v>
      </c>
      <c r="S192" s="5">
        <v>60</v>
      </c>
      <c r="T192" s="5">
        <v>60</v>
      </c>
      <c r="U192" s="5">
        <v>60</v>
      </c>
      <c r="V192" s="5">
        <v>60</v>
      </c>
      <c r="W192" s="5">
        <v>60</v>
      </c>
      <c r="X192" s="5">
        <v>60</v>
      </c>
      <c r="Y192" s="5">
        <v>0</v>
      </c>
    </row>
    <row r="193" spans="1:25" x14ac:dyDescent="0.25">
      <c r="A193" t="s">
        <v>1887</v>
      </c>
      <c r="B193" t="s">
        <v>1888</v>
      </c>
      <c r="C193" t="s">
        <v>1889</v>
      </c>
      <c r="D193">
        <v>6074202100066240</v>
      </c>
      <c r="E193" t="str">
        <f>IF(COUNTIF(Tabela1[codProcesso],Tabela2[[#This Row],[PROCESSO]]),"Está","Não está")</f>
        <v>Não está</v>
      </c>
      <c r="F193" t="s">
        <v>2122</v>
      </c>
      <c r="G193" t="s">
        <v>2123</v>
      </c>
      <c r="H193" t="s">
        <v>2077</v>
      </c>
      <c r="I193" t="s">
        <v>2253</v>
      </c>
      <c r="J193" t="s">
        <v>2251</v>
      </c>
      <c r="K193" s="3">
        <v>46209</v>
      </c>
      <c r="L193" s="5">
        <v>1200</v>
      </c>
      <c r="M193" s="5">
        <v>100</v>
      </c>
      <c r="N193" s="5">
        <v>0</v>
      </c>
      <c r="O193" s="5">
        <v>0</v>
      </c>
      <c r="P193" s="5">
        <v>0</v>
      </c>
      <c r="Q193" s="5">
        <v>0</v>
      </c>
      <c r="R193" s="5">
        <v>0</v>
      </c>
      <c r="S193" s="5">
        <v>0</v>
      </c>
      <c r="T193" s="5">
        <v>0</v>
      </c>
      <c r="U193" s="5">
        <v>350</v>
      </c>
      <c r="V193" s="5">
        <v>0</v>
      </c>
      <c r="W193" s="5">
        <v>0</v>
      </c>
      <c r="X193" s="5">
        <v>0</v>
      </c>
      <c r="Y193" s="5">
        <v>0</v>
      </c>
    </row>
    <row r="194" spans="1:25" x14ac:dyDescent="0.25">
      <c r="A194" t="s">
        <v>1887</v>
      </c>
      <c r="B194" t="s">
        <v>1888</v>
      </c>
      <c r="C194" t="s">
        <v>1889</v>
      </c>
      <c r="D194">
        <v>6074202100078260</v>
      </c>
      <c r="E194" t="str">
        <f>IF(COUNTIF(Tabela1[codProcesso],Tabela2[[#This Row],[PROCESSO]]),"Está","Não está")</f>
        <v>Não está</v>
      </c>
      <c r="F194" t="s">
        <v>2122</v>
      </c>
      <c r="G194" t="s">
        <v>2123</v>
      </c>
      <c r="H194" t="s">
        <v>2254</v>
      </c>
      <c r="I194" t="s">
        <v>2255</v>
      </c>
      <c r="J194" t="s">
        <v>2256</v>
      </c>
      <c r="K194" s="3">
        <v>46371</v>
      </c>
      <c r="L194" s="5">
        <v>96728.52</v>
      </c>
      <c r="M194" s="5">
        <v>8620.7099999999991</v>
      </c>
      <c r="N194" s="5">
        <v>8620.7099999999991</v>
      </c>
      <c r="O194" s="5">
        <v>8620.7099999999991</v>
      </c>
      <c r="P194" s="5">
        <v>8620.7099999999991</v>
      </c>
      <c r="Q194" s="5">
        <v>8620.7099999999991</v>
      </c>
      <c r="R194" s="5">
        <v>8620.7099999999991</v>
      </c>
      <c r="S194" s="5">
        <v>8620.7099999999991</v>
      </c>
      <c r="T194" s="5">
        <v>8620.7099999999991</v>
      </c>
      <c r="U194" s="5">
        <v>8620.7099999999991</v>
      </c>
      <c r="V194" s="5">
        <v>8620.7099999999991</v>
      </c>
      <c r="W194" s="5">
        <v>8620.7099999999991</v>
      </c>
      <c r="X194" s="5">
        <v>8620.7099999999991</v>
      </c>
      <c r="Y194" s="5">
        <v>9180.7099999999991</v>
      </c>
    </row>
    <row r="195" spans="1:25" x14ac:dyDescent="0.25">
      <c r="A195" t="s">
        <v>1887</v>
      </c>
      <c r="B195" t="s">
        <v>1888</v>
      </c>
      <c r="C195" t="s">
        <v>1889</v>
      </c>
      <c r="D195">
        <v>6074202100078260</v>
      </c>
      <c r="E195" t="str">
        <f>IF(COUNTIF(Tabela1[codProcesso],Tabela2[[#This Row],[PROCESSO]]),"Está","Não está")</f>
        <v>Não está</v>
      </c>
      <c r="F195" t="s">
        <v>2122</v>
      </c>
      <c r="G195" t="s">
        <v>2123</v>
      </c>
      <c r="H195" t="s">
        <v>2254</v>
      </c>
      <c r="I195" t="s">
        <v>2257</v>
      </c>
      <c r="J195" t="s">
        <v>2256</v>
      </c>
      <c r="K195" s="3">
        <v>46371</v>
      </c>
      <c r="L195" s="5">
        <v>8000</v>
      </c>
      <c r="M195" s="5">
        <v>0</v>
      </c>
      <c r="N195" s="5">
        <v>0</v>
      </c>
      <c r="O195" s="5">
        <v>8000</v>
      </c>
      <c r="P195" s="5">
        <v>0</v>
      </c>
      <c r="Q195" s="5">
        <v>0</v>
      </c>
      <c r="R195" s="5">
        <v>0</v>
      </c>
      <c r="S195" s="5">
        <v>0</v>
      </c>
      <c r="T195" s="5">
        <v>0</v>
      </c>
      <c r="U195" s="5">
        <v>0</v>
      </c>
      <c r="V195" s="5">
        <v>0</v>
      </c>
      <c r="W195" s="5">
        <v>0</v>
      </c>
      <c r="X195" s="5">
        <v>0</v>
      </c>
      <c r="Y195" s="5">
        <v>0</v>
      </c>
    </row>
    <row r="196" spans="1:25" x14ac:dyDescent="0.25">
      <c r="A196" t="s">
        <v>1887</v>
      </c>
      <c r="B196" t="s">
        <v>1888</v>
      </c>
      <c r="C196" t="s">
        <v>1889</v>
      </c>
      <c r="D196">
        <v>6074202100078260</v>
      </c>
      <c r="E196" t="str">
        <f>IF(COUNTIF(Tabela1[codProcesso],Tabela2[[#This Row],[PROCESSO]]),"Está","Não está")</f>
        <v>Não está</v>
      </c>
      <c r="F196" t="s">
        <v>2122</v>
      </c>
      <c r="G196" t="s">
        <v>2123</v>
      </c>
      <c r="H196" t="s">
        <v>2254</v>
      </c>
      <c r="I196" t="s">
        <v>2258</v>
      </c>
      <c r="J196" t="s">
        <v>2256</v>
      </c>
      <c r="K196" s="3">
        <v>46371</v>
      </c>
      <c r="L196" s="5">
        <v>1200</v>
      </c>
      <c r="M196" s="5">
        <v>100</v>
      </c>
      <c r="N196" s="5">
        <v>0</v>
      </c>
      <c r="O196" s="5">
        <v>350</v>
      </c>
      <c r="P196" s="5">
        <v>0</v>
      </c>
      <c r="Q196" s="5">
        <v>0</v>
      </c>
      <c r="R196" s="5">
        <v>0</v>
      </c>
      <c r="S196" s="5">
        <v>0</v>
      </c>
      <c r="T196" s="5">
        <v>0</v>
      </c>
      <c r="U196" s="5">
        <v>0</v>
      </c>
      <c r="V196" s="5">
        <v>0</v>
      </c>
      <c r="W196" s="5">
        <v>0</v>
      </c>
      <c r="X196" s="5">
        <v>0</v>
      </c>
      <c r="Y196" s="5">
        <v>0</v>
      </c>
    </row>
    <row r="197" spans="1:25" x14ac:dyDescent="0.25">
      <c r="A197" t="s">
        <v>1887</v>
      </c>
      <c r="B197" t="s">
        <v>1888</v>
      </c>
      <c r="C197" t="s">
        <v>1889</v>
      </c>
      <c r="D197">
        <v>6074202100079440</v>
      </c>
      <c r="E197" t="str">
        <f>IF(COUNTIF(Tabela1[codProcesso],Tabela2[[#This Row],[PROCESSO]]),"Está","Não está")</f>
        <v>Está</v>
      </c>
      <c r="F197" t="s">
        <v>2134</v>
      </c>
      <c r="G197" t="s">
        <v>2123</v>
      </c>
      <c r="H197" t="s">
        <v>899</v>
      </c>
      <c r="I197" t="s">
        <v>2259</v>
      </c>
      <c r="J197" t="s">
        <v>2260</v>
      </c>
      <c r="K197" s="3">
        <v>46276</v>
      </c>
      <c r="L197" s="5">
        <v>3261393.76</v>
      </c>
      <c r="M197" s="5">
        <v>284106.71999999997</v>
      </c>
      <c r="N197" s="5">
        <v>265620.86</v>
      </c>
      <c r="O197" s="5">
        <v>265620.86</v>
      </c>
      <c r="P197" s="5">
        <v>265620.86</v>
      </c>
      <c r="Q197" s="5">
        <v>265620.86</v>
      </c>
      <c r="R197" s="5">
        <v>265620.86</v>
      </c>
      <c r="S197" s="5">
        <v>265620.86</v>
      </c>
      <c r="T197" s="5">
        <v>265620.86</v>
      </c>
      <c r="U197" s="5">
        <v>265620.86</v>
      </c>
      <c r="V197" s="5">
        <v>284106.71999999997</v>
      </c>
      <c r="W197" s="5">
        <v>284106.71999999997</v>
      </c>
      <c r="X197" s="5">
        <v>284106.71999999997</v>
      </c>
      <c r="Y197" s="5">
        <v>284106.71999999997</v>
      </c>
    </row>
    <row r="198" spans="1:25" x14ac:dyDescent="0.25">
      <c r="A198" t="s">
        <v>1887</v>
      </c>
      <c r="B198" t="s">
        <v>1888</v>
      </c>
      <c r="C198" t="s">
        <v>1889</v>
      </c>
      <c r="D198">
        <v>6074202100086750</v>
      </c>
      <c r="E198" t="str">
        <f>IF(COUNTIF(Tabela1[codProcesso],Tabela2[[#This Row],[PROCESSO]]),"Está","Não está")</f>
        <v>Está</v>
      </c>
      <c r="F198" t="s">
        <v>2134</v>
      </c>
      <c r="G198" t="s">
        <v>2123</v>
      </c>
      <c r="H198">
        <v>9912565743</v>
      </c>
      <c r="I198" t="s">
        <v>2261</v>
      </c>
      <c r="J198" t="s">
        <v>1926</v>
      </c>
      <c r="K198" s="3">
        <v>46054</v>
      </c>
      <c r="L198" s="5">
        <v>624000</v>
      </c>
      <c r="M198" s="5">
        <v>52000</v>
      </c>
      <c r="N198" s="5">
        <v>30000</v>
      </c>
      <c r="O198" s="5">
        <v>30000</v>
      </c>
      <c r="P198" s="5">
        <v>30000</v>
      </c>
      <c r="Q198" s="5">
        <v>30000</v>
      </c>
      <c r="R198" s="5">
        <v>30000</v>
      </c>
      <c r="S198" s="5">
        <v>30000</v>
      </c>
      <c r="T198" s="5">
        <v>30000</v>
      </c>
      <c r="U198" s="5">
        <v>30000</v>
      </c>
      <c r="V198" s="5">
        <v>30000</v>
      </c>
      <c r="W198" s="5">
        <v>30000</v>
      </c>
      <c r="X198" s="5">
        <v>30000</v>
      </c>
      <c r="Y198" s="5">
        <v>30000</v>
      </c>
    </row>
    <row r="199" spans="1:25" x14ac:dyDescent="0.25">
      <c r="A199" t="s">
        <v>1887</v>
      </c>
      <c r="B199" t="s">
        <v>1888</v>
      </c>
      <c r="C199" t="s">
        <v>1889</v>
      </c>
      <c r="D199">
        <v>6074202200013810</v>
      </c>
      <c r="E199" t="str">
        <f>IF(COUNTIF(Tabela1[codProcesso],Tabela2[[#This Row],[PROCESSO]]),"Está","Não está")</f>
        <v>Não está</v>
      </c>
      <c r="F199" t="s">
        <v>2122</v>
      </c>
      <c r="G199" t="s">
        <v>2123</v>
      </c>
      <c r="H199" t="s">
        <v>2262</v>
      </c>
      <c r="I199" t="s">
        <v>2263</v>
      </c>
      <c r="J199" t="s">
        <v>2264</v>
      </c>
      <c r="K199" s="3">
        <v>46115</v>
      </c>
      <c r="L199" s="5">
        <v>86047.2</v>
      </c>
      <c r="M199" s="5">
        <v>7290.6</v>
      </c>
      <c r="N199" s="5">
        <v>6810.6</v>
      </c>
      <c r="O199" s="5">
        <v>6810.6</v>
      </c>
      <c r="P199" s="5">
        <v>6810.6</v>
      </c>
      <c r="Q199" s="5">
        <v>7290.6</v>
      </c>
      <c r="R199" s="5">
        <v>7290.6</v>
      </c>
      <c r="S199" s="5">
        <v>7290.6</v>
      </c>
      <c r="T199" s="5">
        <v>7290.6</v>
      </c>
      <c r="U199" s="5">
        <v>7290.6</v>
      </c>
      <c r="V199" s="5">
        <v>7290.6</v>
      </c>
      <c r="W199" s="5">
        <v>7290.6</v>
      </c>
      <c r="X199" s="5">
        <v>7290.6</v>
      </c>
      <c r="Y199" s="5">
        <v>7290.6</v>
      </c>
    </row>
    <row r="200" spans="1:25" x14ac:dyDescent="0.25">
      <c r="A200" t="s">
        <v>1887</v>
      </c>
      <c r="B200" t="s">
        <v>1888</v>
      </c>
      <c r="C200" t="s">
        <v>1889</v>
      </c>
      <c r="D200">
        <v>6074202200013810</v>
      </c>
      <c r="E200" t="str">
        <f>IF(COUNTIF(Tabela1[codProcesso],Tabela2[[#This Row],[PROCESSO]]),"Está","Não está")</f>
        <v>Não está</v>
      </c>
      <c r="F200" t="s">
        <v>2122</v>
      </c>
      <c r="G200" t="s">
        <v>2123</v>
      </c>
      <c r="H200" t="s">
        <v>2262</v>
      </c>
      <c r="I200" t="s">
        <v>2265</v>
      </c>
      <c r="J200" t="s">
        <v>2264</v>
      </c>
      <c r="K200" s="3">
        <v>46115</v>
      </c>
      <c r="L200" s="5">
        <v>9500</v>
      </c>
      <c r="M200" s="5">
        <v>950</v>
      </c>
      <c r="N200" s="5">
        <v>0</v>
      </c>
      <c r="O200" s="5">
        <v>950</v>
      </c>
      <c r="P200" s="5">
        <v>950</v>
      </c>
      <c r="Q200" s="5">
        <v>950</v>
      </c>
      <c r="R200" s="5">
        <v>950</v>
      </c>
      <c r="S200" s="5">
        <v>950</v>
      </c>
      <c r="T200" s="5">
        <v>950</v>
      </c>
      <c r="U200" s="5">
        <v>950</v>
      </c>
      <c r="V200" s="5">
        <v>950</v>
      </c>
      <c r="W200" s="5">
        <v>950</v>
      </c>
      <c r="X200" s="5">
        <v>950</v>
      </c>
    </row>
    <row r="201" spans="1:25" x14ac:dyDescent="0.25">
      <c r="A201" t="s">
        <v>1887</v>
      </c>
      <c r="B201" t="s">
        <v>1888</v>
      </c>
      <c r="C201" t="s">
        <v>1889</v>
      </c>
      <c r="D201">
        <v>6074202200024380</v>
      </c>
      <c r="E201" t="str">
        <f>IF(COUNTIF(Tabela1[codProcesso],Tabela2[[#This Row],[PROCESSO]]),"Está","Não está")</f>
        <v>Não está</v>
      </c>
      <c r="F201" t="s">
        <v>2134</v>
      </c>
      <c r="G201" t="s">
        <v>2123</v>
      </c>
      <c r="H201" t="s">
        <v>2266</v>
      </c>
      <c r="I201" t="s">
        <v>2267</v>
      </c>
      <c r="J201" t="s">
        <v>2268</v>
      </c>
      <c r="K201" s="3">
        <v>46275</v>
      </c>
      <c r="L201" s="5">
        <v>38000</v>
      </c>
      <c r="M201" s="5">
        <v>3500</v>
      </c>
      <c r="N201" s="5">
        <v>3000</v>
      </c>
      <c r="O201" s="5">
        <v>3000</v>
      </c>
      <c r="P201" s="5">
        <v>3000</v>
      </c>
      <c r="Q201" s="5">
        <v>3000</v>
      </c>
      <c r="R201" s="5">
        <v>3000</v>
      </c>
      <c r="S201" s="5">
        <v>3000</v>
      </c>
      <c r="T201" s="5">
        <v>3000</v>
      </c>
      <c r="U201" s="5">
        <v>3000</v>
      </c>
      <c r="V201" s="5">
        <v>3500</v>
      </c>
      <c r="W201" s="5">
        <v>3500</v>
      </c>
      <c r="X201" s="5">
        <v>3500</v>
      </c>
      <c r="Y201" s="5">
        <v>3500</v>
      </c>
    </row>
    <row r="202" spans="1:25" x14ac:dyDescent="0.25">
      <c r="A202" t="s">
        <v>1887</v>
      </c>
      <c r="B202" t="s">
        <v>1888</v>
      </c>
      <c r="C202" t="s">
        <v>1889</v>
      </c>
      <c r="D202">
        <v>6074202200024380</v>
      </c>
      <c r="E202" t="str">
        <f>IF(COUNTIF(Tabela1[codProcesso],Tabela2[[#This Row],[PROCESSO]]),"Está","Não está")</f>
        <v>Não está</v>
      </c>
      <c r="F202" t="s">
        <v>2134</v>
      </c>
      <c r="G202" t="s">
        <v>2123</v>
      </c>
      <c r="H202" t="s">
        <v>2266</v>
      </c>
      <c r="I202" t="s">
        <v>2269</v>
      </c>
      <c r="J202" t="s">
        <v>2268</v>
      </c>
      <c r="K202" s="3">
        <v>46275</v>
      </c>
      <c r="L202" s="5">
        <v>11000</v>
      </c>
      <c r="M202" s="5">
        <v>1100</v>
      </c>
      <c r="N202" s="5">
        <v>1100</v>
      </c>
      <c r="O202" s="5">
        <v>1100</v>
      </c>
      <c r="P202" s="5">
        <v>1100</v>
      </c>
      <c r="Q202" s="5">
        <v>1100</v>
      </c>
      <c r="R202" s="5">
        <v>1100</v>
      </c>
      <c r="S202" s="5">
        <v>1100</v>
      </c>
      <c r="T202" s="5">
        <v>1100</v>
      </c>
      <c r="U202" s="5">
        <v>1100</v>
      </c>
      <c r="V202" s="5">
        <v>1100</v>
      </c>
      <c r="W202" s="5">
        <v>1100</v>
      </c>
      <c r="X202" t="s">
        <v>1908</v>
      </c>
      <c r="Y202" t="s">
        <v>1910</v>
      </c>
    </row>
    <row r="203" spans="1:25" x14ac:dyDescent="0.25">
      <c r="A203" t="s">
        <v>1887</v>
      </c>
      <c r="B203" t="s">
        <v>1888</v>
      </c>
      <c r="C203" t="s">
        <v>1889</v>
      </c>
      <c r="D203">
        <v>6074202200024380</v>
      </c>
      <c r="E203" t="str">
        <f>IF(COUNTIF(Tabela1[codProcesso],Tabela2[[#This Row],[PROCESSO]]),"Está","Não está")</f>
        <v>Não está</v>
      </c>
      <c r="F203" t="s">
        <v>2134</v>
      </c>
      <c r="G203" t="s">
        <v>2123</v>
      </c>
      <c r="H203" t="s">
        <v>2266</v>
      </c>
      <c r="I203" t="s">
        <v>2270</v>
      </c>
      <c r="J203" t="s">
        <v>2268</v>
      </c>
      <c r="K203" s="3">
        <v>45910</v>
      </c>
      <c r="L203" s="5">
        <v>82458.399999999994</v>
      </c>
      <c r="M203" s="5">
        <v>7298.2</v>
      </c>
      <c r="N203" s="5">
        <v>6658.2</v>
      </c>
      <c r="O203" s="5">
        <v>6658.2</v>
      </c>
      <c r="P203" s="5">
        <v>6658.2</v>
      </c>
      <c r="Q203" s="5">
        <v>6658.2</v>
      </c>
      <c r="R203" s="5">
        <v>6658.2</v>
      </c>
      <c r="S203" s="5">
        <v>6658.2</v>
      </c>
      <c r="T203" s="5">
        <v>6658.2</v>
      </c>
      <c r="U203" s="5">
        <v>6658.2</v>
      </c>
      <c r="V203" s="5">
        <v>7298.2</v>
      </c>
      <c r="W203" s="5">
        <v>7298.2</v>
      </c>
      <c r="X203" s="5">
        <v>7298.2</v>
      </c>
      <c r="Y203" s="5">
        <v>7298.2</v>
      </c>
    </row>
    <row r="204" spans="1:25" x14ac:dyDescent="0.25">
      <c r="A204" t="s">
        <v>1887</v>
      </c>
      <c r="B204" t="s">
        <v>1888</v>
      </c>
      <c r="C204" t="s">
        <v>1889</v>
      </c>
      <c r="D204">
        <v>6074202200059300</v>
      </c>
      <c r="E204" t="str">
        <f>IF(COUNTIF(Tabela1[codProcesso],Tabela2[[#This Row],[PROCESSO]]),"Está","Não está")</f>
        <v>Não está</v>
      </c>
      <c r="F204" t="s">
        <v>2122</v>
      </c>
      <c r="G204" t="s">
        <v>2123</v>
      </c>
      <c r="H204" t="s">
        <v>2271</v>
      </c>
      <c r="I204" t="s">
        <v>2272</v>
      </c>
      <c r="J204" t="s">
        <v>2273</v>
      </c>
      <c r="K204" s="3">
        <v>46123</v>
      </c>
      <c r="L204" s="5">
        <v>1600</v>
      </c>
      <c r="M204" s="5">
        <v>160</v>
      </c>
      <c r="O204" s="5">
        <v>160</v>
      </c>
      <c r="P204" s="5">
        <v>160</v>
      </c>
      <c r="Q204" s="5">
        <v>160</v>
      </c>
      <c r="R204" s="5">
        <v>160</v>
      </c>
      <c r="S204" s="5">
        <v>160</v>
      </c>
      <c r="T204" s="5">
        <v>160</v>
      </c>
      <c r="U204" s="5">
        <v>160</v>
      </c>
      <c r="V204" s="5">
        <v>160</v>
      </c>
      <c r="W204" s="5">
        <v>160</v>
      </c>
      <c r="X204" s="5">
        <v>160</v>
      </c>
      <c r="Y204" s="5">
        <v>0</v>
      </c>
    </row>
    <row r="205" spans="1:25" x14ac:dyDescent="0.25">
      <c r="A205" t="s">
        <v>1887</v>
      </c>
      <c r="B205" t="s">
        <v>1888</v>
      </c>
      <c r="C205" t="s">
        <v>1889</v>
      </c>
      <c r="D205">
        <v>6074202200059300</v>
      </c>
      <c r="E205" t="str">
        <f>IF(COUNTIF(Tabela1[codProcesso],Tabela2[[#This Row],[PROCESSO]]),"Está","Não está")</f>
        <v>Não está</v>
      </c>
      <c r="F205" t="s">
        <v>2122</v>
      </c>
      <c r="G205" t="s">
        <v>2123</v>
      </c>
      <c r="H205" t="s">
        <v>2271</v>
      </c>
      <c r="I205" t="s">
        <v>2274</v>
      </c>
      <c r="J205" t="s">
        <v>2273</v>
      </c>
      <c r="K205" s="3">
        <v>46123</v>
      </c>
      <c r="L205" s="5">
        <v>54554.64</v>
      </c>
      <c r="M205" s="5">
        <v>4626.22</v>
      </c>
      <c r="N205" s="5">
        <v>4306.22</v>
      </c>
      <c r="O205" s="5">
        <v>4306.22</v>
      </c>
      <c r="P205" s="5">
        <v>4306.22</v>
      </c>
      <c r="Q205" s="5">
        <v>4626.22</v>
      </c>
      <c r="R205" s="5">
        <v>4626.22</v>
      </c>
      <c r="S205" s="5">
        <v>4626.22</v>
      </c>
      <c r="T205" s="5">
        <v>4626.22</v>
      </c>
      <c r="U205" s="5">
        <v>4626.22</v>
      </c>
      <c r="V205" s="5">
        <v>4626.22</v>
      </c>
      <c r="W205" s="5">
        <v>4626.22</v>
      </c>
      <c r="X205" s="5">
        <v>4626.22</v>
      </c>
      <c r="Y205" s="5">
        <v>4626.22</v>
      </c>
    </row>
    <row r="206" spans="1:25" x14ac:dyDescent="0.25">
      <c r="A206" t="s">
        <v>1887</v>
      </c>
      <c r="B206" t="s">
        <v>1888</v>
      </c>
      <c r="C206" t="s">
        <v>1889</v>
      </c>
      <c r="D206">
        <v>6074202200059300</v>
      </c>
      <c r="E206" t="str">
        <f>IF(COUNTIF(Tabela1[codProcesso],Tabela2[[#This Row],[PROCESSO]]),"Está","Não está")</f>
        <v>Não está</v>
      </c>
      <c r="F206" t="s">
        <v>2122</v>
      </c>
      <c r="G206" t="s">
        <v>2123</v>
      </c>
      <c r="H206" t="s">
        <v>2271</v>
      </c>
      <c r="I206" t="s">
        <v>2275</v>
      </c>
      <c r="J206" t="s">
        <v>2273</v>
      </c>
      <c r="K206" s="3">
        <v>46123</v>
      </c>
      <c r="L206" s="5">
        <v>1200</v>
      </c>
      <c r="M206" s="5">
        <v>100</v>
      </c>
      <c r="N206" s="5">
        <v>0</v>
      </c>
      <c r="O206" s="5">
        <v>0</v>
      </c>
      <c r="P206" s="5">
        <v>0</v>
      </c>
      <c r="Q206" s="5">
        <v>0</v>
      </c>
      <c r="R206" s="5">
        <v>200</v>
      </c>
      <c r="S206" s="5">
        <v>0</v>
      </c>
      <c r="T206" s="5">
        <v>0</v>
      </c>
      <c r="U206" s="5">
        <v>0</v>
      </c>
      <c r="V206" s="5">
        <v>0</v>
      </c>
      <c r="W206" s="5">
        <v>0</v>
      </c>
      <c r="X206" s="5">
        <v>0</v>
      </c>
      <c r="Y206" s="5">
        <v>0</v>
      </c>
    </row>
    <row r="207" spans="1:25" x14ac:dyDescent="0.25">
      <c r="A207" t="s">
        <v>1887</v>
      </c>
      <c r="B207" t="s">
        <v>1888</v>
      </c>
      <c r="C207" t="s">
        <v>1889</v>
      </c>
      <c r="D207">
        <v>6074202200059570</v>
      </c>
      <c r="E207" t="str">
        <f>IF(COUNTIF(Tabela1[codProcesso],Tabela2[[#This Row],[PROCESSO]]),"Está","Não está")</f>
        <v>Não está</v>
      </c>
      <c r="F207" t="s">
        <v>2122</v>
      </c>
      <c r="G207" t="s">
        <v>2123</v>
      </c>
      <c r="H207" t="s">
        <v>2276</v>
      </c>
      <c r="I207" t="s">
        <v>2277</v>
      </c>
      <c r="J207" t="s">
        <v>2278</v>
      </c>
      <c r="K207" s="3">
        <v>46276</v>
      </c>
      <c r="L207" s="4">
        <v>59760</v>
      </c>
      <c r="M207" s="5">
        <v>5220</v>
      </c>
      <c r="N207" s="5">
        <v>4860</v>
      </c>
      <c r="O207" s="5">
        <v>4860</v>
      </c>
      <c r="P207" s="5">
        <v>4860</v>
      </c>
      <c r="Q207" s="5">
        <v>4860</v>
      </c>
      <c r="R207" s="5">
        <v>4860</v>
      </c>
      <c r="S207" s="5">
        <v>4860</v>
      </c>
      <c r="T207" s="5">
        <v>4860</v>
      </c>
      <c r="U207" s="5">
        <v>4860</v>
      </c>
      <c r="V207" s="5">
        <v>5220</v>
      </c>
      <c r="W207" s="5">
        <v>5220</v>
      </c>
      <c r="X207" s="5">
        <v>5220</v>
      </c>
      <c r="Y207" s="5">
        <v>5220</v>
      </c>
    </row>
    <row r="208" spans="1:25" x14ac:dyDescent="0.25">
      <c r="A208" t="s">
        <v>1887</v>
      </c>
      <c r="B208" t="s">
        <v>1888</v>
      </c>
      <c r="C208" t="s">
        <v>1889</v>
      </c>
      <c r="D208">
        <v>6074202200059570</v>
      </c>
      <c r="E208" t="str">
        <f>IF(COUNTIF(Tabela1[codProcesso],Tabela2[[#This Row],[PROCESSO]]),"Está","Não está")</f>
        <v>Não está</v>
      </c>
      <c r="F208" t="s">
        <v>2134</v>
      </c>
      <c r="G208" t="s">
        <v>2123</v>
      </c>
      <c r="H208" t="s">
        <v>2276</v>
      </c>
      <c r="I208" t="s">
        <v>2279</v>
      </c>
      <c r="J208" t="s">
        <v>2278</v>
      </c>
      <c r="K208" s="3">
        <v>46276</v>
      </c>
      <c r="L208" s="5">
        <v>1200</v>
      </c>
      <c r="M208" s="5">
        <v>100</v>
      </c>
      <c r="N208" s="5">
        <v>0</v>
      </c>
      <c r="O208" s="5">
        <v>0</v>
      </c>
      <c r="P208" s="5">
        <v>0</v>
      </c>
      <c r="Q208" s="5">
        <v>0</v>
      </c>
      <c r="R208" s="5">
        <v>0</v>
      </c>
      <c r="S208" s="5">
        <v>0</v>
      </c>
      <c r="T208" s="5">
        <v>0</v>
      </c>
      <c r="U208" s="5">
        <v>0</v>
      </c>
      <c r="V208" s="5">
        <v>0</v>
      </c>
      <c r="W208" s="5">
        <v>0</v>
      </c>
      <c r="X208" s="5">
        <v>200</v>
      </c>
      <c r="Y208" s="5">
        <v>0</v>
      </c>
    </row>
    <row r="209" spans="1:25" x14ac:dyDescent="0.25">
      <c r="A209" t="s">
        <v>1887</v>
      </c>
      <c r="B209" t="s">
        <v>1888</v>
      </c>
      <c r="C209" t="s">
        <v>1889</v>
      </c>
      <c r="D209">
        <v>6074202300019210</v>
      </c>
      <c r="E209" t="str">
        <f>IF(COUNTIF(Tabela1[codProcesso],Tabela2[[#This Row],[PROCESSO]]),"Está","Não está")</f>
        <v>Está</v>
      </c>
      <c r="F209" t="s">
        <v>2134</v>
      </c>
      <c r="G209" t="s">
        <v>2123</v>
      </c>
      <c r="H209" t="s">
        <v>2077</v>
      </c>
      <c r="I209" t="s">
        <v>1940</v>
      </c>
      <c r="J209" t="s">
        <v>1941</v>
      </c>
      <c r="K209" s="3">
        <v>46108</v>
      </c>
      <c r="L209" s="4">
        <v>20000</v>
      </c>
      <c r="M209" s="5">
        <v>1666.67</v>
      </c>
      <c r="N209" s="5">
        <v>1666.67</v>
      </c>
      <c r="O209" s="5">
        <v>1666.67</v>
      </c>
      <c r="P209" s="5">
        <v>1666.67</v>
      </c>
      <c r="Q209" s="5">
        <v>1666.67</v>
      </c>
      <c r="R209" s="5">
        <v>1666.67</v>
      </c>
      <c r="S209" s="5">
        <v>1666.67</v>
      </c>
      <c r="T209" s="5">
        <v>1666.67</v>
      </c>
      <c r="U209" s="5">
        <v>1666.67</v>
      </c>
      <c r="V209" s="5">
        <v>1666.67</v>
      </c>
      <c r="W209" s="5">
        <v>1666.67</v>
      </c>
      <c r="X209" s="5">
        <v>1666.67</v>
      </c>
      <c r="Y209" s="5">
        <v>1666.67</v>
      </c>
    </row>
    <row r="210" spans="1:25" x14ac:dyDescent="0.25">
      <c r="A210" t="s">
        <v>1887</v>
      </c>
      <c r="B210" t="s">
        <v>1888</v>
      </c>
      <c r="C210" t="s">
        <v>1889</v>
      </c>
      <c r="D210">
        <v>6074202300020630</v>
      </c>
      <c r="E210" t="str">
        <f>IF(COUNTIF(Tabela1[codProcesso],Tabela2[[#This Row],[PROCESSO]]),"Está","Não está")</f>
        <v>Está</v>
      </c>
      <c r="F210" t="s">
        <v>2280</v>
      </c>
      <c r="G210" t="s">
        <v>2123</v>
      </c>
      <c r="H210" t="s">
        <v>2077</v>
      </c>
      <c r="I210" t="s">
        <v>1942</v>
      </c>
      <c r="J210" t="s">
        <v>1943</v>
      </c>
      <c r="K210" s="3">
        <v>46205</v>
      </c>
      <c r="L210" s="4">
        <v>30000</v>
      </c>
      <c r="M210" s="5">
        <v>2500</v>
      </c>
      <c r="N210" s="4">
        <v>2500</v>
      </c>
      <c r="O210" s="4">
        <v>2500</v>
      </c>
      <c r="P210" s="4">
        <v>2500</v>
      </c>
      <c r="Q210" s="4">
        <v>2500</v>
      </c>
      <c r="R210" s="4">
        <v>2500</v>
      </c>
      <c r="S210" s="4">
        <v>2500</v>
      </c>
      <c r="T210" s="4">
        <v>2500</v>
      </c>
      <c r="U210" s="4">
        <v>2500</v>
      </c>
      <c r="V210" s="4">
        <v>2500</v>
      </c>
      <c r="W210" s="4">
        <v>2500</v>
      </c>
      <c r="X210" s="4">
        <v>2500</v>
      </c>
      <c r="Y210" s="4">
        <v>2500</v>
      </c>
    </row>
    <row r="211" spans="1:25" x14ac:dyDescent="0.25">
      <c r="A211" t="s">
        <v>1887</v>
      </c>
      <c r="B211" t="s">
        <v>1888</v>
      </c>
      <c r="C211" t="s">
        <v>1889</v>
      </c>
      <c r="D211">
        <v>6074202300026080</v>
      </c>
      <c r="E211" t="str">
        <f>IF(COUNTIF(Tabela1[codProcesso],Tabela2[[#This Row],[PROCESSO]]),"Está","Não está")</f>
        <v>Está</v>
      </c>
      <c r="F211" t="s">
        <v>2134</v>
      </c>
      <c r="G211" t="s">
        <v>2123</v>
      </c>
      <c r="H211" t="s">
        <v>646</v>
      </c>
      <c r="I211" t="s">
        <v>2281</v>
      </c>
      <c r="J211" t="s">
        <v>1945</v>
      </c>
      <c r="K211" s="3">
        <v>47250</v>
      </c>
      <c r="L211" s="5">
        <v>10880000</v>
      </c>
      <c r="M211" s="5">
        <v>928000</v>
      </c>
      <c r="N211" s="5">
        <v>864000</v>
      </c>
      <c r="O211" s="5">
        <v>864000</v>
      </c>
      <c r="P211" s="5">
        <v>864000</v>
      </c>
      <c r="Q211" s="5">
        <v>864000</v>
      </c>
      <c r="R211" s="5">
        <v>928000</v>
      </c>
      <c r="S211" s="5">
        <v>928000</v>
      </c>
      <c r="T211" s="5">
        <v>928000</v>
      </c>
      <c r="U211" s="5">
        <v>928000</v>
      </c>
      <c r="V211" s="5">
        <v>928000</v>
      </c>
      <c r="W211" s="5">
        <v>928000</v>
      </c>
      <c r="X211" s="5">
        <v>928000</v>
      </c>
      <c r="Y211" s="5">
        <v>928000</v>
      </c>
    </row>
    <row r="212" spans="1:25" x14ac:dyDescent="0.25">
      <c r="A212" t="s">
        <v>1887</v>
      </c>
      <c r="B212" t="s">
        <v>1888</v>
      </c>
      <c r="C212" t="s">
        <v>1889</v>
      </c>
      <c r="D212">
        <v>6074202300028040</v>
      </c>
      <c r="E212" t="str">
        <f>IF(COUNTIF(Tabela1[codProcesso],Tabela2[[#This Row],[PROCESSO]]),"Está","Não está")</f>
        <v>Não está</v>
      </c>
      <c r="F212" t="s">
        <v>2134</v>
      </c>
      <c r="G212" t="s">
        <v>2123</v>
      </c>
      <c r="H212" t="s">
        <v>2282</v>
      </c>
      <c r="I212" t="s">
        <v>2283</v>
      </c>
      <c r="J212" t="s">
        <v>2284</v>
      </c>
      <c r="K212" s="3">
        <v>46209</v>
      </c>
      <c r="L212" s="4">
        <v>162976.07999999999</v>
      </c>
      <c r="M212" s="5">
        <v>10950.48</v>
      </c>
      <c r="N212" s="5">
        <v>13212.2</v>
      </c>
      <c r="O212" s="5">
        <v>13212.2</v>
      </c>
      <c r="P212" s="5">
        <v>13212.2</v>
      </c>
      <c r="Q212" s="5">
        <v>13212.2</v>
      </c>
      <c r="R212" s="5">
        <v>13212.2</v>
      </c>
      <c r="S212" s="5">
        <v>13212.2</v>
      </c>
      <c r="T212" s="5">
        <v>13950.48</v>
      </c>
      <c r="U212" s="5">
        <v>13950.48</v>
      </c>
      <c r="V212" s="5">
        <v>13950.48</v>
      </c>
      <c r="W212" s="5">
        <v>13950.48</v>
      </c>
      <c r="X212" s="5">
        <v>13950.48</v>
      </c>
      <c r="Y212" s="5">
        <v>13950.48</v>
      </c>
    </row>
    <row r="213" spans="1:25" x14ac:dyDescent="0.25">
      <c r="A213" t="s">
        <v>1887</v>
      </c>
      <c r="B213" t="s">
        <v>1888</v>
      </c>
      <c r="C213" t="s">
        <v>1889</v>
      </c>
      <c r="D213">
        <v>6074202300028040</v>
      </c>
      <c r="E213" t="str">
        <f>IF(COUNTIF(Tabela1[codProcesso],Tabela2[[#This Row],[PROCESSO]]),"Está","Não está")</f>
        <v>Não está</v>
      </c>
      <c r="F213" t="s">
        <v>2134</v>
      </c>
      <c r="G213" t="s">
        <v>2123</v>
      </c>
      <c r="H213" t="s">
        <v>2282</v>
      </c>
      <c r="I213" t="s">
        <v>2285</v>
      </c>
      <c r="J213" t="s">
        <v>2284</v>
      </c>
      <c r="K213" s="3">
        <v>46209</v>
      </c>
      <c r="L213" s="5">
        <v>19000</v>
      </c>
      <c r="O213" s="5">
        <v>1900</v>
      </c>
      <c r="P213" s="5">
        <v>1900</v>
      </c>
      <c r="Q213" s="5">
        <v>1900</v>
      </c>
      <c r="R213" s="5">
        <v>1900</v>
      </c>
      <c r="S213" s="5">
        <v>1900</v>
      </c>
      <c r="T213" s="5">
        <v>1900</v>
      </c>
      <c r="U213" s="5">
        <v>1900</v>
      </c>
      <c r="V213" s="5">
        <v>1900</v>
      </c>
      <c r="W213" s="5">
        <v>1900</v>
      </c>
      <c r="X213" s="5">
        <v>1900</v>
      </c>
    </row>
    <row r="214" spans="1:25" x14ac:dyDescent="0.25">
      <c r="A214" t="s">
        <v>1887</v>
      </c>
      <c r="B214" t="s">
        <v>1888</v>
      </c>
      <c r="C214" t="s">
        <v>1889</v>
      </c>
      <c r="D214">
        <v>6074202300028040</v>
      </c>
      <c r="E214" t="str">
        <f>IF(COUNTIF(Tabela1[codProcesso],Tabela2[[#This Row],[PROCESSO]]),"Está","Não está")</f>
        <v>Não está</v>
      </c>
      <c r="F214" t="s">
        <v>2134</v>
      </c>
      <c r="G214" t="s">
        <v>2123</v>
      </c>
      <c r="H214" t="s">
        <v>2282</v>
      </c>
      <c r="I214" t="s">
        <v>2286</v>
      </c>
      <c r="J214" t="s">
        <v>2284</v>
      </c>
      <c r="K214" s="3">
        <v>46209</v>
      </c>
      <c r="L214" s="5">
        <v>1200</v>
      </c>
      <c r="M214" s="5">
        <v>100</v>
      </c>
      <c r="N214" s="5">
        <v>1300</v>
      </c>
      <c r="O214" s="5">
        <v>1300</v>
      </c>
      <c r="P214" s="5">
        <v>1300</v>
      </c>
      <c r="Q214" s="5">
        <v>1300</v>
      </c>
      <c r="R214" s="5">
        <v>1300</v>
      </c>
      <c r="S214" s="5">
        <v>1300</v>
      </c>
      <c r="T214" s="5">
        <v>1300</v>
      </c>
      <c r="U214" s="5">
        <v>1300</v>
      </c>
      <c r="V214" s="5">
        <v>1300</v>
      </c>
      <c r="W214" s="5">
        <v>1300</v>
      </c>
      <c r="X214" s="5">
        <v>1300</v>
      </c>
      <c r="Y214" s="5">
        <v>1300</v>
      </c>
    </row>
    <row r="215" spans="1:25" x14ac:dyDescent="0.25">
      <c r="A215" t="s">
        <v>1887</v>
      </c>
      <c r="B215" t="s">
        <v>1888</v>
      </c>
      <c r="C215" t="s">
        <v>1889</v>
      </c>
      <c r="D215">
        <v>6074202300031760</v>
      </c>
      <c r="E215" t="str">
        <f>IF(COUNTIF(Tabela1[codProcesso],Tabela2[[#This Row],[PROCESSO]]),"Está","Não está")</f>
        <v>Não está</v>
      </c>
      <c r="F215" t="s">
        <v>2122</v>
      </c>
      <c r="G215" t="s">
        <v>2123</v>
      </c>
      <c r="H215" t="s">
        <v>2276</v>
      </c>
      <c r="I215" t="s">
        <v>2287</v>
      </c>
      <c r="J215" t="s">
        <v>2288</v>
      </c>
      <c r="K215" s="3">
        <v>46282</v>
      </c>
      <c r="L215" s="5">
        <v>3750</v>
      </c>
      <c r="M215" s="5">
        <v>375</v>
      </c>
      <c r="N215" s="5">
        <v>0</v>
      </c>
      <c r="O215" s="5">
        <v>375</v>
      </c>
      <c r="P215" s="5">
        <v>375</v>
      </c>
      <c r="Q215" s="5">
        <v>375</v>
      </c>
      <c r="R215" s="5">
        <v>375</v>
      </c>
      <c r="S215" s="5">
        <v>375</v>
      </c>
      <c r="T215" s="5">
        <v>375</v>
      </c>
      <c r="U215" s="5">
        <v>375</v>
      </c>
      <c r="V215" s="5">
        <v>375</v>
      </c>
      <c r="W215" s="5">
        <v>375</v>
      </c>
      <c r="X215" s="5">
        <v>375</v>
      </c>
    </row>
    <row r="216" spans="1:25" x14ac:dyDescent="0.25">
      <c r="A216" t="s">
        <v>1887</v>
      </c>
      <c r="B216" t="s">
        <v>1888</v>
      </c>
      <c r="C216" t="s">
        <v>1889</v>
      </c>
      <c r="D216">
        <v>6074202300031760</v>
      </c>
      <c r="E216" t="str">
        <f>IF(COUNTIF(Tabela1[codProcesso],Tabela2[[#This Row],[PROCESSO]]),"Está","Não está")</f>
        <v>Não está</v>
      </c>
      <c r="F216" t="s">
        <v>2122</v>
      </c>
      <c r="G216" t="s">
        <v>2123</v>
      </c>
      <c r="H216" t="s">
        <v>2276</v>
      </c>
      <c r="I216" t="s">
        <v>2289</v>
      </c>
      <c r="J216" t="s">
        <v>2288</v>
      </c>
      <c r="K216" s="3">
        <v>46282</v>
      </c>
      <c r="L216" s="4">
        <v>63502</v>
      </c>
      <c r="M216" s="5">
        <v>5558.5</v>
      </c>
      <c r="N216" s="5">
        <v>5158.5</v>
      </c>
      <c r="O216" s="5">
        <v>5158.5</v>
      </c>
      <c r="P216" s="5">
        <v>5158.5</v>
      </c>
      <c r="Q216" s="5">
        <v>5158.5</v>
      </c>
      <c r="R216" s="5">
        <v>5158.5</v>
      </c>
      <c r="S216" s="5">
        <v>5158.5</v>
      </c>
      <c r="T216" s="5">
        <v>5158.5</v>
      </c>
      <c r="U216" s="5">
        <v>5158.5</v>
      </c>
      <c r="V216" s="5">
        <v>5558.5</v>
      </c>
      <c r="W216" s="5">
        <v>5558.5</v>
      </c>
      <c r="X216" s="5">
        <v>5558.5</v>
      </c>
      <c r="Y216" s="5">
        <v>5558.5</v>
      </c>
    </row>
    <row r="217" spans="1:25" x14ac:dyDescent="0.25">
      <c r="A217" t="s">
        <v>1887</v>
      </c>
      <c r="B217" t="s">
        <v>1888</v>
      </c>
      <c r="C217" t="s">
        <v>1889</v>
      </c>
      <c r="D217">
        <v>6074202300031760</v>
      </c>
      <c r="E217" t="str">
        <f>IF(COUNTIF(Tabela1[codProcesso],Tabela2[[#This Row],[PROCESSO]]),"Está","Não está")</f>
        <v>Não está</v>
      </c>
      <c r="F217" t="s">
        <v>2122</v>
      </c>
      <c r="G217" t="s">
        <v>2123</v>
      </c>
      <c r="H217" t="s">
        <v>2276</v>
      </c>
      <c r="I217" t="s">
        <v>2290</v>
      </c>
      <c r="J217" t="s">
        <v>2288</v>
      </c>
      <c r="K217" s="3">
        <v>46282</v>
      </c>
      <c r="L217" s="5">
        <v>1200</v>
      </c>
      <c r="M217" s="5">
        <v>100</v>
      </c>
      <c r="N217" s="5">
        <v>0</v>
      </c>
      <c r="O217" s="5">
        <v>0</v>
      </c>
      <c r="P217" s="5">
        <v>0</v>
      </c>
      <c r="Q217" s="5">
        <v>0</v>
      </c>
      <c r="R217" s="5">
        <v>0</v>
      </c>
      <c r="S217" s="5">
        <v>0</v>
      </c>
      <c r="T217" s="5">
        <v>0</v>
      </c>
      <c r="U217" s="5">
        <v>0</v>
      </c>
      <c r="V217" s="5">
        <v>0</v>
      </c>
      <c r="W217" s="5">
        <v>0</v>
      </c>
      <c r="X217" s="5">
        <v>200</v>
      </c>
      <c r="Y217" s="5">
        <v>0</v>
      </c>
    </row>
    <row r="218" spans="1:25" x14ac:dyDescent="0.25">
      <c r="A218" t="s">
        <v>1887</v>
      </c>
      <c r="B218" t="s">
        <v>1888</v>
      </c>
      <c r="C218" t="s">
        <v>1889</v>
      </c>
      <c r="D218">
        <v>6074202300044040</v>
      </c>
      <c r="E218" t="str">
        <f>IF(COUNTIF(Tabela1[codProcesso],Tabela2[[#This Row],[PROCESSO]]),"Está","Não está")</f>
        <v>Não está</v>
      </c>
      <c r="F218" t="s">
        <v>2122</v>
      </c>
      <c r="G218" t="s">
        <v>2123</v>
      </c>
      <c r="H218" t="s">
        <v>2291</v>
      </c>
      <c r="I218" t="s">
        <v>2292</v>
      </c>
      <c r="J218" t="s">
        <v>2293</v>
      </c>
      <c r="K218" s="3">
        <v>46300</v>
      </c>
      <c r="L218" s="4">
        <v>68070</v>
      </c>
      <c r="M218" s="5">
        <v>5000</v>
      </c>
      <c r="N218" s="5">
        <v>5572.5</v>
      </c>
      <c r="O218" s="5">
        <v>5572.5</v>
      </c>
      <c r="P218" s="5">
        <v>5572.5</v>
      </c>
      <c r="Q218" s="5">
        <v>5572.5</v>
      </c>
      <c r="R218" s="5">
        <v>5572.5</v>
      </c>
      <c r="S218" s="5">
        <v>5572.5</v>
      </c>
      <c r="T218" s="5">
        <v>5572.5</v>
      </c>
      <c r="U218" s="5">
        <v>5572.5</v>
      </c>
      <c r="V218" s="5">
        <v>5572.5</v>
      </c>
      <c r="W218" s="5">
        <v>5972.5</v>
      </c>
      <c r="X218" s="5">
        <v>5972.5</v>
      </c>
      <c r="Y218" s="5">
        <v>5972.5</v>
      </c>
    </row>
    <row r="219" spans="1:25" x14ac:dyDescent="0.25">
      <c r="A219" t="s">
        <v>1887</v>
      </c>
      <c r="B219" t="s">
        <v>1888</v>
      </c>
      <c r="C219" t="s">
        <v>1889</v>
      </c>
      <c r="D219">
        <v>6074202300044050</v>
      </c>
      <c r="E219" t="str">
        <f>IF(COUNTIF(Tabela1[codProcesso],Tabela2[[#This Row],[PROCESSO]]),"Está","Não está")</f>
        <v>Não está</v>
      </c>
      <c r="F219" t="s">
        <v>2122</v>
      </c>
      <c r="G219" t="s">
        <v>2123</v>
      </c>
      <c r="H219" t="s">
        <v>2294</v>
      </c>
      <c r="I219" t="s">
        <v>2295</v>
      </c>
      <c r="J219" t="s">
        <v>2296</v>
      </c>
      <c r="K219" s="3">
        <v>46335</v>
      </c>
      <c r="L219" s="5">
        <v>81204</v>
      </c>
      <c r="M219" s="5">
        <v>6000</v>
      </c>
      <c r="N219" s="5">
        <v>6687</v>
      </c>
      <c r="O219" s="5">
        <v>6687</v>
      </c>
      <c r="P219" s="5">
        <v>6687</v>
      </c>
      <c r="Q219" s="5">
        <v>6687</v>
      </c>
      <c r="R219" s="5">
        <v>6687</v>
      </c>
      <c r="S219" s="5">
        <v>6687</v>
      </c>
      <c r="T219" s="5">
        <v>6687</v>
      </c>
      <c r="U219" s="5">
        <v>6687</v>
      </c>
      <c r="V219" s="5">
        <v>6687</v>
      </c>
      <c r="W219" s="5">
        <v>6687</v>
      </c>
      <c r="X219" s="5">
        <v>7167</v>
      </c>
      <c r="Y219" s="5">
        <v>7167</v>
      </c>
    </row>
    <row r="220" spans="1:25" x14ac:dyDescent="0.25">
      <c r="A220" t="s">
        <v>1887</v>
      </c>
      <c r="B220" t="s">
        <v>1888</v>
      </c>
      <c r="C220" t="s">
        <v>1889</v>
      </c>
      <c r="D220">
        <v>6074202300044050</v>
      </c>
      <c r="E220" t="str">
        <f>IF(COUNTIF(Tabela1[codProcesso],Tabela2[[#This Row],[PROCESSO]]),"Está","Não está")</f>
        <v>Não está</v>
      </c>
      <c r="F220" t="s">
        <v>2122</v>
      </c>
      <c r="G220" t="s">
        <v>2123</v>
      </c>
      <c r="H220" t="s">
        <v>2294</v>
      </c>
      <c r="I220" t="s">
        <v>2297</v>
      </c>
      <c r="J220" t="s">
        <v>2296</v>
      </c>
      <c r="K220" s="3">
        <v>46335</v>
      </c>
      <c r="L220" s="5">
        <v>8500</v>
      </c>
      <c r="M220" s="5">
        <v>850</v>
      </c>
      <c r="O220" s="5">
        <v>850</v>
      </c>
      <c r="P220" s="5">
        <v>850</v>
      </c>
      <c r="Q220" s="5">
        <v>850</v>
      </c>
      <c r="R220" s="5">
        <v>850</v>
      </c>
      <c r="S220" s="5">
        <v>850</v>
      </c>
      <c r="T220" s="5">
        <v>850</v>
      </c>
      <c r="U220" s="5">
        <v>850</v>
      </c>
      <c r="V220" s="5">
        <v>850</v>
      </c>
      <c r="W220" s="5">
        <v>850</v>
      </c>
      <c r="X220" s="5">
        <v>850</v>
      </c>
    </row>
    <row r="221" spans="1:25" x14ac:dyDescent="0.25">
      <c r="A221" t="s">
        <v>1887</v>
      </c>
      <c r="B221" t="s">
        <v>1888</v>
      </c>
      <c r="C221" t="s">
        <v>1889</v>
      </c>
      <c r="D221">
        <v>6074202300044050</v>
      </c>
      <c r="E221" t="str">
        <f>IF(COUNTIF(Tabela1[codProcesso],Tabela2[[#This Row],[PROCESSO]]),"Está","Não está")</f>
        <v>Não está</v>
      </c>
      <c r="F221" t="s">
        <v>2122</v>
      </c>
      <c r="G221" t="s">
        <v>2123</v>
      </c>
      <c r="H221" t="s">
        <v>2294</v>
      </c>
      <c r="I221" t="s">
        <v>2298</v>
      </c>
      <c r="J221" t="s">
        <v>2296</v>
      </c>
      <c r="K221" s="3">
        <v>46335</v>
      </c>
      <c r="L221" s="5">
        <v>1200</v>
      </c>
      <c r="M221" s="5">
        <v>1200</v>
      </c>
      <c r="O221" s="5">
        <v>0</v>
      </c>
      <c r="P221" s="5">
        <v>0</v>
      </c>
      <c r="Q221" s="5">
        <v>0</v>
      </c>
      <c r="R221" s="5">
        <v>1200</v>
      </c>
      <c r="S221" s="5">
        <v>0</v>
      </c>
      <c r="T221" s="5">
        <v>0</v>
      </c>
      <c r="U221" s="5">
        <v>0</v>
      </c>
      <c r="V221" s="5">
        <v>0</v>
      </c>
      <c r="W221" s="5">
        <v>0</v>
      </c>
      <c r="X221" s="5">
        <v>0</v>
      </c>
    </row>
    <row r="222" spans="1:25" x14ac:dyDescent="0.25">
      <c r="A222" t="s">
        <v>1887</v>
      </c>
      <c r="B222" t="s">
        <v>1888</v>
      </c>
      <c r="C222" t="s">
        <v>1889</v>
      </c>
      <c r="D222">
        <v>6074202300049830</v>
      </c>
      <c r="E222" t="str">
        <f>IF(COUNTIF(Tabela1[codProcesso],Tabela2[[#This Row],[PROCESSO]]),"Está","Não está")</f>
        <v>Não está</v>
      </c>
      <c r="F222" t="s">
        <v>2122</v>
      </c>
      <c r="G222" t="s">
        <v>2123</v>
      </c>
      <c r="H222" t="s">
        <v>2299</v>
      </c>
      <c r="I222" t="s">
        <v>2300</v>
      </c>
      <c r="J222" t="s">
        <v>2301</v>
      </c>
      <c r="K222" s="3">
        <v>46220</v>
      </c>
      <c r="L222" s="5">
        <v>2500</v>
      </c>
      <c r="M222" s="5">
        <v>250</v>
      </c>
      <c r="O222" s="5">
        <v>250</v>
      </c>
      <c r="P222" s="5">
        <v>250</v>
      </c>
      <c r="Q222" s="5">
        <v>250</v>
      </c>
      <c r="R222" s="5">
        <v>250</v>
      </c>
      <c r="S222" s="5">
        <v>250</v>
      </c>
      <c r="T222" s="5">
        <v>250</v>
      </c>
      <c r="U222" s="5">
        <v>250</v>
      </c>
      <c r="V222" s="5">
        <v>250</v>
      </c>
      <c r="W222" s="5">
        <v>250</v>
      </c>
      <c r="X222" s="5">
        <v>250</v>
      </c>
    </row>
    <row r="223" spans="1:25" x14ac:dyDescent="0.25">
      <c r="A223" t="s">
        <v>1887</v>
      </c>
      <c r="B223" t="s">
        <v>1888</v>
      </c>
      <c r="C223" t="s">
        <v>1889</v>
      </c>
      <c r="D223">
        <v>6074202300049830</v>
      </c>
      <c r="E223" t="str">
        <f>IF(COUNTIF(Tabela1[codProcesso],Tabela2[[#This Row],[PROCESSO]]),"Está","Não está")</f>
        <v>Não está</v>
      </c>
      <c r="F223" t="s">
        <v>2122</v>
      </c>
      <c r="G223" t="s">
        <v>2123</v>
      </c>
      <c r="H223" t="s">
        <v>2299</v>
      </c>
      <c r="I223" t="s">
        <v>2302</v>
      </c>
      <c r="J223" t="s">
        <v>2303</v>
      </c>
      <c r="K223" s="3">
        <v>46220</v>
      </c>
      <c r="L223" s="5">
        <v>121680</v>
      </c>
      <c r="M223" s="5">
        <v>10440</v>
      </c>
      <c r="N223" s="5">
        <v>9720</v>
      </c>
      <c r="O223" s="5">
        <v>9720</v>
      </c>
      <c r="P223" s="5">
        <v>9720</v>
      </c>
      <c r="Q223" s="5">
        <v>9720</v>
      </c>
      <c r="R223" s="5">
        <v>9720</v>
      </c>
      <c r="S223" s="5">
        <v>10440</v>
      </c>
      <c r="T223" s="5">
        <v>10440</v>
      </c>
      <c r="U223" s="5">
        <v>10440</v>
      </c>
      <c r="V223" s="5">
        <v>10440</v>
      </c>
      <c r="W223" s="5">
        <v>10440</v>
      </c>
      <c r="X223" s="5">
        <v>10440</v>
      </c>
      <c r="Y223" s="5">
        <v>10440</v>
      </c>
    </row>
    <row r="224" spans="1:25" x14ac:dyDescent="0.25">
      <c r="A224" t="s">
        <v>1887</v>
      </c>
      <c r="B224" t="s">
        <v>1888</v>
      </c>
      <c r="C224" t="s">
        <v>1889</v>
      </c>
      <c r="D224">
        <v>6074202300049830</v>
      </c>
      <c r="E224" t="str">
        <f>IF(COUNTIF(Tabela1[codProcesso],Tabela2[[#This Row],[PROCESSO]]),"Está","Não está")</f>
        <v>Não está</v>
      </c>
      <c r="F224" t="s">
        <v>2134</v>
      </c>
      <c r="G224" t="s">
        <v>2123</v>
      </c>
      <c r="H224" t="s">
        <v>2299</v>
      </c>
      <c r="I224" t="s">
        <v>2304</v>
      </c>
      <c r="J224" t="s">
        <v>2303</v>
      </c>
      <c r="K224" s="3">
        <v>46220</v>
      </c>
      <c r="L224" s="5">
        <v>1200</v>
      </c>
      <c r="M224" s="5">
        <v>100</v>
      </c>
      <c r="N224" s="5">
        <v>0</v>
      </c>
      <c r="O224" s="5">
        <v>0</v>
      </c>
      <c r="P224" s="5">
        <v>0</v>
      </c>
      <c r="Q224" s="5">
        <v>0</v>
      </c>
      <c r="R224" s="5">
        <v>0</v>
      </c>
      <c r="S224" s="5">
        <v>0</v>
      </c>
      <c r="T224" s="5">
        <v>400</v>
      </c>
      <c r="U224" s="5">
        <v>0</v>
      </c>
      <c r="V224" s="5">
        <v>0</v>
      </c>
      <c r="W224" s="5">
        <v>0</v>
      </c>
      <c r="X224" s="5">
        <v>0</v>
      </c>
      <c r="Y224" s="5">
        <v>0</v>
      </c>
    </row>
    <row r="225" spans="1:25" x14ac:dyDescent="0.25">
      <c r="A225" t="s">
        <v>1887</v>
      </c>
      <c r="B225" t="s">
        <v>1888</v>
      </c>
      <c r="C225" t="s">
        <v>1889</v>
      </c>
      <c r="D225">
        <v>6074202300071940</v>
      </c>
      <c r="E225" t="str">
        <f>IF(COUNTIF(Tabela1[codProcesso],Tabela2[[#This Row],[PROCESSO]]),"Está","Não está")</f>
        <v>Está</v>
      </c>
      <c r="F225" t="s">
        <v>2134</v>
      </c>
      <c r="G225" t="s">
        <v>2123</v>
      </c>
      <c r="H225" t="s">
        <v>2305</v>
      </c>
      <c r="I225" t="s">
        <v>2306</v>
      </c>
      <c r="J225" t="s">
        <v>1951</v>
      </c>
      <c r="K225" s="3">
        <v>46259</v>
      </c>
      <c r="L225" s="5">
        <v>45722.559999999998</v>
      </c>
      <c r="M225" s="5">
        <v>3965.52</v>
      </c>
      <c r="N225" s="5">
        <v>3699.28</v>
      </c>
      <c r="O225" s="5">
        <v>3699.28</v>
      </c>
      <c r="P225" s="5">
        <v>3699.28</v>
      </c>
      <c r="Q225" s="5">
        <v>3699.28</v>
      </c>
      <c r="R225" s="5">
        <v>3699.28</v>
      </c>
      <c r="S225" s="5">
        <v>3699.28</v>
      </c>
      <c r="T225" s="5">
        <v>3699.28</v>
      </c>
      <c r="U225" s="5">
        <v>3965.52</v>
      </c>
      <c r="V225" s="5">
        <v>3965.52</v>
      </c>
      <c r="W225" s="5">
        <v>3965.52</v>
      </c>
      <c r="X225" s="5">
        <v>3965.52</v>
      </c>
      <c r="Y225" s="5">
        <v>3965.52</v>
      </c>
    </row>
    <row r="226" spans="1:25" x14ac:dyDescent="0.25">
      <c r="A226" t="s">
        <v>1887</v>
      </c>
      <c r="B226" t="s">
        <v>1888</v>
      </c>
      <c r="C226" t="s">
        <v>1889</v>
      </c>
      <c r="D226">
        <v>6074202300075610</v>
      </c>
      <c r="E226" t="str">
        <f>IF(COUNTIF(Tabela1[codProcesso],Tabela2[[#This Row],[PROCESSO]]),"Está","Não está")</f>
        <v>Não está</v>
      </c>
      <c r="F226" t="s">
        <v>2122</v>
      </c>
      <c r="G226" t="s">
        <v>2123</v>
      </c>
      <c r="H226" t="s">
        <v>2307</v>
      </c>
      <c r="I226" t="s">
        <v>2308</v>
      </c>
      <c r="J226" t="s">
        <v>2309</v>
      </c>
      <c r="K226" s="3">
        <v>46037</v>
      </c>
      <c r="L226" s="5">
        <v>1100</v>
      </c>
      <c r="M226" s="5">
        <v>110</v>
      </c>
      <c r="N226" s="5">
        <v>0</v>
      </c>
      <c r="O226" s="5">
        <v>110</v>
      </c>
      <c r="P226" s="5">
        <v>110</v>
      </c>
      <c r="Q226" s="5">
        <v>110</v>
      </c>
      <c r="R226" s="5">
        <v>110</v>
      </c>
      <c r="S226" s="5">
        <v>110</v>
      </c>
      <c r="T226" s="5">
        <v>110</v>
      </c>
      <c r="U226" s="5">
        <v>110</v>
      </c>
      <c r="V226" s="5">
        <v>110</v>
      </c>
      <c r="W226" s="5">
        <v>110</v>
      </c>
      <c r="X226" s="5">
        <v>110</v>
      </c>
      <c r="Y226" s="5">
        <v>0</v>
      </c>
    </row>
    <row r="227" spans="1:25" x14ac:dyDescent="0.25">
      <c r="A227" t="s">
        <v>1887</v>
      </c>
      <c r="B227" t="s">
        <v>1888</v>
      </c>
      <c r="C227" t="s">
        <v>1889</v>
      </c>
      <c r="D227">
        <v>6074202300075610</v>
      </c>
      <c r="E227" t="str">
        <f>IF(COUNTIF(Tabela1[codProcesso],Tabela2[[#This Row],[PROCESSO]]),"Está","Não está")</f>
        <v>Não está</v>
      </c>
      <c r="F227" t="s">
        <v>2122</v>
      </c>
      <c r="G227" t="s">
        <v>2123</v>
      </c>
      <c r="H227" t="s">
        <v>2307</v>
      </c>
      <c r="I227" t="s">
        <v>2310</v>
      </c>
      <c r="J227" t="s">
        <v>2309</v>
      </c>
      <c r="K227" s="3">
        <v>46037</v>
      </c>
      <c r="L227" s="4">
        <v>85200</v>
      </c>
      <c r="M227" s="5">
        <v>7100</v>
      </c>
      <c r="N227" s="5">
        <v>7100</v>
      </c>
      <c r="O227" s="5">
        <v>7100</v>
      </c>
      <c r="P227" s="5">
        <v>7100</v>
      </c>
      <c r="Q227" s="5">
        <v>7100</v>
      </c>
      <c r="R227" s="5">
        <v>7100</v>
      </c>
      <c r="S227" s="5">
        <v>7100</v>
      </c>
      <c r="T227" s="5">
        <v>7100</v>
      </c>
      <c r="U227" s="5">
        <v>7100</v>
      </c>
      <c r="V227" s="5">
        <v>7100</v>
      </c>
      <c r="W227" s="5">
        <v>7100</v>
      </c>
      <c r="X227" s="5">
        <v>7100</v>
      </c>
      <c r="Y227" s="5">
        <v>7100</v>
      </c>
    </row>
    <row r="228" spans="1:25" x14ac:dyDescent="0.25">
      <c r="A228" t="s">
        <v>1887</v>
      </c>
      <c r="B228" t="s">
        <v>1888</v>
      </c>
      <c r="C228" t="s">
        <v>1889</v>
      </c>
      <c r="D228">
        <v>6074202300075610</v>
      </c>
      <c r="E228" t="str">
        <f>IF(COUNTIF(Tabela1[codProcesso],Tabela2[[#This Row],[PROCESSO]]),"Está","Não está")</f>
        <v>Não está</v>
      </c>
      <c r="F228" t="s">
        <v>2122</v>
      </c>
      <c r="G228" t="s">
        <v>2123</v>
      </c>
      <c r="H228" t="s">
        <v>2307</v>
      </c>
      <c r="I228" t="s">
        <v>2311</v>
      </c>
      <c r="J228" t="s">
        <v>2309</v>
      </c>
      <c r="K228" s="3">
        <v>46037</v>
      </c>
      <c r="L228" s="5">
        <v>1200</v>
      </c>
      <c r="M228" s="5">
        <v>100</v>
      </c>
      <c r="N228" s="5">
        <v>0</v>
      </c>
      <c r="O228" s="5">
        <v>0</v>
      </c>
      <c r="P228" s="5">
        <v>110</v>
      </c>
      <c r="Q228" s="5">
        <v>0</v>
      </c>
      <c r="R228" s="5">
        <v>350</v>
      </c>
      <c r="S228" s="5">
        <v>0</v>
      </c>
      <c r="T228" s="5">
        <v>0</v>
      </c>
      <c r="U228" s="5">
        <v>0</v>
      </c>
      <c r="V228" s="5">
        <v>0</v>
      </c>
      <c r="W228" s="5">
        <v>0</v>
      </c>
      <c r="X228" s="5">
        <v>0</v>
      </c>
      <c r="Y228" s="5">
        <v>0</v>
      </c>
    </row>
    <row r="229" spans="1:25" x14ac:dyDescent="0.25">
      <c r="A229" t="s">
        <v>1887</v>
      </c>
      <c r="B229" t="s">
        <v>1888</v>
      </c>
      <c r="C229" t="s">
        <v>1889</v>
      </c>
      <c r="D229">
        <v>6074202400008350</v>
      </c>
      <c r="E229" t="str">
        <f>IF(COUNTIF(Tabela1[codProcesso],Tabela2[[#This Row],[PROCESSO]]),"Está","Não está")</f>
        <v>Está</v>
      </c>
      <c r="F229" t="s">
        <v>2134</v>
      </c>
      <c r="G229" t="s">
        <v>2123</v>
      </c>
      <c r="H229" t="s">
        <v>2077</v>
      </c>
      <c r="I229" t="s">
        <v>2078</v>
      </c>
      <c r="J229" t="s">
        <v>2079</v>
      </c>
      <c r="K229" s="3">
        <v>46251</v>
      </c>
      <c r="L229" s="5">
        <v>13440</v>
      </c>
      <c r="M229" t="s">
        <v>1908</v>
      </c>
      <c r="N229" t="s">
        <v>1909</v>
      </c>
      <c r="O229" s="5">
        <v>6720</v>
      </c>
      <c r="P229" t="s">
        <v>1908</v>
      </c>
      <c r="R229" t="s">
        <v>1909</v>
      </c>
      <c r="S229" t="s">
        <v>1909</v>
      </c>
      <c r="T229" t="s">
        <v>1909</v>
      </c>
      <c r="U229" s="5">
        <v>6720</v>
      </c>
      <c r="V229" t="s">
        <v>1908</v>
      </c>
      <c r="W229" t="s">
        <v>1909</v>
      </c>
      <c r="X229" t="s">
        <v>1909</v>
      </c>
      <c r="Y229" t="s">
        <v>1910</v>
      </c>
    </row>
    <row r="230" spans="1:25" x14ac:dyDescent="0.25">
      <c r="A230" t="s">
        <v>1887</v>
      </c>
      <c r="B230" t="s">
        <v>1888</v>
      </c>
      <c r="C230" t="s">
        <v>1889</v>
      </c>
      <c r="D230">
        <v>6074202400025170</v>
      </c>
      <c r="E230" t="str">
        <f>IF(COUNTIF(Tabela1[codProcesso],Tabela2[[#This Row],[PROCESSO]]),"Está","Não está")</f>
        <v>Está</v>
      </c>
      <c r="F230" t="s">
        <v>2134</v>
      </c>
      <c r="G230" t="s">
        <v>2123</v>
      </c>
      <c r="H230" t="s">
        <v>830</v>
      </c>
      <c r="I230" t="s">
        <v>825</v>
      </c>
      <c r="J230" t="s">
        <v>2312</v>
      </c>
      <c r="K230" s="3">
        <v>46311</v>
      </c>
      <c r="L230" s="5">
        <v>2909714.16</v>
      </c>
      <c r="M230" s="5">
        <v>242476.18</v>
      </c>
      <c r="N230" s="5">
        <v>242476.18</v>
      </c>
      <c r="O230" s="5">
        <v>242476.18</v>
      </c>
      <c r="P230" s="5">
        <v>242476.18</v>
      </c>
      <c r="Q230" s="5">
        <v>242476.18</v>
      </c>
      <c r="R230" s="5">
        <v>242476.18</v>
      </c>
      <c r="S230" s="5">
        <v>242476.18</v>
      </c>
      <c r="T230" s="5">
        <v>242476.18</v>
      </c>
      <c r="U230" s="5">
        <v>242476.18</v>
      </c>
      <c r="V230" s="5">
        <v>242476.18</v>
      </c>
      <c r="W230" s="5">
        <v>242476.18</v>
      </c>
      <c r="X230" s="5">
        <v>242476.18</v>
      </c>
      <c r="Y230" s="5">
        <v>242476.18</v>
      </c>
    </row>
    <row r="231" spans="1:25" x14ac:dyDescent="0.25">
      <c r="A231" t="s">
        <v>1887</v>
      </c>
      <c r="B231" t="s">
        <v>1888</v>
      </c>
      <c r="C231" t="s">
        <v>1889</v>
      </c>
      <c r="D231">
        <v>6074202400054350</v>
      </c>
      <c r="E231" t="str">
        <f>IF(COUNTIF(Tabela1[codProcesso],Tabela2[[#This Row],[PROCESSO]]),"Está","Não está")</f>
        <v>Está</v>
      </c>
      <c r="F231" t="s">
        <v>2134</v>
      </c>
      <c r="G231" t="s">
        <v>2123</v>
      </c>
      <c r="H231" t="s">
        <v>833</v>
      </c>
      <c r="I231" t="s">
        <v>2313</v>
      </c>
      <c r="J231" t="s">
        <v>2314</v>
      </c>
      <c r="K231" s="3">
        <v>46337</v>
      </c>
      <c r="L231" s="5">
        <v>685000</v>
      </c>
      <c r="M231" s="5">
        <v>24000</v>
      </c>
      <c r="N231" s="5">
        <v>2000</v>
      </c>
      <c r="O231" s="5">
        <v>2000</v>
      </c>
      <c r="P231" s="5">
        <v>2000</v>
      </c>
      <c r="Q231" s="5">
        <v>2000</v>
      </c>
      <c r="R231" s="5">
        <v>2000</v>
      </c>
      <c r="S231" s="5">
        <v>2000</v>
      </c>
      <c r="T231" s="5">
        <v>2000</v>
      </c>
      <c r="U231" s="5">
        <v>2000</v>
      </c>
      <c r="V231" s="5">
        <v>2000</v>
      </c>
      <c r="W231" s="5">
        <v>2000</v>
      </c>
      <c r="X231" s="5">
        <v>2000</v>
      </c>
      <c r="Y231" s="5">
        <v>2000</v>
      </c>
    </row>
    <row r="232" spans="1:25" x14ac:dyDescent="0.25">
      <c r="A232" t="s">
        <v>1887</v>
      </c>
      <c r="B232" t="s">
        <v>1888</v>
      </c>
      <c r="C232" t="s">
        <v>1889</v>
      </c>
      <c r="D232">
        <v>6074202400061970</v>
      </c>
      <c r="E232" t="str">
        <f>IF(COUNTIF(Tabela1[codProcesso],Tabela2[[#This Row],[PROCESSO]]),"Está","Não está")</f>
        <v>Não está</v>
      </c>
      <c r="F232" t="s">
        <v>2122</v>
      </c>
      <c r="G232" t="s">
        <v>2123</v>
      </c>
      <c r="H232" t="s">
        <v>2315</v>
      </c>
      <c r="I232" t="s">
        <v>2316</v>
      </c>
      <c r="J232" t="s">
        <v>2317</v>
      </c>
      <c r="K232" s="3">
        <v>46077</v>
      </c>
      <c r="L232" s="4">
        <v>109480</v>
      </c>
      <c r="M232" s="5">
        <v>8500</v>
      </c>
      <c r="N232" s="5">
        <v>8500</v>
      </c>
      <c r="O232" s="5">
        <v>9180</v>
      </c>
      <c r="P232" s="5">
        <v>9180</v>
      </c>
      <c r="Q232" s="5">
        <v>9180</v>
      </c>
      <c r="R232" s="5">
        <v>9180</v>
      </c>
      <c r="S232" s="5">
        <v>9180</v>
      </c>
      <c r="T232" s="5">
        <v>9180</v>
      </c>
      <c r="U232" s="5">
        <v>9180</v>
      </c>
      <c r="V232" s="5">
        <v>9180</v>
      </c>
      <c r="W232" s="5">
        <v>9180</v>
      </c>
      <c r="X232" s="5">
        <v>9180</v>
      </c>
      <c r="Y232" s="5">
        <v>9180</v>
      </c>
    </row>
    <row r="233" spans="1:25" x14ac:dyDescent="0.25">
      <c r="A233" t="s">
        <v>1887</v>
      </c>
      <c r="B233" t="s">
        <v>1888</v>
      </c>
      <c r="C233" t="s">
        <v>1889</v>
      </c>
      <c r="D233">
        <v>6074202400061970</v>
      </c>
      <c r="E233" t="str">
        <f>IF(COUNTIF(Tabela1[codProcesso],Tabela2[[#This Row],[PROCESSO]]),"Está","Não está")</f>
        <v>Não está</v>
      </c>
      <c r="F233" t="s">
        <v>2122</v>
      </c>
      <c r="G233" t="s">
        <v>2123</v>
      </c>
      <c r="H233" t="s">
        <v>2315</v>
      </c>
      <c r="I233" t="s">
        <v>2318</v>
      </c>
      <c r="J233" t="s">
        <v>2317</v>
      </c>
      <c r="K233" s="3">
        <v>46077</v>
      </c>
      <c r="L233" s="4">
        <v>9000</v>
      </c>
      <c r="M233" s="5">
        <v>900</v>
      </c>
      <c r="N233" t="s">
        <v>1908</v>
      </c>
      <c r="O233" s="5">
        <v>900</v>
      </c>
      <c r="P233" s="5">
        <v>900</v>
      </c>
      <c r="Q233" s="5">
        <v>900</v>
      </c>
      <c r="R233" s="5">
        <v>900</v>
      </c>
      <c r="S233" s="5">
        <v>900</v>
      </c>
      <c r="T233" s="5">
        <v>900</v>
      </c>
      <c r="U233" s="5">
        <v>900</v>
      </c>
      <c r="V233" s="5">
        <v>900</v>
      </c>
      <c r="W233" s="5">
        <v>900</v>
      </c>
      <c r="X233" s="5">
        <v>900</v>
      </c>
      <c r="Y233" t="s">
        <v>2092</v>
      </c>
    </row>
    <row r="234" spans="1:25" x14ac:dyDescent="0.25">
      <c r="A234" t="s">
        <v>1887</v>
      </c>
      <c r="B234" t="s">
        <v>1888</v>
      </c>
      <c r="C234" t="s">
        <v>1889</v>
      </c>
      <c r="D234">
        <v>6074202400061970</v>
      </c>
      <c r="E234" t="str">
        <f>IF(COUNTIF(Tabela1[codProcesso],Tabela2[[#This Row],[PROCESSO]]),"Está","Não está")</f>
        <v>Não está</v>
      </c>
      <c r="F234" t="s">
        <v>2122</v>
      </c>
      <c r="G234" t="s">
        <v>2123</v>
      </c>
      <c r="H234" t="s">
        <v>2315</v>
      </c>
      <c r="I234" t="s">
        <v>2319</v>
      </c>
      <c r="J234" t="s">
        <v>2317</v>
      </c>
      <c r="K234" s="3">
        <v>46077</v>
      </c>
      <c r="L234" s="5">
        <v>1200</v>
      </c>
      <c r="M234" s="5">
        <v>100</v>
      </c>
      <c r="N234" t="s">
        <v>1908</v>
      </c>
      <c r="O234" s="5">
        <v>0</v>
      </c>
      <c r="P234" s="5">
        <v>500</v>
      </c>
      <c r="Q234" s="5">
        <v>0</v>
      </c>
      <c r="R234" s="5">
        <v>0</v>
      </c>
      <c r="S234" s="5">
        <v>0</v>
      </c>
      <c r="T234" s="5">
        <v>0</v>
      </c>
      <c r="U234" s="5">
        <v>900</v>
      </c>
      <c r="V234" s="5">
        <v>0</v>
      </c>
      <c r="W234" s="5">
        <v>0</v>
      </c>
      <c r="X234" s="5">
        <v>0</v>
      </c>
      <c r="Y234" t="s">
        <v>2092</v>
      </c>
    </row>
    <row r="235" spans="1:25" x14ac:dyDescent="0.25">
      <c r="A235" t="s">
        <v>1887</v>
      </c>
      <c r="B235" t="s">
        <v>1888</v>
      </c>
      <c r="C235" t="s">
        <v>1889</v>
      </c>
      <c r="D235">
        <v>6074202400066370</v>
      </c>
      <c r="E235" t="str">
        <f>IF(COUNTIF(Tabela1[codProcesso],Tabela2[[#This Row],[PROCESSO]]),"Está","Não está")</f>
        <v>Não está</v>
      </c>
      <c r="F235" t="s">
        <v>2134</v>
      </c>
      <c r="G235" t="s">
        <v>2123</v>
      </c>
      <c r="H235" t="s">
        <v>1406</v>
      </c>
      <c r="I235" t="s">
        <v>2292</v>
      </c>
      <c r="J235" t="s">
        <v>2320</v>
      </c>
      <c r="K235" s="3">
        <v>46090</v>
      </c>
      <c r="L235" s="5">
        <v>89040</v>
      </c>
      <c r="M235" s="5">
        <v>7560</v>
      </c>
      <c r="N235" s="5">
        <v>7000</v>
      </c>
      <c r="O235" s="5">
        <v>7000</v>
      </c>
      <c r="P235" s="5">
        <v>7000</v>
      </c>
      <c r="Q235" s="5">
        <v>7560</v>
      </c>
      <c r="R235" s="5">
        <v>7560</v>
      </c>
      <c r="S235" s="5">
        <v>7560</v>
      </c>
      <c r="T235" s="5">
        <v>7560</v>
      </c>
      <c r="U235" s="5">
        <v>7560</v>
      </c>
      <c r="V235" s="5">
        <v>7560</v>
      </c>
      <c r="W235" s="5">
        <v>7560</v>
      </c>
      <c r="X235" s="5">
        <v>7560</v>
      </c>
      <c r="Y235" s="5">
        <v>7560</v>
      </c>
    </row>
    <row r="236" spans="1:25" x14ac:dyDescent="0.25">
      <c r="A236" t="s">
        <v>1887</v>
      </c>
      <c r="B236" t="s">
        <v>1888</v>
      </c>
      <c r="C236" t="s">
        <v>1889</v>
      </c>
      <c r="D236">
        <v>6074202400066370</v>
      </c>
      <c r="E236" t="str">
        <f>IF(COUNTIF(Tabela1[codProcesso],Tabela2[[#This Row],[PROCESSO]]),"Está","Não está")</f>
        <v>Não está</v>
      </c>
      <c r="F236" t="s">
        <v>2134</v>
      </c>
      <c r="G236" t="s">
        <v>2123</v>
      </c>
      <c r="H236" t="s">
        <v>1406</v>
      </c>
      <c r="I236" t="s">
        <v>2321</v>
      </c>
      <c r="J236" t="s">
        <v>2320</v>
      </c>
      <c r="K236" s="3">
        <v>46090</v>
      </c>
      <c r="L236" s="5">
        <v>750</v>
      </c>
      <c r="M236" s="5">
        <v>750</v>
      </c>
      <c r="N236" t="s">
        <v>1908</v>
      </c>
      <c r="O236" s="5">
        <v>75</v>
      </c>
      <c r="P236" s="5">
        <v>75</v>
      </c>
      <c r="Q236" s="5">
        <v>75</v>
      </c>
      <c r="R236" s="5">
        <v>75</v>
      </c>
      <c r="S236" s="5">
        <v>75</v>
      </c>
      <c r="T236" s="5">
        <v>75</v>
      </c>
      <c r="U236" s="5">
        <v>75</v>
      </c>
      <c r="V236" s="5">
        <v>75</v>
      </c>
      <c r="W236" s="5">
        <v>75</v>
      </c>
      <c r="X236" s="5">
        <v>75</v>
      </c>
    </row>
    <row r="237" spans="1:25" x14ac:dyDescent="0.25">
      <c r="A237" t="s">
        <v>1887</v>
      </c>
      <c r="B237" t="s">
        <v>1888</v>
      </c>
      <c r="C237" t="s">
        <v>1889</v>
      </c>
      <c r="D237">
        <v>6074202400066370</v>
      </c>
      <c r="E237" t="str">
        <f>IF(COUNTIF(Tabela1[codProcesso],Tabela2[[#This Row],[PROCESSO]]),"Está","Não está")</f>
        <v>Não está</v>
      </c>
      <c r="F237" t="s">
        <v>2134</v>
      </c>
      <c r="G237" t="s">
        <v>2123</v>
      </c>
      <c r="H237" t="s">
        <v>1406</v>
      </c>
      <c r="I237" t="s">
        <v>2322</v>
      </c>
      <c r="J237" t="s">
        <v>2320</v>
      </c>
      <c r="K237" s="3">
        <v>46090</v>
      </c>
      <c r="L237" s="5">
        <v>1200</v>
      </c>
      <c r="M237" s="5">
        <v>100</v>
      </c>
      <c r="N237" t="s">
        <v>1908</v>
      </c>
      <c r="O237" s="5">
        <v>0</v>
      </c>
      <c r="P237" s="5">
        <v>0</v>
      </c>
      <c r="Q237" s="5">
        <v>0</v>
      </c>
      <c r="R237" s="5">
        <v>0</v>
      </c>
      <c r="S237" s="5">
        <v>0</v>
      </c>
      <c r="T237" s="5">
        <v>500</v>
      </c>
      <c r="U237" s="5">
        <v>0</v>
      </c>
      <c r="V237" s="5">
        <v>0</v>
      </c>
      <c r="W237" s="5">
        <v>0</v>
      </c>
      <c r="X237" s="5">
        <v>0</v>
      </c>
    </row>
    <row r="238" spans="1:25" x14ac:dyDescent="0.25">
      <c r="A238" t="s">
        <v>1887</v>
      </c>
      <c r="B238" t="s">
        <v>1888</v>
      </c>
      <c r="C238" t="s">
        <v>1889</v>
      </c>
      <c r="D238">
        <v>6074202400099110</v>
      </c>
      <c r="E238" t="str">
        <f>IF(COUNTIF(Tabela1[codProcesso],Tabela2[[#This Row],[PROCESSO]]),"Está","Não está")</f>
        <v>Está</v>
      </c>
      <c r="F238" t="s">
        <v>2134</v>
      </c>
      <c r="G238" t="s">
        <v>2123</v>
      </c>
      <c r="H238" t="s">
        <v>1970</v>
      </c>
      <c r="I238" t="s">
        <v>2323</v>
      </c>
      <c r="J238" t="s">
        <v>1972</v>
      </c>
      <c r="K238" s="3">
        <v>46387</v>
      </c>
      <c r="L238" s="5">
        <v>240000</v>
      </c>
      <c r="M238" s="5">
        <v>20000</v>
      </c>
      <c r="N238" s="5">
        <v>20000</v>
      </c>
      <c r="O238" s="5">
        <v>20000</v>
      </c>
      <c r="P238" s="5">
        <v>20000</v>
      </c>
      <c r="Q238" s="5">
        <v>20000</v>
      </c>
      <c r="R238" s="5">
        <v>20000</v>
      </c>
      <c r="S238" s="5">
        <v>20000</v>
      </c>
      <c r="T238" s="5">
        <v>20000</v>
      </c>
      <c r="U238" s="5">
        <v>20000</v>
      </c>
      <c r="V238" s="5">
        <v>20000</v>
      </c>
      <c r="W238" s="5">
        <v>20000</v>
      </c>
      <c r="X238" s="5">
        <v>20000</v>
      </c>
      <c r="Y238" s="5">
        <v>20000</v>
      </c>
    </row>
    <row r="239" spans="1:25" x14ac:dyDescent="0.25">
      <c r="A239" t="s">
        <v>1887</v>
      </c>
      <c r="B239" t="s">
        <v>1888</v>
      </c>
      <c r="C239" t="s">
        <v>1889</v>
      </c>
      <c r="D239">
        <v>6074202400099140</v>
      </c>
      <c r="E239" t="str">
        <f>IF(COUNTIF(Tabela1[codProcesso],Tabela2[[#This Row],[PROCESSO]]),"Está","Não está")</f>
        <v>Está</v>
      </c>
      <c r="F239" t="s">
        <v>2134</v>
      </c>
      <c r="G239" t="s">
        <v>2123</v>
      </c>
      <c r="H239" t="s">
        <v>1970</v>
      </c>
      <c r="I239" t="s">
        <v>2324</v>
      </c>
      <c r="J239" t="s">
        <v>1976</v>
      </c>
      <c r="K239" s="3">
        <v>46387</v>
      </c>
      <c r="L239" s="5">
        <v>240000</v>
      </c>
      <c r="M239" s="5">
        <v>20000</v>
      </c>
      <c r="N239" s="5">
        <v>20000</v>
      </c>
      <c r="O239" s="5">
        <v>20000</v>
      </c>
      <c r="P239" s="5">
        <v>20000</v>
      </c>
      <c r="Q239" s="5">
        <v>20000</v>
      </c>
      <c r="R239" s="5">
        <v>20000</v>
      </c>
      <c r="S239" s="5">
        <v>20000</v>
      </c>
      <c r="T239" s="5">
        <v>20000</v>
      </c>
      <c r="U239" s="5">
        <v>20000</v>
      </c>
      <c r="V239" s="5">
        <v>20000</v>
      </c>
      <c r="W239" s="5">
        <v>20000</v>
      </c>
      <c r="X239" s="5">
        <v>20000</v>
      </c>
      <c r="Y239" s="5">
        <v>20000</v>
      </c>
    </row>
    <row r="240" spans="1:25" x14ac:dyDescent="0.25">
      <c r="A240" t="s">
        <v>1887</v>
      </c>
      <c r="B240" t="s">
        <v>1888</v>
      </c>
      <c r="C240" t="s">
        <v>1889</v>
      </c>
      <c r="D240">
        <v>6074202500013480</v>
      </c>
      <c r="E240" t="str">
        <f>IF(COUNTIF(Tabela1[codProcesso],Tabela2[[#This Row],[PROCESSO]]),"Está","Não está")</f>
        <v>Não está</v>
      </c>
      <c r="F240" t="s">
        <v>2199</v>
      </c>
      <c r="G240" t="s">
        <v>2123</v>
      </c>
      <c r="H240" t="s">
        <v>1983</v>
      </c>
      <c r="I240" t="s">
        <v>1984</v>
      </c>
      <c r="J240" t="s">
        <v>1985</v>
      </c>
      <c r="K240" s="3">
        <v>46236</v>
      </c>
      <c r="L240" s="5">
        <v>8686591.6799999997</v>
      </c>
      <c r="M240" s="5">
        <v>723882.64</v>
      </c>
      <c r="N240" s="5">
        <v>723882.64</v>
      </c>
      <c r="O240" s="5">
        <v>723882.64</v>
      </c>
      <c r="P240" s="5">
        <v>723882.64</v>
      </c>
      <c r="Q240" s="5">
        <v>723882.64</v>
      </c>
      <c r="R240" s="5">
        <v>723882.64</v>
      </c>
      <c r="S240" s="5">
        <v>723882.64</v>
      </c>
      <c r="T240" s="5">
        <v>723882.64</v>
      </c>
      <c r="U240" s="5">
        <v>723882.64</v>
      </c>
      <c r="V240" s="5">
        <v>723882.64</v>
      </c>
      <c r="W240" s="5">
        <v>723882.64</v>
      </c>
      <c r="X240" s="5">
        <v>723882.64</v>
      </c>
      <c r="Y240" s="5">
        <v>723882.64</v>
      </c>
    </row>
    <row r="241" spans="1:25" x14ac:dyDescent="0.25">
      <c r="A241" t="s">
        <v>1887</v>
      </c>
      <c r="B241" t="s">
        <v>1888</v>
      </c>
      <c r="C241" t="s">
        <v>1889</v>
      </c>
      <c r="D241">
        <v>6074202500013490</v>
      </c>
      <c r="E241" t="str">
        <f>IF(COUNTIF(Tabela1[codProcesso],Tabela2[[#This Row],[PROCESSO]]),"Está","Não está")</f>
        <v>Não está</v>
      </c>
      <c r="F241" t="s">
        <v>2134</v>
      </c>
      <c r="G241" t="s">
        <v>2123</v>
      </c>
      <c r="H241" t="s">
        <v>1986</v>
      </c>
      <c r="I241" t="s">
        <v>2325</v>
      </c>
      <c r="J241" t="s">
        <v>1988</v>
      </c>
      <c r="K241" t="s">
        <v>1989</v>
      </c>
      <c r="L241" s="5">
        <v>2008231.32</v>
      </c>
      <c r="M241" s="5">
        <v>167352.60999999999</v>
      </c>
      <c r="N241" s="5">
        <v>167352.60999999999</v>
      </c>
      <c r="O241" s="5">
        <v>167352.60999999999</v>
      </c>
      <c r="P241" s="5">
        <v>167352.60999999999</v>
      </c>
      <c r="Q241" s="5">
        <v>167352.60999999999</v>
      </c>
      <c r="R241" s="5">
        <v>167352.60999999999</v>
      </c>
      <c r="S241" s="5">
        <v>167352.60999999999</v>
      </c>
      <c r="T241" s="5">
        <v>167352.60999999999</v>
      </c>
      <c r="U241" s="5">
        <v>167352.60999999999</v>
      </c>
      <c r="V241" s="5">
        <v>167352.60999999999</v>
      </c>
      <c r="W241" s="5">
        <v>167352.60999999999</v>
      </c>
      <c r="X241" s="5">
        <v>167352.60999999999</v>
      </c>
      <c r="Y241" s="5">
        <v>167352.65</v>
      </c>
    </row>
    <row r="242" spans="1:25" x14ac:dyDescent="0.25">
      <c r="A242" t="s">
        <v>1887</v>
      </c>
      <c r="B242" t="s">
        <v>1888</v>
      </c>
      <c r="C242" t="s">
        <v>1889</v>
      </c>
      <c r="D242">
        <v>6074202500013490</v>
      </c>
      <c r="E242" t="str">
        <f>IF(COUNTIF(Tabela1[codProcesso],Tabela2[[#This Row],[PROCESSO]]),"Está","Não está")</f>
        <v>Não está</v>
      </c>
      <c r="F242" t="s">
        <v>2326</v>
      </c>
      <c r="G242" t="s">
        <v>2123</v>
      </c>
      <c r="H242" t="s">
        <v>1986</v>
      </c>
      <c r="I242" t="s">
        <v>2327</v>
      </c>
      <c r="J242" t="s">
        <v>1988</v>
      </c>
      <c r="K242" t="s">
        <v>1989</v>
      </c>
      <c r="L242" s="4">
        <v>502057.83</v>
      </c>
      <c r="M242" s="5">
        <v>41838.15</v>
      </c>
      <c r="N242" s="5">
        <v>41838.15</v>
      </c>
      <c r="O242" s="5">
        <v>41838.15</v>
      </c>
      <c r="P242" s="5">
        <v>41838.15</v>
      </c>
      <c r="Q242" s="5">
        <v>41838.15</v>
      </c>
      <c r="R242" s="5">
        <v>41838.15</v>
      </c>
      <c r="S242" s="5">
        <v>41838.15</v>
      </c>
      <c r="T242" s="5">
        <v>41838.15</v>
      </c>
      <c r="U242" s="5">
        <v>41838.15</v>
      </c>
      <c r="V242" s="5">
        <v>41838.15</v>
      </c>
      <c r="W242" s="5">
        <v>41838.15</v>
      </c>
      <c r="X242" s="5">
        <v>41838.15</v>
      </c>
      <c r="Y242" s="5">
        <v>41838.15</v>
      </c>
    </row>
    <row r="243" spans="1:25" x14ac:dyDescent="0.25">
      <c r="A243" t="s">
        <v>1887</v>
      </c>
      <c r="B243" t="s">
        <v>1888</v>
      </c>
      <c r="C243" t="s">
        <v>1889</v>
      </c>
      <c r="D243">
        <v>6074202500026580</v>
      </c>
      <c r="E243" t="str">
        <f>IF(COUNTIF(Tabela1[codProcesso],Tabela2[[#This Row],[PROCESSO]]),"Está","Não está")</f>
        <v>Não está</v>
      </c>
      <c r="F243" t="s">
        <v>2122</v>
      </c>
      <c r="G243" t="s">
        <v>2123</v>
      </c>
      <c r="H243" t="s">
        <v>2328</v>
      </c>
      <c r="I243" t="s">
        <v>2329</v>
      </c>
      <c r="J243" t="s">
        <v>2330</v>
      </c>
      <c r="K243" t="s">
        <v>2331</v>
      </c>
      <c r="L243" s="5">
        <v>87360</v>
      </c>
      <c r="M243" s="5">
        <v>7560</v>
      </c>
      <c r="N243" s="5">
        <v>7000</v>
      </c>
      <c r="O243" s="5">
        <v>7000</v>
      </c>
      <c r="P243" s="5">
        <v>7000</v>
      </c>
      <c r="Q243" s="5">
        <v>7000</v>
      </c>
      <c r="R243" s="5">
        <v>7000</v>
      </c>
      <c r="S243" s="5">
        <v>7000</v>
      </c>
      <c r="T243" s="5">
        <v>7560</v>
      </c>
      <c r="U243" s="5">
        <v>7560</v>
      </c>
      <c r="V243" s="5">
        <v>7560</v>
      </c>
      <c r="W243" s="5">
        <v>7560</v>
      </c>
      <c r="X243" s="5">
        <v>7560</v>
      </c>
      <c r="Y243" s="5">
        <v>7560</v>
      </c>
    </row>
    <row r="244" spans="1:25" x14ac:dyDescent="0.25">
      <c r="A244" t="s">
        <v>1887</v>
      </c>
      <c r="B244" t="s">
        <v>1888</v>
      </c>
      <c r="C244" t="s">
        <v>1889</v>
      </c>
      <c r="D244">
        <v>6074202500026580</v>
      </c>
      <c r="E244" t="str">
        <f>IF(COUNTIF(Tabela1[codProcesso],Tabela2[[#This Row],[PROCESSO]]),"Está","Não está")</f>
        <v>Não está</v>
      </c>
      <c r="F244" t="s">
        <v>2122</v>
      </c>
      <c r="G244" t="s">
        <v>2123</v>
      </c>
      <c r="H244" t="s">
        <v>2328</v>
      </c>
      <c r="I244" t="s">
        <v>2332</v>
      </c>
      <c r="J244" t="s">
        <v>2330</v>
      </c>
      <c r="K244" t="s">
        <v>2331</v>
      </c>
      <c r="L244" s="5">
        <v>2500</v>
      </c>
      <c r="M244" s="5">
        <v>250</v>
      </c>
      <c r="N244" s="5">
        <v>0</v>
      </c>
      <c r="O244" s="5">
        <v>250</v>
      </c>
      <c r="P244" s="5">
        <v>250</v>
      </c>
      <c r="Q244" s="5">
        <v>250</v>
      </c>
      <c r="R244" s="5">
        <v>250</v>
      </c>
      <c r="S244" s="5">
        <v>250</v>
      </c>
      <c r="T244" s="5">
        <v>250</v>
      </c>
      <c r="U244" s="5">
        <v>250</v>
      </c>
      <c r="V244" s="5">
        <v>250</v>
      </c>
      <c r="W244" s="5">
        <v>250</v>
      </c>
      <c r="X244" s="5">
        <v>250</v>
      </c>
      <c r="Y244" s="5">
        <v>0</v>
      </c>
    </row>
    <row r="245" spans="1:25" x14ac:dyDescent="0.25">
      <c r="A245" t="s">
        <v>1887</v>
      </c>
      <c r="B245" t="s">
        <v>1888</v>
      </c>
      <c r="C245" t="s">
        <v>1889</v>
      </c>
      <c r="D245">
        <v>6074202500026580</v>
      </c>
      <c r="E245" t="str">
        <f>IF(COUNTIF(Tabela1[codProcesso],Tabela2[[#This Row],[PROCESSO]]),"Está","Não está")</f>
        <v>Não está</v>
      </c>
      <c r="F245" t="s">
        <v>2122</v>
      </c>
      <c r="G245" t="s">
        <v>2123</v>
      </c>
      <c r="H245" t="s">
        <v>2328</v>
      </c>
      <c r="I245" t="s">
        <v>2333</v>
      </c>
      <c r="J245" t="s">
        <v>2330</v>
      </c>
      <c r="K245" t="s">
        <v>2331</v>
      </c>
      <c r="L245" s="5">
        <v>500</v>
      </c>
      <c r="M245" s="5">
        <v>100</v>
      </c>
      <c r="N245" s="5">
        <v>0</v>
      </c>
      <c r="O245" s="5">
        <v>500</v>
      </c>
      <c r="P245" s="5">
        <v>0</v>
      </c>
      <c r="Q245" s="5">
        <v>0</v>
      </c>
      <c r="R245" s="5">
        <v>0</v>
      </c>
      <c r="S245" s="5">
        <v>0</v>
      </c>
      <c r="T245" s="5">
        <v>0</v>
      </c>
      <c r="U245" s="5">
        <v>0</v>
      </c>
      <c r="V245" s="5">
        <v>0</v>
      </c>
      <c r="W245" s="5">
        <v>0</v>
      </c>
      <c r="X245" s="5">
        <v>0</v>
      </c>
      <c r="Y245" s="5">
        <v>0</v>
      </c>
    </row>
    <row r="246" spans="1:25" x14ac:dyDescent="0.25">
      <c r="A246" t="s">
        <v>1887</v>
      </c>
      <c r="B246" t="s">
        <v>1888</v>
      </c>
      <c r="C246" t="s">
        <v>1889</v>
      </c>
      <c r="D246" t="s">
        <v>2463</v>
      </c>
      <c r="E246" t="str">
        <f>IF(COUNTIF(Tabela1[codProcesso],Tabela2[[#This Row],[PROCESSO]]),"Está","Não está")</f>
        <v>Não está</v>
      </c>
      <c r="F246" t="s">
        <v>2326</v>
      </c>
      <c r="G246" t="s">
        <v>2123</v>
      </c>
      <c r="H246" t="s">
        <v>1986</v>
      </c>
      <c r="I246" t="s">
        <v>2334</v>
      </c>
      <c r="J246" t="s">
        <v>1999</v>
      </c>
      <c r="K246" t="s">
        <v>1989</v>
      </c>
      <c r="L246" s="5">
        <v>35000</v>
      </c>
      <c r="M246" s="5">
        <v>35000</v>
      </c>
      <c r="O246" s="5">
        <v>35000</v>
      </c>
    </row>
    <row r="247" spans="1:25" x14ac:dyDescent="0.25">
      <c r="A247" t="s">
        <v>1887</v>
      </c>
      <c r="B247" t="s">
        <v>1888</v>
      </c>
      <c r="C247" t="s">
        <v>1889</v>
      </c>
      <c r="D247" t="s">
        <v>2467</v>
      </c>
      <c r="E247" t="str">
        <f>IF(COUNTIF(Tabela1[codProcesso],Tabela2[[#This Row],[PROCESSO]]),"Está","Não está")</f>
        <v>Não está</v>
      </c>
      <c r="F247" t="s">
        <v>2335</v>
      </c>
      <c r="G247" t="s">
        <v>2123</v>
      </c>
      <c r="H247" t="s">
        <v>1986</v>
      </c>
      <c r="I247" t="s">
        <v>2336</v>
      </c>
      <c r="J247" t="s">
        <v>1997</v>
      </c>
      <c r="K247" t="s">
        <v>2331</v>
      </c>
      <c r="L247" s="5">
        <v>200000</v>
      </c>
      <c r="M247" s="5">
        <v>0</v>
      </c>
      <c r="N247" s="5">
        <v>0</v>
      </c>
      <c r="O247" s="5">
        <v>0</v>
      </c>
      <c r="P247" s="5">
        <v>300000</v>
      </c>
      <c r="Q247" s="5">
        <v>0</v>
      </c>
      <c r="R247" s="5">
        <v>0</v>
      </c>
      <c r="S247" s="5">
        <v>0</v>
      </c>
      <c r="T247" s="5">
        <v>0</v>
      </c>
      <c r="U247" s="5">
        <v>0</v>
      </c>
      <c r="V247" s="5">
        <v>0</v>
      </c>
      <c r="W247" s="5">
        <v>0</v>
      </c>
      <c r="X247" s="5">
        <v>0</v>
      </c>
      <c r="Y247" s="5">
        <v>0</v>
      </c>
    </row>
    <row r="248" spans="1:25" x14ac:dyDescent="0.25">
      <c r="A248" t="s">
        <v>1887</v>
      </c>
      <c r="B248" t="s">
        <v>1888</v>
      </c>
      <c r="C248" t="s">
        <v>1889</v>
      </c>
      <c r="D248">
        <v>6074202200005770</v>
      </c>
      <c r="E248" t="str">
        <f>IF(COUNTIF(Tabela1[codProcesso],Tabela2[[#This Row],[PROCESSO]]),"Está","Não está")</f>
        <v>Não está</v>
      </c>
      <c r="F248" t="s">
        <v>2337</v>
      </c>
      <c r="G248" t="s">
        <v>2338</v>
      </c>
      <c r="H248" t="s">
        <v>2339</v>
      </c>
      <c r="I248" t="s">
        <v>2340</v>
      </c>
      <c r="J248" t="s">
        <v>2341</v>
      </c>
      <c r="K248" s="3">
        <v>46054</v>
      </c>
      <c r="L248" s="4">
        <v>1800000</v>
      </c>
      <c r="M248" s="5">
        <v>150000</v>
      </c>
      <c r="N248" s="5">
        <v>150000</v>
      </c>
      <c r="O248" s="5">
        <v>150000</v>
      </c>
      <c r="P248" s="5">
        <v>150000</v>
      </c>
      <c r="Q248" s="5">
        <v>150000</v>
      </c>
      <c r="R248" s="5">
        <v>150000</v>
      </c>
      <c r="S248" s="5">
        <v>150000</v>
      </c>
      <c r="T248" s="5">
        <v>150000</v>
      </c>
      <c r="U248" s="5">
        <v>150000</v>
      </c>
      <c r="V248" s="5">
        <v>150000</v>
      </c>
      <c r="W248" s="5">
        <v>150000</v>
      </c>
      <c r="X248" s="5">
        <v>150000</v>
      </c>
      <c r="Y248" s="5">
        <v>150000</v>
      </c>
    </row>
    <row r="249" spans="1:25" x14ac:dyDescent="0.25">
      <c r="A249" t="s">
        <v>1887</v>
      </c>
      <c r="B249" t="s">
        <v>1888</v>
      </c>
      <c r="C249" t="s">
        <v>1889</v>
      </c>
      <c r="D249">
        <v>6074201900011180</v>
      </c>
      <c r="E249" t="str">
        <f>IF(COUNTIF(Tabela1[codProcesso],Tabela2[[#This Row],[PROCESSO]]),"Está","Não está")</f>
        <v>Está</v>
      </c>
      <c r="F249" t="s">
        <v>1900</v>
      </c>
      <c r="G249" t="s">
        <v>2342</v>
      </c>
      <c r="H249" t="s">
        <v>639</v>
      </c>
      <c r="I249" t="s">
        <v>2343</v>
      </c>
      <c r="J249" t="s">
        <v>2060</v>
      </c>
      <c r="K249" s="3">
        <v>46178</v>
      </c>
      <c r="L249" s="4">
        <v>49672.6</v>
      </c>
      <c r="M249" s="5">
        <v>4236.05</v>
      </c>
      <c r="N249" s="4">
        <v>4004.05</v>
      </c>
      <c r="O249" s="4">
        <v>4004.05</v>
      </c>
      <c r="P249" s="4">
        <v>4004.05</v>
      </c>
      <c r="Q249" s="4">
        <v>4004.05</v>
      </c>
      <c r="R249" s="4">
        <v>4004.05</v>
      </c>
      <c r="S249" s="5">
        <v>4236.05</v>
      </c>
      <c r="T249" s="5">
        <v>4236.05</v>
      </c>
      <c r="U249" s="5">
        <v>4236.05</v>
      </c>
      <c r="V249" s="5">
        <v>4236.05</v>
      </c>
      <c r="W249" s="5">
        <v>4236.05</v>
      </c>
      <c r="X249" s="5">
        <v>4236.05</v>
      </c>
      <c r="Y249" s="5">
        <v>4236.05</v>
      </c>
    </row>
    <row r="250" spans="1:25" x14ac:dyDescent="0.25">
      <c r="A250" t="s">
        <v>1887</v>
      </c>
      <c r="B250" t="s">
        <v>1888</v>
      </c>
      <c r="C250" t="s">
        <v>1889</v>
      </c>
      <c r="D250">
        <v>6074202000011890</v>
      </c>
      <c r="E250" t="str">
        <f>IF(COUNTIF(Tabela1[codProcesso],Tabela2[[#This Row],[PROCESSO]]),"Está","Não está")</f>
        <v>Está</v>
      </c>
      <c r="F250" t="s">
        <v>2344</v>
      </c>
      <c r="G250" t="s">
        <v>2342</v>
      </c>
      <c r="H250" t="s">
        <v>919</v>
      </c>
      <c r="I250" t="s">
        <v>2345</v>
      </c>
      <c r="J250" t="s">
        <v>2346</v>
      </c>
      <c r="K250" s="3">
        <v>46290</v>
      </c>
      <c r="L250" s="5">
        <v>69771.72</v>
      </c>
      <c r="M250" s="5">
        <v>5711.81</v>
      </c>
      <c r="N250" s="5">
        <v>5711.81</v>
      </c>
      <c r="O250" s="5">
        <v>5711.81</v>
      </c>
      <c r="P250" s="5">
        <v>5711.81</v>
      </c>
      <c r="Q250" s="5">
        <v>5711.81</v>
      </c>
      <c r="R250" s="5">
        <v>5711.81</v>
      </c>
      <c r="S250" s="5">
        <v>5711.81</v>
      </c>
      <c r="T250" s="5">
        <v>5711.81</v>
      </c>
      <c r="U250" s="5">
        <v>5711.81</v>
      </c>
      <c r="V250" s="5">
        <v>5711.81</v>
      </c>
      <c r="W250" s="5">
        <v>6121.81</v>
      </c>
      <c r="X250" s="5">
        <v>6121.81</v>
      </c>
      <c r="Y250" s="5">
        <v>6121.81</v>
      </c>
    </row>
    <row r="251" spans="1:25" x14ac:dyDescent="0.25">
      <c r="A251" t="s">
        <v>1887</v>
      </c>
      <c r="B251" t="s">
        <v>1888</v>
      </c>
      <c r="C251" t="s">
        <v>1889</v>
      </c>
      <c r="D251">
        <v>6074202100075180</v>
      </c>
      <c r="E251" t="str">
        <f>IF(COUNTIF(Tabela1[codProcesso],Tabela2[[#This Row],[PROCESSO]]),"Está","Não está")</f>
        <v>Está</v>
      </c>
      <c r="F251" t="s">
        <v>1890</v>
      </c>
      <c r="G251" t="s">
        <v>2342</v>
      </c>
      <c r="H251" t="s">
        <v>83</v>
      </c>
      <c r="I251" t="s">
        <v>2347</v>
      </c>
      <c r="J251" t="s">
        <v>2182</v>
      </c>
      <c r="K251" s="3">
        <v>46090</v>
      </c>
      <c r="L251" s="5">
        <v>151911.04000000001</v>
      </c>
      <c r="M251" s="5">
        <v>12798.88</v>
      </c>
      <c r="N251" s="4">
        <v>11961.12</v>
      </c>
      <c r="O251" s="4">
        <v>11961.12</v>
      </c>
      <c r="P251" s="4">
        <v>12798.88</v>
      </c>
      <c r="Q251" s="4">
        <v>12798.88</v>
      </c>
      <c r="R251" s="4">
        <v>12798.88</v>
      </c>
      <c r="S251" s="4">
        <v>12798.88</v>
      </c>
      <c r="T251" s="4">
        <v>12798.88</v>
      </c>
      <c r="U251" s="4">
        <v>12798.88</v>
      </c>
      <c r="V251" s="4">
        <v>12798.88</v>
      </c>
      <c r="W251" s="4">
        <v>12798.88</v>
      </c>
      <c r="X251" s="4">
        <v>12798.88</v>
      </c>
      <c r="Y251" s="4">
        <v>12798.88</v>
      </c>
    </row>
    <row r="252" spans="1:25" x14ac:dyDescent="0.25">
      <c r="A252" t="s">
        <v>1887</v>
      </c>
      <c r="B252" t="s">
        <v>1888</v>
      </c>
      <c r="C252" t="s">
        <v>1889</v>
      </c>
      <c r="D252">
        <v>6074202400042910</v>
      </c>
      <c r="E252" t="str">
        <f>IF(COUNTIF(Tabela1[codProcesso],Tabela2[[#This Row],[PROCESSO]]),"Está","Não está")</f>
        <v>Está</v>
      </c>
      <c r="F252" t="s">
        <v>1890</v>
      </c>
      <c r="G252" t="s">
        <v>2342</v>
      </c>
      <c r="H252" t="s">
        <v>239</v>
      </c>
      <c r="I252" t="s">
        <v>2348</v>
      </c>
      <c r="J252" t="s">
        <v>2349</v>
      </c>
      <c r="K252" s="3">
        <v>46282</v>
      </c>
      <c r="L252" s="5">
        <v>1652562.8</v>
      </c>
      <c r="M252" s="5">
        <v>200000</v>
      </c>
      <c r="N252" s="5">
        <v>200000</v>
      </c>
      <c r="O252" s="5">
        <v>200000</v>
      </c>
      <c r="P252" s="5">
        <v>200000</v>
      </c>
      <c r="Q252" s="5">
        <v>200000</v>
      </c>
      <c r="R252" s="5">
        <v>200000</v>
      </c>
      <c r="S252" s="5">
        <v>200000</v>
      </c>
      <c r="T252" s="5">
        <v>200000</v>
      </c>
      <c r="U252" s="5">
        <v>200000</v>
      </c>
      <c r="V252" s="5">
        <v>200000</v>
      </c>
      <c r="W252" s="5">
        <v>200000</v>
      </c>
      <c r="X252" s="5">
        <v>200000</v>
      </c>
      <c r="Y252" s="5">
        <v>200000</v>
      </c>
    </row>
    <row r="253" spans="1:25" x14ac:dyDescent="0.25">
      <c r="A253" t="s">
        <v>1887</v>
      </c>
      <c r="B253" t="s">
        <v>1888</v>
      </c>
      <c r="C253" t="s">
        <v>1889</v>
      </c>
      <c r="D253">
        <v>6074202500006770</v>
      </c>
      <c r="E253" t="str">
        <f>IF(COUNTIF(Tabela1[codProcesso],Tabela2[[#This Row],[PROCESSO]]),"Está","Não está")</f>
        <v>Está</v>
      </c>
      <c r="F253" t="s">
        <v>2344</v>
      </c>
      <c r="G253" t="s">
        <v>2342</v>
      </c>
      <c r="H253" t="s">
        <v>2350</v>
      </c>
      <c r="I253" t="s">
        <v>2351</v>
      </c>
      <c r="J253" t="s">
        <v>2352</v>
      </c>
      <c r="K253" s="3">
        <v>46149</v>
      </c>
      <c r="L253" s="5">
        <v>2558</v>
      </c>
      <c r="R253" s="5">
        <v>2558</v>
      </c>
    </row>
    <row r="254" spans="1:25" x14ac:dyDescent="0.25">
      <c r="A254" t="s">
        <v>1887</v>
      </c>
      <c r="B254" t="s">
        <v>1888</v>
      </c>
      <c r="C254" t="s">
        <v>1889</v>
      </c>
      <c r="D254" t="s">
        <v>2463</v>
      </c>
      <c r="E254" t="str">
        <f>IF(COUNTIF(Tabela1[codProcesso],Tabela2[[#This Row],[PROCESSO]]),"Está","Não está")</f>
        <v>Não está</v>
      </c>
      <c r="F254" t="s">
        <v>2353</v>
      </c>
      <c r="G254" t="s">
        <v>2354</v>
      </c>
      <c r="H254" t="s">
        <v>1986</v>
      </c>
      <c r="I254" t="s">
        <v>2355</v>
      </c>
      <c r="J254" t="s">
        <v>1999</v>
      </c>
      <c r="K254" t="s">
        <v>1989</v>
      </c>
      <c r="L254" s="5">
        <v>100000</v>
      </c>
      <c r="M254" s="5">
        <v>100000</v>
      </c>
      <c r="O254" s="5">
        <v>100000</v>
      </c>
    </row>
    <row r="255" spans="1:25" x14ac:dyDescent="0.25">
      <c r="A255" t="s">
        <v>1887</v>
      </c>
      <c r="B255" t="s">
        <v>1888</v>
      </c>
      <c r="C255" t="s">
        <v>1889</v>
      </c>
      <c r="D255" t="s">
        <v>2463</v>
      </c>
      <c r="E255" t="str">
        <f>IF(COUNTIF(Tabela1[codProcesso],Tabela2[[#This Row],[PROCESSO]]),"Está","Não está")</f>
        <v>Não está</v>
      </c>
      <c r="F255" t="s">
        <v>2356</v>
      </c>
      <c r="G255" t="s">
        <v>2354</v>
      </c>
      <c r="H255" t="s">
        <v>1986</v>
      </c>
      <c r="I255" t="s">
        <v>2357</v>
      </c>
      <c r="J255" t="s">
        <v>1999</v>
      </c>
      <c r="K255" t="s">
        <v>1989</v>
      </c>
      <c r="L255" s="5">
        <v>50000</v>
      </c>
      <c r="M255" s="5">
        <v>50000</v>
      </c>
      <c r="O255" s="5">
        <v>50000</v>
      </c>
    </row>
    <row r="256" spans="1:25" x14ac:dyDescent="0.25">
      <c r="A256" t="s">
        <v>1887</v>
      </c>
      <c r="B256" t="s">
        <v>1888</v>
      </c>
      <c r="C256" t="s">
        <v>1889</v>
      </c>
      <c r="D256" t="s">
        <v>2463</v>
      </c>
      <c r="E256" t="str">
        <f>IF(COUNTIF(Tabela1[codProcesso],Tabela2[[#This Row],[PROCESSO]]),"Está","Não está")</f>
        <v>Não está</v>
      </c>
      <c r="F256" t="s">
        <v>2358</v>
      </c>
      <c r="G256" t="s">
        <v>2359</v>
      </c>
      <c r="H256" t="s">
        <v>1986</v>
      </c>
      <c r="I256" t="s">
        <v>2360</v>
      </c>
      <c r="J256" t="s">
        <v>1999</v>
      </c>
      <c r="K256" t="s">
        <v>1989</v>
      </c>
      <c r="L256" s="5">
        <v>50000</v>
      </c>
      <c r="M256" s="5">
        <v>50000</v>
      </c>
      <c r="O256" s="5">
        <v>0</v>
      </c>
      <c r="Q256" s="5">
        <v>50000</v>
      </c>
    </row>
    <row r="257" spans="1:25" x14ac:dyDescent="0.25">
      <c r="A257" t="s">
        <v>1887</v>
      </c>
      <c r="B257" t="s">
        <v>1888</v>
      </c>
      <c r="C257" t="s">
        <v>1889</v>
      </c>
      <c r="D257">
        <v>6074202100026480</v>
      </c>
      <c r="E257" t="str">
        <f>IF(COUNTIF(Tabela1[codProcesso],Tabela2[[#This Row],[PROCESSO]]),"Está","Não está")</f>
        <v>Está</v>
      </c>
      <c r="F257" t="s">
        <v>2361</v>
      </c>
      <c r="G257" t="s">
        <v>2362</v>
      </c>
      <c r="H257" t="s">
        <v>1003</v>
      </c>
      <c r="I257" t="s">
        <v>2363</v>
      </c>
      <c r="J257" t="s">
        <v>2086</v>
      </c>
      <c r="K257" s="3">
        <v>45935</v>
      </c>
      <c r="L257" s="5">
        <v>237161.88</v>
      </c>
      <c r="M257" s="5">
        <v>22509.37</v>
      </c>
      <c r="N257" s="5">
        <v>21136.43</v>
      </c>
      <c r="O257" s="5">
        <v>21136.43</v>
      </c>
      <c r="P257" s="5">
        <v>21136.43</v>
      </c>
      <c r="Q257" s="5">
        <v>21136.43</v>
      </c>
      <c r="R257" s="5">
        <v>21136.43</v>
      </c>
      <c r="S257" s="5">
        <v>21136.43</v>
      </c>
      <c r="T257" s="5">
        <v>21136.43</v>
      </c>
      <c r="U257" s="5">
        <v>21136.43</v>
      </c>
      <c r="V257" s="5">
        <v>21136.43</v>
      </c>
      <c r="W257" s="5">
        <v>22509.37</v>
      </c>
      <c r="X257" s="5">
        <v>22509.37</v>
      </c>
      <c r="Y257" s="5">
        <v>22509.37</v>
      </c>
    </row>
    <row r="258" spans="1:25" x14ac:dyDescent="0.25">
      <c r="A258" t="s">
        <v>1887</v>
      </c>
      <c r="B258" t="s">
        <v>1888</v>
      </c>
      <c r="C258" t="s">
        <v>1889</v>
      </c>
      <c r="D258">
        <v>6074202200022450</v>
      </c>
      <c r="E258" t="str">
        <f>IF(COUNTIF(Tabela1[codProcesso],Tabela2[[#This Row],[PROCESSO]]),"Está","Não está")</f>
        <v>Está</v>
      </c>
      <c r="F258" t="s">
        <v>2364</v>
      </c>
      <c r="G258" t="s">
        <v>2362</v>
      </c>
      <c r="H258" t="s">
        <v>2051</v>
      </c>
      <c r="I258" t="s">
        <v>2365</v>
      </c>
      <c r="J258" t="s">
        <v>2018</v>
      </c>
      <c r="K258" s="3">
        <v>46138</v>
      </c>
      <c r="L258" s="5">
        <v>1200</v>
      </c>
      <c r="M258" s="5">
        <v>100</v>
      </c>
      <c r="N258" s="5">
        <v>100</v>
      </c>
      <c r="O258" s="5">
        <v>100</v>
      </c>
      <c r="P258" s="5">
        <v>100</v>
      </c>
      <c r="Q258" s="5">
        <v>100</v>
      </c>
      <c r="R258" s="5">
        <v>100</v>
      </c>
      <c r="S258" s="5">
        <v>100</v>
      </c>
      <c r="T258" s="5">
        <v>100</v>
      </c>
      <c r="U258" s="5">
        <v>100</v>
      </c>
      <c r="V258" s="5">
        <v>100</v>
      </c>
      <c r="W258" s="5">
        <v>100</v>
      </c>
      <c r="X258" s="5">
        <v>100</v>
      </c>
      <c r="Y258" s="5">
        <v>100</v>
      </c>
    </row>
    <row r="259" spans="1:25" x14ac:dyDescent="0.25">
      <c r="A259" t="s">
        <v>1887</v>
      </c>
      <c r="B259" t="s">
        <v>1888</v>
      </c>
      <c r="C259" t="s">
        <v>1889</v>
      </c>
      <c r="D259">
        <v>6074202200031730</v>
      </c>
      <c r="E259" t="str">
        <f>IF(COUNTIF(Tabela1[codProcesso],Tabela2[[#This Row],[PROCESSO]]),"Está","Não está")</f>
        <v>Está</v>
      </c>
      <c r="F259" t="s">
        <v>2361</v>
      </c>
      <c r="G259" t="s">
        <v>2362</v>
      </c>
      <c r="H259" t="s">
        <v>421</v>
      </c>
      <c r="I259" t="s">
        <v>2101</v>
      </c>
      <c r="J259" t="s">
        <v>2102</v>
      </c>
      <c r="K259" s="3">
        <v>46362</v>
      </c>
      <c r="L259" s="4">
        <v>122941.18</v>
      </c>
      <c r="M259" s="5">
        <v>10892.87</v>
      </c>
      <c r="N259" s="4">
        <v>10186.209999999999</v>
      </c>
      <c r="O259" s="5">
        <v>10186.209999999999</v>
      </c>
      <c r="P259" s="5">
        <v>10186.209999999999</v>
      </c>
      <c r="Q259" s="5">
        <v>10186.209999999999</v>
      </c>
      <c r="R259" s="5">
        <v>10186.209999999999</v>
      </c>
      <c r="S259" s="5">
        <v>10186.209999999999</v>
      </c>
      <c r="T259" s="4">
        <v>10186.209999999999</v>
      </c>
      <c r="U259" s="4">
        <v>10186.209999999999</v>
      </c>
      <c r="V259" s="4">
        <v>10186.209999999999</v>
      </c>
      <c r="W259" s="4">
        <v>10186.209999999999</v>
      </c>
      <c r="X259" s="4">
        <v>10186.209999999999</v>
      </c>
      <c r="Y259" s="4">
        <v>10892.87</v>
      </c>
    </row>
    <row r="260" spans="1:25" x14ac:dyDescent="0.25">
      <c r="A260" t="s">
        <v>1887</v>
      </c>
      <c r="B260" t="s">
        <v>1888</v>
      </c>
      <c r="C260" t="s">
        <v>1889</v>
      </c>
      <c r="D260">
        <v>6074202300013730</v>
      </c>
      <c r="E260" t="str">
        <f>IF(COUNTIF(Tabela1[codProcesso],Tabela2[[#This Row],[PROCESSO]]),"Está","Não está")</f>
        <v>Está</v>
      </c>
      <c r="F260" t="s">
        <v>2364</v>
      </c>
      <c r="G260" t="s">
        <v>2362</v>
      </c>
      <c r="H260" t="s">
        <v>2019</v>
      </c>
      <c r="I260" t="s">
        <v>2366</v>
      </c>
      <c r="J260" t="s">
        <v>1930</v>
      </c>
      <c r="K260" s="3">
        <v>46149</v>
      </c>
      <c r="L260" s="5">
        <v>785</v>
      </c>
      <c r="M260" t="s">
        <v>1908</v>
      </c>
      <c r="N260" t="s">
        <v>1909</v>
      </c>
      <c r="O260" s="5">
        <v>392.5</v>
      </c>
      <c r="Q260" t="s">
        <v>1908</v>
      </c>
      <c r="R260" t="s">
        <v>1909</v>
      </c>
      <c r="S260" t="s">
        <v>1909</v>
      </c>
      <c r="T260" s="5">
        <v>785</v>
      </c>
      <c r="U260" t="s">
        <v>1908</v>
      </c>
      <c r="V260" t="s">
        <v>1909</v>
      </c>
      <c r="W260" t="s">
        <v>1909</v>
      </c>
      <c r="X260" t="s">
        <v>1909</v>
      </c>
      <c r="Y260" t="s">
        <v>1910</v>
      </c>
    </row>
    <row r="261" spans="1:25" x14ac:dyDescent="0.25">
      <c r="A261" t="s">
        <v>1887</v>
      </c>
      <c r="B261" t="s">
        <v>1888</v>
      </c>
      <c r="C261" t="s">
        <v>1889</v>
      </c>
      <c r="D261">
        <v>6074202300065530</v>
      </c>
      <c r="E261" t="str">
        <f>IF(COUNTIF(Tabela1[codProcesso],Tabela2[[#This Row],[PROCESSO]]),"Está","Não está")</f>
        <v>Está</v>
      </c>
      <c r="F261" t="s">
        <v>2364</v>
      </c>
      <c r="G261" t="s">
        <v>2362</v>
      </c>
      <c r="H261" t="s">
        <v>2367</v>
      </c>
      <c r="I261" t="s">
        <v>2368</v>
      </c>
      <c r="J261" t="s">
        <v>2056</v>
      </c>
      <c r="K261" s="3">
        <v>46281</v>
      </c>
      <c r="L261" s="5">
        <v>183859.44</v>
      </c>
      <c r="M261" s="5">
        <v>15321.62</v>
      </c>
      <c r="N261" s="5">
        <v>15321.62</v>
      </c>
      <c r="O261" s="5">
        <v>15321.62</v>
      </c>
      <c r="P261" s="5">
        <v>15321.62</v>
      </c>
      <c r="Q261" s="5">
        <v>15321.62</v>
      </c>
      <c r="R261" s="5">
        <v>15321.62</v>
      </c>
      <c r="S261" s="5">
        <v>15321.62</v>
      </c>
      <c r="T261" s="5">
        <v>15321.62</v>
      </c>
      <c r="U261" s="5">
        <v>15321.62</v>
      </c>
      <c r="V261" s="5">
        <v>15321.62</v>
      </c>
      <c r="W261" s="5">
        <v>15321.62</v>
      </c>
      <c r="X261" s="5">
        <v>15321.62</v>
      </c>
      <c r="Y261" s="5">
        <v>15321.62</v>
      </c>
    </row>
    <row r="262" spans="1:25" x14ac:dyDescent="0.25">
      <c r="A262" t="s">
        <v>1887</v>
      </c>
      <c r="B262" t="s">
        <v>1888</v>
      </c>
      <c r="C262" t="s">
        <v>1889</v>
      </c>
      <c r="D262">
        <v>6074202300066920</v>
      </c>
      <c r="E262" t="str">
        <f>IF(COUNTIF(Tabela1[codProcesso],Tabela2[[#This Row],[PROCESSO]]),"Está","Não está")</f>
        <v>Está</v>
      </c>
      <c r="F262" t="s">
        <v>2361</v>
      </c>
      <c r="G262" t="s">
        <v>2362</v>
      </c>
      <c r="H262" t="s">
        <v>2022</v>
      </c>
      <c r="I262" t="s">
        <v>2369</v>
      </c>
      <c r="J262" t="s">
        <v>2370</v>
      </c>
      <c r="L262" s="5">
        <v>266559.82</v>
      </c>
      <c r="M262" s="5">
        <v>23712.38</v>
      </c>
      <c r="N262" s="5">
        <v>20441.7</v>
      </c>
      <c r="O262" s="5">
        <v>22077.040000000001</v>
      </c>
      <c r="P262" s="5">
        <v>22077.040000000001</v>
      </c>
      <c r="Q262" s="5">
        <v>22077.040000000001</v>
      </c>
      <c r="R262" s="5">
        <v>22077.040000000001</v>
      </c>
      <c r="S262" s="5">
        <v>22077.040000000001</v>
      </c>
      <c r="T262" s="5">
        <v>22077.040000000001</v>
      </c>
      <c r="U262" s="5">
        <v>22077.040000000001</v>
      </c>
      <c r="V262" s="5">
        <v>22077.040000000001</v>
      </c>
      <c r="W262" s="5">
        <v>22077.040000000001</v>
      </c>
      <c r="X262" s="5">
        <v>23712.38</v>
      </c>
      <c r="Y262" s="5">
        <v>23712.38</v>
      </c>
    </row>
    <row r="263" spans="1:25" x14ac:dyDescent="0.25">
      <c r="A263" t="s">
        <v>1887</v>
      </c>
      <c r="B263" t="s">
        <v>1888</v>
      </c>
      <c r="C263" t="s">
        <v>1889</v>
      </c>
      <c r="D263">
        <v>6074202300072300</v>
      </c>
      <c r="E263" t="str">
        <f>IF(COUNTIF(Tabela1[codProcesso],Tabela2[[#This Row],[PROCESSO]]),"Está","Não está")</f>
        <v>Está</v>
      </c>
      <c r="F263" t="s">
        <v>2364</v>
      </c>
      <c r="G263" t="s">
        <v>2362</v>
      </c>
      <c r="H263" t="s">
        <v>567</v>
      </c>
      <c r="I263" t="s">
        <v>2371</v>
      </c>
      <c r="J263" t="s">
        <v>1951</v>
      </c>
      <c r="K263" s="3">
        <v>46295</v>
      </c>
      <c r="L263" s="5">
        <v>869.04</v>
      </c>
      <c r="M263" s="5">
        <v>76.260000000000005</v>
      </c>
      <c r="N263" s="5">
        <v>71.14</v>
      </c>
      <c r="O263" s="5">
        <v>71.14</v>
      </c>
      <c r="P263" s="5">
        <v>71.14</v>
      </c>
      <c r="Q263" s="5">
        <v>71.14</v>
      </c>
      <c r="R263" s="5">
        <v>71.14</v>
      </c>
      <c r="S263" s="5">
        <v>71.14</v>
      </c>
      <c r="T263" s="5">
        <v>71.14</v>
      </c>
      <c r="U263" s="5">
        <v>71.14</v>
      </c>
      <c r="V263" s="5">
        <v>71.14</v>
      </c>
      <c r="W263" s="5">
        <v>76.260000000000005</v>
      </c>
      <c r="X263" s="5">
        <v>76.260000000000005</v>
      </c>
      <c r="Y263" s="5">
        <v>76.260000000000005</v>
      </c>
    </row>
    <row r="264" spans="1:25" x14ac:dyDescent="0.25">
      <c r="A264" t="s">
        <v>1887</v>
      </c>
      <c r="B264" t="s">
        <v>1888</v>
      </c>
      <c r="C264" t="s">
        <v>1889</v>
      </c>
      <c r="D264">
        <v>6074202400065410</v>
      </c>
      <c r="E264" t="str">
        <f>IF(COUNTIF(Tabela1[codProcesso],Tabela2[[#This Row],[PROCESSO]]),"Está","Não está")</f>
        <v>Está</v>
      </c>
      <c r="F264" t="s">
        <v>2364</v>
      </c>
      <c r="G264" t="s">
        <v>2362</v>
      </c>
      <c r="H264" t="s">
        <v>370</v>
      </c>
      <c r="I264" t="s">
        <v>2058</v>
      </c>
      <c r="J264" t="s">
        <v>1967</v>
      </c>
      <c r="K264" s="3">
        <v>46359</v>
      </c>
      <c r="L264" s="5">
        <v>1240</v>
      </c>
      <c r="M264" t="s">
        <v>1908</v>
      </c>
      <c r="N264" s="5">
        <v>580</v>
      </c>
      <c r="O264" t="s">
        <v>1908</v>
      </c>
      <c r="P264" t="s">
        <v>1909</v>
      </c>
      <c r="Q264" t="s">
        <v>1909</v>
      </c>
      <c r="R264" t="s">
        <v>1909</v>
      </c>
      <c r="S264" t="s">
        <v>1909</v>
      </c>
      <c r="T264" t="s">
        <v>1909</v>
      </c>
      <c r="U264" t="s">
        <v>1909</v>
      </c>
      <c r="V264" t="s">
        <v>1909</v>
      </c>
      <c r="W264" s="5">
        <v>660</v>
      </c>
      <c r="X264" t="s">
        <v>1908</v>
      </c>
      <c r="Y264" t="s">
        <v>1910</v>
      </c>
    </row>
    <row r="265" spans="1:25" hidden="1" x14ac:dyDescent="0.25">
      <c r="E265" t="str">
        <f>IF(COUNTIF(Tabela1[codProcesso],Tabela2[[#This Row],[PROCESSO]]),"Está","Não está")</f>
        <v>Não está</v>
      </c>
      <c r="I265" t="s">
        <v>2372</v>
      </c>
    </row>
    <row r="266" spans="1:25" x14ac:dyDescent="0.25">
      <c r="A266" t="s">
        <v>1887</v>
      </c>
      <c r="B266" t="s">
        <v>1888</v>
      </c>
      <c r="C266" t="s">
        <v>1889</v>
      </c>
      <c r="D266">
        <v>6074202400099120</v>
      </c>
      <c r="E266" t="str">
        <f>IF(COUNTIF(Tabela1[codProcesso],Tabela2[[#This Row],[PROCESSO]]),"Está","Não está")</f>
        <v>Está</v>
      </c>
      <c r="F266" t="s">
        <v>2364</v>
      </c>
      <c r="G266" t="s">
        <v>2362</v>
      </c>
      <c r="H266" t="s">
        <v>1970</v>
      </c>
      <c r="I266" t="s">
        <v>2373</v>
      </c>
      <c r="J266" t="s">
        <v>1972</v>
      </c>
      <c r="K266" s="3">
        <v>46387</v>
      </c>
      <c r="L266" s="5">
        <v>7200</v>
      </c>
      <c r="M266" s="5">
        <v>600</v>
      </c>
      <c r="N266" s="5">
        <v>600</v>
      </c>
      <c r="O266" s="5">
        <v>600</v>
      </c>
      <c r="P266" s="5">
        <v>600</v>
      </c>
      <c r="Q266" s="5">
        <v>600</v>
      </c>
      <c r="R266" s="5">
        <v>600</v>
      </c>
      <c r="S266" s="5">
        <v>600</v>
      </c>
      <c r="T266" s="5">
        <v>600</v>
      </c>
      <c r="U266" s="5">
        <v>600</v>
      </c>
      <c r="V266" s="5">
        <v>600</v>
      </c>
      <c r="W266" s="5">
        <v>600</v>
      </c>
      <c r="X266" s="5">
        <v>600</v>
      </c>
      <c r="Y266" s="5">
        <v>600</v>
      </c>
    </row>
    <row r="267" spans="1:25" x14ac:dyDescent="0.25">
      <c r="A267" t="s">
        <v>1887</v>
      </c>
      <c r="B267" t="s">
        <v>1888</v>
      </c>
      <c r="C267" t="s">
        <v>1889</v>
      </c>
      <c r="D267">
        <v>6074202400099150</v>
      </c>
      <c r="E267" t="str">
        <f>IF(COUNTIF(Tabela1[codProcesso],Tabela2[[#This Row],[PROCESSO]]),"Está","Não está")</f>
        <v>Está</v>
      </c>
      <c r="F267" t="s">
        <v>2364</v>
      </c>
      <c r="G267" t="s">
        <v>2362</v>
      </c>
      <c r="H267" t="s">
        <v>1970</v>
      </c>
      <c r="I267" t="s">
        <v>2374</v>
      </c>
      <c r="J267" t="s">
        <v>1976</v>
      </c>
      <c r="K267" s="3">
        <v>46387</v>
      </c>
      <c r="L267" s="5">
        <v>12000</v>
      </c>
      <c r="M267" s="5">
        <v>1000</v>
      </c>
      <c r="N267" s="5">
        <v>1000</v>
      </c>
      <c r="O267" s="5">
        <v>1000</v>
      </c>
      <c r="P267" s="5">
        <v>1000</v>
      </c>
      <c r="Q267" s="5">
        <v>1000</v>
      </c>
      <c r="R267" s="5">
        <v>1000</v>
      </c>
      <c r="S267" s="5">
        <v>1000</v>
      </c>
      <c r="T267" s="5">
        <v>1000</v>
      </c>
      <c r="U267" s="5">
        <v>1000</v>
      </c>
      <c r="V267" s="5">
        <v>1000</v>
      </c>
      <c r="W267" s="5">
        <v>1000</v>
      </c>
      <c r="X267" s="5">
        <v>1000</v>
      </c>
      <c r="Y267" s="5">
        <v>1000</v>
      </c>
    </row>
    <row r="268" spans="1:25" x14ac:dyDescent="0.25">
      <c r="A268" t="s">
        <v>1887</v>
      </c>
      <c r="B268" t="s">
        <v>1888</v>
      </c>
      <c r="C268" t="s">
        <v>1889</v>
      </c>
      <c r="D268">
        <v>6074202500013480</v>
      </c>
      <c r="E268" t="str">
        <f>IF(COUNTIF(Tabela1[codProcesso],Tabela2[[#This Row],[PROCESSO]]),"Está","Não está")</f>
        <v>Não está</v>
      </c>
      <c r="F268" t="s">
        <v>2361</v>
      </c>
      <c r="G268" t="s">
        <v>2362</v>
      </c>
      <c r="H268" t="s">
        <v>1983</v>
      </c>
      <c r="I268" t="s">
        <v>2375</v>
      </c>
      <c r="J268" t="s">
        <v>1985</v>
      </c>
      <c r="K268" s="3">
        <v>46236</v>
      </c>
      <c r="L268" s="5">
        <v>357134.28</v>
      </c>
      <c r="M268" s="5">
        <v>29761.19</v>
      </c>
      <c r="N268" s="5">
        <v>29761.19</v>
      </c>
      <c r="O268" s="5">
        <v>29761.19</v>
      </c>
      <c r="P268" s="5">
        <v>29761.19</v>
      </c>
      <c r="Q268" s="5">
        <v>29761.19</v>
      </c>
      <c r="R268" s="5">
        <v>29761.19</v>
      </c>
      <c r="S268" s="5">
        <v>29761.19</v>
      </c>
      <c r="T268" s="5">
        <v>29761.19</v>
      </c>
      <c r="U268" s="5">
        <v>29761.19</v>
      </c>
      <c r="V268" s="5">
        <v>29761.19</v>
      </c>
      <c r="W268" s="5">
        <v>29761.19</v>
      </c>
      <c r="X268" s="5">
        <v>29761.19</v>
      </c>
      <c r="Y268" s="5">
        <v>29761.19</v>
      </c>
    </row>
    <row r="269" spans="1:25" x14ac:dyDescent="0.25">
      <c r="A269" t="s">
        <v>1887</v>
      </c>
      <c r="B269" t="s">
        <v>1888</v>
      </c>
      <c r="C269" t="s">
        <v>1889</v>
      </c>
      <c r="D269" t="s">
        <v>2463</v>
      </c>
      <c r="E269" t="str">
        <f>IF(COUNTIF(Tabela1[codProcesso],Tabela2[[#This Row],[PROCESSO]]),"Está","Não está")</f>
        <v>Não está</v>
      </c>
      <c r="F269" t="s">
        <v>2376</v>
      </c>
      <c r="G269" t="s">
        <v>2362</v>
      </c>
      <c r="H269" t="s">
        <v>1986</v>
      </c>
      <c r="I269" t="s">
        <v>2377</v>
      </c>
      <c r="J269" t="s">
        <v>1999</v>
      </c>
      <c r="K269" t="s">
        <v>1989</v>
      </c>
      <c r="L269" s="5">
        <v>5000</v>
      </c>
      <c r="M269" s="5">
        <v>5000</v>
      </c>
      <c r="O269" s="5">
        <v>5000</v>
      </c>
    </row>
    <row r="270" spans="1:25" x14ac:dyDescent="0.25">
      <c r="A270" t="s">
        <v>1887</v>
      </c>
      <c r="B270" t="s">
        <v>1888</v>
      </c>
      <c r="C270" t="s">
        <v>1889</v>
      </c>
      <c r="D270" t="s">
        <v>2463</v>
      </c>
      <c r="E270" t="str">
        <f>IF(COUNTIF(Tabela1[codProcesso],Tabela2[[#This Row],[PROCESSO]]),"Está","Não está")</f>
        <v>Não está</v>
      </c>
      <c r="F270" t="s">
        <v>2376</v>
      </c>
      <c r="G270" t="s">
        <v>2362</v>
      </c>
      <c r="H270" t="s">
        <v>1986</v>
      </c>
      <c r="I270" t="s">
        <v>2378</v>
      </c>
      <c r="J270" t="s">
        <v>1999</v>
      </c>
      <c r="K270" t="s">
        <v>1989</v>
      </c>
      <c r="L270" s="5">
        <v>100000</v>
      </c>
      <c r="M270" s="5">
        <v>100000</v>
      </c>
      <c r="O270" s="5">
        <v>0</v>
      </c>
      <c r="Q270" s="5">
        <v>100000</v>
      </c>
    </row>
    <row r="271" spans="1:25" x14ac:dyDescent="0.25">
      <c r="A271" t="s">
        <v>1887</v>
      </c>
      <c r="B271" t="s">
        <v>1888</v>
      </c>
      <c r="C271" t="s">
        <v>1889</v>
      </c>
      <c r="D271">
        <v>6074202300030120</v>
      </c>
      <c r="E271" t="str">
        <f>IF(COUNTIF(Tabela1[codProcesso],Tabela2[[#This Row],[PROCESSO]]),"Está","Não está")</f>
        <v>Está</v>
      </c>
      <c r="F271" t="s">
        <v>2379</v>
      </c>
      <c r="G271" t="s">
        <v>2380</v>
      </c>
      <c r="H271" t="s">
        <v>665</v>
      </c>
      <c r="I271" t="s">
        <v>2381</v>
      </c>
      <c r="J271" t="s">
        <v>2099</v>
      </c>
      <c r="K271" s="3">
        <v>46188</v>
      </c>
      <c r="L271" s="5">
        <v>366890.16</v>
      </c>
      <c r="M271" s="5">
        <v>32394.18</v>
      </c>
      <c r="N271" s="5">
        <v>28026.18</v>
      </c>
      <c r="O271" s="5">
        <v>28026.18</v>
      </c>
      <c r="P271" s="5">
        <v>28026.18</v>
      </c>
      <c r="Q271" s="5">
        <v>28026.18</v>
      </c>
      <c r="R271" s="5">
        <v>28026.18</v>
      </c>
      <c r="S271" s="5">
        <v>32394.18</v>
      </c>
      <c r="T271" s="5">
        <v>32394.18</v>
      </c>
      <c r="U271" s="5">
        <v>32394.18</v>
      </c>
      <c r="V271" s="5">
        <v>32394.18</v>
      </c>
      <c r="W271" s="5">
        <v>32394.18</v>
      </c>
      <c r="X271" s="5">
        <v>32394.18</v>
      </c>
      <c r="Y271" s="5">
        <v>32394.18</v>
      </c>
    </row>
    <row r="272" spans="1:25" x14ac:dyDescent="0.25">
      <c r="A272" t="s">
        <v>1887</v>
      </c>
      <c r="B272" t="s">
        <v>1888</v>
      </c>
      <c r="C272" t="s">
        <v>1889</v>
      </c>
      <c r="D272">
        <v>6074202500013480</v>
      </c>
      <c r="E272" t="str">
        <f>IF(COUNTIF(Tabela1[codProcesso],Tabela2[[#This Row],[PROCESSO]]),"Está","Não está")</f>
        <v>Não está</v>
      </c>
      <c r="F272" t="s">
        <v>2382</v>
      </c>
      <c r="G272" t="s">
        <v>2380</v>
      </c>
      <c r="H272" t="s">
        <v>1983</v>
      </c>
      <c r="I272" t="s">
        <v>2383</v>
      </c>
      <c r="J272" t="s">
        <v>1985</v>
      </c>
      <c r="K272" s="3">
        <v>46236</v>
      </c>
      <c r="L272" s="5">
        <v>357134.28</v>
      </c>
      <c r="M272" s="5">
        <v>29761.19</v>
      </c>
      <c r="N272" s="5">
        <v>29761.19</v>
      </c>
      <c r="O272" s="5">
        <v>29761.19</v>
      </c>
      <c r="P272" s="5">
        <v>29761.19</v>
      </c>
      <c r="Q272" s="5">
        <v>29761.19</v>
      </c>
      <c r="R272" s="5">
        <v>29761.19</v>
      </c>
      <c r="S272" s="5">
        <v>29761.19</v>
      </c>
      <c r="T272" s="5">
        <v>29761.19</v>
      </c>
      <c r="U272" s="5">
        <v>29761.19</v>
      </c>
      <c r="V272" s="5">
        <v>29761.19</v>
      </c>
      <c r="W272" s="5">
        <v>29761.19</v>
      </c>
      <c r="X272" s="5">
        <v>29761.19</v>
      </c>
      <c r="Y272" s="5">
        <v>29761.19</v>
      </c>
    </row>
    <row r="273" spans="1:25" x14ac:dyDescent="0.25">
      <c r="A273" t="s">
        <v>1887</v>
      </c>
      <c r="B273" t="s">
        <v>1888</v>
      </c>
      <c r="C273" t="s">
        <v>1889</v>
      </c>
      <c r="D273" t="s">
        <v>2464</v>
      </c>
      <c r="E273" t="str">
        <f>IF(COUNTIF(Tabela1[codProcesso],Tabela2[[#This Row],[PROCESSO]]),"Está","Não está")</f>
        <v>Não está</v>
      </c>
      <c r="F273" t="s">
        <v>2384</v>
      </c>
      <c r="G273" t="s">
        <v>2380</v>
      </c>
      <c r="H273" t="s">
        <v>1983</v>
      </c>
      <c r="I273" t="s">
        <v>2385</v>
      </c>
      <c r="J273" t="s">
        <v>2386</v>
      </c>
      <c r="K273" s="3">
        <v>46387</v>
      </c>
      <c r="L273" s="5">
        <v>100000</v>
      </c>
      <c r="M273" s="5">
        <v>100000</v>
      </c>
      <c r="Q273" s="5">
        <v>100000</v>
      </c>
    </row>
    <row r="274" spans="1:25" x14ac:dyDescent="0.25">
      <c r="A274" t="s">
        <v>1887</v>
      </c>
      <c r="B274" t="s">
        <v>1888</v>
      </c>
      <c r="C274" t="s">
        <v>1889</v>
      </c>
      <c r="D274" t="s">
        <v>2463</v>
      </c>
      <c r="E274" t="str">
        <f>IF(COUNTIF(Tabela1[codProcesso],Tabela2[[#This Row],[PROCESSO]]),"Está","Não está")</f>
        <v>Não está</v>
      </c>
      <c r="F274" t="s">
        <v>2387</v>
      </c>
      <c r="G274" t="s">
        <v>2388</v>
      </c>
      <c r="H274" t="s">
        <v>1986</v>
      </c>
      <c r="I274" t="s">
        <v>2389</v>
      </c>
      <c r="J274" t="s">
        <v>1999</v>
      </c>
      <c r="K274" t="s">
        <v>1989</v>
      </c>
      <c r="L274" s="5">
        <v>12000</v>
      </c>
      <c r="M274" s="5">
        <v>12000</v>
      </c>
      <c r="P274" s="5">
        <v>6000</v>
      </c>
      <c r="Q274" s="5">
        <v>6000</v>
      </c>
    </row>
    <row r="275" spans="1:25" x14ac:dyDescent="0.25">
      <c r="A275" t="s">
        <v>1887</v>
      </c>
      <c r="B275" t="s">
        <v>1888</v>
      </c>
      <c r="C275" t="s">
        <v>1889</v>
      </c>
      <c r="D275" t="s">
        <v>2463</v>
      </c>
      <c r="E275" t="str">
        <f>IF(COUNTIF(Tabela1[codProcesso],Tabela2[[#This Row],[PROCESSO]]),"Está","Não está")</f>
        <v>Não está</v>
      </c>
      <c r="F275" t="s">
        <v>2390</v>
      </c>
      <c r="G275" t="s">
        <v>2388</v>
      </c>
      <c r="H275" t="s">
        <v>1986</v>
      </c>
      <c r="I275" t="s">
        <v>2391</v>
      </c>
      <c r="J275" t="s">
        <v>1999</v>
      </c>
      <c r="K275" t="s">
        <v>1989</v>
      </c>
      <c r="L275" s="5">
        <v>50000</v>
      </c>
      <c r="M275" s="5">
        <v>50000</v>
      </c>
      <c r="O275" s="5">
        <v>5000</v>
      </c>
      <c r="P275" s="5">
        <v>10000</v>
      </c>
      <c r="Q275" s="5">
        <v>10000</v>
      </c>
      <c r="R275" s="5">
        <v>10000</v>
      </c>
      <c r="S275" s="5">
        <v>10000</v>
      </c>
      <c r="T275" s="5">
        <v>10000</v>
      </c>
      <c r="U275" s="5">
        <v>5000</v>
      </c>
    </row>
    <row r="276" spans="1:25" x14ac:dyDescent="0.25">
      <c r="A276" t="s">
        <v>1887</v>
      </c>
      <c r="B276" t="s">
        <v>1888</v>
      </c>
      <c r="C276" t="s">
        <v>1889</v>
      </c>
      <c r="D276">
        <v>6064201800000520</v>
      </c>
      <c r="E276" t="str">
        <f>IF(COUNTIF(Tabela1[codProcesso],Tabela2[[#This Row],[PROCESSO]]),"Está","Não está")</f>
        <v>Não está</v>
      </c>
      <c r="F276" t="s">
        <v>2392</v>
      </c>
      <c r="G276" t="s">
        <v>2393</v>
      </c>
      <c r="H276" t="s">
        <v>1970</v>
      </c>
      <c r="I276" t="s">
        <v>2394</v>
      </c>
      <c r="J276" t="s">
        <v>2395</v>
      </c>
      <c r="K276" s="3">
        <v>46387</v>
      </c>
      <c r="L276" s="5">
        <v>14345100</v>
      </c>
      <c r="M276" s="5">
        <v>1195425</v>
      </c>
      <c r="N276" s="5">
        <v>1195425</v>
      </c>
      <c r="O276" s="5">
        <v>1195425</v>
      </c>
      <c r="P276" s="5">
        <v>1195425</v>
      </c>
      <c r="Q276" s="5">
        <v>1195425</v>
      </c>
      <c r="R276" s="5">
        <v>1195425</v>
      </c>
      <c r="S276" s="5">
        <v>1195425</v>
      </c>
      <c r="T276" s="5">
        <v>1195425</v>
      </c>
      <c r="U276" s="5">
        <v>1195425</v>
      </c>
      <c r="V276" s="5">
        <v>1195425</v>
      </c>
      <c r="W276" s="5">
        <v>1195425</v>
      </c>
      <c r="X276" s="5">
        <v>1195425</v>
      </c>
      <c r="Y276" s="5">
        <v>1195425</v>
      </c>
    </row>
    <row r="277" spans="1:25" x14ac:dyDescent="0.25">
      <c r="A277" t="s">
        <v>1887</v>
      </c>
      <c r="B277" t="s">
        <v>1888</v>
      </c>
      <c r="C277" t="s">
        <v>1889</v>
      </c>
      <c r="D277">
        <v>6074202000000750</v>
      </c>
      <c r="E277" t="str">
        <f>IF(COUNTIF(Tabela1[codProcesso],Tabela2[[#This Row],[PROCESSO]]),"Está","Não está")</f>
        <v>Está</v>
      </c>
      <c r="F277" t="s">
        <v>2396</v>
      </c>
      <c r="G277" t="s">
        <v>2393</v>
      </c>
      <c r="H277" t="s">
        <v>659</v>
      </c>
      <c r="I277" t="s">
        <v>2397</v>
      </c>
      <c r="J277" t="s">
        <v>2099</v>
      </c>
      <c r="K277" s="3">
        <v>46239</v>
      </c>
      <c r="L277" s="5">
        <v>1210526.8</v>
      </c>
      <c r="M277" s="5">
        <v>104633.9</v>
      </c>
      <c r="N277" s="5">
        <v>98193.9</v>
      </c>
      <c r="O277" s="5">
        <v>98193.9</v>
      </c>
      <c r="P277" s="5">
        <v>98193.9</v>
      </c>
      <c r="Q277" s="5">
        <v>98193.9</v>
      </c>
      <c r="R277" s="5">
        <v>98193.9</v>
      </c>
      <c r="S277" s="5">
        <v>98193.9</v>
      </c>
      <c r="T277" s="5">
        <v>98193.9</v>
      </c>
      <c r="U277" s="5">
        <v>104633.9</v>
      </c>
      <c r="V277" s="5">
        <v>104633.9</v>
      </c>
      <c r="W277" s="5">
        <v>104633.9</v>
      </c>
      <c r="X277" s="5">
        <v>104633.9</v>
      </c>
      <c r="Y277" s="5">
        <v>104633.9</v>
      </c>
    </row>
    <row r="278" spans="1:25" x14ac:dyDescent="0.25">
      <c r="A278" t="s">
        <v>1887</v>
      </c>
      <c r="B278" t="s">
        <v>1888</v>
      </c>
      <c r="C278" t="s">
        <v>1889</v>
      </c>
      <c r="D278">
        <v>6074202100045240</v>
      </c>
      <c r="E278" t="str">
        <f>IF(COUNTIF(Tabela1[codProcesso],Tabela2[[#This Row],[PROCESSO]]),"Está","Não está")</f>
        <v>Está</v>
      </c>
      <c r="F278" t="s">
        <v>2398</v>
      </c>
      <c r="G278" t="s">
        <v>2393</v>
      </c>
      <c r="H278" t="s">
        <v>1970</v>
      </c>
      <c r="I278" t="s">
        <v>2399</v>
      </c>
      <c r="J278" t="s">
        <v>2400</v>
      </c>
      <c r="K278" s="3">
        <v>46113</v>
      </c>
      <c r="L278" s="5">
        <v>15000</v>
      </c>
      <c r="M278" s="5">
        <v>15000</v>
      </c>
      <c r="N278" s="5">
        <v>0</v>
      </c>
      <c r="O278" s="5">
        <v>0</v>
      </c>
      <c r="P278" s="5">
        <v>0</v>
      </c>
      <c r="Q278" s="5">
        <v>0</v>
      </c>
      <c r="R278" s="5">
        <v>0</v>
      </c>
      <c r="S278" s="5">
        <v>0</v>
      </c>
      <c r="T278" s="5">
        <v>0</v>
      </c>
      <c r="U278" s="5">
        <v>0</v>
      </c>
      <c r="V278" s="5">
        <v>0</v>
      </c>
      <c r="W278" s="5">
        <v>0</v>
      </c>
      <c r="X278" s="5">
        <v>0</v>
      </c>
      <c r="Y278" s="5">
        <v>0</v>
      </c>
    </row>
    <row r="279" spans="1:25" x14ac:dyDescent="0.25">
      <c r="A279" t="s">
        <v>1887</v>
      </c>
      <c r="B279" t="s">
        <v>1888</v>
      </c>
      <c r="C279" t="s">
        <v>1889</v>
      </c>
      <c r="D279">
        <v>6074202500013590</v>
      </c>
      <c r="E279" t="str">
        <f>IF(COUNTIF(Tabela1[codProcesso],Tabela2[[#This Row],[PROCESSO]]),"Está","Não está")</f>
        <v>Está</v>
      </c>
      <c r="F279" t="s">
        <v>2396</v>
      </c>
      <c r="G279" t="s">
        <v>2393</v>
      </c>
      <c r="H279" t="s">
        <v>1159</v>
      </c>
      <c r="I279" t="s">
        <v>2401</v>
      </c>
      <c r="J279" t="s">
        <v>2402</v>
      </c>
      <c r="K279" s="3">
        <v>46387</v>
      </c>
      <c r="L279" s="5">
        <v>48463.199999999997</v>
      </c>
      <c r="M279" s="5">
        <v>4038.6</v>
      </c>
      <c r="N279" s="5">
        <v>4038.6</v>
      </c>
      <c r="O279" s="5">
        <v>4038.6</v>
      </c>
      <c r="P279" s="5">
        <v>4038.6</v>
      </c>
      <c r="Q279" s="5">
        <v>4038.6</v>
      </c>
      <c r="R279" s="5">
        <v>4038.6</v>
      </c>
      <c r="S279" s="5">
        <v>4038.6</v>
      </c>
      <c r="T279" s="5">
        <v>4038.6</v>
      </c>
      <c r="U279" s="5">
        <v>4038.6</v>
      </c>
      <c r="V279" s="5">
        <v>4038.6</v>
      </c>
      <c r="W279" s="5">
        <v>4038.6</v>
      </c>
      <c r="X279" s="5">
        <v>4038.6</v>
      </c>
      <c r="Y279" s="5">
        <v>4038.6</v>
      </c>
    </row>
    <row r="280" spans="1:25" x14ac:dyDescent="0.25">
      <c r="A280" t="s">
        <v>1887</v>
      </c>
      <c r="B280" t="s">
        <v>1888</v>
      </c>
      <c r="C280" t="s">
        <v>1889</v>
      </c>
      <c r="D280" t="s">
        <v>2468</v>
      </c>
      <c r="E280" t="str">
        <f>IF(COUNTIF(Tabela1[codProcesso],Tabela2[[#This Row],[PROCESSO]]),"Está","Não está")</f>
        <v>Não está</v>
      </c>
      <c r="F280" t="s">
        <v>2403</v>
      </c>
      <c r="G280" t="s">
        <v>2393</v>
      </c>
      <c r="H280" t="s">
        <v>2404</v>
      </c>
      <c r="I280" t="s">
        <v>2385</v>
      </c>
      <c r="J280" t="s">
        <v>2386</v>
      </c>
      <c r="K280" s="3">
        <v>46387</v>
      </c>
      <c r="L280" s="5">
        <v>100000</v>
      </c>
      <c r="M280" s="5">
        <v>100000</v>
      </c>
      <c r="P280" s="5">
        <v>50000</v>
      </c>
      <c r="R280" s="5">
        <v>50000</v>
      </c>
    </row>
    <row r="281" spans="1:25" x14ac:dyDescent="0.25">
      <c r="A281" t="s">
        <v>1887</v>
      </c>
      <c r="B281" t="s">
        <v>1888</v>
      </c>
      <c r="C281" t="s">
        <v>1889</v>
      </c>
      <c r="D281">
        <v>6074201700000540</v>
      </c>
      <c r="E281" t="str">
        <f>IF(COUNTIF(Tabela1[codProcesso],Tabela2[[#This Row],[PROCESSO]]),"Está","Não está")</f>
        <v>Não está</v>
      </c>
      <c r="F281" t="s">
        <v>1919</v>
      </c>
      <c r="G281" t="s">
        <v>2405</v>
      </c>
      <c r="H281" t="s">
        <v>2406</v>
      </c>
      <c r="I281" t="s">
        <v>2407</v>
      </c>
      <c r="J281" t="s">
        <v>2408</v>
      </c>
      <c r="K281" s="3">
        <v>46356</v>
      </c>
      <c r="L281" s="5">
        <v>67325.78</v>
      </c>
      <c r="M281" s="5">
        <v>5584.73</v>
      </c>
      <c r="N281" s="5">
        <v>5584.73</v>
      </c>
      <c r="O281" s="5">
        <v>5584.73</v>
      </c>
      <c r="P281" s="5">
        <v>5584.73</v>
      </c>
      <c r="Q281" s="5">
        <v>5584.73</v>
      </c>
      <c r="R281" s="5">
        <v>5584.73</v>
      </c>
      <c r="S281" s="5">
        <v>5584.73</v>
      </c>
      <c r="T281" s="5">
        <v>5584.73</v>
      </c>
      <c r="U281" s="5">
        <v>5584.73</v>
      </c>
      <c r="V281" s="5">
        <v>5584.73</v>
      </c>
      <c r="W281" s="5">
        <v>5584.73</v>
      </c>
      <c r="X281" s="5">
        <v>5584.73</v>
      </c>
      <c r="Y281" s="5">
        <v>5893.75</v>
      </c>
    </row>
    <row r="282" spans="1:25" x14ac:dyDescent="0.25">
      <c r="A282" t="s">
        <v>1887</v>
      </c>
      <c r="B282" t="s">
        <v>1888</v>
      </c>
      <c r="C282" t="s">
        <v>1889</v>
      </c>
      <c r="D282">
        <v>6074201700000540</v>
      </c>
      <c r="E282" t="str">
        <f>IF(COUNTIF(Tabela1[codProcesso],Tabela2[[#This Row],[PROCESSO]]),"Está","Não está")</f>
        <v>Não está</v>
      </c>
      <c r="F282" t="s">
        <v>1919</v>
      </c>
      <c r="G282" t="s">
        <v>2405</v>
      </c>
      <c r="H282" t="s">
        <v>2406</v>
      </c>
      <c r="I282" t="s">
        <v>2409</v>
      </c>
      <c r="J282" t="s">
        <v>2408</v>
      </c>
      <c r="K282" s="3">
        <v>46356</v>
      </c>
      <c r="L282" s="5">
        <v>79200</v>
      </c>
      <c r="M282" s="5">
        <v>6600</v>
      </c>
      <c r="N282" s="5">
        <v>6600</v>
      </c>
      <c r="O282" s="5">
        <v>6600</v>
      </c>
      <c r="P282" s="5">
        <v>6600</v>
      </c>
      <c r="Q282" s="5">
        <v>6600</v>
      </c>
      <c r="R282" s="5">
        <v>6600</v>
      </c>
      <c r="S282" s="5">
        <v>6600</v>
      </c>
      <c r="T282" s="5">
        <v>6600</v>
      </c>
      <c r="U282" s="5">
        <v>6600</v>
      </c>
      <c r="V282" s="5">
        <v>6600</v>
      </c>
      <c r="W282" s="5">
        <v>6600</v>
      </c>
      <c r="X282" s="5">
        <v>6600</v>
      </c>
      <c r="Y282" s="5">
        <v>6600</v>
      </c>
    </row>
    <row r="283" spans="1:25" x14ac:dyDescent="0.25">
      <c r="A283" t="s">
        <v>1887</v>
      </c>
      <c r="B283" t="s">
        <v>1888</v>
      </c>
      <c r="C283" t="s">
        <v>1889</v>
      </c>
      <c r="D283">
        <v>6074201700000540</v>
      </c>
      <c r="E283" t="str">
        <f>IF(COUNTIF(Tabela1[codProcesso],Tabela2[[#This Row],[PROCESSO]]),"Está","Não está")</f>
        <v>Não está</v>
      </c>
      <c r="F283" t="s">
        <v>1919</v>
      </c>
      <c r="G283" t="s">
        <v>2405</v>
      </c>
      <c r="H283" t="s">
        <v>2406</v>
      </c>
      <c r="I283" t="s">
        <v>2410</v>
      </c>
      <c r="J283" t="s">
        <v>2408</v>
      </c>
      <c r="K283" s="3">
        <v>46356</v>
      </c>
      <c r="L283" s="5">
        <v>7200</v>
      </c>
      <c r="M283" s="5">
        <v>600</v>
      </c>
      <c r="N283" s="5">
        <v>600</v>
      </c>
      <c r="O283" s="5">
        <v>600</v>
      </c>
      <c r="P283" s="5">
        <v>600</v>
      </c>
      <c r="Q283" s="5">
        <v>600</v>
      </c>
      <c r="R283" s="5">
        <v>600</v>
      </c>
      <c r="S283" s="5">
        <v>600</v>
      </c>
      <c r="T283" s="5">
        <v>600</v>
      </c>
      <c r="U283" s="5">
        <v>600</v>
      </c>
      <c r="V283" s="5">
        <v>600</v>
      </c>
      <c r="W283" s="5">
        <v>600</v>
      </c>
      <c r="X283" s="5">
        <v>600</v>
      </c>
      <c r="Y283" s="5">
        <v>600</v>
      </c>
    </row>
    <row r="284" spans="1:25" x14ac:dyDescent="0.25">
      <c r="A284" t="s">
        <v>1887</v>
      </c>
      <c r="B284" t="s">
        <v>1888</v>
      </c>
      <c r="C284" t="s">
        <v>1889</v>
      </c>
      <c r="D284">
        <v>6074201700000540</v>
      </c>
      <c r="E284" t="str">
        <f>IF(COUNTIF(Tabela1[codProcesso],Tabela2[[#This Row],[PROCESSO]]),"Está","Não está")</f>
        <v>Não está</v>
      </c>
      <c r="F284" t="s">
        <v>1919</v>
      </c>
      <c r="G284" t="s">
        <v>2405</v>
      </c>
      <c r="H284" t="s">
        <v>2406</v>
      </c>
      <c r="I284" t="s">
        <v>2411</v>
      </c>
      <c r="J284" t="s">
        <v>2408</v>
      </c>
      <c r="K284" s="3">
        <v>46356</v>
      </c>
      <c r="L284" s="5">
        <v>8000</v>
      </c>
      <c r="M284" s="5">
        <v>800</v>
      </c>
      <c r="N284" t="s">
        <v>1908</v>
      </c>
      <c r="O284" s="5">
        <v>800</v>
      </c>
      <c r="P284" s="5">
        <v>800</v>
      </c>
      <c r="Q284" s="5">
        <v>800</v>
      </c>
      <c r="R284" s="5">
        <v>800</v>
      </c>
      <c r="S284" s="5">
        <v>800</v>
      </c>
      <c r="T284" s="5">
        <v>800</v>
      </c>
      <c r="U284" s="5">
        <v>800</v>
      </c>
      <c r="V284" s="5">
        <v>800</v>
      </c>
      <c r="W284" s="5">
        <v>800</v>
      </c>
      <c r="X284" s="5">
        <v>800</v>
      </c>
      <c r="Y284" t="s">
        <v>2092</v>
      </c>
    </row>
    <row r="285" spans="1:25" x14ac:dyDescent="0.25">
      <c r="A285" t="s">
        <v>1887</v>
      </c>
      <c r="B285" t="s">
        <v>1888</v>
      </c>
      <c r="C285" t="s">
        <v>1889</v>
      </c>
      <c r="D285">
        <v>6074202200022450</v>
      </c>
      <c r="E285" t="str">
        <f>IF(COUNTIF(Tabela1[codProcesso],Tabela2[[#This Row],[PROCESSO]]),"Está","Não está")</f>
        <v>Está</v>
      </c>
      <c r="F285" t="s">
        <v>1919</v>
      </c>
      <c r="G285" t="s">
        <v>2405</v>
      </c>
      <c r="H285" t="s">
        <v>2051</v>
      </c>
      <c r="I285" t="s">
        <v>2412</v>
      </c>
      <c r="J285" t="s">
        <v>2018</v>
      </c>
      <c r="K285" s="3">
        <v>46138</v>
      </c>
      <c r="L285" s="5">
        <v>1200</v>
      </c>
      <c r="M285" s="5">
        <v>100</v>
      </c>
      <c r="N285" s="5">
        <v>100</v>
      </c>
      <c r="O285" s="5">
        <v>100</v>
      </c>
      <c r="P285" s="5">
        <v>100</v>
      </c>
      <c r="Q285" s="5">
        <v>100</v>
      </c>
      <c r="R285" s="5">
        <v>100</v>
      </c>
      <c r="S285" s="5">
        <v>100</v>
      </c>
      <c r="T285" s="5">
        <v>100</v>
      </c>
      <c r="U285" s="5">
        <v>100</v>
      </c>
      <c r="V285" s="5">
        <v>100</v>
      </c>
      <c r="W285" s="5">
        <v>100</v>
      </c>
      <c r="X285" s="5">
        <v>100</v>
      </c>
      <c r="Y285" s="5">
        <v>100</v>
      </c>
    </row>
    <row r="286" spans="1:25" x14ac:dyDescent="0.25">
      <c r="A286" t="s">
        <v>1887</v>
      </c>
      <c r="B286" t="s">
        <v>1888</v>
      </c>
      <c r="C286" t="s">
        <v>1889</v>
      </c>
      <c r="D286">
        <v>6074202400025320</v>
      </c>
      <c r="E286" t="str">
        <f>IF(COUNTIF(Tabela1[codProcesso],Tabela2[[#This Row],[PROCESSO]]),"Está","Não está")</f>
        <v>Não está</v>
      </c>
      <c r="F286" t="s">
        <v>2413</v>
      </c>
      <c r="G286" t="s">
        <v>2414</v>
      </c>
      <c r="H286" t="s">
        <v>2415</v>
      </c>
      <c r="I286" t="s">
        <v>2416</v>
      </c>
      <c r="J286" t="s">
        <v>2417</v>
      </c>
      <c r="K286" s="3">
        <v>46202</v>
      </c>
      <c r="L286" s="5">
        <v>16817724</v>
      </c>
      <c r="M286" s="5">
        <v>2000000</v>
      </c>
      <c r="Q286" s="5">
        <v>2000000</v>
      </c>
      <c r="R286" s="5">
        <v>2000000</v>
      </c>
      <c r="S286" s="5">
        <v>2000000</v>
      </c>
      <c r="T286" s="5">
        <v>2000000</v>
      </c>
      <c r="U286" s="5">
        <v>2000000</v>
      </c>
      <c r="V286" s="5">
        <v>2000000</v>
      </c>
    </row>
    <row r="287" spans="1:25" x14ac:dyDescent="0.25">
      <c r="A287" t="s">
        <v>1887</v>
      </c>
      <c r="B287" t="s">
        <v>1888</v>
      </c>
      <c r="C287" t="s">
        <v>1889</v>
      </c>
      <c r="D287">
        <v>6074202400082860</v>
      </c>
      <c r="E287" t="str">
        <f>IF(COUNTIF(Tabela1[codProcesso],Tabela2[[#This Row],[PROCESSO]]),"Está","Não está")</f>
        <v>Não está</v>
      </c>
      <c r="F287" t="s">
        <v>2418</v>
      </c>
      <c r="G287" t="s">
        <v>2414</v>
      </c>
      <c r="H287" t="s">
        <v>1970</v>
      </c>
      <c r="I287" t="s">
        <v>2419</v>
      </c>
      <c r="J287" t="s">
        <v>2420</v>
      </c>
      <c r="K287" s="3">
        <v>46183</v>
      </c>
      <c r="L287" s="5">
        <v>20000</v>
      </c>
      <c r="M287" s="5">
        <v>20000</v>
      </c>
      <c r="S287" s="5">
        <v>20000</v>
      </c>
    </row>
    <row r="288" spans="1:25" x14ac:dyDescent="0.25">
      <c r="A288" t="s">
        <v>1887</v>
      </c>
      <c r="B288" t="s">
        <v>1888</v>
      </c>
      <c r="C288" t="s">
        <v>1889</v>
      </c>
      <c r="D288">
        <v>6074202400099120</v>
      </c>
      <c r="E288" t="str">
        <f>IF(COUNTIF(Tabela1[codProcesso],Tabela2[[#This Row],[PROCESSO]]),"Está","Não está")</f>
        <v>Está</v>
      </c>
      <c r="F288" t="s">
        <v>2421</v>
      </c>
      <c r="G288" t="s">
        <v>2414</v>
      </c>
      <c r="H288" t="s">
        <v>2422</v>
      </c>
      <c r="I288" t="s">
        <v>2423</v>
      </c>
      <c r="J288" t="s">
        <v>1972</v>
      </c>
      <c r="K288" s="3">
        <v>46387</v>
      </c>
      <c r="L288" s="5">
        <v>72000</v>
      </c>
      <c r="M288" s="5">
        <v>6000</v>
      </c>
      <c r="N288" s="5">
        <v>6000</v>
      </c>
      <c r="O288" s="5">
        <v>6000</v>
      </c>
      <c r="P288" s="5">
        <v>6000</v>
      </c>
      <c r="Q288" s="5">
        <v>6000</v>
      </c>
      <c r="R288" s="5">
        <v>6000</v>
      </c>
      <c r="S288" s="5">
        <v>6000</v>
      </c>
      <c r="T288" s="5">
        <v>6000</v>
      </c>
      <c r="U288" s="5">
        <v>6000</v>
      </c>
      <c r="V288" s="5">
        <v>6000</v>
      </c>
      <c r="W288" s="5">
        <v>6000</v>
      </c>
      <c r="X288" s="5">
        <v>6000</v>
      </c>
      <c r="Y288" s="5">
        <v>6000</v>
      </c>
    </row>
    <row r="289" spans="1:25" x14ac:dyDescent="0.25">
      <c r="A289" t="s">
        <v>1887</v>
      </c>
      <c r="B289" t="s">
        <v>1888</v>
      </c>
      <c r="C289" t="s">
        <v>1889</v>
      </c>
      <c r="D289">
        <v>6074202400099150</v>
      </c>
      <c r="E289" t="str">
        <f>IF(COUNTIF(Tabela1[codProcesso],Tabela2[[#This Row],[PROCESSO]]),"Está","Não está")</f>
        <v>Está</v>
      </c>
      <c r="F289" t="s">
        <v>2421</v>
      </c>
      <c r="G289" t="s">
        <v>2414</v>
      </c>
      <c r="H289" t="s">
        <v>2422</v>
      </c>
      <c r="I289" t="s">
        <v>2424</v>
      </c>
      <c r="J289" t="s">
        <v>1976</v>
      </c>
      <c r="K289" s="3">
        <v>46387</v>
      </c>
      <c r="L289" s="5">
        <v>30000</v>
      </c>
      <c r="M289" s="5">
        <v>2500</v>
      </c>
      <c r="N289" s="5">
        <v>2500</v>
      </c>
      <c r="O289" s="5">
        <v>2500</v>
      </c>
      <c r="P289" s="5">
        <v>2500</v>
      </c>
      <c r="Q289" s="5">
        <v>2500</v>
      </c>
      <c r="R289" s="5">
        <v>2500</v>
      </c>
      <c r="S289" s="5">
        <v>2500</v>
      </c>
      <c r="T289" s="5">
        <v>2500</v>
      </c>
      <c r="U289" s="5">
        <v>2500</v>
      </c>
      <c r="V289" s="5">
        <v>2500</v>
      </c>
      <c r="W289" s="5">
        <v>2500</v>
      </c>
      <c r="X289" s="5">
        <v>2500</v>
      </c>
      <c r="Y289" s="5">
        <v>2500</v>
      </c>
    </row>
    <row r="290" spans="1:25" x14ac:dyDescent="0.25">
      <c r="A290" t="s">
        <v>1887</v>
      </c>
      <c r="B290" t="s">
        <v>1888</v>
      </c>
      <c r="C290" t="s">
        <v>1889</v>
      </c>
      <c r="D290">
        <v>6074202500004810</v>
      </c>
      <c r="E290" t="str">
        <f>IF(COUNTIF(Tabela1[codProcesso],Tabela2[[#This Row],[PROCESSO]]),"Está","Não está")</f>
        <v>Está</v>
      </c>
      <c r="F290" t="s">
        <v>2413</v>
      </c>
      <c r="G290" t="s">
        <v>2414</v>
      </c>
      <c r="H290" t="s">
        <v>218</v>
      </c>
      <c r="I290" t="s">
        <v>220</v>
      </c>
      <c r="J290" t="s">
        <v>2425</v>
      </c>
      <c r="K290" s="3">
        <v>46049</v>
      </c>
      <c r="L290" s="5">
        <v>10374000</v>
      </c>
      <c r="M290" s="5">
        <v>850000</v>
      </c>
      <c r="N290" s="5">
        <v>850000</v>
      </c>
      <c r="O290" s="5">
        <v>850000</v>
      </c>
      <c r="P290" s="5">
        <v>800000</v>
      </c>
      <c r="Q290" t="s">
        <v>1908</v>
      </c>
      <c r="R290" t="s">
        <v>1909</v>
      </c>
      <c r="S290" t="s">
        <v>1909</v>
      </c>
      <c r="T290" t="s">
        <v>1909</v>
      </c>
      <c r="U290" t="s">
        <v>1909</v>
      </c>
      <c r="V290" t="s">
        <v>1909</v>
      </c>
      <c r="W290" s="5">
        <v>850000</v>
      </c>
      <c r="X290" s="5">
        <v>850000</v>
      </c>
      <c r="Y290" s="5">
        <v>800000</v>
      </c>
    </row>
    <row r="291" spans="1:25" x14ac:dyDescent="0.25">
      <c r="A291" t="s">
        <v>1887</v>
      </c>
      <c r="B291" t="s">
        <v>1888</v>
      </c>
      <c r="C291" t="s">
        <v>1889</v>
      </c>
      <c r="D291">
        <v>6074202500013480</v>
      </c>
      <c r="E291" t="str">
        <f>IF(COUNTIF(Tabela1[codProcesso],Tabela2[[#This Row],[PROCESSO]]),"Está","Não está")</f>
        <v>Não está</v>
      </c>
      <c r="F291" t="s">
        <v>2426</v>
      </c>
      <c r="G291" t="s">
        <v>2414</v>
      </c>
      <c r="H291" t="s">
        <v>1983</v>
      </c>
      <c r="I291" t="s">
        <v>1984</v>
      </c>
      <c r="J291" t="s">
        <v>1985</v>
      </c>
      <c r="K291" s="3">
        <v>46236</v>
      </c>
      <c r="L291" s="5">
        <v>714268.56</v>
      </c>
      <c r="M291" s="5">
        <v>59522.38</v>
      </c>
      <c r="N291" s="5">
        <v>59522.38</v>
      </c>
      <c r="O291" s="5">
        <v>59522.38</v>
      </c>
      <c r="P291" s="5">
        <v>59522.38</v>
      </c>
      <c r="Q291" s="5">
        <v>59522.38</v>
      </c>
      <c r="R291" s="5">
        <v>59522.38</v>
      </c>
      <c r="S291" s="5">
        <v>59522.38</v>
      </c>
      <c r="T291" s="5">
        <v>59522.38</v>
      </c>
      <c r="U291" s="5">
        <v>59522.38</v>
      </c>
      <c r="V291" s="5">
        <v>59522.38</v>
      </c>
      <c r="W291" s="5">
        <v>59522.38</v>
      </c>
      <c r="X291" s="5">
        <v>59522.38</v>
      </c>
      <c r="Y291" s="5">
        <v>59522.38</v>
      </c>
    </row>
    <row r="292" spans="1:25" x14ac:dyDescent="0.25">
      <c r="A292" t="s">
        <v>1887</v>
      </c>
      <c r="B292" t="s">
        <v>1888</v>
      </c>
      <c r="C292" t="s">
        <v>1889</v>
      </c>
      <c r="D292">
        <v>6012202300112290</v>
      </c>
      <c r="E292" t="str">
        <f>IF(COUNTIF(Tabela1[codProcesso],Tabela2[[#This Row],[PROCESSO]]),"Está","Não está")</f>
        <v>Não está</v>
      </c>
      <c r="F292" t="s">
        <v>2427</v>
      </c>
      <c r="G292" t="s">
        <v>2428</v>
      </c>
      <c r="H292" t="s">
        <v>2294</v>
      </c>
      <c r="I292" t="s">
        <v>2429</v>
      </c>
      <c r="J292" t="s">
        <v>2430</v>
      </c>
      <c r="K292" s="3">
        <v>46234</v>
      </c>
      <c r="L292" s="5">
        <v>247327.2</v>
      </c>
      <c r="M292" s="5">
        <v>18000</v>
      </c>
      <c r="N292" s="5">
        <v>20010.599999999999</v>
      </c>
      <c r="O292" s="5">
        <v>20010.599999999999</v>
      </c>
      <c r="P292" s="5">
        <v>20010.599999999999</v>
      </c>
      <c r="Q292" s="5">
        <v>20010.599999999999</v>
      </c>
      <c r="R292" s="5">
        <v>20010.599999999999</v>
      </c>
      <c r="S292" s="5">
        <v>20010.599999999999</v>
      </c>
      <c r="T292" s="5">
        <v>20010.599999999999</v>
      </c>
      <c r="U292" s="5">
        <v>21450.6</v>
      </c>
      <c r="V292" s="5">
        <v>21450.6</v>
      </c>
      <c r="W292" s="5">
        <v>21450.6</v>
      </c>
      <c r="X292" s="5">
        <v>21450.6</v>
      </c>
      <c r="Y292" s="5">
        <v>21450.6</v>
      </c>
    </row>
    <row r="293" spans="1:25" x14ac:dyDescent="0.25">
      <c r="A293" t="s">
        <v>1887</v>
      </c>
      <c r="B293" t="s">
        <v>1888</v>
      </c>
      <c r="C293" t="s">
        <v>1889</v>
      </c>
      <c r="D293">
        <v>6012202300112290</v>
      </c>
      <c r="E293" t="str">
        <f>IF(COUNTIF(Tabela1[codProcesso],Tabela2[[#This Row],[PROCESSO]]),"Está","Não está")</f>
        <v>Não está</v>
      </c>
      <c r="F293" t="s">
        <v>2427</v>
      </c>
      <c r="G293" t="s">
        <v>2428</v>
      </c>
      <c r="H293" t="s">
        <v>2294</v>
      </c>
      <c r="I293" t="s">
        <v>2431</v>
      </c>
      <c r="J293" t="s">
        <v>2430</v>
      </c>
      <c r="K293" s="3">
        <v>46234</v>
      </c>
      <c r="L293" s="5">
        <v>6100</v>
      </c>
      <c r="M293" s="5">
        <v>610</v>
      </c>
      <c r="N293" s="5">
        <v>610</v>
      </c>
      <c r="O293" s="5">
        <v>610</v>
      </c>
      <c r="P293" s="5">
        <v>610</v>
      </c>
      <c r="Q293" s="5">
        <v>610</v>
      </c>
      <c r="R293" s="5">
        <v>610</v>
      </c>
      <c r="S293" s="5">
        <v>610</v>
      </c>
      <c r="T293" s="5">
        <v>610</v>
      </c>
      <c r="U293" s="5">
        <v>610</v>
      </c>
      <c r="V293" s="5">
        <v>610</v>
      </c>
      <c r="W293" s="5">
        <v>610</v>
      </c>
      <c r="X293" t="s">
        <v>1908</v>
      </c>
      <c r="Y293" t="s">
        <v>1910</v>
      </c>
    </row>
    <row r="294" spans="1:25" x14ac:dyDescent="0.25">
      <c r="A294" t="s">
        <v>1887</v>
      </c>
      <c r="B294" t="s">
        <v>1888</v>
      </c>
      <c r="C294" t="s">
        <v>1889</v>
      </c>
      <c r="D294">
        <v>6012202300112290</v>
      </c>
      <c r="E294" t="str">
        <f>IF(COUNTIF(Tabela1[codProcesso],Tabela2[[#This Row],[PROCESSO]]),"Está","Não está")</f>
        <v>Não está</v>
      </c>
      <c r="F294" t="s">
        <v>2427</v>
      </c>
      <c r="G294" t="s">
        <v>2428</v>
      </c>
      <c r="H294" t="s">
        <v>2294</v>
      </c>
      <c r="I294" t="s">
        <v>2432</v>
      </c>
      <c r="J294" t="s">
        <v>2430</v>
      </c>
      <c r="K294" s="3">
        <v>46234</v>
      </c>
      <c r="L294" s="5">
        <v>72000</v>
      </c>
      <c r="M294" s="5">
        <v>6000</v>
      </c>
      <c r="N294" s="5">
        <v>6000</v>
      </c>
      <c r="O294" s="5">
        <v>6000</v>
      </c>
      <c r="P294" s="5">
        <v>6000</v>
      </c>
      <c r="Q294" s="5">
        <v>6000</v>
      </c>
      <c r="R294" s="5">
        <v>6000</v>
      </c>
      <c r="S294" s="5">
        <v>6000</v>
      </c>
      <c r="T294" s="5">
        <v>6000</v>
      </c>
      <c r="U294" s="5">
        <v>6000</v>
      </c>
      <c r="V294" s="5">
        <v>6000</v>
      </c>
      <c r="W294" s="5">
        <v>6000</v>
      </c>
      <c r="X294" s="5">
        <v>6000</v>
      </c>
      <c r="Y294" s="5">
        <v>6000</v>
      </c>
    </row>
    <row r="295" spans="1:25" x14ac:dyDescent="0.25">
      <c r="A295" t="s">
        <v>1887</v>
      </c>
      <c r="B295" t="s">
        <v>1888</v>
      </c>
      <c r="C295" t="s">
        <v>1889</v>
      </c>
      <c r="D295">
        <v>6064202300002770</v>
      </c>
      <c r="E295" t="str">
        <f>IF(COUNTIF(Tabela1[codProcesso],Tabela2[[#This Row],[PROCESSO]]),"Está","Não está")</f>
        <v>Está</v>
      </c>
      <c r="F295" t="s">
        <v>2433</v>
      </c>
      <c r="G295" t="s">
        <v>2428</v>
      </c>
      <c r="H295" t="s">
        <v>2084</v>
      </c>
      <c r="I295" t="s">
        <v>2434</v>
      </c>
      <c r="J295" t="s">
        <v>2086</v>
      </c>
      <c r="K295" s="3">
        <v>46081</v>
      </c>
      <c r="L295" s="4">
        <v>1462352.78</v>
      </c>
      <c r="M295" s="5">
        <v>121789.89</v>
      </c>
      <c r="N295" s="4">
        <v>114789.89</v>
      </c>
      <c r="O295" s="4">
        <v>114789.89</v>
      </c>
      <c r="P295" s="5">
        <v>123277.3</v>
      </c>
      <c r="Q295" s="5">
        <v>123277.3</v>
      </c>
      <c r="R295" s="5">
        <v>123277.3</v>
      </c>
      <c r="S295" s="5">
        <v>123277.3</v>
      </c>
      <c r="T295" s="5">
        <v>123277.3</v>
      </c>
      <c r="U295" s="5">
        <v>123277.3</v>
      </c>
      <c r="V295" s="5">
        <v>123277.3</v>
      </c>
      <c r="W295" s="5">
        <v>123277.3</v>
      </c>
      <c r="X295" s="5">
        <v>123277.3</v>
      </c>
      <c r="Y295" s="5">
        <v>123277.3</v>
      </c>
    </row>
    <row r="296" spans="1:25" x14ac:dyDescent="0.25">
      <c r="A296" t="s">
        <v>1887</v>
      </c>
      <c r="B296" t="s">
        <v>1888</v>
      </c>
      <c r="C296" t="s">
        <v>1889</v>
      </c>
      <c r="D296">
        <v>6074202100007580</v>
      </c>
      <c r="E296" t="str">
        <f>IF(COUNTIF(Tabela1[codProcesso],Tabela2[[#This Row],[PROCESSO]]),"Está","Não está")</f>
        <v>Está</v>
      </c>
      <c r="F296" t="s">
        <v>2427</v>
      </c>
      <c r="G296" t="s">
        <v>2428</v>
      </c>
      <c r="H296" t="s">
        <v>730</v>
      </c>
      <c r="I296" t="s">
        <v>2435</v>
      </c>
      <c r="J296" t="s">
        <v>2099</v>
      </c>
      <c r="K296" s="3">
        <v>46258</v>
      </c>
      <c r="L296" s="5">
        <v>2954565.09</v>
      </c>
      <c r="M296" s="5">
        <v>198232.47</v>
      </c>
      <c r="N296" s="5">
        <v>267437.65999999997</v>
      </c>
      <c r="O296" s="5">
        <v>267437.65999999997</v>
      </c>
      <c r="P296" s="5">
        <v>267437.65999999997</v>
      </c>
      <c r="Q296" s="5">
        <v>285058.32</v>
      </c>
      <c r="R296" s="5">
        <v>285058.32</v>
      </c>
      <c r="S296" s="5">
        <v>285058.32</v>
      </c>
      <c r="T296" s="5">
        <v>285058.32</v>
      </c>
      <c r="U296" s="5">
        <v>285058.32</v>
      </c>
      <c r="V296" s="5">
        <v>285058.32</v>
      </c>
      <c r="W296" s="5">
        <v>285058.32</v>
      </c>
      <c r="X296" s="5">
        <v>285058.32</v>
      </c>
      <c r="Y296" s="5">
        <v>285058.32</v>
      </c>
    </row>
    <row r="297" spans="1:25" x14ac:dyDescent="0.25">
      <c r="A297" t="s">
        <v>1887</v>
      </c>
      <c r="B297" t="s">
        <v>1888</v>
      </c>
      <c r="C297" t="s">
        <v>1889</v>
      </c>
      <c r="D297">
        <v>6074202300027630</v>
      </c>
      <c r="E297" t="str">
        <f>IF(COUNTIF(Tabela1[codProcesso],Tabela2[[#This Row],[PROCESSO]]),"Está","Não está")</f>
        <v>Está</v>
      </c>
      <c r="F297" t="s">
        <v>2436</v>
      </c>
      <c r="G297" t="s">
        <v>2428</v>
      </c>
      <c r="H297" t="s">
        <v>384</v>
      </c>
      <c r="I297" t="s">
        <v>2437</v>
      </c>
      <c r="J297" t="s">
        <v>1947</v>
      </c>
      <c r="K297" s="3">
        <v>46317</v>
      </c>
      <c r="L297" s="5">
        <v>151167.26</v>
      </c>
      <c r="M297" s="5">
        <v>13341.18</v>
      </c>
      <c r="N297" s="5">
        <v>12448.49</v>
      </c>
      <c r="O297" s="5">
        <v>12448.49</v>
      </c>
      <c r="P297" s="5">
        <v>12448.49</v>
      </c>
      <c r="Q297" s="5">
        <v>12448.49</v>
      </c>
      <c r="R297" s="5">
        <v>12448.49</v>
      </c>
      <c r="S297" s="5">
        <v>12448.49</v>
      </c>
      <c r="T297" s="5">
        <v>12448.49</v>
      </c>
      <c r="U297" s="5">
        <v>12448.49</v>
      </c>
      <c r="V297" s="5">
        <v>12448.49</v>
      </c>
      <c r="W297" s="5">
        <v>12448.49</v>
      </c>
      <c r="X297" s="4">
        <v>13341.18</v>
      </c>
      <c r="Y297" s="4">
        <v>13341.18</v>
      </c>
    </row>
    <row r="298" spans="1:25" x14ac:dyDescent="0.25">
      <c r="A298" t="s">
        <v>1887</v>
      </c>
      <c r="B298" t="s">
        <v>1888</v>
      </c>
      <c r="C298" t="s">
        <v>1889</v>
      </c>
      <c r="D298">
        <v>6074202300065530</v>
      </c>
      <c r="E298" t="str">
        <f>IF(COUNTIF(Tabela1[codProcesso],Tabela2[[#This Row],[PROCESSO]]),"Está","Não está")</f>
        <v>Está</v>
      </c>
      <c r="F298" t="s">
        <v>2427</v>
      </c>
      <c r="G298" t="s">
        <v>2428</v>
      </c>
      <c r="H298" t="s">
        <v>857</v>
      </c>
      <c r="I298" t="s">
        <v>2438</v>
      </c>
      <c r="J298" t="s">
        <v>1949</v>
      </c>
      <c r="K298" s="3">
        <v>46281</v>
      </c>
      <c r="L298" s="5">
        <v>123304.68</v>
      </c>
      <c r="M298" s="5">
        <v>10275.39</v>
      </c>
      <c r="N298" s="5">
        <v>10275.39</v>
      </c>
      <c r="O298" s="5">
        <v>10275.39</v>
      </c>
      <c r="P298" s="5">
        <v>10275.39</v>
      </c>
      <c r="Q298" s="5">
        <v>10275.39</v>
      </c>
      <c r="R298" s="5">
        <v>10275.39</v>
      </c>
      <c r="S298" s="5">
        <v>10275.39</v>
      </c>
      <c r="T298" s="5">
        <v>10275.39</v>
      </c>
      <c r="U298" s="5">
        <v>10275.39</v>
      </c>
      <c r="V298" s="5">
        <v>10275.39</v>
      </c>
      <c r="W298" s="5">
        <v>10275.39</v>
      </c>
      <c r="X298" s="5">
        <v>10275.39</v>
      </c>
      <c r="Y298" s="5">
        <v>10275.39</v>
      </c>
    </row>
    <row r="299" spans="1:25" x14ac:dyDescent="0.25">
      <c r="A299" t="s">
        <v>1887</v>
      </c>
      <c r="B299" t="s">
        <v>1888</v>
      </c>
      <c r="C299" t="s">
        <v>1889</v>
      </c>
      <c r="D299">
        <v>6074202300068360</v>
      </c>
      <c r="E299" t="str">
        <f>IF(COUNTIF(Tabela1[codProcesso],Tabela2[[#This Row],[PROCESSO]]),"Está","Não está")</f>
        <v>Está</v>
      </c>
      <c r="F299" t="s">
        <v>2427</v>
      </c>
      <c r="G299" t="s">
        <v>2428</v>
      </c>
      <c r="H299" t="s">
        <v>2439</v>
      </c>
      <c r="I299" t="s">
        <v>2440</v>
      </c>
      <c r="J299" t="s">
        <v>2441</v>
      </c>
      <c r="K299" s="3">
        <v>46272</v>
      </c>
      <c r="L299" s="5">
        <v>5945.52</v>
      </c>
      <c r="M299" s="5">
        <v>478.42</v>
      </c>
      <c r="N299" s="5">
        <v>495.46</v>
      </c>
      <c r="O299" s="5">
        <v>495.46</v>
      </c>
      <c r="P299" s="5">
        <v>495.46</v>
      </c>
      <c r="Q299" s="5">
        <v>495.46</v>
      </c>
      <c r="R299" s="5">
        <v>495.46</v>
      </c>
      <c r="S299" s="5">
        <v>495.46</v>
      </c>
      <c r="T299" s="5">
        <v>495.46</v>
      </c>
      <c r="U299" s="5">
        <v>495.46</v>
      </c>
      <c r="V299" s="5">
        <v>533.73</v>
      </c>
      <c r="W299" s="5">
        <v>533.73</v>
      </c>
      <c r="X299" s="5">
        <v>533.73</v>
      </c>
      <c r="Y299" s="5">
        <v>533.73</v>
      </c>
    </row>
    <row r="300" spans="1:25" x14ac:dyDescent="0.25">
      <c r="A300" t="s">
        <v>1887</v>
      </c>
      <c r="B300" t="s">
        <v>1888</v>
      </c>
      <c r="C300" t="s">
        <v>1889</v>
      </c>
      <c r="D300">
        <v>6074202300072300</v>
      </c>
      <c r="E300" t="str">
        <f>IF(COUNTIF(Tabela1[codProcesso],Tabela2[[#This Row],[PROCESSO]]),"Está","Não está")</f>
        <v>Está</v>
      </c>
      <c r="F300" t="s">
        <v>2427</v>
      </c>
      <c r="G300" t="s">
        <v>2428</v>
      </c>
      <c r="H300" t="s">
        <v>567</v>
      </c>
      <c r="I300" t="s">
        <v>2442</v>
      </c>
      <c r="J300" t="s">
        <v>1951</v>
      </c>
      <c r="K300" s="3">
        <v>46295</v>
      </c>
      <c r="L300" s="5">
        <v>869.04</v>
      </c>
      <c r="M300" s="5">
        <v>76.260000000000005</v>
      </c>
      <c r="N300" s="5">
        <v>71.14</v>
      </c>
      <c r="O300" s="5">
        <v>71.14</v>
      </c>
      <c r="P300" s="5">
        <v>71.14</v>
      </c>
      <c r="Q300" s="5">
        <v>71.14</v>
      </c>
      <c r="R300" s="5">
        <v>71.14</v>
      </c>
      <c r="S300" s="5">
        <v>71.14</v>
      </c>
      <c r="T300" s="5">
        <v>71.14</v>
      </c>
      <c r="U300" s="5">
        <v>71.14</v>
      </c>
      <c r="V300" s="5">
        <v>71.14</v>
      </c>
      <c r="W300" s="5">
        <v>76.260000000000005</v>
      </c>
      <c r="X300" s="5">
        <v>76.260000000000005</v>
      </c>
      <c r="Y300" s="5">
        <v>76.260000000000005</v>
      </c>
    </row>
    <row r="301" spans="1:25" x14ac:dyDescent="0.25">
      <c r="A301" t="s">
        <v>1887</v>
      </c>
      <c r="B301" t="s">
        <v>1888</v>
      </c>
      <c r="C301" t="s">
        <v>1889</v>
      </c>
      <c r="D301">
        <v>6074202300085730</v>
      </c>
      <c r="E301" t="str">
        <f>IF(COUNTIF(Tabela1[codProcesso],Tabela2[[#This Row],[PROCESSO]]),"Está","Não está")</f>
        <v>Está</v>
      </c>
      <c r="F301" t="s">
        <v>2427</v>
      </c>
      <c r="G301" t="s">
        <v>2428</v>
      </c>
      <c r="H301" t="s">
        <v>2443</v>
      </c>
      <c r="I301" t="s">
        <v>2444</v>
      </c>
      <c r="J301" t="s">
        <v>2445</v>
      </c>
      <c r="K301" s="3">
        <v>46029</v>
      </c>
      <c r="L301" s="5">
        <v>118548</v>
      </c>
      <c r="M301" s="5">
        <v>10776.9</v>
      </c>
      <c r="N301" s="5">
        <v>10776.9</v>
      </c>
      <c r="O301" s="5">
        <v>10776.9</v>
      </c>
      <c r="P301" s="5">
        <v>10776.9</v>
      </c>
      <c r="Q301" s="5">
        <v>10776.9</v>
      </c>
      <c r="R301" s="5">
        <v>10776.9</v>
      </c>
      <c r="S301" s="5">
        <v>10776.9</v>
      </c>
      <c r="T301" s="5">
        <v>10776.9</v>
      </c>
      <c r="U301" s="5">
        <v>10776.9</v>
      </c>
      <c r="V301" s="5">
        <v>10776.9</v>
      </c>
      <c r="W301" s="5">
        <v>10776.9</v>
      </c>
      <c r="X301" s="5">
        <v>10776.9</v>
      </c>
      <c r="Y301" s="5">
        <v>10776.9</v>
      </c>
    </row>
    <row r="302" spans="1:25" x14ac:dyDescent="0.25">
      <c r="A302" t="s">
        <v>1887</v>
      </c>
      <c r="B302" t="s">
        <v>1888</v>
      </c>
      <c r="C302" t="s">
        <v>1889</v>
      </c>
      <c r="D302">
        <v>6074202300091880</v>
      </c>
      <c r="E302" t="str">
        <f>IF(COUNTIF(Tabela1[codProcesso],Tabela2[[#This Row],[PROCESSO]]),"Está","Não está")</f>
        <v>Está</v>
      </c>
      <c r="F302" t="s">
        <v>2446</v>
      </c>
      <c r="G302" t="s">
        <v>2428</v>
      </c>
      <c r="H302" t="s">
        <v>2447</v>
      </c>
      <c r="I302" t="s">
        <v>2448</v>
      </c>
      <c r="J302" t="s">
        <v>2449</v>
      </c>
      <c r="K302" s="3">
        <v>46360</v>
      </c>
      <c r="L302" s="5">
        <v>15504.6</v>
      </c>
      <c r="M302" s="5">
        <v>1375.65</v>
      </c>
      <c r="N302" s="5">
        <v>1284.45</v>
      </c>
      <c r="O302" s="5">
        <v>1284.45</v>
      </c>
      <c r="P302" s="5">
        <v>1284.45</v>
      </c>
      <c r="Q302" s="5">
        <v>1284.45</v>
      </c>
      <c r="R302" s="5">
        <v>1284.45</v>
      </c>
      <c r="S302" s="5">
        <v>1284.45</v>
      </c>
      <c r="T302" s="5">
        <v>1284.45</v>
      </c>
      <c r="U302" s="5">
        <v>1284.45</v>
      </c>
      <c r="V302" s="5">
        <v>1284.45</v>
      </c>
      <c r="W302" s="5">
        <v>1284.45</v>
      </c>
      <c r="X302" s="5">
        <v>1284.45</v>
      </c>
      <c r="Y302" s="5">
        <v>1375.65</v>
      </c>
    </row>
    <row r="303" spans="1:25" x14ac:dyDescent="0.25">
      <c r="A303" t="s">
        <v>1887</v>
      </c>
      <c r="B303" t="s">
        <v>1888</v>
      </c>
      <c r="C303" t="s">
        <v>1889</v>
      </c>
      <c r="D303">
        <v>6074202400020500</v>
      </c>
      <c r="E303" t="str">
        <f>IF(COUNTIF(Tabela1[codProcesso],Tabela2[[#This Row],[PROCESSO]]),"Está","Não está")</f>
        <v>Está</v>
      </c>
      <c r="F303" t="s">
        <v>2427</v>
      </c>
      <c r="G303" t="s">
        <v>2428</v>
      </c>
      <c r="H303" t="s">
        <v>839</v>
      </c>
      <c r="I303" t="s">
        <v>1954</v>
      </c>
      <c r="J303" t="s">
        <v>1955</v>
      </c>
      <c r="K303" s="3">
        <v>46055</v>
      </c>
      <c r="L303" s="5">
        <v>21375</v>
      </c>
      <c r="M303" s="5">
        <v>1781.25</v>
      </c>
      <c r="N303" s="5">
        <v>1781.25</v>
      </c>
      <c r="O303" s="5">
        <v>1781.25</v>
      </c>
      <c r="P303" s="5">
        <v>1781.25</v>
      </c>
      <c r="Q303" s="5">
        <v>1781.25</v>
      </c>
      <c r="R303" s="5">
        <v>1781.25</v>
      </c>
      <c r="S303" s="5">
        <v>1781.25</v>
      </c>
      <c r="T303" s="5">
        <v>1781.25</v>
      </c>
      <c r="U303" s="5">
        <v>1781.25</v>
      </c>
      <c r="V303" s="5">
        <v>1781.25</v>
      </c>
      <c r="W303" s="5">
        <v>1781.25</v>
      </c>
      <c r="X303" s="5">
        <v>1781.25</v>
      </c>
      <c r="Y303" s="5">
        <v>1781.25</v>
      </c>
    </row>
    <row r="304" spans="1:25" x14ac:dyDescent="0.25">
      <c r="A304" t="s">
        <v>1887</v>
      </c>
      <c r="B304" t="s">
        <v>1888</v>
      </c>
      <c r="C304" t="s">
        <v>1889</v>
      </c>
      <c r="D304">
        <v>6074202400061680</v>
      </c>
      <c r="E304" t="str">
        <f>IF(COUNTIF(Tabela1[codProcesso],Tabela2[[#This Row],[PROCESSO]]),"Está","Não está")</f>
        <v>Está</v>
      </c>
      <c r="F304" t="s">
        <v>2427</v>
      </c>
      <c r="G304" t="s">
        <v>2428</v>
      </c>
      <c r="H304" t="s">
        <v>723</v>
      </c>
      <c r="I304" t="s">
        <v>1963</v>
      </c>
      <c r="J304" t="s">
        <v>1964</v>
      </c>
      <c r="K304" s="3">
        <v>46350</v>
      </c>
      <c r="L304" s="5">
        <v>47643.58</v>
      </c>
      <c r="M304" s="5">
        <v>4212.3900000000003</v>
      </c>
      <c r="N304" s="5">
        <v>3921.88</v>
      </c>
      <c r="O304" s="5">
        <v>3921.88</v>
      </c>
      <c r="P304" s="5">
        <v>3921.88</v>
      </c>
      <c r="Q304" s="5">
        <v>3921.88</v>
      </c>
      <c r="R304" s="5">
        <v>3921.88</v>
      </c>
      <c r="S304" s="5">
        <v>3921.88</v>
      </c>
      <c r="T304" s="5">
        <v>3921.88</v>
      </c>
      <c r="U304" s="5">
        <v>3921.88</v>
      </c>
      <c r="V304" s="5">
        <v>3921.88</v>
      </c>
      <c r="W304" s="5">
        <v>3921.88</v>
      </c>
      <c r="X304" s="5">
        <v>4212.3900000000003</v>
      </c>
      <c r="Y304" s="5">
        <v>4212.3900000000003</v>
      </c>
    </row>
    <row r="305" spans="1:25" x14ac:dyDescent="0.25">
      <c r="A305" t="s">
        <v>1887</v>
      </c>
      <c r="B305" t="s">
        <v>1888</v>
      </c>
      <c r="C305" t="s">
        <v>1889</v>
      </c>
      <c r="D305">
        <v>6074202400067390</v>
      </c>
      <c r="E305" t="str">
        <f>IF(COUNTIF(Tabela1[codProcesso],Tabela2[[#This Row],[PROCESSO]]),"Está","Não está")</f>
        <v>Está</v>
      </c>
      <c r="F305" t="s">
        <v>2427</v>
      </c>
      <c r="G305" t="s">
        <v>2428</v>
      </c>
      <c r="H305" t="s">
        <v>1033</v>
      </c>
      <c r="I305" t="s">
        <v>2450</v>
      </c>
      <c r="J305" t="s">
        <v>2451</v>
      </c>
      <c r="K305" s="3">
        <v>46049</v>
      </c>
      <c r="L305" s="5">
        <v>15012</v>
      </c>
      <c r="M305" s="5">
        <v>1251</v>
      </c>
      <c r="N305" s="5">
        <v>1251</v>
      </c>
      <c r="O305" s="5">
        <v>1251</v>
      </c>
      <c r="P305" s="5">
        <v>1251</v>
      </c>
      <c r="Q305" s="5">
        <v>1251</v>
      </c>
      <c r="R305" s="5">
        <v>1251</v>
      </c>
      <c r="S305" s="5">
        <v>1251</v>
      </c>
      <c r="T305" s="5">
        <v>1251</v>
      </c>
      <c r="U305" s="5">
        <v>1251</v>
      </c>
      <c r="V305" s="5">
        <v>1251</v>
      </c>
      <c r="W305" s="5">
        <v>1251</v>
      </c>
      <c r="X305" s="5">
        <v>1251</v>
      </c>
      <c r="Y305" s="5">
        <v>1251</v>
      </c>
    </row>
    <row r="306" spans="1:25" x14ac:dyDescent="0.25">
      <c r="A306" t="s">
        <v>1887</v>
      </c>
      <c r="B306" t="s">
        <v>1888</v>
      </c>
      <c r="C306" t="s">
        <v>1889</v>
      </c>
      <c r="D306">
        <v>6074202400073430</v>
      </c>
      <c r="E306" t="str">
        <f>IF(COUNTIF(Tabela1[codProcesso],Tabela2[[#This Row],[PROCESSO]]),"Está","Não está")</f>
        <v>Está</v>
      </c>
      <c r="F306" t="s">
        <v>2427</v>
      </c>
      <c r="G306" t="s">
        <v>2428</v>
      </c>
      <c r="H306" t="s">
        <v>912</v>
      </c>
      <c r="I306" t="s">
        <v>2452</v>
      </c>
      <c r="J306" t="s">
        <v>2028</v>
      </c>
      <c r="K306" s="3">
        <v>46357</v>
      </c>
      <c r="L306" s="5">
        <v>697755.07</v>
      </c>
      <c r="M306" s="5">
        <v>62070.239999999998</v>
      </c>
      <c r="N306" s="5">
        <v>57789.53</v>
      </c>
      <c r="O306" s="5">
        <v>57789.53</v>
      </c>
      <c r="P306" s="5">
        <v>57789.53</v>
      </c>
      <c r="Q306" s="5">
        <v>57789.53</v>
      </c>
      <c r="R306" s="5">
        <v>57789.53</v>
      </c>
      <c r="S306" s="5">
        <v>57789.53</v>
      </c>
      <c r="T306" s="5">
        <v>57789.53</v>
      </c>
      <c r="U306" s="5">
        <v>57789.53</v>
      </c>
      <c r="V306" s="5">
        <v>57789.53</v>
      </c>
      <c r="W306" s="5">
        <v>57789.53</v>
      </c>
      <c r="X306" s="5">
        <v>57789.53</v>
      </c>
      <c r="Y306" s="5">
        <v>62070.239999999998</v>
      </c>
    </row>
    <row r="307" spans="1:25" x14ac:dyDescent="0.25">
      <c r="A307" t="s">
        <v>1887</v>
      </c>
      <c r="B307" t="s">
        <v>1888</v>
      </c>
      <c r="C307" t="s">
        <v>1889</v>
      </c>
      <c r="D307">
        <v>6074202400099120</v>
      </c>
      <c r="E307" t="str">
        <f>IF(COUNTIF(Tabela1[codProcesso],Tabela2[[#This Row],[PROCESSO]]),"Está","Não está")</f>
        <v>Está</v>
      </c>
      <c r="F307" t="s">
        <v>2427</v>
      </c>
      <c r="G307" t="s">
        <v>2428</v>
      </c>
      <c r="H307" t="s">
        <v>1970</v>
      </c>
      <c r="I307" t="s">
        <v>2453</v>
      </c>
      <c r="J307" t="s">
        <v>1972</v>
      </c>
      <c r="K307" s="3">
        <v>46387</v>
      </c>
      <c r="L307" s="5">
        <v>240000</v>
      </c>
      <c r="M307" s="5">
        <v>20000</v>
      </c>
      <c r="N307" s="5">
        <v>20000</v>
      </c>
      <c r="O307" s="5">
        <v>20000</v>
      </c>
      <c r="P307" s="5">
        <v>20000</v>
      </c>
      <c r="Q307" s="5">
        <v>20000</v>
      </c>
      <c r="R307" s="5">
        <v>20000</v>
      </c>
      <c r="S307" s="5">
        <v>20000</v>
      </c>
      <c r="T307" s="5">
        <v>20000</v>
      </c>
      <c r="U307" s="5">
        <v>20000</v>
      </c>
      <c r="V307" s="5">
        <v>20000</v>
      </c>
      <c r="W307" s="5">
        <v>20000</v>
      </c>
      <c r="X307" s="5">
        <v>20000</v>
      </c>
      <c r="Y307" s="5">
        <v>20000</v>
      </c>
    </row>
    <row r="308" spans="1:25" x14ac:dyDescent="0.25">
      <c r="A308" t="s">
        <v>1887</v>
      </c>
      <c r="B308" t="s">
        <v>1888</v>
      </c>
      <c r="C308" t="s">
        <v>1889</v>
      </c>
      <c r="D308">
        <v>6074202400099150</v>
      </c>
      <c r="E308" t="str">
        <f>IF(COUNTIF(Tabela1[codProcesso],Tabela2[[#This Row],[PROCESSO]]),"Está","Não está")</f>
        <v>Está</v>
      </c>
      <c r="F308" t="s">
        <v>2427</v>
      </c>
      <c r="G308" t="s">
        <v>2428</v>
      </c>
      <c r="H308" t="s">
        <v>1970</v>
      </c>
      <c r="I308" t="s">
        <v>2454</v>
      </c>
      <c r="J308" t="s">
        <v>1976</v>
      </c>
      <c r="K308" s="3">
        <v>46387</v>
      </c>
      <c r="L308" s="5">
        <v>240000</v>
      </c>
      <c r="M308" s="5">
        <v>20000</v>
      </c>
      <c r="N308" s="5">
        <v>20000</v>
      </c>
      <c r="O308" s="5">
        <v>20000</v>
      </c>
      <c r="P308" s="5">
        <v>20000</v>
      </c>
      <c r="Q308" s="5">
        <v>20000</v>
      </c>
      <c r="R308" s="5">
        <v>20000</v>
      </c>
      <c r="S308" s="5">
        <v>20000</v>
      </c>
      <c r="T308" s="5">
        <v>20000</v>
      </c>
      <c r="U308" s="5">
        <v>20000</v>
      </c>
      <c r="V308" s="5">
        <v>20000</v>
      </c>
      <c r="W308" s="5">
        <v>20000</v>
      </c>
      <c r="X308" s="5">
        <v>20000</v>
      </c>
      <c r="Y308" s="5">
        <v>20000</v>
      </c>
    </row>
    <row r="309" spans="1:25" x14ac:dyDescent="0.25">
      <c r="A309" t="s">
        <v>1887</v>
      </c>
      <c r="B309" t="s">
        <v>1888</v>
      </c>
      <c r="C309" t="s">
        <v>1889</v>
      </c>
      <c r="D309">
        <v>6074202500013480</v>
      </c>
      <c r="E309" t="str">
        <f>IF(COUNTIF(Tabela1[codProcesso],Tabela2[[#This Row],[PROCESSO]]),"Está","Não está")</f>
        <v>Não está</v>
      </c>
      <c r="F309" t="s">
        <v>2433</v>
      </c>
      <c r="G309" t="s">
        <v>2428</v>
      </c>
      <c r="H309" t="s">
        <v>1983</v>
      </c>
      <c r="I309" t="s">
        <v>2455</v>
      </c>
      <c r="J309" t="s">
        <v>1985</v>
      </c>
      <c r="K309" s="3">
        <v>46236</v>
      </c>
      <c r="L309" s="5">
        <v>91685.16</v>
      </c>
      <c r="M309" s="5">
        <v>7640.43</v>
      </c>
      <c r="N309" s="5">
        <v>7640.43</v>
      </c>
      <c r="O309" s="5">
        <v>7640.43</v>
      </c>
      <c r="P309" s="5">
        <v>7640.43</v>
      </c>
      <c r="Q309" s="5">
        <v>7640.43</v>
      </c>
      <c r="R309" s="5">
        <v>7640.43</v>
      </c>
      <c r="S309" s="5">
        <v>7640.43</v>
      </c>
      <c r="T309" s="5">
        <v>7640.43</v>
      </c>
      <c r="U309" s="5">
        <v>7640.43</v>
      </c>
      <c r="V309" s="5">
        <v>7640.43</v>
      </c>
      <c r="W309" s="5">
        <v>7640.43</v>
      </c>
      <c r="X309" s="5">
        <v>7640.43</v>
      </c>
      <c r="Y309" s="5">
        <v>7640.43</v>
      </c>
    </row>
    <row r="310" spans="1:25" x14ac:dyDescent="0.25">
      <c r="A310" t="s">
        <v>1887</v>
      </c>
      <c r="B310" t="s">
        <v>1888</v>
      </c>
      <c r="C310" t="s">
        <v>1889</v>
      </c>
      <c r="D310">
        <v>6074202500016960</v>
      </c>
      <c r="E310" t="str">
        <f>IF(COUNTIF(Tabela1[codProcesso],Tabela2[[#This Row],[PROCESSO]]),"Está","Não está")</f>
        <v>Está</v>
      </c>
      <c r="F310" t="s">
        <v>2427</v>
      </c>
      <c r="G310" t="s">
        <v>2428</v>
      </c>
      <c r="H310" t="s">
        <v>2456</v>
      </c>
      <c r="I310" t="s">
        <v>2457</v>
      </c>
      <c r="J310" t="s">
        <v>2458</v>
      </c>
      <c r="K310" t="s">
        <v>2459</v>
      </c>
      <c r="L310" s="5">
        <v>4553.3</v>
      </c>
      <c r="Q310" s="5">
        <v>2276.65</v>
      </c>
      <c r="R310" s="5">
        <v>2276.65</v>
      </c>
    </row>
    <row r="311" spans="1:25" x14ac:dyDescent="0.25">
      <c r="A311" t="s">
        <v>1887</v>
      </c>
      <c r="B311" t="s">
        <v>1888</v>
      </c>
      <c r="C311" t="s">
        <v>1889</v>
      </c>
      <c r="D311">
        <v>6074202500025000</v>
      </c>
      <c r="E311" t="str">
        <f>IF(COUNTIF(Tabela1[codProcesso],Tabela2[[#This Row],[PROCESSO]]),"Está","Não está")</f>
        <v>Está</v>
      </c>
      <c r="F311" t="s">
        <v>2446</v>
      </c>
      <c r="G311" t="s">
        <v>2428</v>
      </c>
      <c r="H311" t="s">
        <v>2037</v>
      </c>
      <c r="I311" t="s">
        <v>2038</v>
      </c>
      <c r="J311" t="s">
        <v>2039</v>
      </c>
      <c r="K311" s="3">
        <v>46387</v>
      </c>
      <c r="L311" s="5">
        <v>4250</v>
      </c>
      <c r="Y311" s="5">
        <v>4250</v>
      </c>
    </row>
    <row r="312" spans="1:25" x14ac:dyDescent="0.25">
      <c r="A312" t="s">
        <v>1887</v>
      </c>
      <c r="B312" t="s">
        <v>1888</v>
      </c>
      <c r="C312" t="s">
        <v>1889</v>
      </c>
      <c r="D312" t="s">
        <v>2463</v>
      </c>
      <c r="E312" t="str">
        <f>IF(COUNTIF(Tabela1[codProcesso],Tabela2[[#This Row],[PROCESSO]]),"Está","Não está")</f>
        <v>Não está</v>
      </c>
      <c r="F312" t="s">
        <v>2446</v>
      </c>
      <c r="G312" t="s">
        <v>2428</v>
      </c>
      <c r="H312" t="s">
        <v>1986</v>
      </c>
      <c r="I312" t="s">
        <v>2460</v>
      </c>
      <c r="J312" t="s">
        <v>1999</v>
      </c>
      <c r="K312" t="s">
        <v>1989</v>
      </c>
      <c r="L312" s="5">
        <v>10000</v>
      </c>
      <c r="M312" s="5">
        <v>10000</v>
      </c>
      <c r="O312" s="5">
        <v>10000</v>
      </c>
    </row>
    <row r="313" spans="1:25" x14ac:dyDescent="0.25">
      <c r="A313" t="s">
        <v>1887</v>
      </c>
      <c r="B313" t="s">
        <v>1888</v>
      </c>
      <c r="C313" t="s">
        <v>1889</v>
      </c>
      <c r="D313">
        <v>6074202300069590</v>
      </c>
      <c r="E313" t="str">
        <f>IF(COUNTIF(Tabela1[codProcesso],Tabela2[[#This Row],[PROCESSO]]),"Está","Não está")</f>
        <v>Está</v>
      </c>
      <c r="F313" t="s">
        <v>2427</v>
      </c>
      <c r="G313" t="s">
        <v>2428</v>
      </c>
      <c r="H313" t="s">
        <v>931</v>
      </c>
      <c r="I313" t="s">
        <v>2461</v>
      </c>
      <c r="J313" t="s">
        <v>2462</v>
      </c>
      <c r="K313" s="3">
        <v>46336</v>
      </c>
      <c r="L313" s="4">
        <v>18606900</v>
      </c>
      <c r="M313" s="5">
        <v>0</v>
      </c>
      <c r="N313" s="4">
        <v>1674621</v>
      </c>
      <c r="O313" s="4">
        <v>1674621</v>
      </c>
      <c r="P313" s="4">
        <v>1674621</v>
      </c>
      <c r="Q313" s="4">
        <v>1674621</v>
      </c>
      <c r="R313" s="4">
        <v>1674621</v>
      </c>
      <c r="S313" s="4">
        <v>1674621</v>
      </c>
      <c r="T313" s="4">
        <v>1674621</v>
      </c>
      <c r="U313" s="4">
        <v>1674621</v>
      </c>
      <c r="V313" s="4">
        <v>1674621</v>
      </c>
      <c r="W313" s="4">
        <v>1674621</v>
      </c>
      <c r="X313" s="4">
        <v>2914667</v>
      </c>
      <c r="Y313" s="4">
        <v>2914667</v>
      </c>
    </row>
    <row r="314" spans="1:25" x14ac:dyDescent="0.25">
      <c r="A314" t="s">
        <v>1887</v>
      </c>
      <c r="B314" t="s">
        <v>2477</v>
      </c>
      <c r="C314" t="s">
        <v>1889</v>
      </c>
      <c r="D314" t="s">
        <v>3153</v>
      </c>
      <c r="E314" t="str">
        <f>IF(COUNTIF(Tabela1[codProcesso],Tabela2[[#This Row],[PROCESSO]]),"Está","Não está")</f>
        <v>Não está</v>
      </c>
      <c r="F314" s="8" t="s">
        <v>2580</v>
      </c>
      <c r="G314" t="s">
        <v>2042</v>
      </c>
      <c r="H314" t="s">
        <v>2581</v>
      </c>
      <c r="I314" t="s">
        <v>2582</v>
      </c>
      <c r="J314" t="s">
        <v>2583</v>
      </c>
      <c r="K314" s="3">
        <v>45861</v>
      </c>
      <c r="L314" s="5">
        <v>1225834.8500000001</v>
      </c>
      <c r="M314" s="5">
        <v>102152.9</v>
      </c>
      <c r="N314" s="5">
        <v>102152.9</v>
      </c>
      <c r="O314" s="5">
        <v>102152.9</v>
      </c>
      <c r="P314" s="5">
        <v>102152.9</v>
      </c>
      <c r="Q314" s="5">
        <v>102152.9</v>
      </c>
      <c r="R314" s="5">
        <v>102152.9</v>
      </c>
      <c r="S314" s="5">
        <v>102152.9</v>
      </c>
      <c r="T314" s="5">
        <v>102152.9</v>
      </c>
      <c r="U314" s="5">
        <v>102152.9</v>
      </c>
      <c r="V314" s="5">
        <v>102152.9</v>
      </c>
      <c r="W314" s="5">
        <v>102152.9</v>
      </c>
      <c r="X314" s="5">
        <v>102152.9</v>
      </c>
      <c r="Y314" s="5">
        <v>102152.9</v>
      </c>
    </row>
    <row r="315" spans="1:25" x14ac:dyDescent="0.25">
      <c r="A315" t="s">
        <v>1887</v>
      </c>
      <c r="B315" t="s">
        <v>2477</v>
      </c>
      <c r="C315" t="s">
        <v>1889</v>
      </c>
      <c r="D315">
        <v>6074202000012180</v>
      </c>
      <c r="E315" t="str">
        <f>IF(COUNTIF(Tabela1[codProcesso],Tabela2[[#This Row],[PROCESSO]]),"Está","Não está")</f>
        <v>Está</v>
      </c>
      <c r="F315" s="8" t="s">
        <v>2584</v>
      </c>
      <c r="G315" t="s">
        <v>2585</v>
      </c>
      <c r="H315" t="s">
        <v>2586</v>
      </c>
      <c r="I315" t="s">
        <v>2587</v>
      </c>
      <c r="J315" t="s">
        <v>2565</v>
      </c>
      <c r="K315" s="3">
        <v>46167</v>
      </c>
      <c r="L315" s="5">
        <v>2119032.64</v>
      </c>
      <c r="M315" s="5">
        <v>176586.05</v>
      </c>
      <c r="N315" s="5">
        <v>169794.28</v>
      </c>
      <c r="O315" s="5">
        <v>169794.28</v>
      </c>
      <c r="P315" s="5">
        <v>169794.28</v>
      </c>
      <c r="Q315" s="5">
        <v>169794.28</v>
      </c>
      <c r="R315" s="5">
        <v>179981.94</v>
      </c>
      <c r="S315" s="5">
        <v>179981.94</v>
      </c>
      <c r="T315" s="5">
        <v>179981.94</v>
      </c>
      <c r="U315" s="5">
        <v>179981.94</v>
      </c>
      <c r="V315" s="5">
        <v>179981.94</v>
      </c>
      <c r="W315" s="5">
        <v>179981.94</v>
      </c>
      <c r="X315" s="5">
        <v>179981.94</v>
      </c>
      <c r="Y315" s="5">
        <v>179981.94</v>
      </c>
    </row>
    <row r="316" spans="1:25" x14ac:dyDescent="0.25">
      <c r="A316" t="s">
        <v>1887</v>
      </c>
      <c r="B316" t="s">
        <v>2477</v>
      </c>
      <c r="C316" t="s">
        <v>1889</v>
      </c>
      <c r="D316">
        <v>6074202300110720</v>
      </c>
      <c r="E316" t="str">
        <f>IF(COUNTIF(Tabela1[codProcesso],Tabela2[[#This Row],[PROCESSO]]),"Está","Não está")</f>
        <v>Está</v>
      </c>
      <c r="F316" s="8" t="s">
        <v>2588</v>
      </c>
      <c r="G316" t="s">
        <v>2066</v>
      </c>
      <c r="H316" t="s">
        <v>2589</v>
      </c>
      <c r="I316" t="s">
        <v>2590</v>
      </c>
      <c r="J316" t="s">
        <v>2501</v>
      </c>
      <c r="K316" s="3">
        <v>46360</v>
      </c>
      <c r="L316" s="5">
        <v>2151706.4900000002</v>
      </c>
      <c r="M316" s="5">
        <v>179308.87</v>
      </c>
      <c r="N316" s="5">
        <v>178416.79</v>
      </c>
      <c r="O316" s="5">
        <v>178416.79</v>
      </c>
      <c r="P316" s="5">
        <v>178416.79</v>
      </c>
      <c r="Q316" s="5">
        <v>178416.79</v>
      </c>
      <c r="R316" s="5">
        <v>178416.79</v>
      </c>
      <c r="S316" s="5">
        <v>178416.79</v>
      </c>
      <c r="T316" s="5">
        <v>178416.79</v>
      </c>
      <c r="U316" s="5">
        <v>178416.79</v>
      </c>
      <c r="V316" s="5">
        <v>178416.79</v>
      </c>
      <c r="W316" s="5">
        <v>178416.79</v>
      </c>
      <c r="X316" s="5">
        <v>178416.79</v>
      </c>
      <c r="Y316" s="5">
        <v>189121.8</v>
      </c>
    </row>
    <row r="317" spans="1:25" x14ac:dyDescent="0.25">
      <c r="A317" t="s">
        <v>1887</v>
      </c>
      <c r="B317" t="s">
        <v>2477</v>
      </c>
      <c r="C317" t="s">
        <v>1889</v>
      </c>
      <c r="D317">
        <v>6074202300110730</v>
      </c>
      <c r="E317" t="str">
        <f>IF(COUNTIF(Tabela1[codProcesso],Tabela2[[#This Row],[PROCESSO]]),"Está","Não está")</f>
        <v>Está</v>
      </c>
      <c r="F317" s="8" t="s">
        <v>2588</v>
      </c>
      <c r="G317" t="s">
        <v>2066</v>
      </c>
      <c r="H317" t="s">
        <v>2591</v>
      </c>
      <c r="I317" t="s">
        <v>2592</v>
      </c>
      <c r="J317" t="s">
        <v>2501</v>
      </c>
      <c r="K317" s="3">
        <v>46360</v>
      </c>
      <c r="L317" s="5">
        <v>2210204.17</v>
      </c>
      <c r="M317" s="5">
        <v>184183.67999999999</v>
      </c>
      <c r="N317" s="5">
        <v>183267.35</v>
      </c>
      <c r="O317" s="5">
        <v>183267.34</v>
      </c>
      <c r="P317" s="5">
        <v>183267.34</v>
      </c>
      <c r="Q317" s="5">
        <v>183267.34</v>
      </c>
      <c r="R317" s="5">
        <v>183267.36</v>
      </c>
      <c r="S317" s="5">
        <v>183267.34</v>
      </c>
      <c r="T317" s="5">
        <v>183267.34</v>
      </c>
      <c r="U317" s="5">
        <v>183267.34</v>
      </c>
      <c r="V317" s="5">
        <v>183267.34</v>
      </c>
      <c r="W317" s="5">
        <v>183267.34</v>
      </c>
      <c r="X317" s="5">
        <v>183267.35</v>
      </c>
      <c r="Y317" s="5">
        <v>194263.39</v>
      </c>
    </row>
    <row r="318" spans="1:25" x14ac:dyDescent="0.25">
      <c r="A318" t="s">
        <v>1887</v>
      </c>
      <c r="B318" t="s">
        <v>2477</v>
      </c>
      <c r="C318" t="s">
        <v>1889</v>
      </c>
      <c r="D318">
        <v>6074202300110740</v>
      </c>
      <c r="E318" t="str">
        <f>IF(COUNTIF(Tabela1[codProcesso],Tabela2[[#This Row],[PROCESSO]]),"Está","Não está")</f>
        <v>Está</v>
      </c>
      <c r="F318" s="8" t="s">
        <v>2588</v>
      </c>
      <c r="G318" t="s">
        <v>2066</v>
      </c>
      <c r="H318" t="s">
        <v>2593</v>
      </c>
      <c r="I318" t="s">
        <v>2594</v>
      </c>
      <c r="J318" t="s">
        <v>2595</v>
      </c>
      <c r="K318" s="3">
        <v>46360</v>
      </c>
      <c r="L318" s="5">
        <v>2045553.52</v>
      </c>
      <c r="M318" s="5">
        <v>170462.79</v>
      </c>
      <c r="N318" s="5">
        <v>169614.72</v>
      </c>
      <c r="O318" s="5">
        <v>169614.72</v>
      </c>
      <c r="P318" s="5">
        <v>169614.72</v>
      </c>
      <c r="Q318" s="5">
        <v>169614.72</v>
      </c>
      <c r="R318" s="5">
        <v>169614.72</v>
      </c>
      <c r="S318" s="5">
        <v>169614.72</v>
      </c>
      <c r="T318" s="5">
        <v>169614.72</v>
      </c>
      <c r="U318" s="5">
        <v>169614.72</v>
      </c>
      <c r="V318" s="5">
        <v>169614.72</v>
      </c>
      <c r="W318" s="5">
        <v>169614.72</v>
      </c>
      <c r="X318" s="5">
        <v>169614.72</v>
      </c>
      <c r="Y318" s="5">
        <v>179791.6</v>
      </c>
    </row>
    <row r="319" spans="1:25" x14ac:dyDescent="0.25">
      <c r="A319" t="s">
        <v>1887</v>
      </c>
      <c r="B319" t="s">
        <v>2477</v>
      </c>
      <c r="C319" t="s">
        <v>1889</v>
      </c>
      <c r="D319">
        <v>6074202300110750</v>
      </c>
      <c r="E319" t="str">
        <f>IF(COUNTIF(Tabela1[codProcesso],Tabela2[[#This Row],[PROCESSO]]),"Está","Não está")</f>
        <v>Está</v>
      </c>
      <c r="F319" s="8" t="s">
        <v>2588</v>
      </c>
      <c r="G319" t="s">
        <v>2066</v>
      </c>
      <c r="H319" t="s">
        <v>2596</v>
      </c>
      <c r="I319" t="s">
        <v>2597</v>
      </c>
      <c r="J319" t="s">
        <v>2595</v>
      </c>
      <c r="K319" s="3">
        <v>46360</v>
      </c>
      <c r="L319" s="5">
        <v>2264664.4300000002</v>
      </c>
      <c r="M319" s="5">
        <v>188722.04</v>
      </c>
      <c r="N319" s="5">
        <v>187783.12</v>
      </c>
      <c r="O319" s="5">
        <v>187783.12</v>
      </c>
      <c r="P319" s="5">
        <v>187783.12</v>
      </c>
      <c r="Q319" s="5">
        <v>187783.12</v>
      </c>
      <c r="R319" s="5">
        <v>187783.12</v>
      </c>
      <c r="S319" s="5">
        <v>187783.12</v>
      </c>
      <c r="T319" s="5">
        <v>187783.12</v>
      </c>
      <c r="U319" s="5">
        <v>187783.12</v>
      </c>
      <c r="V319" s="5">
        <v>187783.12</v>
      </c>
      <c r="W319" s="5">
        <v>187783.12</v>
      </c>
      <c r="X319" s="5">
        <v>187783.12</v>
      </c>
      <c r="Y319" s="5">
        <v>199050.11</v>
      </c>
    </row>
    <row r="320" spans="1:25" x14ac:dyDescent="0.25">
      <c r="A320" t="s">
        <v>1887</v>
      </c>
      <c r="B320" t="s">
        <v>2477</v>
      </c>
      <c r="C320" t="s">
        <v>1889</v>
      </c>
      <c r="D320">
        <v>6074202200048430</v>
      </c>
      <c r="E320" t="str">
        <f>IF(COUNTIF(Tabela1[codProcesso],Tabela2[[#This Row],[PROCESSO]]),"Está","Não está")</f>
        <v>Está</v>
      </c>
      <c r="F320" s="8" t="s">
        <v>2598</v>
      </c>
      <c r="G320" t="s">
        <v>2599</v>
      </c>
      <c r="H320" t="s">
        <v>2600</v>
      </c>
      <c r="I320" t="s">
        <v>2601</v>
      </c>
      <c r="J320" t="s">
        <v>2602</v>
      </c>
      <c r="K320" s="3">
        <v>46077</v>
      </c>
      <c r="L320" s="5">
        <v>13532839.9</v>
      </c>
      <c r="M320" s="5">
        <v>1127736.6599999999</v>
      </c>
      <c r="N320" s="5">
        <v>1044617.08</v>
      </c>
      <c r="O320" s="5">
        <v>1415281.82</v>
      </c>
      <c r="P320" s="5">
        <v>1107294.1000000001</v>
      </c>
      <c r="Q320" s="5">
        <v>1107294.1000000001</v>
      </c>
      <c r="R320" s="5">
        <v>1107294.1000000001</v>
      </c>
      <c r="S320" s="5">
        <v>1107294.1000000001</v>
      </c>
      <c r="T320" s="5">
        <v>1107294.1000000001</v>
      </c>
      <c r="U320" s="5">
        <v>1107294.1000000001</v>
      </c>
      <c r="V320" s="5">
        <v>1107294.1000000001</v>
      </c>
      <c r="W320" s="5">
        <v>1107294.1000000001</v>
      </c>
      <c r="X320" s="5">
        <v>1107294.1000000001</v>
      </c>
      <c r="Y320" s="5">
        <v>1107294.1000000001</v>
      </c>
    </row>
    <row r="321" spans="1:25" x14ac:dyDescent="0.25">
      <c r="A321" t="s">
        <v>1887</v>
      </c>
      <c r="B321" t="s">
        <v>2477</v>
      </c>
      <c r="C321" t="s">
        <v>1889</v>
      </c>
      <c r="D321">
        <v>6074202400105280</v>
      </c>
      <c r="E321" t="str">
        <f>IF(COUNTIF(Tabela1[codProcesso],Tabela2[[#This Row],[PROCESSO]]),"Está","Não está")</f>
        <v>Está</v>
      </c>
      <c r="F321" s="8" t="s">
        <v>2478</v>
      </c>
      <c r="G321" t="s">
        <v>2479</v>
      </c>
      <c r="H321" t="s">
        <v>2603</v>
      </c>
      <c r="I321" t="s">
        <v>2604</v>
      </c>
      <c r="J321" t="s">
        <v>2605</v>
      </c>
      <c r="K321" s="3">
        <v>47440</v>
      </c>
      <c r="L321" s="5">
        <v>2038134.3</v>
      </c>
      <c r="M321" s="5">
        <v>169844.53</v>
      </c>
      <c r="N321" s="5">
        <v>169561.92</v>
      </c>
      <c r="O321" s="5">
        <v>169561.92</v>
      </c>
      <c r="P321" s="5">
        <v>169561.92</v>
      </c>
      <c r="Q321" s="5">
        <v>169561.93</v>
      </c>
      <c r="R321" s="5">
        <v>169561.92</v>
      </c>
      <c r="S321" s="5">
        <v>169561.92</v>
      </c>
      <c r="T321" s="5">
        <v>169561.92</v>
      </c>
      <c r="U321" s="5">
        <v>169561.92</v>
      </c>
      <c r="V321" s="5">
        <v>169561.92</v>
      </c>
      <c r="W321" s="5">
        <v>169561.92</v>
      </c>
      <c r="X321" s="5">
        <v>169561.93</v>
      </c>
      <c r="Y321" s="5">
        <v>172953.16</v>
      </c>
    </row>
    <row r="322" spans="1:25" x14ac:dyDescent="0.25">
      <c r="A322" t="s">
        <v>1887</v>
      </c>
      <c r="B322" t="s">
        <v>2477</v>
      </c>
      <c r="C322" t="s">
        <v>1889</v>
      </c>
      <c r="D322">
        <v>6074202400105300</v>
      </c>
      <c r="E322" t="str">
        <f>IF(COUNTIF(Tabela1[codProcesso],Tabela2[[#This Row],[PROCESSO]]),"Está","Não está")</f>
        <v>Está</v>
      </c>
      <c r="F322" s="8" t="s">
        <v>2478</v>
      </c>
      <c r="G322" t="s">
        <v>2479</v>
      </c>
      <c r="H322" t="s">
        <v>2606</v>
      </c>
      <c r="I322" t="s">
        <v>2607</v>
      </c>
      <c r="J322" t="s">
        <v>2552</v>
      </c>
      <c r="K322" s="3">
        <v>47447</v>
      </c>
      <c r="L322" s="5">
        <v>2034694.31</v>
      </c>
      <c r="M322" s="5">
        <v>169557.86</v>
      </c>
      <c r="N322" s="5">
        <v>168854.3</v>
      </c>
      <c r="O322" s="5">
        <v>168854.3</v>
      </c>
      <c r="P322" s="5">
        <v>168854.3</v>
      </c>
      <c r="Q322" s="5">
        <v>168854.3</v>
      </c>
      <c r="R322" s="5">
        <v>168854.32</v>
      </c>
      <c r="S322" s="5">
        <v>168854.3</v>
      </c>
      <c r="T322" s="5">
        <v>168854.3</v>
      </c>
      <c r="U322" s="5">
        <v>168854.3</v>
      </c>
      <c r="V322" s="5">
        <v>168854.3</v>
      </c>
      <c r="W322" s="5">
        <v>168854.3</v>
      </c>
      <c r="X322" s="5">
        <v>168854.3</v>
      </c>
      <c r="Y322" s="5">
        <v>177296.99</v>
      </c>
    </row>
    <row r="323" spans="1:25" x14ac:dyDescent="0.25">
      <c r="A323" t="s">
        <v>1887</v>
      </c>
      <c r="B323" t="s">
        <v>2477</v>
      </c>
      <c r="C323" t="s">
        <v>1889</v>
      </c>
      <c r="D323">
        <v>6074202400105310</v>
      </c>
      <c r="E323" t="str">
        <f>IF(COUNTIF(Tabela1[codProcesso],Tabela2[[#This Row],[PROCESSO]]),"Está","Não está")</f>
        <v>Está</v>
      </c>
      <c r="F323" s="8" t="s">
        <v>2478</v>
      </c>
      <c r="G323" t="s">
        <v>2479</v>
      </c>
      <c r="H323" t="s">
        <v>2608</v>
      </c>
      <c r="I323" t="s">
        <v>2609</v>
      </c>
      <c r="J323" t="s">
        <v>2610</v>
      </c>
      <c r="K323" s="3">
        <v>47440</v>
      </c>
      <c r="L323" s="5">
        <v>2067358.4</v>
      </c>
      <c r="M323" s="5">
        <v>172279.87</v>
      </c>
      <c r="N323" s="5">
        <v>171993.21</v>
      </c>
      <c r="O323" s="5">
        <v>171993.21</v>
      </c>
      <c r="P323" s="5">
        <v>171993.21</v>
      </c>
      <c r="Q323" s="5">
        <v>171993.21</v>
      </c>
      <c r="R323" s="5">
        <v>171993.22</v>
      </c>
      <c r="S323" s="5">
        <v>171993.21</v>
      </c>
      <c r="T323" s="5">
        <v>171993.21</v>
      </c>
      <c r="U323" s="5">
        <v>171993.21</v>
      </c>
      <c r="V323" s="5">
        <v>171993.21</v>
      </c>
      <c r="W323" s="5">
        <v>171993.21</v>
      </c>
      <c r="X323" s="5">
        <v>171993.22</v>
      </c>
      <c r="Y323" s="5">
        <v>175433.07</v>
      </c>
    </row>
    <row r="324" spans="1:25" x14ac:dyDescent="0.25">
      <c r="A324" t="s">
        <v>1887</v>
      </c>
      <c r="B324" t="s">
        <v>2477</v>
      </c>
      <c r="C324" t="s">
        <v>1889</v>
      </c>
      <c r="D324">
        <v>6074202400105320</v>
      </c>
      <c r="E324" t="str">
        <f>IF(COUNTIF(Tabela1[codProcesso],Tabela2[[#This Row],[PROCESSO]]),"Está","Não está")</f>
        <v>Está</v>
      </c>
      <c r="F324" s="8" t="s">
        <v>2478</v>
      </c>
      <c r="G324" t="s">
        <v>2479</v>
      </c>
      <c r="H324" t="s">
        <v>2480</v>
      </c>
      <c r="I324" t="s">
        <v>2481</v>
      </c>
      <c r="J324" t="s">
        <v>2482</v>
      </c>
      <c r="K324" s="3">
        <v>47444</v>
      </c>
      <c r="L324" s="5">
        <v>2121411.9300000002</v>
      </c>
      <c r="M324" s="5">
        <v>176784.33</v>
      </c>
      <c r="N324" s="5">
        <v>176490.17</v>
      </c>
      <c r="O324" s="5">
        <v>176490.18</v>
      </c>
      <c r="P324" s="5">
        <v>176490.18</v>
      </c>
      <c r="Q324" s="5">
        <v>176490.18</v>
      </c>
      <c r="R324" s="5">
        <v>176490.18</v>
      </c>
      <c r="S324" s="5">
        <v>176490.17</v>
      </c>
      <c r="T324" s="5">
        <v>176490.17</v>
      </c>
      <c r="U324" s="5">
        <v>176490.18</v>
      </c>
      <c r="V324" s="5">
        <v>176490.18</v>
      </c>
      <c r="W324" s="5">
        <v>176490.18</v>
      </c>
      <c r="X324" s="5">
        <v>176490.18</v>
      </c>
      <c r="Y324" s="5">
        <v>180019.98</v>
      </c>
    </row>
    <row r="325" spans="1:25" x14ac:dyDescent="0.25">
      <c r="A325" t="s">
        <v>1887</v>
      </c>
      <c r="B325" t="s">
        <v>2477</v>
      </c>
      <c r="C325" t="s">
        <v>1889</v>
      </c>
      <c r="D325">
        <v>6074202400105330</v>
      </c>
      <c r="E325" t="str">
        <f>IF(COUNTIF(Tabela1[codProcesso],Tabela2[[#This Row],[PROCESSO]]),"Está","Não está")</f>
        <v>Está</v>
      </c>
      <c r="F325" s="8" t="s">
        <v>2478</v>
      </c>
      <c r="G325" t="s">
        <v>2479</v>
      </c>
      <c r="H325" t="s">
        <v>2483</v>
      </c>
      <c r="I325" t="s">
        <v>2484</v>
      </c>
      <c r="J325" t="s">
        <v>2485</v>
      </c>
      <c r="K325" s="3">
        <v>47447</v>
      </c>
      <c r="L325" s="5">
        <v>2190348.54</v>
      </c>
      <c r="M325" s="5">
        <v>182529.05</v>
      </c>
      <c r="N325" s="5">
        <v>182529.04</v>
      </c>
      <c r="O325" s="5">
        <v>182529.04</v>
      </c>
      <c r="P325" s="5">
        <v>182529.04</v>
      </c>
      <c r="Q325" s="5">
        <v>182529.05</v>
      </c>
      <c r="R325" s="5">
        <v>182529.05</v>
      </c>
      <c r="S325" s="5">
        <v>182529.04</v>
      </c>
      <c r="T325" s="5">
        <v>182529.04</v>
      </c>
      <c r="U325" s="5">
        <v>182529.04</v>
      </c>
      <c r="V325" s="5">
        <v>182529.05</v>
      </c>
      <c r="W325" s="5">
        <v>182529.05</v>
      </c>
      <c r="X325" s="5">
        <v>182529.05</v>
      </c>
      <c r="Y325" s="5">
        <v>182529.05</v>
      </c>
    </row>
    <row r="326" spans="1:25" x14ac:dyDescent="0.25">
      <c r="A326" t="s">
        <v>1887</v>
      </c>
      <c r="B326" t="s">
        <v>2477</v>
      </c>
      <c r="C326" t="s">
        <v>1889</v>
      </c>
      <c r="D326">
        <v>6074201900002390</v>
      </c>
      <c r="E326" t="str">
        <f>IF(COUNTIF(Tabela1[codProcesso],Tabela2[[#This Row],[PROCESSO]]),"Está","Não está")</f>
        <v>Não está</v>
      </c>
      <c r="F326" s="8" t="s">
        <v>2486</v>
      </c>
      <c r="G326" t="s">
        <v>2083</v>
      </c>
      <c r="H326" t="s">
        <v>2487</v>
      </c>
      <c r="I326" t="s">
        <v>2488</v>
      </c>
      <c r="J326" t="s">
        <v>2489</v>
      </c>
      <c r="K326" s="3">
        <v>45966</v>
      </c>
      <c r="L326" s="5">
        <v>2266324.2000000002</v>
      </c>
      <c r="M326" s="5">
        <v>188860.35</v>
      </c>
      <c r="N326" s="5">
        <v>188860.35</v>
      </c>
      <c r="O326" s="5">
        <v>188860.35</v>
      </c>
      <c r="P326" s="5">
        <v>188860.35</v>
      </c>
      <c r="Q326" s="5">
        <v>188860.35</v>
      </c>
      <c r="R326" s="5">
        <v>188860.35</v>
      </c>
      <c r="S326" s="5">
        <v>188860.35</v>
      </c>
      <c r="T326" s="5">
        <v>188860.35</v>
      </c>
      <c r="U326" s="5">
        <v>188860.35</v>
      </c>
      <c r="V326" s="5">
        <v>188860.35</v>
      </c>
      <c r="W326" s="5">
        <v>188860.35</v>
      </c>
      <c r="X326" s="5">
        <v>188860.35</v>
      </c>
      <c r="Y326" s="5">
        <v>188860.35</v>
      </c>
    </row>
    <row r="327" spans="1:25" x14ac:dyDescent="0.25">
      <c r="A327" t="s">
        <v>1887</v>
      </c>
      <c r="B327" t="s">
        <v>2477</v>
      </c>
      <c r="C327" t="s">
        <v>1889</v>
      </c>
      <c r="D327">
        <v>6074202400022310</v>
      </c>
      <c r="E327" t="str">
        <f>IF(COUNTIF(Tabela1[codProcesso],Tabela2[[#This Row],[PROCESSO]]),"Está","Não está")</f>
        <v>Está</v>
      </c>
      <c r="F327" s="8" t="s">
        <v>2486</v>
      </c>
      <c r="G327" t="s">
        <v>2083</v>
      </c>
      <c r="H327" t="s">
        <v>2490</v>
      </c>
      <c r="I327" t="s">
        <v>2491</v>
      </c>
      <c r="J327" t="s">
        <v>2492</v>
      </c>
      <c r="K327" s="3">
        <v>46487</v>
      </c>
      <c r="L327" s="5">
        <v>1739907.46</v>
      </c>
      <c r="M327" s="5">
        <v>144992.29</v>
      </c>
      <c r="N327" s="5">
        <v>144992.29</v>
      </c>
      <c r="O327" s="5">
        <v>144992.29</v>
      </c>
      <c r="P327" s="5">
        <v>144992.28</v>
      </c>
      <c r="Q327" s="5">
        <v>144992.29</v>
      </c>
      <c r="R327" s="5">
        <v>144992.29</v>
      </c>
      <c r="S327" s="5">
        <v>144992.29</v>
      </c>
      <c r="T327" s="5">
        <v>144992.29</v>
      </c>
      <c r="U327" s="5">
        <v>144992.29</v>
      </c>
      <c r="V327" s="5">
        <v>144992.28</v>
      </c>
      <c r="W327" s="5">
        <v>144992.29</v>
      </c>
      <c r="X327" s="5">
        <v>144992.29</v>
      </c>
      <c r="Y327" s="5">
        <v>144992.29</v>
      </c>
    </row>
    <row r="328" spans="1:25" x14ac:dyDescent="0.25">
      <c r="A328" t="s">
        <v>1887</v>
      </c>
      <c r="B328" t="s">
        <v>2477</v>
      </c>
      <c r="C328" t="s">
        <v>1889</v>
      </c>
      <c r="D328">
        <v>6074202400022320</v>
      </c>
      <c r="E328" t="str">
        <f>IF(COUNTIF(Tabela1[codProcesso],Tabela2[[#This Row],[PROCESSO]]),"Está","Não está")</f>
        <v>Está</v>
      </c>
      <c r="F328" s="8" t="s">
        <v>2486</v>
      </c>
      <c r="G328" t="s">
        <v>2083</v>
      </c>
      <c r="H328" t="s">
        <v>2493</v>
      </c>
      <c r="I328" t="s">
        <v>2494</v>
      </c>
      <c r="J328" t="s">
        <v>2495</v>
      </c>
      <c r="K328" s="3">
        <v>46487</v>
      </c>
      <c r="L328" s="5">
        <v>3282359.52</v>
      </c>
      <c r="M328" s="5">
        <v>273529.96000000002</v>
      </c>
      <c r="N328" s="5">
        <v>269487.64</v>
      </c>
      <c r="O328" s="5">
        <v>269487.64</v>
      </c>
      <c r="P328" s="5">
        <v>269487.64</v>
      </c>
      <c r="Q328" s="5">
        <v>274877.40000000002</v>
      </c>
      <c r="R328" s="5">
        <v>274877.40000000002</v>
      </c>
      <c r="S328" s="5">
        <v>274877.40000000002</v>
      </c>
      <c r="T328" s="5">
        <v>274877.40000000002</v>
      </c>
      <c r="U328" s="5">
        <v>274877.40000000002</v>
      </c>
      <c r="V328" s="5">
        <v>274877.40000000002</v>
      </c>
      <c r="W328" s="5">
        <v>274877.40000000002</v>
      </c>
      <c r="X328" s="5">
        <v>274877.40000000002</v>
      </c>
      <c r="Y328" s="5">
        <v>274877.40000000002</v>
      </c>
    </row>
    <row r="329" spans="1:25" x14ac:dyDescent="0.25">
      <c r="A329" t="s">
        <v>1887</v>
      </c>
      <c r="B329" t="s">
        <v>2477</v>
      </c>
      <c r="C329" t="s">
        <v>1889</v>
      </c>
      <c r="D329">
        <v>6074202400022330</v>
      </c>
      <c r="E329" t="str">
        <f>IF(COUNTIF(Tabela1[codProcesso],Tabela2[[#This Row],[PROCESSO]]),"Está","Não está")</f>
        <v>Está</v>
      </c>
      <c r="F329" s="8" t="s">
        <v>2486</v>
      </c>
      <c r="G329" t="s">
        <v>2083</v>
      </c>
      <c r="H329" t="s">
        <v>2496</v>
      </c>
      <c r="I329" t="s">
        <v>2497</v>
      </c>
      <c r="J329" t="s">
        <v>2498</v>
      </c>
      <c r="K329" s="3">
        <v>46487</v>
      </c>
      <c r="L329" s="5">
        <v>3661246.56</v>
      </c>
      <c r="M329" s="5">
        <v>305103.88</v>
      </c>
      <c r="N329" s="5">
        <v>294118.99</v>
      </c>
      <c r="O329" s="5">
        <v>294118.99</v>
      </c>
      <c r="P329" s="5">
        <v>294118.99</v>
      </c>
      <c r="Q329" s="5">
        <v>308765.51</v>
      </c>
      <c r="R329" s="5">
        <v>308765.51</v>
      </c>
      <c r="S329" s="5">
        <v>308765.51</v>
      </c>
      <c r="T329" s="5">
        <v>308765.51</v>
      </c>
      <c r="U329" s="5">
        <v>308765.51</v>
      </c>
      <c r="V329" s="5">
        <v>308765.51</v>
      </c>
      <c r="W329" s="5">
        <v>308765.51</v>
      </c>
      <c r="X329" s="5">
        <v>308765.51</v>
      </c>
      <c r="Y329" s="5">
        <v>308765.51</v>
      </c>
    </row>
    <row r="330" spans="1:25" x14ac:dyDescent="0.25">
      <c r="A330" t="s">
        <v>1887</v>
      </c>
      <c r="B330" t="s">
        <v>2477</v>
      </c>
      <c r="C330" t="s">
        <v>1889</v>
      </c>
      <c r="D330">
        <v>6074202400022350</v>
      </c>
      <c r="E330" t="str">
        <f>IF(COUNTIF(Tabela1[codProcesso],Tabela2[[#This Row],[PROCESSO]]),"Está","Não está")</f>
        <v>Está</v>
      </c>
      <c r="F330" s="8" t="s">
        <v>2486</v>
      </c>
      <c r="G330" t="s">
        <v>2083</v>
      </c>
      <c r="H330" t="s">
        <v>2499</v>
      </c>
      <c r="I330" t="s">
        <v>2500</v>
      </c>
      <c r="J330" t="s">
        <v>2501</v>
      </c>
      <c r="K330" s="3">
        <v>46487</v>
      </c>
      <c r="L330" s="5">
        <v>3448158.71</v>
      </c>
      <c r="M330" s="5">
        <v>287346.56</v>
      </c>
      <c r="N330" s="5">
        <v>283100.06</v>
      </c>
      <c r="O330" s="5">
        <v>283100.06</v>
      </c>
      <c r="P330" s="5">
        <v>283100.06</v>
      </c>
      <c r="Q330" s="5">
        <v>288762.06</v>
      </c>
      <c r="R330" s="5">
        <v>288762.06</v>
      </c>
      <c r="S330" s="5">
        <v>288762.06</v>
      </c>
      <c r="T330" s="5">
        <v>288762.06</v>
      </c>
      <c r="U330" s="5">
        <v>288762.06</v>
      </c>
      <c r="V330" s="5">
        <v>288762.06</v>
      </c>
      <c r="W330" s="5">
        <v>288762.05</v>
      </c>
      <c r="X330" s="5">
        <v>288762.06</v>
      </c>
      <c r="Y330" s="5">
        <v>288762.06</v>
      </c>
    </row>
    <row r="331" spans="1:25" x14ac:dyDescent="0.25">
      <c r="A331" t="s">
        <v>1887</v>
      </c>
      <c r="B331" t="s">
        <v>2477</v>
      </c>
      <c r="C331" t="s">
        <v>1889</v>
      </c>
      <c r="D331">
        <v>6074202400085530</v>
      </c>
      <c r="E331" t="str">
        <f>IF(COUNTIF(Tabela1[codProcesso],Tabela2[[#This Row],[PROCESSO]]),"Está","Não está")</f>
        <v>Está</v>
      </c>
      <c r="F331" s="8" t="s">
        <v>2502</v>
      </c>
      <c r="G331" t="s">
        <v>2083</v>
      </c>
      <c r="H331" t="s">
        <v>2503</v>
      </c>
      <c r="I331" t="s">
        <v>2504</v>
      </c>
      <c r="J331" t="s">
        <v>2505</v>
      </c>
      <c r="K331" s="3">
        <v>47391</v>
      </c>
      <c r="L331" s="5">
        <v>5852384.6399999997</v>
      </c>
      <c r="M331" s="5">
        <v>487698.72</v>
      </c>
      <c r="N331" s="5">
        <v>487698.72</v>
      </c>
      <c r="O331" s="5">
        <v>487698.72</v>
      </c>
      <c r="P331" s="5">
        <v>487698.72</v>
      </c>
      <c r="Q331" s="5">
        <v>487698.72</v>
      </c>
      <c r="R331" s="5">
        <v>487698.72</v>
      </c>
      <c r="S331" s="5">
        <v>487698.72</v>
      </c>
      <c r="T331" s="5">
        <v>487698.72</v>
      </c>
      <c r="U331" s="5">
        <v>487698.72</v>
      </c>
      <c r="V331" s="5">
        <v>487698.72</v>
      </c>
      <c r="W331" s="5">
        <v>487698.72</v>
      </c>
      <c r="X331" s="5">
        <v>487698.72</v>
      </c>
      <c r="Y331" s="5">
        <v>487698.72</v>
      </c>
    </row>
    <row r="332" spans="1:25" x14ac:dyDescent="0.25">
      <c r="A332" t="s">
        <v>1887</v>
      </c>
      <c r="B332" t="s">
        <v>2477</v>
      </c>
      <c r="C332" t="s">
        <v>1889</v>
      </c>
      <c r="D332">
        <v>6074202400064510</v>
      </c>
      <c r="E332" t="str">
        <f>IF(COUNTIF(Tabela1[codProcesso],Tabela2[[#This Row],[PROCESSO]]),"Está","Não está")</f>
        <v>Não está</v>
      </c>
      <c r="F332" s="8" t="s">
        <v>2486</v>
      </c>
      <c r="G332" t="s">
        <v>2083</v>
      </c>
      <c r="H332" t="s">
        <v>2506</v>
      </c>
      <c r="I332" t="s">
        <v>2507</v>
      </c>
      <c r="J332" t="s">
        <v>2495</v>
      </c>
      <c r="K332" s="3">
        <v>46418</v>
      </c>
      <c r="L332" s="5">
        <v>508284.84</v>
      </c>
      <c r="M332" s="5">
        <v>42357.07</v>
      </c>
      <c r="N332" s="5">
        <v>42357.07</v>
      </c>
      <c r="O332" s="5">
        <v>42357.07</v>
      </c>
      <c r="P332" s="5">
        <v>42357.07</v>
      </c>
      <c r="Q332" s="5">
        <v>42357.07</v>
      </c>
      <c r="R332" s="5">
        <v>42357.07</v>
      </c>
      <c r="S332" s="5">
        <v>42357.07</v>
      </c>
      <c r="T332" s="5">
        <v>42357.07</v>
      </c>
      <c r="U332" s="5">
        <v>42357.07</v>
      </c>
      <c r="V332" s="5">
        <v>42357.07</v>
      </c>
      <c r="W332" s="5">
        <v>42357.07</v>
      </c>
      <c r="X332" s="5">
        <v>42357.07</v>
      </c>
      <c r="Y332" s="5">
        <v>42357.07</v>
      </c>
    </row>
    <row r="333" spans="1:25" x14ac:dyDescent="0.25">
      <c r="A333" t="s">
        <v>1887</v>
      </c>
      <c r="B333" t="s">
        <v>2477</v>
      </c>
      <c r="C333" t="s">
        <v>1889</v>
      </c>
      <c r="D333">
        <v>6074202400064440</v>
      </c>
      <c r="E333" t="str">
        <f>IF(COUNTIF(Tabela1[codProcesso],Tabela2[[#This Row],[PROCESSO]]),"Está","Não está")</f>
        <v>Não está</v>
      </c>
      <c r="F333" s="8" t="s">
        <v>2486</v>
      </c>
      <c r="G333" t="s">
        <v>2083</v>
      </c>
      <c r="H333" t="s">
        <v>2508</v>
      </c>
      <c r="I333" t="s">
        <v>2509</v>
      </c>
      <c r="J333" t="s">
        <v>2510</v>
      </c>
      <c r="K333" s="3">
        <v>46418</v>
      </c>
      <c r="L333" s="5">
        <v>652528.56000000006</v>
      </c>
      <c r="M333" s="5">
        <v>54377.38</v>
      </c>
      <c r="N333" s="5">
        <v>54377.38</v>
      </c>
      <c r="O333" s="5">
        <v>54377.38</v>
      </c>
      <c r="P333" s="5">
        <v>54377.38</v>
      </c>
      <c r="Q333" s="5">
        <v>54377.38</v>
      </c>
      <c r="R333" s="5">
        <v>54377.38</v>
      </c>
      <c r="S333" s="5">
        <v>54377.38</v>
      </c>
      <c r="T333" s="5">
        <v>54377.38</v>
      </c>
      <c r="U333" s="5">
        <v>54377.38</v>
      </c>
      <c r="V333" s="5">
        <v>54377.38</v>
      </c>
      <c r="W333" s="5">
        <v>54377.38</v>
      </c>
      <c r="X333" s="5">
        <v>54377.38</v>
      </c>
      <c r="Y333" s="5">
        <v>54377.38</v>
      </c>
    </row>
    <row r="334" spans="1:25" x14ac:dyDescent="0.25">
      <c r="A334" t="s">
        <v>1887</v>
      </c>
      <c r="B334" t="s">
        <v>2477</v>
      </c>
      <c r="C334" t="s">
        <v>1889</v>
      </c>
      <c r="D334">
        <v>6074202300078960</v>
      </c>
      <c r="E334" t="str">
        <f>IF(COUNTIF(Tabela1[codProcesso],Tabela2[[#This Row],[PROCESSO]]),"Está","Não está")</f>
        <v>Está</v>
      </c>
      <c r="F334" s="8" t="s">
        <v>2486</v>
      </c>
      <c r="G334" t="s">
        <v>2083</v>
      </c>
      <c r="H334" t="s">
        <v>2511</v>
      </c>
      <c r="I334" t="s">
        <v>2512</v>
      </c>
      <c r="J334" t="s">
        <v>2513</v>
      </c>
      <c r="K334" s="3">
        <v>46299</v>
      </c>
      <c r="L334" s="5">
        <v>1355821.55</v>
      </c>
      <c r="M334" s="5">
        <v>112985.13</v>
      </c>
      <c r="N334" s="5">
        <v>111315.4</v>
      </c>
      <c r="O334" s="5">
        <v>111315.4</v>
      </c>
      <c r="P334" s="5">
        <v>111315.4</v>
      </c>
      <c r="Q334" s="5">
        <v>111315.39</v>
      </c>
      <c r="R334" s="5">
        <v>111315.4</v>
      </c>
      <c r="S334" s="5">
        <v>111315.4</v>
      </c>
      <c r="T334" s="5">
        <v>111315.4</v>
      </c>
      <c r="U334" s="5">
        <v>111315.4</v>
      </c>
      <c r="V334" s="5">
        <v>111315.4</v>
      </c>
      <c r="W334" s="5">
        <v>117994.32</v>
      </c>
      <c r="X334" s="5">
        <v>117994.32</v>
      </c>
      <c r="Y334" s="5">
        <v>117994.32</v>
      </c>
    </row>
    <row r="335" spans="1:25" x14ac:dyDescent="0.25">
      <c r="A335" t="s">
        <v>1887</v>
      </c>
      <c r="B335" t="s">
        <v>2477</v>
      </c>
      <c r="C335" t="s">
        <v>1889</v>
      </c>
      <c r="D335">
        <v>6074202300078970</v>
      </c>
      <c r="E335" t="str">
        <f>IF(COUNTIF(Tabela1[codProcesso],Tabela2[[#This Row],[PROCESSO]]),"Está","Não está")</f>
        <v>Está</v>
      </c>
      <c r="F335" s="8" t="s">
        <v>2486</v>
      </c>
      <c r="G335" t="s">
        <v>2083</v>
      </c>
      <c r="H335" t="s">
        <v>2514</v>
      </c>
      <c r="I335" t="s">
        <v>2515</v>
      </c>
      <c r="J335" t="s">
        <v>2489</v>
      </c>
      <c r="K335" s="3">
        <v>46294</v>
      </c>
      <c r="L335" s="5">
        <v>2093832.37</v>
      </c>
      <c r="M335" s="5">
        <v>174486.03</v>
      </c>
      <c r="N335" s="5">
        <v>171907.42</v>
      </c>
      <c r="O335" s="5">
        <v>171907.42</v>
      </c>
      <c r="P335" s="5">
        <v>171907.41</v>
      </c>
      <c r="Q335" s="5">
        <v>171907.42</v>
      </c>
      <c r="R335" s="5">
        <v>171907.42</v>
      </c>
      <c r="S335" s="5">
        <v>171907.42</v>
      </c>
      <c r="T335" s="5">
        <v>171907.42</v>
      </c>
      <c r="U335" s="5">
        <v>171907.42</v>
      </c>
      <c r="V335" s="5">
        <v>171907.41</v>
      </c>
      <c r="W335" s="5">
        <v>182221.87</v>
      </c>
      <c r="X335" s="5">
        <v>182221.87</v>
      </c>
      <c r="Y335" s="5">
        <v>182221.87</v>
      </c>
    </row>
    <row r="336" spans="1:25" x14ac:dyDescent="0.25">
      <c r="A336" t="s">
        <v>1887</v>
      </c>
      <c r="B336" t="s">
        <v>2477</v>
      </c>
      <c r="C336" t="s">
        <v>1889</v>
      </c>
      <c r="D336">
        <v>6074202300078980</v>
      </c>
      <c r="E336" t="str">
        <f>IF(COUNTIF(Tabela1[codProcesso],Tabela2[[#This Row],[PROCESSO]]),"Está","Não está")</f>
        <v>Está</v>
      </c>
      <c r="F336" s="8" t="s">
        <v>2486</v>
      </c>
      <c r="G336" t="s">
        <v>2083</v>
      </c>
      <c r="H336" t="s">
        <v>2516</v>
      </c>
      <c r="I336" t="s">
        <v>2517</v>
      </c>
      <c r="J336" t="s">
        <v>2495</v>
      </c>
      <c r="K336" s="3">
        <v>46294</v>
      </c>
      <c r="L336" s="5">
        <v>1817784</v>
      </c>
      <c r="M336" s="5">
        <v>151482</v>
      </c>
      <c r="N336" s="5">
        <v>149243.35</v>
      </c>
      <c r="O336" s="5">
        <v>149243.35</v>
      </c>
      <c r="P336" s="5">
        <v>149243.35</v>
      </c>
      <c r="Q336" s="5">
        <v>149243.35</v>
      </c>
      <c r="R336" s="5">
        <v>149243.35</v>
      </c>
      <c r="S336" s="5">
        <v>149243.35</v>
      </c>
      <c r="T336" s="5">
        <v>149243.35</v>
      </c>
      <c r="U336" s="5">
        <v>149243.35</v>
      </c>
      <c r="V336" s="5">
        <v>149243.35</v>
      </c>
      <c r="W336" s="5">
        <v>158197.95000000001</v>
      </c>
      <c r="X336" s="5">
        <v>158197.95000000001</v>
      </c>
      <c r="Y336" s="5">
        <v>158197.95000000001</v>
      </c>
    </row>
    <row r="337" spans="1:25" x14ac:dyDescent="0.25">
      <c r="A337" t="s">
        <v>1887</v>
      </c>
      <c r="B337" t="s">
        <v>2477</v>
      </c>
      <c r="C337" t="s">
        <v>1889</v>
      </c>
      <c r="D337">
        <v>6074202300078990</v>
      </c>
      <c r="E337" t="str">
        <f>IF(COUNTIF(Tabela1[codProcesso],Tabela2[[#This Row],[PROCESSO]]),"Está","Não está")</f>
        <v>Está</v>
      </c>
      <c r="F337" s="8" t="s">
        <v>2486</v>
      </c>
      <c r="G337" t="s">
        <v>2083</v>
      </c>
      <c r="H337" t="s">
        <v>2518</v>
      </c>
      <c r="I337" t="s">
        <v>2519</v>
      </c>
      <c r="J337" t="s">
        <v>2495</v>
      </c>
      <c r="K337" s="3">
        <v>46294</v>
      </c>
      <c r="L337" s="5">
        <v>1989522.02</v>
      </c>
      <c r="M337" s="5">
        <v>165793.5</v>
      </c>
      <c r="N337" s="5">
        <v>163343.35</v>
      </c>
      <c r="O337" s="5">
        <v>163343.35</v>
      </c>
      <c r="P337" s="5">
        <v>163343.35</v>
      </c>
      <c r="Q337" s="5">
        <v>163343.35999999999</v>
      </c>
      <c r="R337" s="5">
        <v>163343.35999999999</v>
      </c>
      <c r="S337" s="5">
        <v>163343.35</v>
      </c>
      <c r="T337" s="5">
        <v>163343.35</v>
      </c>
      <c r="U337" s="5">
        <v>163343.35</v>
      </c>
      <c r="V337" s="5">
        <v>163343.35</v>
      </c>
      <c r="W337" s="5">
        <v>173143.95</v>
      </c>
      <c r="X337" s="5">
        <v>173143.95</v>
      </c>
      <c r="Y337" s="5">
        <v>173143.95</v>
      </c>
    </row>
    <row r="338" spans="1:25" x14ac:dyDescent="0.25">
      <c r="A338" t="s">
        <v>1887</v>
      </c>
      <c r="B338" t="s">
        <v>2477</v>
      </c>
      <c r="C338" t="s">
        <v>1889</v>
      </c>
      <c r="D338">
        <v>6074202400073980</v>
      </c>
      <c r="E338" t="str">
        <f>IF(COUNTIF(Tabela1[codProcesso],Tabela2[[#This Row],[PROCESSO]]),"Está","Não está")</f>
        <v>Não está</v>
      </c>
      <c r="F338" s="8" t="s">
        <v>2486</v>
      </c>
      <c r="G338" t="s">
        <v>2083</v>
      </c>
      <c r="H338" t="s">
        <v>2520</v>
      </c>
      <c r="I338" t="s">
        <v>2521</v>
      </c>
      <c r="J338" t="s">
        <v>2522</v>
      </c>
      <c r="K338" s="3">
        <v>46843</v>
      </c>
      <c r="L338" s="5">
        <v>442825.56</v>
      </c>
      <c r="M338" s="5">
        <v>36902.129999999997</v>
      </c>
      <c r="N338" s="5">
        <v>36902.129999999997</v>
      </c>
      <c r="O338" s="5">
        <v>36902.129999999997</v>
      </c>
      <c r="P338" s="5">
        <v>36902.129999999997</v>
      </c>
      <c r="Q338" s="5">
        <v>36902.129999999997</v>
      </c>
      <c r="R338" s="5">
        <v>36902.129999999997</v>
      </c>
      <c r="S338" s="5">
        <v>36902.129999999997</v>
      </c>
      <c r="T338" s="5">
        <v>36902.129999999997</v>
      </c>
      <c r="U338" s="5">
        <v>36902.129999999997</v>
      </c>
      <c r="V338" s="5">
        <v>36902.129999999997</v>
      </c>
      <c r="W338" s="5">
        <v>36902.129999999997</v>
      </c>
      <c r="X338" s="5">
        <v>36902.129999999997</v>
      </c>
      <c r="Y338" s="5">
        <v>36902.129999999997</v>
      </c>
    </row>
    <row r="339" spans="1:25" x14ac:dyDescent="0.25">
      <c r="A339" t="s">
        <v>1887</v>
      </c>
      <c r="B339" t="s">
        <v>2477</v>
      </c>
      <c r="C339" t="s">
        <v>1889</v>
      </c>
      <c r="D339">
        <v>6074202400095530</v>
      </c>
      <c r="E339" t="str">
        <f>IF(COUNTIF(Tabela1[codProcesso],Tabela2[[#This Row],[PROCESSO]]),"Está","Não está")</f>
        <v>Não está</v>
      </c>
      <c r="F339" s="8" t="s">
        <v>2486</v>
      </c>
      <c r="G339" t="s">
        <v>2083</v>
      </c>
      <c r="H339" t="s">
        <v>2523</v>
      </c>
      <c r="I339" t="s">
        <v>2524</v>
      </c>
      <c r="J339" t="s">
        <v>2525</v>
      </c>
      <c r="K339" s="3">
        <v>45993</v>
      </c>
      <c r="L339" s="5">
        <v>564492.36</v>
      </c>
      <c r="M339" s="5">
        <v>47041.03</v>
      </c>
      <c r="N339" s="5">
        <v>47041.03</v>
      </c>
      <c r="O339" s="5">
        <v>47041.03</v>
      </c>
      <c r="P339" s="5">
        <v>47041.03</v>
      </c>
      <c r="Q339" s="5">
        <v>47041.03</v>
      </c>
      <c r="R339" s="5">
        <v>47041.03</v>
      </c>
      <c r="S339" s="5">
        <v>47041.03</v>
      </c>
      <c r="T339" s="5">
        <v>47041.03</v>
      </c>
      <c r="U339" s="5">
        <v>47041.03</v>
      </c>
      <c r="V339" s="5">
        <v>47041.03</v>
      </c>
      <c r="W339" s="5">
        <v>47041.03</v>
      </c>
      <c r="X339" s="5">
        <v>47041.03</v>
      </c>
      <c r="Y339" s="5">
        <v>47041.03</v>
      </c>
    </row>
    <row r="340" spans="1:25" x14ac:dyDescent="0.25">
      <c r="A340" t="s">
        <v>1887</v>
      </c>
      <c r="B340" t="s">
        <v>2477</v>
      </c>
      <c r="C340" t="s">
        <v>1889</v>
      </c>
      <c r="D340">
        <v>6074202400089750</v>
      </c>
      <c r="E340" t="str">
        <f>IF(COUNTIF(Tabela1[codProcesso],Tabela2[[#This Row],[PROCESSO]]),"Está","Não está")</f>
        <v>Não está</v>
      </c>
      <c r="F340" s="8" t="s">
        <v>2486</v>
      </c>
      <c r="G340" t="s">
        <v>2083</v>
      </c>
      <c r="H340" t="s">
        <v>2526</v>
      </c>
      <c r="I340" t="s">
        <v>2527</v>
      </c>
      <c r="J340" t="s">
        <v>2528</v>
      </c>
      <c r="K340" s="3">
        <v>47239</v>
      </c>
      <c r="L340" s="5">
        <v>526183.19999999995</v>
      </c>
      <c r="M340" s="5">
        <v>43848.6</v>
      </c>
      <c r="N340" s="5">
        <v>43848.6</v>
      </c>
      <c r="O340" s="5">
        <v>43848.6</v>
      </c>
      <c r="P340" s="5">
        <v>43848.6</v>
      </c>
      <c r="Q340" s="5">
        <v>43848.6</v>
      </c>
      <c r="R340" s="5">
        <v>43848.6</v>
      </c>
      <c r="S340" s="5">
        <v>43848.6</v>
      </c>
      <c r="T340" s="5">
        <v>43848.6</v>
      </c>
      <c r="U340" s="5">
        <v>43848.6</v>
      </c>
      <c r="V340" s="5">
        <v>43848.6</v>
      </c>
      <c r="W340" s="5">
        <v>43848.6</v>
      </c>
      <c r="X340" s="5">
        <v>43848.6</v>
      </c>
      <c r="Y340" s="5">
        <v>43848.6</v>
      </c>
    </row>
    <row r="341" spans="1:25" x14ac:dyDescent="0.25">
      <c r="A341" t="s">
        <v>1887</v>
      </c>
      <c r="B341" t="s">
        <v>2477</v>
      </c>
      <c r="C341" t="s">
        <v>1889</v>
      </c>
      <c r="D341">
        <v>6074202400063000</v>
      </c>
      <c r="E341" t="str">
        <f>IF(COUNTIF(Tabela1[codProcesso],Tabela2[[#This Row],[PROCESSO]]),"Está","Não está")</f>
        <v>Não está</v>
      </c>
      <c r="F341" s="8" t="s">
        <v>2486</v>
      </c>
      <c r="G341" t="s">
        <v>2083</v>
      </c>
      <c r="H341" t="s">
        <v>2529</v>
      </c>
      <c r="I341" t="s">
        <v>2530</v>
      </c>
      <c r="J341" t="s">
        <v>2531</v>
      </c>
      <c r="K341" s="3">
        <v>46185</v>
      </c>
      <c r="L341" s="5">
        <v>625891.24</v>
      </c>
      <c r="M341" s="5">
        <v>52157.599999999999</v>
      </c>
      <c r="N341" s="5">
        <v>50638.44</v>
      </c>
      <c r="O341" s="5">
        <v>50638.46</v>
      </c>
      <c r="P341" s="5">
        <v>50638.46</v>
      </c>
      <c r="Q341" s="5">
        <v>50638.46</v>
      </c>
      <c r="R341" s="5">
        <v>50638.46</v>
      </c>
      <c r="S341" s="5">
        <v>50638.46</v>
      </c>
      <c r="T341" s="5">
        <v>53676.75</v>
      </c>
      <c r="U341" s="5">
        <v>53676.75</v>
      </c>
      <c r="V341" s="5">
        <v>53676.75</v>
      </c>
      <c r="W341" s="5">
        <v>53676.75</v>
      </c>
      <c r="X341" s="5">
        <v>53676.75</v>
      </c>
      <c r="Y341" s="5">
        <v>53676.75</v>
      </c>
    </row>
    <row r="342" spans="1:25" x14ac:dyDescent="0.25">
      <c r="A342" t="s">
        <v>1887</v>
      </c>
      <c r="B342" t="s">
        <v>2477</v>
      </c>
      <c r="C342" t="s">
        <v>1889</v>
      </c>
      <c r="D342">
        <v>6074202400102230</v>
      </c>
      <c r="E342" t="str">
        <f>IF(COUNTIF(Tabela1[codProcesso],Tabela2[[#This Row],[PROCESSO]]),"Está","Não está")</f>
        <v>Não está</v>
      </c>
      <c r="F342" s="8" t="s">
        <v>2486</v>
      </c>
      <c r="G342" t="s">
        <v>2083</v>
      </c>
      <c r="H342" t="s">
        <v>2532</v>
      </c>
      <c r="I342" t="s">
        <v>2533</v>
      </c>
      <c r="J342" t="s">
        <v>2525</v>
      </c>
      <c r="K342" s="3">
        <v>47284</v>
      </c>
      <c r="L342" s="5">
        <v>504570.48</v>
      </c>
      <c r="M342" s="5">
        <v>42047.54</v>
      </c>
      <c r="N342" s="5">
        <v>42047.54</v>
      </c>
      <c r="O342" s="5">
        <v>42047.54</v>
      </c>
      <c r="P342" s="5">
        <v>42047.54</v>
      </c>
      <c r="Q342" s="5">
        <v>42047.54</v>
      </c>
      <c r="R342" s="5">
        <v>42047.54</v>
      </c>
      <c r="S342" s="5">
        <v>42047.54</v>
      </c>
      <c r="T342" s="5">
        <v>42047.54</v>
      </c>
      <c r="U342" s="5">
        <v>42047.54</v>
      </c>
      <c r="V342" s="5">
        <v>42047.54</v>
      </c>
      <c r="W342" s="5">
        <v>42047.54</v>
      </c>
      <c r="X342" s="5">
        <v>42047.54</v>
      </c>
      <c r="Y342" s="5">
        <v>42047.54</v>
      </c>
    </row>
    <row r="343" spans="1:25" x14ac:dyDescent="0.25">
      <c r="A343" t="s">
        <v>1887</v>
      </c>
      <c r="B343" t="s">
        <v>2477</v>
      </c>
      <c r="C343" t="s">
        <v>1889</v>
      </c>
      <c r="D343">
        <v>6074202400095510</v>
      </c>
      <c r="E343" t="str">
        <f>IF(COUNTIF(Tabela1[codProcesso],Tabela2[[#This Row],[PROCESSO]]),"Está","Não está")</f>
        <v>Não está</v>
      </c>
      <c r="F343" s="8" t="s">
        <v>2486</v>
      </c>
      <c r="G343" t="s">
        <v>2083</v>
      </c>
      <c r="H343" t="s">
        <v>2534</v>
      </c>
      <c r="I343" t="s">
        <v>2535</v>
      </c>
      <c r="J343" t="s">
        <v>2536</v>
      </c>
      <c r="K343" s="3">
        <v>46904</v>
      </c>
      <c r="L343" s="5">
        <v>517105.32</v>
      </c>
      <c r="M343" s="5">
        <v>43092.11</v>
      </c>
      <c r="N343" s="5">
        <v>43092.11</v>
      </c>
      <c r="O343" s="5">
        <v>43092.11</v>
      </c>
      <c r="P343" s="5">
        <v>43092.11</v>
      </c>
      <c r="Q343" s="5">
        <v>43092.11</v>
      </c>
      <c r="R343" s="5">
        <v>43092.11</v>
      </c>
      <c r="S343" s="5">
        <v>43092.11</v>
      </c>
      <c r="T343" s="5">
        <v>43092.11</v>
      </c>
      <c r="U343" s="5">
        <v>43092.11</v>
      </c>
      <c r="V343" s="5">
        <v>43092.11</v>
      </c>
      <c r="W343" s="5">
        <v>43092.11</v>
      </c>
      <c r="X343" s="5">
        <v>43092.11</v>
      </c>
      <c r="Y343" s="5">
        <v>43092.11</v>
      </c>
    </row>
    <row r="344" spans="1:25" x14ac:dyDescent="0.25">
      <c r="A344" t="s">
        <v>1887</v>
      </c>
      <c r="B344" t="s">
        <v>2477</v>
      </c>
      <c r="C344" t="s">
        <v>1889</v>
      </c>
      <c r="D344">
        <v>6074202400102280</v>
      </c>
      <c r="E344" t="str">
        <f>IF(COUNTIF(Tabela1[codProcesso],Tabela2[[#This Row],[PROCESSO]]),"Está","Não está")</f>
        <v>Não está</v>
      </c>
      <c r="F344" s="8" t="s">
        <v>2486</v>
      </c>
      <c r="G344" t="s">
        <v>2083</v>
      </c>
      <c r="H344" t="s">
        <v>2537</v>
      </c>
      <c r="I344" t="s">
        <v>2538</v>
      </c>
      <c r="J344" t="s">
        <v>2539</v>
      </c>
      <c r="K344" s="3">
        <v>46934</v>
      </c>
      <c r="L344" s="5">
        <v>535867.92000000004</v>
      </c>
      <c r="M344" s="5">
        <v>44655.66</v>
      </c>
      <c r="N344" s="5">
        <v>44655.66</v>
      </c>
      <c r="O344" s="5">
        <v>44655.66</v>
      </c>
      <c r="P344" s="5">
        <v>44655.66</v>
      </c>
      <c r="Q344" s="5">
        <v>44655.66</v>
      </c>
      <c r="R344" s="5">
        <v>44655.66</v>
      </c>
      <c r="S344" s="5">
        <v>44655.66</v>
      </c>
      <c r="T344" s="5">
        <v>44655.66</v>
      </c>
      <c r="U344" s="5">
        <v>44655.66</v>
      </c>
      <c r="V344" s="5">
        <v>44655.66</v>
      </c>
      <c r="W344" s="5">
        <v>44655.66</v>
      </c>
      <c r="X344" s="5">
        <v>44655.66</v>
      </c>
      <c r="Y344" s="5">
        <v>44655.66</v>
      </c>
    </row>
    <row r="345" spans="1:25" x14ac:dyDescent="0.25">
      <c r="A345" t="s">
        <v>1887</v>
      </c>
      <c r="B345" t="s">
        <v>2477</v>
      </c>
      <c r="C345" t="s">
        <v>1889</v>
      </c>
      <c r="D345">
        <v>6074202400095440</v>
      </c>
      <c r="E345" t="str">
        <f>IF(COUNTIF(Tabela1[codProcesso],Tabela2[[#This Row],[PROCESSO]]),"Está","Não está")</f>
        <v>Não está</v>
      </c>
      <c r="F345" s="8" t="s">
        <v>2486</v>
      </c>
      <c r="G345" t="s">
        <v>2083</v>
      </c>
      <c r="H345" t="s">
        <v>2540</v>
      </c>
      <c r="I345" t="s">
        <v>2541</v>
      </c>
      <c r="J345" t="s">
        <v>2495</v>
      </c>
      <c r="K345" s="3">
        <v>46336</v>
      </c>
      <c r="L345" s="5">
        <v>461831.88</v>
      </c>
      <c r="M345" s="5">
        <v>38485.99</v>
      </c>
      <c r="N345" s="5">
        <v>38104.94</v>
      </c>
      <c r="O345" s="5">
        <v>38104.94</v>
      </c>
      <c r="P345" s="5">
        <v>38104.94</v>
      </c>
      <c r="Q345" s="5">
        <v>38104.94</v>
      </c>
      <c r="R345" s="5">
        <v>38104.94</v>
      </c>
      <c r="S345" s="5">
        <v>38104.94</v>
      </c>
      <c r="T345" s="5">
        <v>38104.94</v>
      </c>
      <c r="U345" s="5">
        <v>38104.94</v>
      </c>
      <c r="V345" s="5">
        <v>38104.94</v>
      </c>
      <c r="W345" s="5">
        <v>38104.94</v>
      </c>
      <c r="X345" s="5">
        <v>40391.24</v>
      </c>
      <c r="Y345" s="5">
        <v>40391.24</v>
      </c>
    </row>
    <row r="346" spans="1:25" x14ac:dyDescent="0.25">
      <c r="A346" t="s">
        <v>1887</v>
      </c>
      <c r="B346" t="s">
        <v>2477</v>
      </c>
      <c r="C346" t="s">
        <v>1889</v>
      </c>
      <c r="D346">
        <v>6074202400102310</v>
      </c>
      <c r="E346" t="str">
        <f>IF(COUNTIF(Tabela1[codProcesso],Tabela2[[#This Row],[PROCESSO]]),"Está","Não está")</f>
        <v>Não está</v>
      </c>
      <c r="F346" s="8" t="s">
        <v>2486</v>
      </c>
      <c r="G346" t="s">
        <v>2083</v>
      </c>
      <c r="H346" t="s">
        <v>2542</v>
      </c>
      <c r="I346" t="s">
        <v>2543</v>
      </c>
      <c r="J346" t="s">
        <v>2539</v>
      </c>
      <c r="K346" s="3">
        <v>46934</v>
      </c>
      <c r="L346" s="5">
        <v>613770.36</v>
      </c>
      <c r="M346" s="5">
        <v>51147.53</v>
      </c>
      <c r="N346" s="5">
        <v>51147.53</v>
      </c>
      <c r="O346" s="5">
        <v>51147.53</v>
      </c>
      <c r="P346" s="5">
        <v>51147.53</v>
      </c>
      <c r="Q346" s="5">
        <v>51147.53</v>
      </c>
      <c r="R346" s="5">
        <v>51147.53</v>
      </c>
      <c r="S346" s="5">
        <v>51147.53</v>
      </c>
      <c r="T346" s="5">
        <v>51147.53</v>
      </c>
      <c r="U346" s="5">
        <v>51147.53</v>
      </c>
      <c r="V346" s="5">
        <v>51147.53</v>
      </c>
      <c r="W346" s="5">
        <v>51147.53</v>
      </c>
      <c r="X346" s="5">
        <v>51147.53</v>
      </c>
      <c r="Y346" s="5">
        <v>51147.53</v>
      </c>
    </row>
    <row r="347" spans="1:25" x14ac:dyDescent="0.25">
      <c r="A347" t="s">
        <v>1887</v>
      </c>
      <c r="B347" t="s">
        <v>2477</v>
      </c>
      <c r="C347" t="s">
        <v>1889</v>
      </c>
      <c r="D347">
        <v>6074202400074010</v>
      </c>
      <c r="E347" t="str">
        <f>IF(COUNTIF(Tabela1[codProcesso],Tabela2[[#This Row],[PROCESSO]]),"Está","Não está")</f>
        <v>Não está</v>
      </c>
      <c r="F347" s="8" t="s">
        <v>2486</v>
      </c>
      <c r="G347" t="s">
        <v>2083</v>
      </c>
      <c r="H347" t="s">
        <v>2544</v>
      </c>
      <c r="I347" t="s">
        <v>2545</v>
      </c>
      <c r="J347" t="s">
        <v>2498</v>
      </c>
      <c r="K347" s="3">
        <v>47010</v>
      </c>
      <c r="L347" s="5">
        <v>598404.12</v>
      </c>
      <c r="M347" s="5">
        <v>49867.01</v>
      </c>
      <c r="N347" s="5">
        <v>49867.01</v>
      </c>
      <c r="O347" s="5">
        <v>49867.01</v>
      </c>
      <c r="P347" s="5">
        <v>49867.01</v>
      </c>
      <c r="Q347" s="5">
        <v>49867.01</v>
      </c>
      <c r="R347" s="5">
        <v>49867.01</v>
      </c>
      <c r="S347" s="5">
        <v>49867.01</v>
      </c>
      <c r="T347" s="5">
        <v>49867.01</v>
      </c>
      <c r="U347" s="5">
        <v>49867.01</v>
      </c>
      <c r="V347" s="5">
        <v>49867.01</v>
      </c>
      <c r="W347" s="5">
        <v>49867.01</v>
      </c>
      <c r="X347" s="5">
        <v>49867.01</v>
      </c>
      <c r="Y347" s="5">
        <v>49867.01</v>
      </c>
    </row>
    <row r="348" spans="1:25" x14ac:dyDescent="0.25">
      <c r="A348" t="s">
        <v>1887</v>
      </c>
      <c r="B348" t="s">
        <v>2477</v>
      </c>
      <c r="C348" t="s">
        <v>1889</v>
      </c>
      <c r="D348">
        <v>6074202400089710</v>
      </c>
      <c r="E348" t="str">
        <f>IF(COUNTIF(Tabela1[codProcesso],Tabela2[[#This Row],[PROCESSO]]),"Está","Não está")</f>
        <v>Não está</v>
      </c>
      <c r="F348" s="8" t="s">
        <v>2486</v>
      </c>
      <c r="G348" t="s">
        <v>2083</v>
      </c>
      <c r="H348" t="s">
        <v>2546</v>
      </c>
      <c r="I348" t="s">
        <v>2547</v>
      </c>
      <c r="J348" t="s">
        <v>2528</v>
      </c>
      <c r="K348" s="3">
        <v>47053</v>
      </c>
      <c r="L348" s="5">
        <v>587579.64</v>
      </c>
      <c r="M348" s="5">
        <v>48964.97</v>
      </c>
      <c r="N348" s="5">
        <v>48964.97</v>
      </c>
      <c r="O348" s="5">
        <v>48964.97</v>
      </c>
      <c r="P348" s="5">
        <v>48964.97</v>
      </c>
      <c r="Q348" s="5">
        <v>48964.97</v>
      </c>
      <c r="R348" s="5">
        <v>48964.97</v>
      </c>
      <c r="S348" s="5">
        <v>48964.97</v>
      </c>
      <c r="T348" s="5">
        <v>48964.97</v>
      </c>
      <c r="U348" s="5">
        <v>48964.97</v>
      </c>
      <c r="V348" s="5">
        <v>48964.97</v>
      </c>
      <c r="W348" s="5">
        <v>48964.97</v>
      </c>
      <c r="X348" s="5">
        <v>48964.97</v>
      </c>
      <c r="Y348" s="5">
        <v>48964.97</v>
      </c>
    </row>
    <row r="349" spans="1:25" x14ac:dyDescent="0.25">
      <c r="A349" t="s">
        <v>1887</v>
      </c>
      <c r="B349" t="s">
        <v>2477</v>
      </c>
      <c r="C349" t="s">
        <v>1889</v>
      </c>
      <c r="D349">
        <v>6074202400095470</v>
      </c>
      <c r="E349" t="str">
        <f>IF(COUNTIF(Tabela1[codProcesso],Tabela2[[#This Row],[PROCESSO]]),"Está","Não está")</f>
        <v>Não está</v>
      </c>
      <c r="F349" s="8" t="s">
        <v>2486</v>
      </c>
      <c r="G349" t="s">
        <v>2083</v>
      </c>
      <c r="H349" t="s">
        <v>2548</v>
      </c>
      <c r="I349" t="s">
        <v>2549</v>
      </c>
      <c r="J349" t="s">
        <v>2489</v>
      </c>
      <c r="K349" s="3">
        <v>47069</v>
      </c>
      <c r="L349" s="5">
        <v>727578.72</v>
      </c>
      <c r="M349" s="5">
        <v>60631.56</v>
      </c>
      <c r="N349" s="5">
        <v>60631.56</v>
      </c>
      <c r="O349" s="5">
        <v>60631.56</v>
      </c>
      <c r="P349" s="5">
        <v>60631.56</v>
      </c>
      <c r="Q349" s="5">
        <v>60631.56</v>
      </c>
      <c r="R349" s="5">
        <v>60631.56</v>
      </c>
      <c r="S349" s="5">
        <v>60631.56</v>
      </c>
      <c r="T349" s="5">
        <v>60631.56</v>
      </c>
      <c r="U349" s="5">
        <v>60631.56</v>
      </c>
      <c r="V349" s="5">
        <v>60631.56</v>
      </c>
      <c r="W349" s="5">
        <v>60631.56</v>
      </c>
      <c r="X349" s="5">
        <v>60631.56</v>
      </c>
      <c r="Y349" s="5">
        <v>60631.56</v>
      </c>
    </row>
    <row r="350" spans="1:25" x14ac:dyDescent="0.25">
      <c r="A350" t="s">
        <v>1887</v>
      </c>
      <c r="B350" t="s">
        <v>2477</v>
      </c>
      <c r="C350" t="s">
        <v>1889</v>
      </c>
      <c r="D350">
        <v>6074202400102200</v>
      </c>
      <c r="E350" t="str">
        <f>IF(COUNTIF(Tabela1[codProcesso],Tabela2[[#This Row],[PROCESSO]]),"Está","Não está")</f>
        <v>Não está</v>
      </c>
      <c r="F350" s="8" t="s">
        <v>2486</v>
      </c>
      <c r="G350" t="s">
        <v>2083</v>
      </c>
      <c r="H350" t="s">
        <v>2550</v>
      </c>
      <c r="I350" t="s">
        <v>2551</v>
      </c>
      <c r="J350" t="s">
        <v>2552</v>
      </c>
      <c r="K350" s="3">
        <v>47096</v>
      </c>
      <c r="L350" s="5">
        <v>537264.12</v>
      </c>
      <c r="M350" s="5">
        <v>44772.01</v>
      </c>
      <c r="N350" s="5">
        <v>44772.01</v>
      </c>
      <c r="O350" s="5">
        <v>44772.01</v>
      </c>
      <c r="P350" s="5">
        <v>44772.01</v>
      </c>
      <c r="Q350" s="5">
        <v>44772.01</v>
      </c>
      <c r="R350" s="5">
        <v>44772.01</v>
      </c>
      <c r="S350" s="5">
        <v>44772.01</v>
      </c>
      <c r="T350" s="5">
        <v>44772.01</v>
      </c>
      <c r="U350" s="5">
        <v>44772.01</v>
      </c>
      <c r="V350" s="5">
        <v>44772.01</v>
      </c>
      <c r="W350" s="5">
        <v>44772.01</v>
      </c>
      <c r="X350" s="5">
        <v>44772.01</v>
      </c>
      <c r="Y350" s="5">
        <v>44772.01</v>
      </c>
    </row>
    <row r="351" spans="1:25" x14ac:dyDescent="0.25">
      <c r="A351" t="s">
        <v>1887</v>
      </c>
      <c r="B351" t="s">
        <v>2477</v>
      </c>
      <c r="C351" t="s">
        <v>1889</v>
      </c>
      <c r="D351">
        <v>6074202400084440</v>
      </c>
      <c r="E351" t="str">
        <f>IF(COUNTIF(Tabela1[codProcesso],Tabela2[[#This Row],[PROCESSO]]),"Está","Não está")</f>
        <v>Está</v>
      </c>
      <c r="F351" s="8" t="s">
        <v>2553</v>
      </c>
      <c r="G351" t="s">
        <v>2554</v>
      </c>
      <c r="H351" t="s">
        <v>2555</v>
      </c>
      <c r="I351" t="s">
        <v>2556</v>
      </c>
      <c r="J351" t="s">
        <v>2501</v>
      </c>
      <c r="K351" s="3">
        <v>47383</v>
      </c>
      <c r="L351" s="5">
        <v>1909411.73</v>
      </c>
      <c r="M351" s="5">
        <v>159117.64000000001</v>
      </c>
      <c r="N351" s="5">
        <v>159117.64000000001</v>
      </c>
      <c r="O351" s="5">
        <v>159117.65</v>
      </c>
      <c r="P351" s="5">
        <v>159117.65</v>
      </c>
      <c r="Q351" s="5">
        <v>159117.64000000001</v>
      </c>
      <c r="R351" s="5">
        <v>159117.64000000001</v>
      </c>
      <c r="S351" s="5">
        <v>159117.64000000001</v>
      </c>
      <c r="T351" s="5">
        <v>159117.64000000001</v>
      </c>
      <c r="U351" s="5">
        <v>159117.64000000001</v>
      </c>
      <c r="V351" s="5">
        <v>159117.65</v>
      </c>
      <c r="W351" s="5">
        <v>159117.64000000001</v>
      </c>
      <c r="X351" s="5">
        <v>159117.65</v>
      </c>
      <c r="Y351" s="5">
        <v>159117.65</v>
      </c>
    </row>
    <row r="352" spans="1:25" x14ac:dyDescent="0.25">
      <c r="A352" t="s">
        <v>1887</v>
      </c>
      <c r="B352" t="s">
        <v>2477</v>
      </c>
      <c r="C352" t="s">
        <v>1889</v>
      </c>
      <c r="D352">
        <v>6074202400008320</v>
      </c>
      <c r="E352" t="str">
        <f>IF(COUNTIF(Tabela1[codProcesso],Tabela2[[#This Row],[PROCESSO]]),"Está","Não está")</f>
        <v>Está</v>
      </c>
      <c r="F352" s="8" t="s">
        <v>2557</v>
      </c>
      <c r="G352" t="s">
        <v>2558</v>
      </c>
      <c r="H352" t="s">
        <v>2559</v>
      </c>
      <c r="I352" t="s">
        <v>2560</v>
      </c>
      <c r="J352" t="s">
        <v>2482</v>
      </c>
      <c r="K352" s="3">
        <v>46473</v>
      </c>
      <c r="L352" s="5">
        <v>5538363.0899999999</v>
      </c>
      <c r="M352" s="5">
        <v>461530.26</v>
      </c>
      <c r="N352" s="5">
        <v>448087.62</v>
      </c>
      <c r="O352" s="5">
        <v>448087.63</v>
      </c>
      <c r="P352" s="5">
        <v>448087.63</v>
      </c>
      <c r="Q352" s="5">
        <v>466011.16</v>
      </c>
      <c r="R352" s="5">
        <v>466011.13</v>
      </c>
      <c r="S352" s="5">
        <v>466011.13</v>
      </c>
      <c r="T352" s="5">
        <v>466011.13</v>
      </c>
      <c r="U352" s="5">
        <v>466011.13</v>
      </c>
      <c r="V352" s="5">
        <v>466011.13</v>
      </c>
      <c r="W352" s="5">
        <v>466011.14</v>
      </c>
      <c r="X352" s="5">
        <v>466011.13</v>
      </c>
      <c r="Y352" s="5">
        <v>466011.13</v>
      </c>
    </row>
    <row r="353" spans="1:25" x14ac:dyDescent="0.25">
      <c r="A353" t="s">
        <v>1887</v>
      </c>
      <c r="B353" t="s">
        <v>2477</v>
      </c>
      <c r="C353" t="s">
        <v>1889</v>
      </c>
      <c r="D353">
        <v>6074202400008330</v>
      </c>
      <c r="E353" t="str">
        <f>IF(COUNTIF(Tabela1[codProcesso],Tabela2[[#This Row],[PROCESSO]]),"Está","Não está")</f>
        <v>Está</v>
      </c>
      <c r="F353" s="8" t="s">
        <v>2557</v>
      </c>
      <c r="G353" t="s">
        <v>2558</v>
      </c>
      <c r="H353" t="s">
        <v>2561</v>
      </c>
      <c r="I353" t="s">
        <v>2560</v>
      </c>
      <c r="J353" t="s">
        <v>2562</v>
      </c>
      <c r="K353" s="3">
        <v>46477</v>
      </c>
      <c r="L353" s="5">
        <v>4658664.76</v>
      </c>
      <c r="M353" s="5">
        <v>388222.06</v>
      </c>
      <c r="N353" s="5">
        <v>388222.06</v>
      </c>
      <c r="O353" s="5">
        <v>388222.06</v>
      </c>
      <c r="P353" s="5">
        <v>388222.07</v>
      </c>
      <c r="Q353" s="5">
        <v>388222.07</v>
      </c>
      <c r="R353" s="5">
        <v>388222.07</v>
      </c>
      <c r="S353" s="5">
        <v>388222.07</v>
      </c>
      <c r="T353" s="5">
        <v>388222.06</v>
      </c>
      <c r="U353" s="5">
        <v>388222.06</v>
      </c>
      <c r="V353" s="5">
        <v>388222.06</v>
      </c>
      <c r="W353" s="5">
        <v>388222.06</v>
      </c>
      <c r="X353" s="5">
        <v>388222.06</v>
      </c>
      <c r="Y353" s="5">
        <v>388222.06</v>
      </c>
    </row>
    <row r="354" spans="1:25" x14ac:dyDescent="0.25">
      <c r="A354" t="s">
        <v>1887</v>
      </c>
      <c r="B354" t="s">
        <v>2477</v>
      </c>
      <c r="C354" t="s">
        <v>1889</v>
      </c>
      <c r="D354">
        <v>6074202000060590</v>
      </c>
      <c r="E354" t="str">
        <f>IF(COUNTIF(Tabela1[codProcesso],Tabela2[[#This Row],[PROCESSO]]),"Está","Não está")</f>
        <v>Está</v>
      </c>
      <c r="F354" s="8" t="s">
        <v>2557</v>
      </c>
      <c r="G354" t="s">
        <v>2558</v>
      </c>
      <c r="H354" t="s">
        <v>2563</v>
      </c>
      <c r="I354" t="s">
        <v>2564</v>
      </c>
      <c r="J354" t="s">
        <v>2565</v>
      </c>
      <c r="K354" s="3">
        <v>45884</v>
      </c>
      <c r="L354" s="5">
        <v>698812.8</v>
      </c>
      <c r="M354" s="5">
        <v>58234.400000000001</v>
      </c>
      <c r="N354" s="5">
        <v>58234.400000000001</v>
      </c>
      <c r="O354" s="5">
        <v>58234.400000000001</v>
      </c>
      <c r="P354" s="5">
        <v>58234.400000000001</v>
      </c>
      <c r="Q354" s="5">
        <v>58234.400000000001</v>
      </c>
      <c r="R354" s="5">
        <v>58234.400000000001</v>
      </c>
      <c r="S354" s="5">
        <v>58234.400000000001</v>
      </c>
      <c r="T354" s="5">
        <v>58234.400000000001</v>
      </c>
      <c r="U354" s="5">
        <v>58234.400000000001</v>
      </c>
      <c r="V354" s="5">
        <v>58234.400000000001</v>
      </c>
      <c r="W354" s="5">
        <v>58234.400000000001</v>
      </c>
      <c r="X354" s="5">
        <v>58234.400000000001</v>
      </c>
      <c r="Y354" s="5">
        <v>58234.400000000001</v>
      </c>
    </row>
    <row r="355" spans="1:25" x14ac:dyDescent="0.25">
      <c r="A355" t="s">
        <v>1887</v>
      </c>
      <c r="B355" t="s">
        <v>2477</v>
      </c>
      <c r="C355" t="s">
        <v>1889</v>
      </c>
      <c r="D355">
        <v>6074202000060600</v>
      </c>
      <c r="E355" t="str">
        <f>IF(COUNTIF(Tabela1[codProcesso],Tabela2[[#This Row],[PROCESSO]]),"Está","Não está")</f>
        <v>Está</v>
      </c>
      <c r="F355" s="8" t="s">
        <v>2557</v>
      </c>
      <c r="G355" t="s">
        <v>2558</v>
      </c>
      <c r="H355" t="s">
        <v>2566</v>
      </c>
      <c r="I355" t="s">
        <v>2567</v>
      </c>
      <c r="J355" t="s">
        <v>2568</v>
      </c>
      <c r="K355" s="3">
        <v>45930</v>
      </c>
      <c r="L355" s="5">
        <v>952049.28</v>
      </c>
      <c r="M355" s="5">
        <v>79337.440000000002</v>
      </c>
      <c r="N355" s="5">
        <v>79337.440000000002</v>
      </c>
      <c r="O355" s="5">
        <v>79337.440000000002</v>
      </c>
      <c r="P355" s="5">
        <v>79337.440000000002</v>
      </c>
      <c r="Q355" s="5">
        <v>79337.440000000002</v>
      </c>
      <c r="R355" s="5">
        <v>79337.440000000002</v>
      </c>
      <c r="S355" s="5">
        <v>79337.440000000002</v>
      </c>
      <c r="T355" s="5">
        <v>79337.440000000002</v>
      </c>
      <c r="U355" s="5">
        <v>79337.440000000002</v>
      </c>
      <c r="V355" s="5">
        <v>79337.440000000002</v>
      </c>
      <c r="W355" s="5">
        <v>79337.440000000002</v>
      </c>
      <c r="X355" s="5">
        <v>79337.440000000002</v>
      </c>
      <c r="Y355" s="5">
        <v>79337.440000000002</v>
      </c>
    </row>
    <row r="356" spans="1:25" x14ac:dyDescent="0.25">
      <c r="A356" t="s">
        <v>1887</v>
      </c>
      <c r="B356" t="s">
        <v>2477</v>
      </c>
      <c r="C356" t="s">
        <v>1889</v>
      </c>
      <c r="D356">
        <v>6074202300097670</v>
      </c>
      <c r="E356" t="str">
        <f>IF(COUNTIF(Tabela1[codProcesso],Tabela2[[#This Row],[PROCESSO]]),"Está","Não está")</f>
        <v>Está</v>
      </c>
      <c r="F356" s="8" t="s">
        <v>2569</v>
      </c>
      <c r="G356" t="s">
        <v>2570</v>
      </c>
      <c r="H356" t="s">
        <v>2571</v>
      </c>
      <c r="I356" t="s">
        <v>2572</v>
      </c>
      <c r="J356" t="s">
        <v>2573</v>
      </c>
      <c r="K356" s="3">
        <v>46323</v>
      </c>
      <c r="L356" s="5">
        <v>1962177.43</v>
      </c>
      <c r="M356" s="5">
        <v>163514.79</v>
      </c>
      <c r="N356" s="5">
        <v>161098.31</v>
      </c>
      <c r="O356" s="5">
        <v>161098.31</v>
      </c>
      <c r="P356" s="5">
        <v>161098.31</v>
      </c>
      <c r="Q356" s="5">
        <v>161098.31</v>
      </c>
      <c r="R356" s="5">
        <v>161098.31</v>
      </c>
      <c r="S356" s="5">
        <v>161098.31</v>
      </c>
      <c r="T356" s="5">
        <v>161098.31</v>
      </c>
      <c r="U356" s="5">
        <v>161098.31</v>
      </c>
      <c r="V356" s="5">
        <v>161098.32</v>
      </c>
      <c r="W356" s="5">
        <v>170764.21</v>
      </c>
      <c r="X356" s="5">
        <v>170764.21</v>
      </c>
      <c r="Y356" s="5">
        <v>170764.21</v>
      </c>
    </row>
    <row r="357" spans="1:25" x14ac:dyDescent="0.25">
      <c r="A357" t="s">
        <v>1887</v>
      </c>
      <c r="B357" t="s">
        <v>2477</v>
      </c>
      <c r="C357" t="s">
        <v>1889</v>
      </c>
      <c r="D357">
        <v>6074202300097680</v>
      </c>
      <c r="E357" t="str">
        <f>IF(COUNTIF(Tabela1[codProcesso],Tabela2[[#This Row],[PROCESSO]]),"Está","Não está")</f>
        <v>Está</v>
      </c>
      <c r="F357" s="8" t="s">
        <v>2569</v>
      </c>
      <c r="G357" t="s">
        <v>2570</v>
      </c>
      <c r="H357" t="s">
        <v>2574</v>
      </c>
      <c r="I357" t="s">
        <v>2575</v>
      </c>
      <c r="J357" t="s">
        <v>2576</v>
      </c>
      <c r="K357" s="3">
        <v>46323</v>
      </c>
      <c r="L357" s="5">
        <v>2419584.6800000002</v>
      </c>
      <c r="M357" s="5">
        <v>201632.06</v>
      </c>
      <c r="N357" s="5">
        <v>199635.7</v>
      </c>
      <c r="O357" s="5">
        <v>199635.7</v>
      </c>
      <c r="P357" s="5">
        <v>199635.7</v>
      </c>
      <c r="Q357" s="5">
        <v>199635.7</v>
      </c>
      <c r="R357" s="5">
        <v>199635.7</v>
      </c>
      <c r="S357" s="5">
        <v>199635.7</v>
      </c>
      <c r="T357" s="5">
        <v>199635.7</v>
      </c>
      <c r="U357" s="5">
        <v>199635.7</v>
      </c>
      <c r="V357" s="5">
        <v>199635.7</v>
      </c>
      <c r="W357" s="5">
        <v>199635.7</v>
      </c>
      <c r="X357" s="5">
        <v>211613.84</v>
      </c>
      <c r="Y357" s="5">
        <v>211613.84</v>
      </c>
    </row>
    <row r="358" spans="1:25" x14ac:dyDescent="0.25">
      <c r="A358" t="s">
        <v>1887</v>
      </c>
      <c r="B358" t="s">
        <v>2477</v>
      </c>
      <c r="C358" t="s">
        <v>1889</v>
      </c>
      <c r="D358">
        <v>6074202300097690</v>
      </c>
      <c r="E358" t="str">
        <f>IF(COUNTIF(Tabela1[codProcesso],Tabela2[[#This Row],[PROCESSO]]),"Está","Não está")</f>
        <v>Está</v>
      </c>
      <c r="F358" s="8" t="s">
        <v>2569</v>
      </c>
      <c r="G358" t="s">
        <v>2570</v>
      </c>
      <c r="H358" t="s">
        <v>2577</v>
      </c>
      <c r="I358" t="s">
        <v>2578</v>
      </c>
      <c r="J358" t="s">
        <v>2579</v>
      </c>
      <c r="K358" s="3">
        <v>46323</v>
      </c>
      <c r="L358" s="5">
        <v>2419584.6800000002</v>
      </c>
      <c r="M358" s="5">
        <v>201632.06</v>
      </c>
      <c r="N358" s="5">
        <v>199635.7</v>
      </c>
      <c r="O358" s="5">
        <v>199635.7</v>
      </c>
      <c r="P358" s="5">
        <v>199635.7</v>
      </c>
      <c r="Q358" s="5">
        <v>199635.7</v>
      </c>
      <c r="R358" s="5">
        <v>199635.7</v>
      </c>
      <c r="S358" s="5">
        <v>199635.7</v>
      </c>
      <c r="T358" s="5">
        <v>199635.7</v>
      </c>
      <c r="U358" s="5">
        <v>199635.7</v>
      </c>
      <c r="V358" s="5">
        <v>199635.7</v>
      </c>
      <c r="W358" s="5">
        <v>199635.7</v>
      </c>
      <c r="X358" s="5">
        <v>211613.84</v>
      </c>
      <c r="Y358" s="5">
        <v>211613.84</v>
      </c>
    </row>
    <row r="359" spans="1:25" hidden="1" x14ac:dyDescent="0.25">
      <c r="A359" t="s">
        <v>2611</v>
      </c>
      <c r="B359" t="s">
        <v>2477</v>
      </c>
      <c r="C359" t="s">
        <v>1889</v>
      </c>
      <c r="D359">
        <v>6074202300116570</v>
      </c>
      <c r="E359" t="str">
        <f>IF(COUNTIF(Tabela1[codProcesso],Tabela2[[#This Row],[PROCESSO]]),"Está","Não está")</f>
        <v>Não está</v>
      </c>
      <c r="F359" s="8" t="s">
        <v>2612</v>
      </c>
      <c r="G359" t="s">
        <v>2428</v>
      </c>
      <c r="H359" t="s">
        <v>2613</v>
      </c>
      <c r="I359" t="s">
        <v>2614</v>
      </c>
      <c r="J359" t="s">
        <v>2615</v>
      </c>
      <c r="K359" s="3">
        <v>47082</v>
      </c>
      <c r="L359" s="5">
        <v>38820625.079999998</v>
      </c>
      <c r="M359" s="5">
        <v>3235052.09</v>
      </c>
      <c r="N359" s="5">
        <v>3235052.09</v>
      </c>
      <c r="O359" s="5">
        <v>3235052.09</v>
      </c>
      <c r="P359" s="5">
        <v>3235052.09</v>
      </c>
      <c r="Q359" s="5">
        <v>3235052.09</v>
      </c>
      <c r="R359" s="5">
        <v>3235052.09</v>
      </c>
      <c r="S359" s="5">
        <v>3235052.09</v>
      </c>
      <c r="T359" s="5">
        <v>3235052.09</v>
      </c>
      <c r="U359" s="5">
        <v>3235052.09</v>
      </c>
      <c r="V359" s="5">
        <v>3235052.09</v>
      </c>
      <c r="W359" s="5">
        <v>3235052.09</v>
      </c>
      <c r="X359" s="5">
        <v>3235052.09</v>
      </c>
      <c r="Y359" s="5">
        <v>3235052.09</v>
      </c>
    </row>
    <row r="360" spans="1:25" hidden="1" x14ac:dyDescent="0.25">
      <c r="A360" t="s">
        <v>2611</v>
      </c>
      <c r="B360" t="s">
        <v>2477</v>
      </c>
      <c r="C360" t="s">
        <v>1889</v>
      </c>
      <c r="D360">
        <v>6074202200088130</v>
      </c>
      <c r="E360" t="str">
        <f>IF(COUNTIF(Tabela1[codProcesso],Tabela2[[#This Row],[PROCESSO]]),"Está","Não está")</f>
        <v>Não está</v>
      </c>
      <c r="F360" s="8" t="s">
        <v>2616</v>
      </c>
      <c r="G360" t="s">
        <v>2617</v>
      </c>
      <c r="H360" t="s">
        <v>2618</v>
      </c>
      <c r="I360" t="s">
        <v>3147</v>
      </c>
      <c r="J360" t="s">
        <v>2619</v>
      </c>
      <c r="K360" s="3">
        <v>45838</v>
      </c>
      <c r="L360" s="5">
        <v>1746315.84</v>
      </c>
      <c r="M360" s="5">
        <v>145526.32</v>
      </c>
      <c r="N360" s="5">
        <v>145526.32</v>
      </c>
      <c r="O360" s="5">
        <v>145526.32</v>
      </c>
      <c r="P360" s="5">
        <v>145526.32</v>
      </c>
      <c r="Q360" s="5">
        <v>145526.32</v>
      </c>
      <c r="R360" s="5">
        <v>145526.32</v>
      </c>
      <c r="S360" s="5">
        <v>145526.32</v>
      </c>
      <c r="T360" s="5">
        <v>145526.32</v>
      </c>
      <c r="U360" s="5">
        <v>145526.32</v>
      </c>
      <c r="V360" s="5">
        <v>145526.32</v>
      </c>
      <c r="W360" s="5">
        <v>145526.32</v>
      </c>
      <c r="X360" s="5">
        <v>145526.32</v>
      </c>
      <c r="Y360" s="5">
        <v>145526.32</v>
      </c>
    </row>
    <row r="361" spans="1:25" hidden="1" x14ac:dyDescent="0.25">
      <c r="A361" t="s">
        <v>2611</v>
      </c>
      <c r="B361" t="s">
        <v>2477</v>
      </c>
      <c r="C361" t="s">
        <v>1889</v>
      </c>
      <c r="D361">
        <v>6074202400099050</v>
      </c>
      <c r="E361" t="str">
        <f>IF(COUNTIF(Tabela1[codProcesso],Tabela2[[#This Row],[PROCESSO]]),"Está","Não está")</f>
        <v>Não está</v>
      </c>
      <c r="F361" s="8" t="s">
        <v>2616</v>
      </c>
      <c r="G361" t="s">
        <v>2617</v>
      </c>
      <c r="H361" t="s">
        <v>2620</v>
      </c>
      <c r="I361" t="s">
        <v>3148</v>
      </c>
      <c r="J361" t="s">
        <v>2621</v>
      </c>
      <c r="K361" s="3">
        <v>45929</v>
      </c>
      <c r="L361" s="5">
        <v>781008</v>
      </c>
      <c r="M361" s="5">
        <v>65084</v>
      </c>
      <c r="N361" s="5">
        <v>65084</v>
      </c>
      <c r="O361" s="5">
        <v>65084</v>
      </c>
      <c r="P361" s="5">
        <v>65084</v>
      </c>
      <c r="Q361" s="5">
        <v>65084</v>
      </c>
      <c r="R361" s="5">
        <v>65084</v>
      </c>
      <c r="S361" s="5">
        <v>65084</v>
      </c>
      <c r="T361" s="5">
        <v>65084</v>
      </c>
      <c r="U361" s="5">
        <v>65084</v>
      </c>
      <c r="V361" s="5">
        <v>65084</v>
      </c>
      <c r="W361" s="5">
        <v>65084</v>
      </c>
      <c r="X361" s="5">
        <v>65084</v>
      </c>
      <c r="Y361" s="5">
        <v>65084</v>
      </c>
    </row>
    <row r="362" spans="1:25" hidden="1" x14ac:dyDescent="0.25">
      <c r="A362" t="s">
        <v>2611</v>
      </c>
      <c r="B362" t="s">
        <v>2477</v>
      </c>
      <c r="C362" t="s">
        <v>1889</v>
      </c>
      <c r="D362">
        <v>6074202400104550</v>
      </c>
      <c r="E362" t="str">
        <f>IF(COUNTIF(Tabela1[codProcesso],Tabela2[[#This Row],[PROCESSO]]),"Está","Não está")</f>
        <v>Não está</v>
      </c>
      <c r="F362" s="8" t="s">
        <v>2616</v>
      </c>
      <c r="G362" t="s">
        <v>2617</v>
      </c>
      <c r="H362" t="s">
        <v>2622</v>
      </c>
      <c r="I362" t="s">
        <v>3149</v>
      </c>
      <c r="J362" t="s">
        <v>2623</v>
      </c>
      <c r="K362" s="3">
        <v>45868</v>
      </c>
      <c r="L362" s="5">
        <v>1619219.64</v>
      </c>
      <c r="M362" s="5">
        <v>134934.97</v>
      </c>
      <c r="N362" s="5">
        <v>134934.97</v>
      </c>
      <c r="O362" s="5">
        <v>134934.97</v>
      </c>
      <c r="P362" s="5">
        <v>134934.97</v>
      </c>
      <c r="Q362" s="5">
        <v>134934.97</v>
      </c>
      <c r="R362" s="5">
        <v>134934.97</v>
      </c>
      <c r="S362" s="5">
        <v>134934.97</v>
      </c>
      <c r="T362" s="5">
        <v>134934.97</v>
      </c>
      <c r="U362" s="5">
        <v>134934.97</v>
      </c>
      <c r="V362" s="5">
        <v>134934.97</v>
      </c>
      <c r="W362" s="5">
        <v>134934.97</v>
      </c>
      <c r="X362" s="5">
        <v>134934.97</v>
      </c>
      <c r="Y362" s="5">
        <v>134934.97</v>
      </c>
    </row>
    <row r="363" spans="1:25" hidden="1" x14ac:dyDescent="0.25">
      <c r="A363" t="s">
        <v>2611</v>
      </c>
      <c r="B363" t="s">
        <v>2477</v>
      </c>
      <c r="C363" t="s">
        <v>1889</v>
      </c>
      <c r="D363">
        <v>6074202200088160</v>
      </c>
      <c r="E363" t="str">
        <f>IF(COUNTIF(Tabela1[codProcesso],Tabela2[[#This Row],[PROCESSO]]),"Está","Não está")</f>
        <v>Não está</v>
      </c>
      <c r="F363" s="8" t="s">
        <v>2616</v>
      </c>
      <c r="G363" t="s">
        <v>2617</v>
      </c>
      <c r="H363" t="s">
        <v>2624</v>
      </c>
      <c r="I363" t="s">
        <v>3150</v>
      </c>
      <c r="J363" t="s">
        <v>2619</v>
      </c>
      <c r="K363" s="3">
        <v>45838</v>
      </c>
      <c r="L363" s="5">
        <v>1703030.16</v>
      </c>
      <c r="M363" s="5">
        <v>141919.18</v>
      </c>
      <c r="N363" s="5">
        <v>141919.18</v>
      </c>
      <c r="O363" s="5">
        <v>141919.18</v>
      </c>
      <c r="P363" s="5">
        <v>141919.18</v>
      </c>
      <c r="Q363" s="5">
        <v>141919.18</v>
      </c>
      <c r="R363" s="5">
        <v>141919.18</v>
      </c>
      <c r="S363" s="5">
        <v>141919.18</v>
      </c>
      <c r="T363" s="5">
        <v>141919.18</v>
      </c>
      <c r="U363" s="5">
        <v>141919.18</v>
      </c>
      <c r="V363" s="5">
        <v>141919.18</v>
      </c>
      <c r="W363" s="5">
        <v>141919.18</v>
      </c>
      <c r="X363" s="5">
        <v>141919.18</v>
      </c>
      <c r="Y363" s="5">
        <v>141919.18</v>
      </c>
    </row>
    <row r="364" spans="1:25" hidden="1" x14ac:dyDescent="0.25">
      <c r="A364" t="s">
        <v>2611</v>
      </c>
      <c r="B364" t="s">
        <v>2477</v>
      </c>
      <c r="C364" t="s">
        <v>1889</v>
      </c>
      <c r="D364">
        <v>6074202400104570</v>
      </c>
      <c r="E364" t="str">
        <f>IF(COUNTIF(Tabela1[codProcesso],Tabela2[[#This Row],[PROCESSO]]),"Está","Não está")</f>
        <v>Não está</v>
      </c>
      <c r="F364" s="8" t="s">
        <v>2616</v>
      </c>
      <c r="G364" t="s">
        <v>2617</v>
      </c>
      <c r="H364" t="s">
        <v>2625</v>
      </c>
      <c r="I364" t="s">
        <v>3151</v>
      </c>
      <c r="J364" t="s">
        <v>2623</v>
      </c>
      <c r="K364" s="3">
        <v>45715</v>
      </c>
      <c r="L364" s="5">
        <v>657496.80000000005</v>
      </c>
      <c r="M364" s="5">
        <v>54791.4</v>
      </c>
      <c r="N364" s="5">
        <v>54791.4</v>
      </c>
      <c r="O364" s="5">
        <v>54791.4</v>
      </c>
      <c r="P364" s="5">
        <v>54791.4</v>
      </c>
      <c r="Q364" s="5">
        <v>54791.4</v>
      </c>
      <c r="R364" s="5">
        <v>54791.4</v>
      </c>
      <c r="S364" s="5">
        <v>54791.4</v>
      </c>
      <c r="T364" s="5">
        <v>54791.4</v>
      </c>
      <c r="U364" s="5">
        <v>54791.4</v>
      </c>
      <c r="V364" s="5">
        <v>54791.4</v>
      </c>
      <c r="W364" s="5">
        <v>54791.4</v>
      </c>
      <c r="X364" s="5">
        <v>54791.4</v>
      </c>
      <c r="Y364" s="5">
        <v>54791.4</v>
      </c>
    </row>
    <row r="365" spans="1:25" hidden="1" x14ac:dyDescent="0.25">
      <c r="A365" t="s">
        <v>2611</v>
      </c>
      <c r="B365" t="s">
        <v>2477</v>
      </c>
      <c r="C365" t="s">
        <v>1889</v>
      </c>
      <c r="D365">
        <v>6074202400099080</v>
      </c>
      <c r="E365" t="str">
        <f>IF(COUNTIF(Tabela1[codProcesso],Tabela2[[#This Row],[PROCESSO]]),"Está","Não está")</f>
        <v>Não está</v>
      </c>
      <c r="F365" s="8" t="s">
        <v>2616</v>
      </c>
      <c r="G365" t="s">
        <v>2617</v>
      </c>
      <c r="H365" t="s">
        <v>2626</v>
      </c>
      <c r="I365" t="s">
        <v>3152</v>
      </c>
      <c r="J365" t="s">
        <v>2627</v>
      </c>
      <c r="K365" s="3">
        <v>45973</v>
      </c>
      <c r="L365" s="5">
        <v>637208.4</v>
      </c>
      <c r="M365" s="5">
        <v>53100.7</v>
      </c>
      <c r="N365" s="5">
        <v>53100.7</v>
      </c>
      <c r="O365" s="5">
        <v>53100.7</v>
      </c>
      <c r="P365" s="5">
        <v>53100.7</v>
      </c>
      <c r="Q365" s="5">
        <v>53100.7</v>
      </c>
      <c r="R365" s="5">
        <v>53100.7</v>
      </c>
      <c r="S365" s="5">
        <v>53100.7</v>
      </c>
      <c r="T365" s="5">
        <v>53100.7</v>
      </c>
      <c r="U365" s="5">
        <v>53100.7</v>
      </c>
      <c r="V365" s="5">
        <v>53100.7</v>
      </c>
      <c r="W365" s="5">
        <v>53100.7</v>
      </c>
      <c r="X365" s="5">
        <v>53100.7</v>
      </c>
      <c r="Y365" s="5">
        <v>53100.7</v>
      </c>
    </row>
    <row r="366" spans="1:25" hidden="1" x14ac:dyDescent="0.25">
      <c r="A366" t="s">
        <v>2611</v>
      </c>
      <c r="B366" t="s">
        <v>2477</v>
      </c>
      <c r="C366" t="s">
        <v>1889</v>
      </c>
      <c r="D366">
        <v>6074202300112910</v>
      </c>
      <c r="E366" t="str">
        <f>IF(COUNTIF(Tabela1[codProcesso],Tabela2[[#This Row],[PROCESSO]]),"Está","Não está")</f>
        <v>Não está</v>
      </c>
      <c r="F366" s="8" t="s">
        <v>2616</v>
      </c>
      <c r="G366" t="s">
        <v>2428</v>
      </c>
      <c r="H366" t="s">
        <v>2628</v>
      </c>
      <c r="I366" t="s">
        <v>2629</v>
      </c>
      <c r="J366" t="s">
        <v>2630</v>
      </c>
      <c r="K366" s="3">
        <v>46087</v>
      </c>
      <c r="L366" s="5">
        <v>2762321.3</v>
      </c>
      <c r="M366" s="5">
        <v>230193.44</v>
      </c>
      <c r="N366" s="5">
        <v>219231.85</v>
      </c>
      <c r="O366" s="5">
        <v>219231.85</v>
      </c>
      <c r="P366" s="5">
        <v>232385.76</v>
      </c>
      <c r="Q366" s="5">
        <v>232385.76</v>
      </c>
      <c r="R366" s="5">
        <v>232385.76</v>
      </c>
      <c r="S366" s="5">
        <v>232385.76</v>
      </c>
      <c r="T366" s="5">
        <v>232385.76</v>
      </c>
      <c r="U366" s="5">
        <v>232385.76</v>
      </c>
      <c r="V366" s="5">
        <v>232385.76</v>
      </c>
      <c r="W366" s="5">
        <v>232385.76</v>
      </c>
      <c r="X366" s="5">
        <v>232385.76</v>
      </c>
      <c r="Y366" s="5">
        <v>232385.76</v>
      </c>
    </row>
    <row r="367" spans="1:25" hidden="1" x14ac:dyDescent="0.25">
      <c r="A367" t="s">
        <v>2611</v>
      </c>
      <c r="B367" t="s">
        <v>2477</v>
      </c>
      <c r="C367" t="s">
        <v>1889</v>
      </c>
      <c r="D367">
        <v>6074202300113000</v>
      </c>
      <c r="E367" t="str">
        <f>IF(COUNTIF(Tabela1[codProcesso],Tabela2[[#This Row],[PROCESSO]]),"Está","Não está")</f>
        <v>Não está</v>
      </c>
      <c r="F367" s="8" t="s">
        <v>2616</v>
      </c>
      <c r="G367" t="s">
        <v>2428</v>
      </c>
      <c r="H367" t="s">
        <v>2631</v>
      </c>
      <c r="I367" t="s">
        <v>2632</v>
      </c>
      <c r="J367" t="s">
        <v>2633</v>
      </c>
      <c r="K367" s="3">
        <v>46074</v>
      </c>
      <c r="L367" s="5">
        <v>2775475.21</v>
      </c>
      <c r="M367" s="5">
        <v>231289.60000000001</v>
      </c>
      <c r="N367" s="5">
        <v>219231.85</v>
      </c>
      <c r="O367" s="5">
        <v>232385.76</v>
      </c>
      <c r="P367" s="5">
        <v>232385.76</v>
      </c>
      <c r="Q367" s="5">
        <v>232385.76</v>
      </c>
      <c r="R367" s="5">
        <v>232385.76</v>
      </c>
      <c r="S367" s="5">
        <v>232385.76</v>
      </c>
      <c r="T367" s="5">
        <v>232385.76</v>
      </c>
      <c r="U367" s="5">
        <v>232385.76</v>
      </c>
      <c r="V367" s="5">
        <v>232385.76</v>
      </c>
      <c r="W367" s="5">
        <v>232385.76</v>
      </c>
      <c r="X367" s="5">
        <v>232385.76</v>
      </c>
      <c r="Y367" s="5">
        <v>232385.76</v>
      </c>
    </row>
    <row r="368" spans="1:25" hidden="1" x14ac:dyDescent="0.25">
      <c r="A368" t="s">
        <v>2611</v>
      </c>
      <c r="B368" t="s">
        <v>2477</v>
      </c>
      <c r="C368" t="s">
        <v>1889</v>
      </c>
      <c r="D368">
        <v>6074202300113020</v>
      </c>
      <c r="E368" t="str">
        <f>IF(COUNTIF(Tabela1[codProcesso],Tabela2[[#This Row],[PROCESSO]]),"Está","Não está")</f>
        <v>Não está</v>
      </c>
      <c r="F368" s="8" t="s">
        <v>2616</v>
      </c>
      <c r="G368" t="s">
        <v>2428</v>
      </c>
      <c r="H368" t="s">
        <v>2634</v>
      </c>
      <c r="I368" t="s">
        <v>2635</v>
      </c>
      <c r="J368" t="s">
        <v>2636</v>
      </c>
      <c r="K368" s="3">
        <v>46087</v>
      </c>
      <c r="L368" s="5">
        <v>2762321.3</v>
      </c>
      <c r="M368" s="5">
        <v>230193.44</v>
      </c>
      <c r="N368" s="5">
        <v>219231.85</v>
      </c>
      <c r="O368" s="5">
        <v>219231.85</v>
      </c>
      <c r="P368" s="5">
        <v>232385.76</v>
      </c>
      <c r="Q368" s="5">
        <v>232385.76</v>
      </c>
      <c r="R368" s="5">
        <v>232385.76</v>
      </c>
      <c r="S368" s="5">
        <v>232385.76</v>
      </c>
      <c r="T368" s="5">
        <v>232385.76</v>
      </c>
      <c r="U368" s="5">
        <v>232385.76</v>
      </c>
      <c r="V368" s="5">
        <v>232385.76</v>
      </c>
      <c r="W368" s="5">
        <v>232385.76</v>
      </c>
      <c r="X368" s="5">
        <v>232385.76</v>
      </c>
      <c r="Y368" s="5">
        <v>232385.76</v>
      </c>
    </row>
    <row r="369" spans="1:25" hidden="1" x14ac:dyDescent="0.25">
      <c r="A369" t="s">
        <v>2611</v>
      </c>
      <c r="B369" t="s">
        <v>2477</v>
      </c>
      <c r="C369" t="s">
        <v>1889</v>
      </c>
      <c r="D369">
        <v>6074202300113050</v>
      </c>
      <c r="E369" t="str">
        <f>IF(COUNTIF(Tabela1[codProcesso],Tabela2[[#This Row],[PROCESSO]]),"Está","Não está")</f>
        <v>Não está</v>
      </c>
      <c r="F369" s="8" t="s">
        <v>2616</v>
      </c>
      <c r="G369" t="s">
        <v>2428</v>
      </c>
      <c r="H369" t="s">
        <v>2637</v>
      </c>
      <c r="I369" t="s">
        <v>2638</v>
      </c>
      <c r="J369" t="s">
        <v>2639</v>
      </c>
      <c r="K369" s="3">
        <v>46074</v>
      </c>
      <c r="L369" s="5">
        <v>2775475.21</v>
      </c>
      <c r="M369" s="5">
        <v>231289.60000000001</v>
      </c>
      <c r="N369" s="5">
        <v>219231.85</v>
      </c>
      <c r="O369" s="5">
        <v>232385.76</v>
      </c>
      <c r="P369" s="5">
        <v>232385.76</v>
      </c>
      <c r="Q369" s="5">
        <v>232385.76</v>
      </c>
      <c r="R369" s="5">
        <v>232385.76</v>
      </c>
      <c r="S369" s="5">
        <v>232385.76</v>
      </c>
      <c r="T369" s="5">
        <v>232385.76</v>
      </c>
      <c r="U369" s="5">
        <v>232385.76</v>
      </c>
      <c r="V369" s="5">
        <v>232385.76</v>
      </c>
      <c r="W369" s="5">
        <v>232385.76</v>
      </c>
      <c r="X369" s="5">
        <v>232385.76</v>
      </c>
      <c r="Y369" s="5">
        <v>232385.76</v>
      </c>
    </row>
    <row r="370" spans="1:25" hidden="1" x14ac:dyDescent="0.25">
      <c r="A370" t="s">
        <v>2611</v>
      </c>
      <c r="B370" t="s">
        <v>2477</v>
      </c>
      <c r="C370" t="s">
        <v>1889</v>
      </c>
      <c r="D370">
        <v>6074202300119090</v>
      </c>
      <c r="E370" t="str">
        <f>IF(COUNTIF(Tabela1[codProcesso],Tabela2[[#This Row],[PROCESSO]]),"Está","Não está")</f>
        <v>Não está</v>
      </c>
      <c r="F370" s="8" t="s">
        <v>2616</v>
      </c>
      <c r="G370" t="s">
        <v>2428</v>
      </c>
      <c r="H370" t="s">
        <v>2640</v>
      </c>
      <c r="I370" t="s">
        <v>2641</v>
      </c>
      <c r="J370" t="s">
        <v>2642</v>
      </c>
      <c r="K370" s="3">
        <v>46086</v>
      </c>
      <c r="L370" s="5">
        <v>2762321.3</v>
      </c>
      <c r="M370" s="5">
        <v>230193.44</v>
      </c>
      <c r="N370" s="5">
        <v>219231.85</v>
      </c>
      <c r="O370" s="5">
        <v>219231.85</v>
      </c>
      <c r="P370" s="5">
        <v>232385.76</v>
      </c>
      <c r="Q370" s="5">
        <v>232385.76</v>
      </c>
      <c r="R370" s="5">
        <v>232385.76</v>
      </c>
      <c r="S370" s="5">
        <v>232385.76</v>
      </c>
      <c r="T370" s="5">
        <v>232385.76</v>
      </c>
      <c r="U370" s="5">
        <v>232385.76</v>
      </c>
      <c r="V370" s="5">
        <v>232385.76</v>
      </c>
      <c r="W370" s="5">
        <v>232385.76</v>
      </c>
      <c r="X370" s="5">
        <v>232385.76</v>
      </c>
      <c r="Y370" s="5">
        <v>232385.76</v>
      </c>
    </row>
    <row r="371" spans="1:25" hidden="1" x14ac:dyDescent="0.25">
      <c r="A371" t="s">
        <v>2611</v>
      </c>
      <c r="B371" t="s">
        <v>2477</v>
      </c>
      <c r="C371" t="s">
        <v>1889</v>
      </c>
      <c r="D371">
        <v>6074202300039620</v>
      </c>
      <c r="E371" t="str">
        <f>IF(COUNTIF(Tabela1[codProcesso],Tabela2[[#This Row],[PROCESSO]]),"Está","Não está")</f>
        <v>Não está</v>
      </c>
      <c r="F371" s="8" t="s">
        <v>2616</v>
      </c>
      <c r="G371" t="s">
        <v>2428</v>
      </c>
      <c r="H371" t="s">
        <v>2643</v>
      </c>
      <c r="I371" t="s">
        <v>2644</v>
      </c>
      <c r="J371" t="s">
        <v>2645</v>
      </c>
      <c r="K371" s="3">
        <v>45880</v>
      </c>
      <c r="L371" s="5">
        <v>2696551.75</v>
      </c>
      <c r="M371" s="5">
        <v>224712.65</v>
      </c>
      <c r="N371" s="5">
        <v>219231.85</v>
      </c>
      <c r="O371" s="5">
        <v>219231.85</v>
      </c>
      <c r="P371" s="5">
        <v>219231.85</v>
      </c>
      <c r="Q371" s="5">
        <v>219231.85</v>
      </c>
      <c r="R371" s="5">
        <v>219231.85</v>
      </c>
      <c r="S371" s="5">
        <v>219231.85</v>
      </c>
      <c r="T371" s="5">
        <v>219231.85</v>
      </c>
      <c r="U371" s="5">
        <v>232385.76</v>
      </c>
      <c r="V371" s="5">
        <v>232385.76</v>
      </c>
      <c r="W371" s="5">
        <v>232385.76</v>
      </c>
      <c r="X371" s="5">
        <v>232385.76</v>
      </c>
      <c r="Y371" s="5">
        <v>232385.76</v>
      </c>
    </row>
    <row r="372" spans="1:25" hidden="1" x14ac:dyDescent="0.25">
      <c r="A372" t="s">
        <v>2611</v>
      </c>
      <c r="B372" t="s">
        <v>2477</v>
      </c>
      <c r="C372" t="s">
        <v>1889</v>
      </c>
      <c r="D372">
        <v>6074202300119100</v>
      </c>
      <c r="E372" t="str">
        <f>IF(COUNTIF(Tabela1[codProcesso],Tabela2[[#This Row],[PROCESSO]]),"Está","Não está")</f>
        <v>Não está</v>
      </c>
      <c r="F372" s="8" t="s">
        <v>2616</v>
      </c>
      <c r="G372" t="s">
        <v>2428</v>
      </c>
      <c r="H372" t="s">
        <v>2646</v>
      </c>
      <c r="I372" t="s">
        <v>2647</v>
      </c>
      <c r="J372" t="s">
        <v>2648</v>
      </c>
      <c r="K372" s="3">
        <v>46086</v>
      </c>
      <c r="L372" s="5">
        <v>2762321.3</v>
      </c>
      <c r="M372" s="5">
        <v>230193.44</v>
      </c>
      <c r="N372" s="5">
        <v>219231.85</v>
      </c>
      <c r="O372" s="5">
        <v>219231.85</v>
      </c>
      <c r="P372" s="5">
        <v>232385.76</v>
      </c>
      <c r="Q372" s="5">
        <v>232385.76</v>
      </c>
      <c r="R372" s="5">
        <v>232385.76</v>
      </c>
      <c r="S372" s="5">
        <v>232385.76</v>
      </c>
      <c r="T372" s="5">
        <v>232385.76</v>
      </c>
      <c r="U372" s="5">
        <v>232385.76</v>
      </c>
      <c r="V372" s="5">
        <v>232385.76</v>
      </c>
      <c r="W372" s="5">
        <v>232385.76</v>
      </c>
      <c r="X372" s="5">
        <v>232385.76</v>
      </c>
      <c r="Y372" s="5">
        <v>232385.76</v>
      </c>
    </row>
    <row r="373" spans="1:25" hidden="1" x14ac:dyDescent="0.25">
      <c r="A373" t="s">
        <v>2611</v>
      </c>
      <c r="B373" t="s">
        <v>2477</v>
      </c>
      <c r="C373" t="s">
        <v>1889</v>
      </c>
      <c r="D373">
        <v>6074202300039990</v>
      </c>
      <c r="E373" t="str">
        <f>IF(COUNTIF(Tabela1[codProcesso],Tabela2[[#This Row],[PROCESSO]]),"Está","Não está")</f>
        <v>Não está</v>
      </c>
      <c r="F373" s="8" t="s">
        <v>2616</v>
      </c>
      <c r="G373" t="s">
        <v>2428</v>
      </c>
      <c r="H373" t="s">
        <v>2649</v>
      </c>
      <c r="I373" t="s">
        <v>2644</v>
      </c>
      <c r="J373" t="s">
        <v>2650</v>
      </c>
      <c r="K373" s="3">
        <v>45880</v>
      </c>
      <c r="L373" s="5">
        <v>2696551.75</v>
      </c>
      <c r="M373" s="5">
        <v>224712.65</v>
      </c>
      <c r="N373" s="5">
        <v>219231.85</v>
      </c>
      <c r="O373" s="5">
        <v>219231.85</v>
      </c>
      <c r="P373" s="5">
        <v>219231.85</v>
      </c>
      <c r="Q373" s="5">
        <v>219231.85</v>
      </c>
      <c r="R373" s="5">
        <v>219231.85</v>
      </c>
      <c r="S373" s="5">
        <v>219231.85</v>
      </c>
      <c r="T373" s="5">
        <v>219231.85</v>
      </c>
      <c r="U373" s="5">
        <v>232385.76</v>
      </c>
      <c r="V373" s="5">
        <v>232385.76</v>
      </c>
      <c r="W373" s="5">
        <v>232385.76</v>
      </c>
      <c r="X373" s="5">
        <v>232385.76</v>
      </c>
      <c r="Y373" s="5">
        <v>232385.76</v>
      </c>
    </row>
    <row r="374" spans="1:25" hidden="1" x14ac:dyDescent="0.25">
      <c r="A374" t="s">
        <v>2611</v>
      </c>
      <c r="B374" t="s">
        <v>2477</v>
      </c>
      <c r="C374" t="s">
        <v>1889</v>
      </c>
      <c r="D374">
        <v>6074202300119130</v>
      </c>
      <c r="E374" t="str">
        <f>IF(COUNTIF(Tabela1[codProcesso],Tabela2[[#This Row],[PROCESSO]]),"Está","Não está")</f>
        <v>Não está</v>
      </c>
      <c r="F374" s="8" t="s">
        <v>2616</v>
      </c>
      <c r="G374" t="s">
        <v>2428</v>
      </c>
      <c r="H374" t="s">
        <v>2651</v>
      </c>
      <c r="I374" t="s">
        <v>2652</v>
      </c>
      <c r="J374" t="s">
        <v>2653</v>
      </c>
      <c r="K374" s="3">
        <v>46086</v>
      </c>
      <c r="L374" s="5">
        <v>2762321.3</v>
      </c>
      <c r="M374" s="5">
        <v>230193.44</v>
      </c>
      <c r="N374" s="5">
        <v>219231.85</v>
      </c>
      <c r="O374" s="5">
        <v>219231.85</v>
      </c>
      <c r="P374" s="5">
        <v>232385.76</v>
      </c>
      <c r="Q374" s="5">
        <v>232385.76</v>
      </c>
      <c r="R374" s="5">
        <v>232385.76</v>
      </c>
      <c r="S374" s="5">
        <v>232385.76</v>
      </c>
      <c r="T374" s="5">
        <v>232385.76</v>
      </c>
      <c r="U374" s="5">
        <v>232385.76</v>
      </c>
      <c r="V374" s="5">
        <v>232385.76</v>
      </c>
      <c r="W374" s="5">
        <v>232385.76</v>
      </c>
      <c r="X374" s="5">
        <v>232385.76</v>
      </c>
      <c r="Y374" s="5">
        <v>232385.76</v>
      </c>
    </row>
    <row r="375" spans="1:25" hidden="1" x14ac:dyDescent="0.25">
      <c r="A375" t="s">
        <v>2611</v>
      </c>
      <c r="B375" t="s">
        <v>2477</v>
      </c>
      <c r="C375" t="s">
        <v>1889</v>
      </c>
      <c r="D375">
        <v>6074202300040000</v>
      </c>
      <c r="E375" t="str">
        <f>IF(COUNTIF(Tabela1[codProcesso],Tabela2[[#This Row],[PROCESSO]]),"Está","Não está")</f>
        <v>Não está</v>
      </c>
      <c r="F375" s="8" t="s">
        <v>2616</v>
      </c>
      <c r="G375" t="s">
        <v>2428</v>
      </c>
      <c r="H375" t="s">
        <v>2654</v>
      </c>
      <c r="I375" t="s">
        <v>2644</v>
      </c>
      <c r="J375" t="s">
        <v>2655</v>
      </c>
      <c r="K375" s="3">
        <v>45880</v>
      </c>
      <c r="L375" s="5">
        <v>2696551.75</v>
      </c>
      <c r="M375" s="5">
        <v>224712.65</v>
      </c>
      <c r="N375" s="5">
        <v>219231.85</v>
      </c>
      <c r="O375" s="5">
        <v>219231.85</v>
      </c>
      <c r="P375" s="5">
        <v>219231.85</v>
      </c>
      <c r="Q375" s="5">
        <v>219231.85</v>
      </c>
      <c r="R375" s="5">
        <v>219231.85</v>
      </c>
      <c r="S375" s="5">
        <v>219231.85</v>
      </c>
      <c r="T375" s="5">
        <v>219231.85</v>
      </c>
      <c r="U375" s="5">
        <v>232385.76</v>
      </c>
      <c r="V375" s="5">
        <v>232385.76</v>
      </c>
      <c r="W375" s="5">
        <v>232385.76</v>
      </c>
      <c r="X375" s="5">
        <v>232385.76</v>
      </c>
      <c r="Y375" s="5">
        <v>232385.76</v>
      </c>
    </row>
    <row r="376" spans="1:25" hidden="1" x14ac:dyDescent="0.25">
      <c r="A376" t="s">
        <v>2611</v>
      </c>
      <c r="B376" t="s">
        <v>2477</v>
      </c>
      <c r="C376" t="s">
        <v>1889</v>
      </c>
      <c r="D376">
        <v>6074202300119110</v>
      </c>
      <c r="E376" t="str">
        <f>IF(COUNTIF(Tabela1[codProcesso],Tabela2[[#This Row],[PROCESSO]]),"Está","Não está")</f>
        <v>Não está</v>
      </c>
      <c r="F376" s="8" t="s">
        <v>2616</v>
      </c>
      <c r="G376" t="s">
        <v>2428</v>
      </c>
      <c r="H376" t="s">
        <v>2656</v>
      </c>
      <c r="I376" t="s">
        <v>2657</v>
      </c>
      <c r="J376" t="s">
        <v>2658</v>
      </c>
      <c r="K376" s="3">
        <v>46088</v>
      </c>
      <c r="L376" s="5">
        <v>2762321.3</v>
      </c>
      <c r="M376" s="5">
        <v>230193.44</v>
      </c>
      <c r="N376" s="5">
        <v>219231.85</v>
      </c>
      <c r="O376" s="5">
        <v>219231.85</v>
      </c>
      <c r="P376" s="5">
        <v>232385.76</v>
      </c>
      <c r="Q376" s="5">
        <v>232385.76</v>
      </c>
      <c r="R376" s="5">
        <v>232385.76</v>
      </c>
      <c r="S376" s="5">
        <v>232385.76</v>
      </c>
      <c r="T376" s="5">
        <v>232385.76</v>
      </c>
      <c r="U376" s="5">
        <v>232385.76</v>
      </c>
      <c r="V376" s="5">
        <v>232385.76</v>
      </c>
      <c r="W376" s="5">
        <v>232385.76</v>
      </c>
      <c r="X376" s="5">
        <v>232385.76</v>
      </c>
      <c r="Y376" s="5">
        <v>232385.76</v>
      </c>
    </row>
    <row r="377" spans="1:25" hidden="1" x14ac:dyDescent="0.25">
      <c r="A377" t="s">
        <v>2611</v>
      </c>
      <c r="B377" t="s">
        <v>2477</v>
      </c>
      <c r="C377" t="s">
        <v>1889</v>
      </c>
      <c r="D377">
        <v>6074202300040010</v>
      </c>
      <c r="E377" t="str">
        <f>IF(COUNTIF(Tabela1[codProcesso],Tabela2[[#This Row],[PROCESSO]]),"Está","Não está")</f>
        <v>Não está</v>
      </c>
      <c r="F377" s="8" t="s">
        <v>2616</v>
      </c>
      <c r="G377" t="s">
        <v>2428</v>
      </c>
      <c r="H377" t="s">
        <v>2659</v>
      </c>
      <c r="I377" t="s">
        <v>2644</v>
      </c>
      <c r="J377" t="s">
        <v>2660</v>
      </c>
      <c r="K377" s="3">
        <v>45880</v>
      </c>
      <c r="L377" s="5">
        <v>2696551.75</v>
      </c>
      <c r="M377" s="5">
        <v>224712.65</v>
      </c>
      <c r="N377" s="5">
        <v>219231.85</v>
      </c>
      <c r="O377" s="5">
        <v>219231.85</v>
      </c>
      <c r="P377" s="5">
        <v>219231.85</v>
      </c>
      <c r="Q377" s="5">
        <v>219231.85</v>
      </c>
      <c r="R377" s="5">
        <v>219231.85</v>
      </c>
      <c r="S377" s="5">
        <v>219231.85</v>
      </c>
      <c r="T377" s="5">
        <v>219231.85</v>
      </c>
      <c r="U377" s="5">
        <v>232385.76</v>
      </c>
      <c r="V377" s="5">
        <v>232385.76</v>
      </c>
      <c r="W377" s="5">
        <v>232385.76</v>
      </c>
      <c r="X377" s="5">
        <v>232385.76</v>
      </c>
      <c r="Y377" s="5">
        <v>232385.76</v>
      </c>
    </row>
    <row r="378" spans="1:25" hidden="1" x14ac:dyDescent="0.25">
      <c r="A378" t="s">
        <v>2611</v>
      </c>
      <c r="B378" t="s">
        <v>2477</v>
      </c>
      <c r="C378" t="s">
        <v>1889</v>
      </c>
      <c r="D378">
        <v>6074202300119120</v>
      </c>
      <c r="E378" t="str">
        <f>IF(COUNTIF(Tabela1[codProcesso],Tabela2[[#This Row],[PROCESSO]]),"Está","Não está")</f>
        <v>Não está</v>
      </c>
      <c r="F378" s="8" t="s">
        <v>2616</v>
      </c>
      <c r="G378" t="s">
        <v>2428</v>
      </c>
      <c r="H378" t="s">
        <v>2661</v>
      </c>
      <c r="I378" t="s">
        <v>2662</v>
      </c>
      <c r="J378" t="s">
        <v>2663</v>
      </c>
      <c r="K378" s="3">
        <v>46081</v>
      </c>
      <c r="L378" s="5">
        <v>2762321.3</v>
      </c>
      <c r="M378" s="5">
        <v>230193.44</v>
      </c>
      <c r="N378" s="5">
        <v>219231.85</v>
      </c>
      <c r="O378" s="5">
        <v>219231.85</v>
      </c>
      <c r="P378" s="5">
        <v>232385.76</v>
      </c>
      <c r="Q378" s="5">
        <v>232385.76</v>
      </c>
      <c r="R378" s="5">
        <v>232385.76</v>
      </c>
      <c r="S378" s="5">
        <v>232385.76</v>
      </c>
      <c r="T378" s="5">
        <v>232385.76</v>
      </c>
      <c r="U378" s="5">
        <v>232385.76</v>
      </c>
      <c r="V378" s="5">
        <v>232385.76</v>
      </c>
      <c r="W378" s="5">
        <v>232385.76</v>
      </c>
      <c r="X378" s="5">
        <v>232385.76</v>
      </c>
      <c r="Y378" s="5">
        <v>232385.76</v>
      </c>
    </row>
    <row r="379" spans="1:25" hidden="1" x14ac:dyDescent="0.25">
      <c r="A379" t="s">
        <v>2611</v>
      </c>
      <c r="B379" t="s">
        <v>2477</v>
      </c>
      <c r="C379" t="s">
        <v>1889</v>
      </c>
      <c r="D379">
        <v>6074202300040090</v>
      </c>
      <c r="E379" t="str">
        <f>IF(COUNTIF(Tabela1[codProcesso],Tabela2[[#This Row],[PROCESSO]]),"Está","Não está")</f>
        <v>Não está</v>
      </c>
      <c r="F379" s="8" t="s">
        <v>2616</v>
      </c>
      <c r="G379" t="s">
        <v>2428</v>
      </c>
      <c r="H379" t="s">
        <v>2664</v>
      </c>
      <c r="I379" t="s">
        <v>2644</v>
      </c>
      <c r="J379" t="s">
        <v>2665</v>
      </c>
      <c r="K379" s="3">
        <v>45880</v>
      </c>
      <c r="L379" s="5">
        <v>2696551.75</v>
      </c>
      <c r="M379" s="5">
        <v>224712.65</v>
      </c>
      <c r="N379" s="5">
        <v>219231.85</v>
      </c>
      <c r="O379" s="5">
        <v>219231.85</v>
      </c>
      <c r="P379" s="5">
        <v>219231.85</v>
      </c>
      <c r="Q379" s="5">
        <v>219231.85</v>
      </c>
      <c r="R379" s="5">
        <v>219231.85</v>
      </c>
      <c r="S379" s="5">
        <v>219231.85</v>
      </c>
      <c r="T379" s="5">
        <v>219231.85</v>
      </c>
      <c r="U379" s="5">
        <v>232385.76</v>
      </c>
      <c r="V379" s="5">
        <v>232385.76</v>
      </c>
      <c r="W379" s="5">
        <v>232385.76</v>
      </c>
      <c r="X379" s="5">
        <v>232385.76</v>
      </c>
      <c r="Y379" s="5">
        <v>232385.76</v>
      </c>
    </row>
    <row r="380" spans="1:25" hidden="1" x14ac:dyDescent="0.25">
      <c r="A380" t="s">
        <v>2611</v>
      </c>
      <c r="B380" t="s">
        <v>2477</v>
      </c>
      <c r="C380" t="s">
        <v>1889</v>
      </c>
      <c r="D380">
        <v>6074202300040290</v>
      </c>
      <c r="E380" t="str">
        <f>IF(COUNTIF(Tabela1[codProcesso],Tabela2[[#This Row],[PROCESSO]]),"Está","Não está")</f>
        <v>Não está</v>
      </c>
      <c r="F380" s="8" t="s">
        <v>2616</v>
      </c>
      <c r="G380" t="s">
        <v>2428</v>
      </c>
      <c r="H380" t="s">
        <v>2666</v>
      </c>
      <c r="I380" t="s">
        <v>2644</v>
      </c>
      <c r="J380" t="s">
        <v>2667</v>
      </c>
      <c r="K380" s="3">
        <v>45880</v>
      </c>
      <c r="L380" s="5">
        <v>2696551.75</v>
      </c>
      <c r="M380" s="5">
        <v>224712.65</v>
      </c>
      <c r="N380" s="5">
        <v>219231.85</v>
      </c>
      <c r="O380" s="5">
        <v>219231.85</v>
      </c>
      <c r="P380" s="5">
        <v>219231.85</v>
      </c>
      <c r="Q380" s="5">
        <v>219231.85</v>
      </c>
      <c r="R380" s="5">
        <v>219231.85</v>
      </c>
      <c r="S380" s="5">
        <v>219231.85</v>
      </c>
      <c r="T380" s="5">
        <v>219231.85</v>
      </c>
      <c r="U380" s="5">
        <v>232385.76</v>
      </c>
      <c r="V380" s="5">
        <v>232385.76</v>
      </c>
      <c r="W380" s="5">
        <v>232385.76</v>
      </c>
      <c r="X380" s="5">
        <v>232385.76</v>
      </c>
      <c r="Y380" s="5">
        <v>232385.76</v>
      </c>
    </row>
    <row r="381" spans="1:25" hidden="1" x14ac:dyDescent="0.25">
      <c r="A381" t="s">
        <v>2611</v>
      </c>
      <c r="B381" t="s">
        <v>2477</v>
      </c>
      <c r="C381" t="s">
        <v>1889</v>
      </c>
      <c r="D381">
        <v>6074202300119070</v>
      </c>
      <c r="E381" t="str">
        <f>IF(COUNTIF(Tabela1[codProcesso],Tabela2[[#This Row],[PROCESSO]]),"Está","Não está")</f>
        <v>Não está</v>
      </c>
      <c r="F381" s="8" t="s">
        <v>2616</v>
      </c>
      <c r="G381" t="s">
        <v>2428</v>
      </c>
      <c r="H381" t="s">
        <v>2668</v>
      </c>
      <c r="I381" t="s">
        <v>2669</v>
      </c>
      <c r="J381" t="s">
        <v>2670</v>
      </c>
      <c r="K381" s="3">
        <v>45838</v>
      </c>
      <c r="L381" s="5">
        <v>2709705.66</v>
      </c>
      <c r="M381" s="5">
        <v>225808.81</v>
      </c>
      <c r="N381" s="5">
        <v>219231.85</v>
      </c>
      <c r="O381" s="5">
        <v>219231.85</v>
      </c>
      <c r="P381" s="5">
        <v>219231.85</v>
      </c>
      <c r="Q381" s="5">
        <v>219231.85</v>
      </c>
      <c r="R381" s="5">
        <v>219231.85</v>
      </c>
      <c r="S381" s="5">
        <v>219231.85</v>
      </c>
      <c r="T381" s="5">
        <v>232385.76</v>
      </c>
      <c r="U381" s="5">
        <v>232385.76</v>
      </c>
      <c r="V381" s="5">
        <v>232385.76</v>
      </c>
      <c r="W381" s="5">
        <v>232385.76</v>
      </c>
      <c r="X381" s="5">
        <v>232385.76</v>
      </c>
      <c r="Y381" s="5">
        <v>232385.76</v>
      </c>
    </row>
    <row r="382" spans="1:25" hidden="1" x14ac:dyDescent="0.25">
      <c r="A382" t="s">
        <v>2611</v>
      </c>
      <c r="B382" t="s">
        <v>2477</v>
      </c>
      <c r="C382" t="s">
        <v>1889</v>
      </c>
      <c r="D382">
        <v>6074202300040330</v>
      </c>
      <c r="E382" t="str">
        <f>IF(COUNTIF(Tabela1[codProcesso],Tabela2[[#This Row],[PROCESSO]]),"Está","Não está")</f>
        <v>Não está</v>
      </c>
      <c r="F382" s="8" t="s">
        <v>2616</v>
      </c>
      <c r="G382" t="s">
        <v>2428</v>
      </c>
      <c r="H382" t="s">
        <v>2671</v>
      </c>
      <c r="I382" t="s">
        <v>2644</v>
      </c>
      <c r="J382" t="s">
        <v>2672</v>
      </c>
      <c r="K382" s="3">
        <v>45921</v>
      </c>
      <c r="L382" s="5">
        <v>2670243.9300000002</v>
      </c>
      <c r="M382" s="5">
        <v>222520.33</v>
      </c>
      <c r="N382" s="5">
        <v>219231.85</v>
      </c>
      <c r="O382" s="5">
        <v>219231.85</v>
      </c>
      <c r="P382" s="5">
        <v>219231.85</v>
      </c>
      <c r="Q382" s="5">
        <v>219231.85</v>
      </c>
      <c r="R382" s="5">
        <v>219231.85</v>
      </c>
      <c r="S382" s="5">
        <v>219231.85</v>
      </c>
      <c r="T382" s="5">
        <v>219231.85</v>
      </c>
      <c r="U382" s="5">
        <v>219231.85</v>
      </c>
      <c r="V382" s="5">
        <v>219231.85</v>
      </c>
      <c r="W382" s="5">
        <v>232385.76</v>
      </c>
      <c r="X382" s="5">
        <v>232385.76</v>
      </c>
      <c r="Y382" s="5">
        <v>232385.76</v>
      </c>
    </row>
    <row r="383" spans="1:25" hidden="1" x14ac:dyDescent="0.25">
      <c r="A383" t="s">
        <v>2611</v>
      </c>
      <c r="B383" t="s">
        <v>2477</v>
      </c>
      <c r="C383" t="s">
        <v>1889</v>
      </c>
      <c r="D383">
        <v>6074202300040350</v>
      </c>
      <c r="E383" t="str">
        <f>IF(COUNTIF(Tabela1[codProcesso],Tabela2[[#This Row],[PROCESSO]]),"Está","Não está")</f>
        <v>Não está</v>
      </c>
      <c r="F383" s="8" t="s">
        <v>2616</v>
      </c>
      <c r="G383" t="s">
        <v>2428</v>
      </c>
      <c r="H383" t="s">
        <v>2673</v>
      </c>
      <c r="I383" t="s">
        <v>2644</v>
      </c>
      <c r="J383" t="s">
        <v>2674</v>
      </c>
      <c r="K383" s="3">
        <v>45880</v>
      </c>
      <c r="L383" s="5">
        <v>2736013.48</v>
      </c>
      <c r="M383" s="5">
        <v>228001.12</v>
      </c>
      <c r="N383" s="5">
        <v>219231.85</v>
      </c>
      <c r="O383" s="5">
        <v>219231.85</v>
      </c>
      <c r="P383" s="5">
        <v>219231.85</v>
      </c>
      <c r="Q383" s="5">
        <v>219231.85</v>
      </c>
      <c r="R383" s="5">
        <v>232385.76</v>
      </c>
      <c r="S383" s="5">
        <v>232385.76</v>
      </c>
      <c r="T383" s="5">
        <v>232385.76</v>
      </c>
      <c r="U383" s="5">
        <v>232385.76</v>
      </c>
      <c r="V383" s="5">
        <v>232385.76</v>
      </c>
      <c r="W383" s="5">
        <v>232385.76</v>
      </c>
      <c r="X383" s="5">
        <v>232385.76</v>
      </c>
      <c r="Y383" s="5">
        <v>232385.76</v>
      </c>
    </row>
    <row r="384" spans="1:25" hidden="1" x14ac:dyDescent="0.25">
      <c r="A384" t="s">
        <v>2611</v>
      </c>
      <c r="B384" t="s">
        <v>2477</v>
      </c>
      <c r="C384" t="s">
        <v>1889</v>
      </c>
      <c r="D384">
        <v>6074202300040370</v>
      </c>
      <c r="E384" t="str">
        <f>IF(COUNTIF(Tabela1[codProcesso],Tabela2[[#This Row],[PROCESSO]]),"Está","Não está")</f>
        <v>Não está</v>
      </c>
      <c r="F384" s="8" t="s">
        <v>2616</v>
      </c>
      <c r="G384" t="s">
        <v>2428</v>
      </c>
      <c r="H384" t="s">
        <v>2675</v>
      </c>
      <c r="I384" t="s">
        <v>2644</v>
      </c>
      <c r="J384" t="s">
        <v>2676</v>
      </c>
      <c r="K384" s="3">
        <v>45880</v>
      </c>
      <c r="L384" s="5">
        <v>2696551.75</v>
      </c>
      <c r="M384" s="5">
        <v>224712.65</v>
      </c>
      <c r="N384" s="5">
        <v>219231.85</v>
      </c>
      <c r="O384" s="5">
        <v>219231.85</v>
      </c>
      <c r="P384" s="5">
        <v>219231.85</v>
      </c>
      <c r="Q384" s="5">
        <v>219231.85</v>
      </c>
      <c r="R384" s="5">
        <v>219231.85</v>
      </c>
      <c r="S384" s="5">
        <v>219231.85</v>
      </c>
      <c r="T384" s="5">
        <v>219231.85</v>
      </c>
      <c r="U384" s="5">
        <v>232385.76</v>
      </c>
      <c r="V384" s="5">
        <v>232385.76</v>
      </c>
      <c r="W384" s="5">
        <v>232385.76</v>
      </c>
      <c r="X384" s="5">
        <v>232385.76</v>
      </c>
      <c r="Y384" s="5">
        <v>232385.76</v>
      </c>
    </row>
    <row r="385" spans="1:25" hidden="1" x14ac:dyDescent="0.25">
      <c r="A385" t="s">
        <v>2611</v>
      </c>
      <c r="B385" t="s">
        <v>2477</v>
      </c>
      <c r="C385" t="s">
        <v>1889</v>
      </c>
      <c r="D385">
        <v>6074202300040240</v>
      </c>
      <c r="E385" t="str">
        <f>IF(COUNTIF(Tabela1[codProcesso],Tabela2[[#This Row],[PROCESSO]]),"Está","Não está")</f>
        <v>Não está</v>
      </c>
      <c r="F385" s="8" t="s">
        <v>2616</v>
      </c>
      <c r="G385" t="s">
        <v>2428</v>
      </c>
      <c r="H385" t="s">
        <v>2677</v>
      </c>
      <c r="I385" t="s">
        <v>2644</v>
      </c>
      <c r="J385" t="s">
        <v>2678</v>
      </c>
      <c r="K385" s="3">
        <v>45880</v>
      </c>
      <c r="L385" s="5">
        <v>2696551.75</v>
      </c>
      <c r="M385" s="5">
        <v>224712.65</v>
      </c>
      <c r="N385" s="5">
        <v>219231.85</v>
      </c>
      <c r="O385" s="5">
        <v>219231.85</v>
      </c>
      <c r="P385" s="5">
        <v>219231.85</v>
      </c>
      <c r="Q385" s="5">
        <v>219231.85</v>
      </c>
      <c r="R385" s="5">
        <v>219231.85</v>
      </c>
      <c r="S385" s="5">
        <v>219231.85</v>
      </c>
      <c r="T385" s="5">
        <v>219231.85</v>
      </c>
      <c r="U385" s="5">
        <v>232385.76</v>
      </c>
      <c r="V385" s="5">
        <v>232385.76</v>
      </c>
      <c r="W385" s="5">
        <v>232385.76</v>
      </c>
      <c r="X385" s="5">
        <v>232385.76</v>
      </c>
      <c r="Y385" s="5">
        <v>232385.76</v>
      </c>
    </row>
    <row r="386" spans="1:25" hidden="1" x14ac:dyDescent="0.25">
      <c r="A386" t="s">
        <v>2611</v>
      </c>
      <c r="B386" t="s">
        <v>2477</v>
      </c>
      <c r="C386" t="s">
        <v>1889</v>
      </c>
      <c r="D386">
        <v>6074202300040340</v>
      </c>
      <c r="E386" t="str">
        <f>IF(COUNTIF(Tabela1[codProcesso],Tabela2[[#This Row],[PROCESSO]]),"Está","Não está")</f>
        <v>Não está</v>
      </c>
      <c r="F386" s="8" t="s">
        <v>2616</v>
      </c>
      <c r="G386" t="s">
        <v>2428</v>
      </c>
      <c r="H386" t="s">
        <v>2679</v>
      </c>
      <c r="I386" t="s">
        <v>2644</v>
      </c>
      <c r="J386" t="s">
        <v>2562</v>
      </c>
      <c r="K386" s="3">
        <v>45880</v>
      </c>
      <c r="L386" s="5">
        <v>2696551.75</v>
      </c>
      <c r="M386" s="5">
        <v>224712.65</v>
      </c>
      <c r="N386" s="5">
        <v>219231.85</v>
      </c>
      <c r="O386" s="5">
        <v>219231.85</v>
      </c>
      <c r="P386" s="5">
        <v>219231.85</v>
      </c>
      <c r="Q386" s="5">
        <v>219231.85</v>
      </c>
      <c r="R386" s="5">
        <v>219231.85</v>
      </c>
      <c r="S386" s="5">
        <v>219231.85</v>
      </c>
      <c r="T386" s="5">
        <v>219231.85</v>
      </c>
      <c r="U386" s="5">
        <v>232385.76</v>
      </c>
      <c r="V386" s="5">
        <v>232385.76</v>
      </c>
      <c r="W386" s="5">
        <v>232385.76</v>
      </c>
      <c r="X386" s="5">
        <v>232385.76</v>
      </c>
      <c r="Y386" s="5">
        <v>232385.76</v>
      </c>
    </row>
    <row r="387" spans="1:25" hidden="1" x14ac:dyDescent="0.25">
      <c r="A387" t="s">
        <v>2611</v>
      </c>
      <c r="B387" t="s">
        <v>2477</v>
      </c>
      <c r="C387" t="s">
        <v>1889</v>
      </c>
      <c r="D387">
        <v>6074202300040360</v>
      </c>
      <c r="E387" t="str">
        <f>IF(COUNTIF(Tabela1[codProcesso],Tabela2[[#This Row],[PROCESSO]]),"Está","Não está")</f>
        <v>Não está</v>
      </c>
      <c r="F387" s="8" t="s">
        <v>2616</v>
      </c>
      <c r="G387" t="s">
        <v>2428</v>
      </c>
      <c r="H387" t="s">
        <v>2680</v>
      </c>
      <c r="I387" t="s">
        <v>2644</v>
      </c>
      <c r="J387" t="s">
        <v>2681</v>
      </c>
      <c r="K387" s="3">
        <v>45880</v>
      </c>
      <c r="L387" s="5">
        <v>2696551.75</v>
      </c>
      <c r="M387" s="5">
        <v>224712.65</v>
      </c>
      <c r="N387" s="5">
        <v>219231.85</v>
      </c>
      <c r="O387" s="5">
        <v>219231.85</v>
      </c>
      <c r="P387" s="5">
        <v>219231.85</v>
      </c>
      <c r="Q387" s="5">
        <v>219231.85</v>
      </c>
      <c r="R387" s="5">
        <v>219231.85</v>
      </c>
      <c r="S387" s="5">
        <v>219231.85</v>
      </c>
      <c r="T387" s="5">
        <v>219231.85</v>
      </c>
      <c r="U387" s="5">
        <v>232385.76</v>
      </c>
      <c r="V387" s="5">
        <v>232385.76</v>
      </c>
      <c r="W387" s="5">
        <v>232385.76</v>
      </c>
      <c r="X387" s="5">
        <v>232385.76</v>
      </c>
      <c r="Y387" s="5">
        <v>232385.76</v>
      </c>
    </row>
    <row r="388" spans="1:25" hidden="1" x14ac:dyDescent="0.25">
      <c r="A388" t="s">
        <v>2611</v>
      </c>
      <c r="B388" t="s">
        <v>2477</v>
      </c>
      <c r="C388" t="s">
        <v>1889</v>
      </c>
      <c r="D388">
        <v>6074202300040380</v>
      </c>
      <c r="E388" t="str">
        <f>IF(COUNTIF(Tabela1[codProcesso],Tabela2[[#This Row],[PROCESSO]]),"Está","Não está")</f>
        <v>Não está</v>
      </c>
      <c r="F388" s="8" t="s">
        <v>2616</v>
      </c>
      <c r="G388" t="s">
        <v>2428</v>
      </c>
      <c r="H388" t="s">
        <v>2682</v>
      </c>
      <c r="I388" t="s">
        <v>2644</v>
      </c>
      <c r="J388" t="s">
        <v>2683</v>
      </c>
      <c r="K388" s="3">
        <v>45880</v>
      </c>
      <c r="L388" s="5">
        <v>2696551.75</v>
      </c>
      <c r="M388" s="5">
        <v>224712.65</v>
      </c>
      <c r="N388" s="5">
        <v>219231.85</v>
      </c>
      <c r="O388" s="5">
        <v>219231.85</v>
      </c>
      <c r="P388" s="5">
        <v>219231.85</v>
      </c>
      <c r="Q388" s="5">
        <v>219231.85</v>
      </c>
      <c r="R388" s="5">
        <v>219231.85</v>
      </c>
      <c r="S388" s="5">
        <v>219231.85</v>
      </c>
      <c r="T388" s="5">
        <v>219231.85</v>
      </c>
      <c r="U388" s="5">
        <v>232385.76</v>
      </c>
      <c r="V388" s="5">
        <v>232385.76</v>
      </c>
      <c r="W388" s="5">
        <v>232385.76</v>
      </c>
      <c r="X388" s="5">
        <v>232385.76</v>
      </c>
      <c r="Y388" s="5">
        <v>232385.76</v>
      </c>
    </row>
    <row r="389" spans="1:25" hidden="1" x14ac:dyDescent="0.25">
      <c r="A389" t="s">
        <v>2611</v>
      </c>
      <c r="B389" t="s">
        <v>2477</v>
      </c>
      <c r="C389" t="s">
        <v>1889</v>
      </c>
      <c r="D389">
        <v>6074202300040400</v>
      </c>
      <c r="E389" t="str">
        <f>IF(COUNTIF(Tabela1[codProcesso],Tabela2[[#This Row],[PROCESSO]]),"Está","Não está")</f>
        <v>Não está</v>
      </c>
      <c r="F389" s="8" t="s">
        <v>2616</v>
      </c>
      <c r="G389" t="s">
        <v>2428</v>
      </c>
      <c r="H389" t="s">
        <v>2684</v>
      </c>
      <c r="I389" t="s">
        <v>2644</v>
      </c>
      <c r="J389" t="s">
        <v>2685</v>
      </c>
      <c r="K389" s="3">
        <v>45880</v>
      </c>
      <c r="L389" s="5">
        <v>2696551.75</v>
      </c>
      <c r="M389" s="5">
        <v>224712.65</v>
      </c>
      <c r="N389" s="5">
        <v>219231.85</v>
      </c>
      <c r="O389" s="5">
        <v>219231.85</v>
      </c>
      <c r="P389" s="5">
        <v>219231.85</v>
      </c>
      <c r="Q389" s="5">
        <v>219231.85</v>
      </c>
      <c r="R389" s="5">
        <v>219231.85</v>
      </c>
      <c r="S389" s="5">
        <v>219231.85</v>
      </c>
      <c r="T389" s="5">
        <v>219231.85</v>
      </c>
      <c r="U389" s="5">
        <v>232385.76</v>
      </c>
      <c r="V389" s="5">
        <v>232385.76</v>
      </c>
      <c r="W389" s="5">
        <v>232385.76</v>
      </c>
      <c r="X389" s="5">
        <v>232385.76</v>
      </c>
      <c r="Y389" s="5">
        <v>232385.76</v>
      </c>
    </row>
    <row r="390" spans="1:25" hidden="1" x14ac:dyDescent="0.25">
      <c r="A390" t="s">
        <v>2611</v>
      </c>
      <c r="B390" t="s">
        <v>2477</v>
      </c>
      <c r="C390" t="s">
        <v>1889</v>
      </c>
      <c r="D390">
        <v>6074202300042630</v>
      </c>
      <c r="E390" t="str">
        <f>IF(COUNTIF(Tabela1[codProcesso],Tabela2[[#This Row],[PROCESSO]]),"Está","Não está")</f>
        <v>Não está</v>
      </c>
      <c r="F390" s="8" t="s">
        <v>2616</v>
      </c>
      <c r="G390" t="s">
        <v>2428</v>
      </c>
      <c r="H390" t="s">
        <v>2686</v>
      </c>
      <c r="I390" t="s">
        <v>2644</v>
      </c>
      <c r="J390" t="s">
        <v>2687</v>
      </c>
      <c r="K390" s="3">
        <v>45880</v>
      </c>
      <c r="L390" s="5">
        <v>2696551.75</v>
      </c>
      <c r="M390" s="5">
        <v>224712.65</v>
      </c>
      <c r="N390" s="5">
        <v>219231.85</v>
      </c>
      <c r="O390" s="5">
        <v>219231.85</v>
      </c>
      <c r="P390" s="5">
        <v>219231.85</v>
      </c>
      <c r="Q390" s="5">
        <v>219231.85</v>
      </c>
      <c r="R390" s="5">
        <v>219231.85</v>
      </c>
      <c r="S390" s="5">
        <v>219231.85</v>
      </c>
      <c r="T390" s="5">
        <v>219231.85</v>
      </c>
      <c r="U390" s="5">
        <v>232385.76</v>
      </c>
      <c r="V390" s="5">
        <v>232385.76</v>
      </c>
      <c r="W390" s="5">
        <v>232385.76</v>
      </c>
      <c r="X390" s="5">
        <v>232385.76</v>
      </c>
      <c r="Y390" s="5">
        <v>232385.76</v>
      </c>
    </row>
    <row r="391" spans="1:25" hidden="1" x14ac:dyDescent="0.25">
      <c r="A391" t="s">
        <v>2611</v>
      </c>
      <c r="B391" t="s">
        <v>2477</v>
      </c>
      <c r="C391" t="s">
        <v>1889</v>
      </c>
      <c r="D391">
        <v>6074202300040230</v>
      </c>
      <c r="E391" t="str">
        <f>IF(COUNTIF(Tabela1[codProcesso],Tabela2[[#This Row],[PROCESSO]]),"Está","Não está")</f>
        <v>Não está</v>
      </c>
      <c r="F391" s="8" t="s">
        <v>2616</v>
      </c>
      <c r="G391" t="s">
        <v>2428</v>
      </c>
      <c r="H391" t="s">
        <v>2688</v>
      </c>
      <c r="I391" t="s">
        <v>2644</v>
      </c>
      <c r="J391" t="s">
        <v>2689</v>
      </c>
      <c r="K391" s="3">
        <v>45895</v>
      </c>
      <c r="L391" s="5">
        <v>2696551.75</v>
      </c>
      <c r="M391" s="5">
        <v>224712.65</v>
      </c>
      <c r="N391" s="5">
        <v>219231.85</v>
      </c>
      <c r="O391" s="5">
        <v>219231.85</v>
      </c>
      <c r="P391" s="5">
        <v>219231.85</v>
      </c>
      <c r="Q391" s="5">
        <v>219231.85</v>
      </c>
      <c r="R391" s="5">
        <v>219231.85</v>
      </c>
      <c r="S391" s="5">
        <v>219231.85</v>
      </c>
      <c r="T391" s="5">
        <v>219231.85</v>
      </c>
      <c r="U391" s="5">
        <v>232385.76</v>
      </c>
      <c r="V391" s="5">
        <v>232385.76</v>
      </c>
      <c r="W391" s="5">
        <v>232385.76</v>
      </c>
      <c r="X391" s="5">
        <v>232385.76</v>
      </c>
      <c r="Y391" s="5">
        <v>232385.76</v>
      </c>
    </row>
    <row r="392" spans="1:25" hidden="1" x14ac:dyDescent="0.25">
      <c r="A392" t="s">
        <v>2611</v>
      </c>
      <c r="B392" t="s">
        <v>2477</v>
      </c>
      <c r="C392" t="s">
        <v>1889</v>
      </c>
      <c r="D392">
        <v>6074202300040440</v>
      </c>
      <c r="E392" t="str">
        <f>IF(COUNTIF(Tabela1[codProcesso],Tabela2[[#This Row],[PROCESSO]]),"Está","Não está")</f>
        <v>Não está</v>
      </c>
      <c r="F392" s="8" t="s">
        <v>2616</v>
      </c>
      <c r="G392" t="s">
        <v>2428</v>
      </c>
      <c r="H392" t="s">
        <v>2690</v>
      </c>
      <c r="I392" t="s">
        <v>2644</v>
      </c>
      <c r="J392" t="s">
        <v>2691</v>
      </c>
      <c r="K392" s="3">
        <v>45900</v>
      </c>
      <c r="L392" s="5">
        <v>2683397.84</v>
      </c>
      <c r="M392" s="5">
        <v>223616.49</v>
      </c>
      <c r="N392" s="5">
        <v>219231.85</v>
      </c>
      <c r="O392" s="5">
        <v>219231.85</v>
      </c>
      <c r="P392" s="5">
        <v>219231.85</v>
      </c>
      <c r="Q392" s="5">
        <v>219231.85</v>
      </c>
      <c r="R392" s="5">
        <v>219231.85</v>
      </c>
      <c r="S392" s="5">
        <v>219231.85</v>
      </c>
      <c r="T392" s="5">
        <v>219231.85</v>
      </c>
      <c r="U392" s="5">
        <v>219231.85</v>
      </c>
      <c r="V392" s="5">
        <v>232385.76</v>
      </c>
      <c r="W392" s="5">
        <v>232385.76</v>
      </c>
      <c r="X392" s="5">
        <v>232385.76</v>
      </c>
      <c r="Y392" s="5">
        <v>232385.76</v>
      </c>
    </row>
    <row r="393" spans="1:25" hidden="1" x14ac:dyDescent="0.25">
      <c r="A393" t="s">
        <v>2611</v>
      </c>
      <c r="B393" t="s">
        <v>2477</v>
      </c>
      <c r="C393" t="s">
        <v>1889</v>
      </c>
      <c r="D393">
        <v>6074202300040450</v>
      </c>
      <c r="E393" t="str">
        <f>IF(COUNTIF(Tabela1[codProcesso],Tabela2[[#This Row],[PROCESSO]]),"Está","Não está")</f>
        <v>Não está</v>
      </c>
      <c r="F393" s="8" t="s">
        <v>2616</v>
      </c>
      <c r="G393" t="s">
        <v>2428</v>
      </c>
      <c r="H393" t="s">
        <v>2692</v>
      </c>
      <c r="I393" t="s">
        <v>2644</v>
      </c>
      <c r="J393" t="s">
        <v>2693</v>
      </c>
      <c r="K393" s="3">
        <v>45880</v>
      </c>
      <c r="L393" s="5">
        <v>2696551.75</v>
      </c>
      <c r="M393" s="5">
        <v>224712.65</v>
      </c>
      <c r="N393" s="5">
        <v>219231.85</v>
      </c>
      <c r="O393" s="5">
        <v>219231.85</v>
      </c>
      <c r="P393" s="5">
        <v>219231.85</v>
      </c>
      <c r="Q393" s="5">
        <v>219231.85</v>
      </c>
      <c r="R393" s="5">
        <v>219231.85</v>
      </c>
      <c r="S393" s="5">
        <v>219231.85</v>
      </c>
      <c r="T393" s="5">
        <v>219231.85</v>
      </c>
      <c r="U393" s="5">
        <v>232385.76</v>
      </c>
      <c r="V393" s="5">
        <v>232385.76</v>
      </c>
      <c r="W393" s="5">
        <v>232385.76</v>
      </c>
      <c r="X393" s="5">
        <v>232385.76</v>
      </c>
      <c r="Y393" s="5">
        <v>232385.76</v>
      </c>
    </row>
    <row r="394" spans="1:25" hidden="1" x14ac:dyDescent="0.25">
      <c r="A394" t="s">
        <v>2611</v>
      </c>
      <c r="B394" t="s">
        <v>2477</v>
      </c>
      <c r="C394" t="s">
        <v>1889</v>
      </c>
      <c r="D394">
        <v>6074202300040390</v>
      </c>
      <c r="E394" t="str">
        <f>IF(COUNTIF(Tabela1[codProcesso],Tabela2[[#This Row],[PROCESSO]]),"Está","Não está")</f>
        <v>Não está</v>
      </c>
      <c r="F394" s="8" t="s">
        <v>2616</v>
      </c>
      <c r="G394" t="s">
        <v>2428</v>
      </c>
      <c r="H394" t="s">
        <v>2694</v>
      </c>
      <c r="I394" t="s">
        <v>2644</v>
      </c>
      <c r="J394" t="s">
        <v>2695</v>
      </c>
      <c r="K394" s="3">
        <v>45886</v>
      </c>
      <c r="L394" s="5">
        <v>2696551.75</v>
      </c>
      <c r="M394" s="5">
        <v>224712.65</v>
      </c>
      <c r="N394" s="5">
        <v>219231.85</v>
      </c>
      <c r="O394" s="5">
        <v>219231.85</v>
      </c>
      <c r="P394" s="5">
        <v>219231.85</v>
      </c>
      <c r="Q394" s="5">
        <v>219231.85</v>
      </c>
      <c r="R394" s="5">
        <v>219231.85</v>
      </c>
      <c r="S394" s="5">
        <v>219231.85</v>
      </c>
      <c r="T394" s="5">
        <v>219231.85</v>
      </c>
      <c r="U394" s="5">
        <v>232385.76</v>
      </c>
      <c r="V394" s="5">
        <v>232385.76</v>
      </c>
      <c r="W394" s="5">
        <v>232385.76</v>
      </c>
      <c r="X394" s="5">
        <v>232385.76</v>
      </c>
      <c r="Y394" s="5">
        <v>232385.76</v>
      </c>
    </row>
    <row r="395" spans="1:25" hidden="1" x14ac:dyDescent="0.25">
      <c r="A395" t="s">
        <v>2611</v>
      </c>
      <c r="B395" t="s">
        <v>2477</v>
      </c>
      <c r="C395" t="s">
        <v>1889</v>
      </c>
      <c r="D395">
        <v>6074202300040320</v>
      </c>
      <c r="E395" t="str">
        <f>IF(COUNTIF(Tabela1[codProcesso],Tabela2[[#This Row],[PROCESSO]]),"Está","Não está")</f>
        <v>Não está</v>
      </c>
      <c r="F395" s="8" t="s">
        <v>2616</v>
      </c>
      <c r="G395" t="s">
        <v>2428</v>
      </c>
      <c r="H395" t="s">
        <v>2696</v>
      </c>
      <c r="I395" t="s">
        <v>2644</v>
      </c>
      <c r="J395" t="s">
        <v>2697</v>
      </c>
      <c r="K395" s="3">
        <v>45886</v>
      </c>
      <c r="L395" s="5">
        <v>2696551.75</v>
      </c>
      <c r="M395" s="5">
        <v>224712.65</v>
      </c>
      <c r="N395" s="5">
        <v>219231.85</v>
      </c>
      <c r="O395" s="5">
        <v>219231.85</v>
      </c>
      <c r="P395" s="5">
        <v>219231.85</v>
      </c>
      <c r="Q395" s="5">
        <v>219231.85</v>
      </c>
      <c r="R395" s="5">
        <v>219231.85</v>
      </c>
      <c r="S395" s="5">
        <v>219231.85</v>
      </c>
      <c r="T395" s="5">
        <v>219231.85</v>
      </c>
      <c r="U395" s="5">
        <v>232385.76</v>
      </c>
      <c r="V395" s="5">
        <v>232385.76</v>
      </c>
      <c r="W395" s="5">
        <v>232385.76</v>
      </c>
      <c r="X395" s="5">
        <v>232385.76</v>
      </c>
      <c r="Y395" s="5">
        <v>232385.76</v>
      </c>
    </row>
    <row r="396" spans="1:25" hidden="1" x14ac:dyDescent="0.25">
      <c r="A396" t="s">
        <v>2611</v>
      </c>
      <c r="B396" t="s">
        <v>2477</v>
      </c>
      <c r="C396" t="s">
        <v>1889</v>
      </c>
      <c r="D396">
        <v>6074202300040060</v>
      </c>
      <c r="E396" t="str">
        <f>IF(COUNTIF(Tabela1[codProcesso],Tabela2[[#This Row],[PROCESSO]]),"Está","Não está")</f>
        <v>Não está</v>
      </c>
      <c r="F396" s="8" t="s">
        <v>2616</v>
      </c>
      <c r="G396" t="s">
        <v>2428</v>
      </c>
      <c r="H396" t="s">
        <v>2698</v>
      </c>
      <c r="I396" t="s">
        <v>2644</v>
      </c>
      <c r="J396" t="s">
        <v>2699</v>
      </c>
      <c r="K396" s="3">
        <v>45885</v>
      </c>
      <c r="L396" s="5">
        <v>2696551.75</v>
      </c>
      <c r="M396" s="5">
        <v>224712.65</v>
      </c>
      <c r="N396" s="5">
        <v>219231.85</v>
      </c>
      <c r="O396" s="5">
        <v>219231.85</v>
      </c>
      <c r="P396" s="5">
        <v>219231.85</v>
      </c>
      <c r="Q396" s="5">
        <v>219231.85</v>
      </c>
      <c r="R396" s="5">
        <v>219231.85</v>
      </c>
      <c r="S396" s="5">
        <v>219231.85</v>
      </c>
      <c r="T396" s="5">
        <v>219231.85</v>
      </c>
      <c r="U396" s="5">
        <v>232385.76</v>
      </c>
      <c r="V396" s="5">
        <v>232385.76</v>
      </c>
      <c r="W396" s="5">
        <v>232385.76</v>
      </c>
      <c r="X396" s="5">
        <v>232385.76</v>
      </c>
      <c r="Y396" s="5">
        <v>232385.76</v>
      </c>
    </row>
    <row r="397" spans="1:25" hidden="1" x14ac:dyDescent="0.25">
      <c r="A397" t="s">
        <v>2611</v>
      </c>
      <c r="B397" t="s">
        <v>2477</v>
      </c>
      <c r="C397" t="s">
        <v>1889</v>
      </c>
      <c r="D397">
        <v>6074202300040070</v>
      </c>
      <c r="E397" t="str">
        <f>IF(COUNTIF(Tabela1[codProcesso],Tabela2[[#This Row],[PROCESSO]]),"Está","Não está")</f>
        <v>Não está</v>
      </c>
      <c r="F397" s="8" t="s">
        <v>2616</v>
      </c>
      <c r="G397" t="s">
        <v>2428</v>
      </c>
      <c r="H397" t="s">
        <v>2700</v>
      </c>
      <c r="I397" t="s">
        <v>2644</v>
      </c>
      <c r="J397" t="s">
        <v>2701</v>
      </c>
      <c r="K397" s="3">
        <v>45889</v>
      </c>
      <c r="L397" s="5">
        <v>2696551.75</v>
      </c>
      <c r="M397" s="5">
        <v>224712.65</v>
      </c>
      <c r="N397" s="5">
        <v>219231.85</v>
      </c>
      <c r="O397" s="5">
        <v>219231.85</v>
      </c>
      <c r="P397" s="5">
        <v>219231.85</v>
      </c>
      <c r="Q397" s="5">
        <v>219231.85</v>
      </c>
      <c r="R397" s="5">
        <v>219231.85</v>
      </c>
      <c r="S397" s="5">
        <v>219231.85</v>
      </c>
      <c r="T397" s="5">
        <v>219231.85</v>
      </c>
      <c r="U397" s="5">
        <v>232385.76</v>
      </c>
      <c r="V397" s="5">
        <v>232385.76</v>
      </c>
      <c r="W397" s="5">
        <v>232385.76</v>
      </c>
      <c r="X397" s="5">
        <v>232385.76</v>
      </c>
      <c r="Y397" s="5">
        <v>232385.76</v>
      </c>
    </row>
    <row r="398" spans="1:25" hidden="1" x14ac:dyDescent="0.25">
      <c r="A398" t="s">
        <v>2611</v>
      </c>
      <c r="B398" t="s">
        <v>2477</v>
      </c>
      <c r="C398" t="s">
        <v>1889</v>
      </c>
      <c r="D398">
        <v>6074202300040310</v>
      </c>
      <c r="E398" t="str">
        <f>IF(COUNTIF(Tabela1[codProcesso],Tabela2[[#This Row],[PROCESSO]]),"Está","Não está")</f>
        <v>Não está</v>
      </c>
      <c r="F398" s="8" t="s">
        <v>2616</v>
      </c>
      <c r="G398" t="s">
        <v>2428</v>
      </c>
      <c r="H398" t="s">
        <v>2702</v>
      </c>
      <c r="I398" t="s">
        <v>2644</v>
      </c>
      <c r="J398" t="s">
        <v>2703</v>
      </c>
      <c r="K398" s="3">
        <v>45886</v>
      </c>
      <c r="L398" s="5">
        <v>2696551.75</v>
      </c>
      <c r="M398" s="5">
        <v>224712.65</v>
      </c>
      <c r="N398" s="5">
        <v>219231.85</v>
      </c>
      <c r="O398" s="5">
        <v>219231.85</v>
      </c>
      <c r="P398" s="5">
        <v>219231.85</v>
      </c>
      <c r="Q398" s="5">
        <v>219231.85</v>
      </c>
      <c r="R398" s="5">
        <v>219231.85</v>
      </c>
      <c r="S398" s="5">
        <v>219231.85</v>
      </c>
      <c r="T398" s="5">
        <v>219231.85</v>
      </c>
      <c r="U398" s="5">
        <v>232385.76</v>
      </c>
      <c r="V398" s="5">
        <v>232385.76</v>
      </c>
      <c r="W398" s="5">
        <v>232385.76</v>
      </c>
      <c r="X398" s="5">
        <v>232385.76</v>
      </c>
      <c r="Y398" s="5">
        <v>232385.76</v>
      </c>
    </row>
    <row r="399" spans="1:25" hidden="1" x14ac:dyDescent="0.25">
      <c r="A399" t="s">
        <v>2611</v>
      </c>
      <c r="B399" t="s">
        <v>2477</v>
      </c>
      <c r="C399" t="s">
        <v>1889</v>
      </c>
      <c r="D399">
        <v>6074202300040260</v>
      </c>
      <c r="E399" t="str">
        <f>IF(COUNTIF(Tabela1[codProcesso],Tabela2[[#This Row],[PROCESSO]]),"Está","Não está")</f>
        <v>Não está</v>
      </c>
      <c r="F399" s="8" t="s">
        <v>2616</v>
      </c>
      <c r="G399" t="s">
        <v>2428</v>
      </c>
      <c r="H399" t="s">
        <v>2704</v>
      </c>
      <c r="I399" t="s">
        <v>2644</v>
      </c>
      <c r="J399" t="s">
        <v>2705</v>
      </c>
      <c r="K399" s="3">
        <v>45886</v>
      </c>
      <c r="L399" s="5">
        <v>2696551.75</v>
      </c>
      <c r="M399" s="5">
        <v>224712.65</v>
      </c>
      <c r="N399" s="5">
        <v>219231.85</v>
      </c>
      <c r="O399" s="5">
        <v>219231.85</v>
      </c>
      <c r="P399" s="5">
        <v>219231.85</v>
      </c>
      <c r="Q399" s="5">
        <v>219231.85</v>
      </c>
      <c r="R399" s="5">
        <v>219231.85</v>
      </c>
      <c r="S399" s="5">
        <v>219231.85</v>
      </c>
      <c r="T399" s="5">
        <v>219231.85</v>
      </c>
      <c r="U399" s="5">
        <v>232385.76</v>
      </c>
      <c r="V399" s="5">
        <v>232385.76</v>
      </c>
      <c r="W399" s="5">
        <v>232385.76</v>
      </c>
      <c r="X399" s="5">
        <v>232385.76</v>
      </c>
      <c r="Y399" s="5">
        <v>232385.76</v>
      </c>
    </row>
    <row r="400" spans="1:25" hidden="1" x14ac:dyDescent="0.25">
      <c r="A400" t="s">
        <v>2611</v>
      </c>
      <c r="B400" t="s">
        <v>2477</v>
      </c>
      <c r="C400" t="s">
        <v>1889</v>
      </c>
      <c r="D400">
        <v>6074202300040430</v>
      </c>
      <c r="E400" t="str">
        <f>IF(COUNTIF(Tabela1[codProcesso],Tabela2[[#This Row],[PROCESSO]]),"Está","Não está")</f>
        <v>Não está</v>
      </c>
      <c r="F400" s="8" t="s">
        <v>2616</v>
      </c>
      <c r="G400" t="s">
        <v>2428</v>
      </c>
      <c r="H400" t="s">
        <v>2706</v>
      </c>
      <c r="I400" t="s">
        <v>2644</v>
      </c>
      <c r="J400" t="s">
        <v>2707</v>
      </c>
      <c r="K400" s="3">
        <v>45871</v>
      </c>
      <c r="L400" s="5">
        <v>2696551.75</v>
      </c>
      <c r="M400" s="5">
        <v>224712.65</v>
      </c>
      <c r="N400" s="5">
        <v>219231.85</v>
      </c>
      <c r="O400" s="5">
        <v>219231.85</v>
      </c>
      <c r="P400" s="5">
        <v>219231.85</v>
      </c>
      <c r="Q400" s="5">
        <v>219231.85</v>
      </c>
      <c r="R400" s="5">
        <v>219231.85</v>
      </c>
      <c r="S400" s="5">
        <v>219231.85</v>
      </c>
      <c r="T400" s="5">
        <v>219231.85</v>
      </c>
      <c r="U400" s="5">
        <v>232385.76</v>
      </c>
      <c r="V400" s="5">
        <v>232385.76</v>
      </c>
      <c r="W400" s="5">
        <v>232385.76</v>
      </c>
      <c r="X400" s="5">
        <v>232385.76</v>
      </c>
      <c r="Y400" s="5">
        <v>232385.76</v>
      </c>
    </row>
    <row r="401" spans="1:25" hidden="1" x14ac:dyDescent="0.25">
      <c r="A401" t="s">
        <v>2611</v>
      </c>
      <c r="B401" t="s">
        <v>2477</v>
      </c>
      <c r="C401" t="s">
        <v>1889</v>
      </c>
      <c r="D401">
        <v>6074202300040420</v>
      </c>
      <c r="E401" t="str">
        <f>IF(COUNTIF(Tabela1[codProcesso],Tabela2[[#This Row],[PROCESSO]]),"Está","Não está")</f>
        <v>Não está</v>
      </c>
      <c r="F401" s="8" t="s">
        <v>2616</v>
      </c>
      <c r="G401" t="s">
        <v>2428</v>
      </c>
      <c r="H401" t="s">
        <v>2708</v>
      </c>
      <c r="I401" t="s">
        <v>2644</v>
      </c>
      <c r="J401" t="s">
        <v>2709</v>
      </c>
      <c r="K401" s="3">
        <v>45889</v>
      </c>
      <c r="L401" s="5">
        <v>2696551.75</v>
      </c>
      <c r="M401" s="5">
        <v>224712.65</v>
      </c>
      <c r="N401" s="5">
        <v>219231.85</v>
      </c>
      <c r="O401" s="5">
        <v>219231.85</v>
      </c>
      <c r="P401" s="5">
        <v>219231.85</v>
      </c>
      <c r="Q401" s="5">
        <v>219231.85</v>
      </c>
      <c r="R401" s="5">
        <v>219231.85</v>
      </c>
      <c r="S401" s="5">
        <v>219231.85</v>
      </c>
      <c r="T401" s="5">
        <v>219231.85</v>
      </c>
      <c r="U401" s="5">
        <v>232385.76</v>
      </c>
      <c r="V401" s="5">
        <v>232385.76</v>
      </c>
      <c r="W401" s="5">
        <v>232385.76</v>
      </c>
      <c r="X401" s="5">
        <v>232385.76</v>
      </c>
      <c r="Y401" s="5">
        <v>232385.76</v>
      </c>
    </row>
    <row r="402" spans="1:25" hidden="1" x14ac:dyDescent="0.25">
      <c r="A402" t="s">
        <v>2611</v>
      </c>
      <c r="B402" t="s">
        <v>2477</v>
      </c>
      <c r="C402" t="s">
        <v>1889</v>
      </c>
      <c r="D402">
        <v>6074202300040040</v>
      </c>
      <c r="E402" t="str">
        <f>IF(COUNTIF(Tabela1[codProcesso],Tabela2[[#This Row],[PROCESSO]]),"Está","Não está")</f>
        <v>Não está</v>
      </c>
      <c r="F402" s="8" t="s">
        <v>2616</v>
      </c>
      <c r="G402" t="s">
        <v>2428</v>
      </c>
      <c r="H402" t="s">
        <v>2710</v>
      </c>
      <c r="I402" t="s">
        <v>2644</v>
      </c>
      <c r="J402" t="s">
        <v>2711</v>
      </c>
      <c r="K402" s="3">
        <v>45943</v>
      </c>
      <c r="L402" s="5">
        <v>2670243.9300000002</v>
      </c>
      <c r="M402" s="5">
        <v>222520.33</v>
      </c>
      <c r="N402" s="5">
        <v>219231.85</v>
      </c>
      <c r="O402" s="5">
        <v>219231.85</v>
      </c>
      <c r="P402" s="5">
        <v>219231.85</v>
      </c>
      <c r="Q402" s="5">
        <v>219231.85</v>
      </c>
      <c r="R402" s="5">
        <v>219231.85</v>
      </c>
      <c r="S402" s="5">
        <v>219231.85</v>
      </c>
      <c r="T402" s="5">
        <v>219231.85</v>
      </c>
      <c r="U402" s="5">
        <v>219231.85</v>
      </c>
      <c r="V402" s="5">
        <v>219231.85</v>
      </c>
      <c r="W402" s="5">
        <v>232385.76</v>
      </c>
      <c r="X402" s="5">
        <v>232385.76</v>
      </c>
      <c r="Y402" s="5">
        <v>232385.76</v>
      </c>
    </row>
    <row r="403" spans="1:25" hidden="1" x14ac:dyDescent="0.25">
      <c r="A403" t="s">
        <v>2611</v>
      </c>
      <c r="B403" t="s">
        <v>2477</v>
      </c>
      <c r="C403" t="s">
        <v>1889</v>
      </c>
      <c r="D403">
        <v>6074202300065900</v>
      </c>
      <c r="E403" t="str">
        <f>IF(COUNTIF(Tabela1[codProcesso],Tabela2[[#This Row],[PROCESSO]]),"Está","Não está")</f>
        <v>Não está</v>
      </c>
      <c r="F403" s="8" t="s">
        <v>2616</v>
      </c>
      <c r="G403" t="s">
        <v>2428</v>
      </c>
      <c r="H403" t="s">
        <v>2712</v>
      </c>
      <c r="I403" t="s">
        <v>2644</v>
      </c>
      <c r="J403" t="s">
        <v>2552</v>
      </c>
      <c r="K403" s="3">
        <v>45932</v>
      </c>
      <c r="L403" s="5">
        <v>2670243.9300000002</v>
      </c>
      <c r="M403" s="5">
        <v>222520.33</v>
      </c>
      <c r="N403" s="5">
        <v>219231.85</v>
      </c>
      <c r="O403" s="5">
        <v>219231.85</v>
      </c>
      <c r="P403" s="5">
        <v>219231.85</v>
      </c>
      <c r="Q403" s="5">
        <v>219231.85</v>
      </c>
      <c r="R403" s="5">
        <v>219231.85</v>
      </c>
      <c r="S403" s="5">
        <v>219231.85</v>
      </c>
      <c r="T403" s="5">
        <v>219231.85</v>
      </c>
      <c r="U403" s="5">
        <v>219231.85</v>
      </c>
      <c r="V403" s="5">
        <v>219231.85</v>
      </c>
      <c r="W403" s="5">
        <v>232385.76</v>
      </c>
      <c r="X403" s="5">
        <v>232385.76</v>
      </c>
      <c r="Y403" s="5">
        <v>232385.76</v>
      </c>
    </row>
    <row r="404" spans="1:25" hidden="1" x14ac:dyDescent="0.25">
      <c r="A404" t="s">
        <v>2611</v>
      </c>
      <c r="B404" t="s">
        <v>2477</v>
      </c>
      <c r="C404" t="s">
        <v>1889</v>
      </c>
      <c r="D404">
        <v>6074202300065910</v>
      </c>
      <c r="E404" t="str">
        <f>IF(COUNTIF(Tabela1[codProcesso],Tabela2[[#This Row],[PROCESSO]]),"Está","Não está")</f>
        <v>Não está</v>
      </c>
      <c r="F404" s="8" t="s">
        <v>2616</v>
      </c>
      <c r="G404" t="s">
        <v>2428</v>
      </c>
      <c r="H404" t="s">
        <v>2713</v>
      </c>
      <c r="I404" t="s">
        <v>2644</v>
      </c>
      <c r="J404" t="s">
        <v>2714</v>
      </c>
      <c r="K404" s="3">
        <v>45957</v>
      </c>
      <c r="L404" s="5">
        <v>2670243.9300000002</v>
      </c>
      <c r="M404" s="5">
        <v>222520.33</v>
      </c>
      <c r="N404" s="5">
        <v>219231.85</v>
      </c>
      <c r="O404" s="5">
        <v>219231.85</v>
      </c>
      <c r="P404" s="5">
        <v>219231.85</v>
      </c>
      <c r="Q404" s="5">
        <v>219231.85</v>
      </c>
      <c r="R404" s="5">
        <v>219231.85</v>
      </c>
      <c r="S404" s="5">
        <v>219231.85</v>
      </c>
      <c r="T404" s="5">
        <v>219231.85</v>
      </c>
      <c r="U404" s="5">
        <v>219231.85</v>
      </c>
      <c r="V404" s="5">
        <v>219231.85</v>
      </c>
      <c r="W404" s="5">
        <v>232385.76</v>
      </c>
      <c r="X404" s="5">
        <v>232385.76</v>
      </c>
      <c r="Y404" s="5">
        <v>232385.76</v>
      </c>
    </row>
    <row r="405" spans="1:25" hidden="1" x14ac:dyDescent="0.25">
      <c r="A405" t="s">
        <v>2611</v>
      </c>
      <c r="B405" t="s">
        <v>2477</v>
      </c>
      <c r="C405" t="s">
        <v>1889</v>
      </c>
      <c r="D405">
        <v>6074202300066050</v>
      </c>
      <c r="E405" t="str">
        <f>IF(COUNTIF(Tabela1[codProcesso],Tabela2[[#This Row],[PROCESSO]]),"Está","Não está")</f>
        <v>Não está</v>
      </c>
      <c r="F405" s="8" t="s">
        <v>2616</v>
      </c>
      <c r="G405" t="s">
        <v>2428</v>
      </c>
      <c r="H405" t="s">
        <v>2715</v>
      </c>
      <c r="I405" t="s">
        <v>2644</v>
      </c>
      <c r="J405" t="s">
        <v>2716</v>
      </c>
      <c r="K405" s="3">
        <v>45996</v>
      </c>
      <c r="L405" s="5">
        <v>2643936.11</v>
      </c>
      <c r="M405" s="5">
        <v>220328.01</v>
      </c>
      <c r="N405" s="5">
        <v>219231.85</v>
      </c>
      <c r="O405" s="5">
        <v>219231.85</v>
      </c>
      <c r="P405" s="5">
        <v>219231.85</v>
      </c>
      <c r="Q405" s="5">
        <v>219231.85</v>
      </c>
      <c r="R405" s="5">
        <v>219231.85</v>
      </c>
      <c r="S405" s="5">
        <v>219231.85</v>
      </c>
      <c r="T405" s="5">
        <v>219231.85</v>
      </c>
      <c r="U405" s="5">
        <v>219231.85</v>
      </c>
      <c r="V405" s="5">
        <v>219231.85</v>
      </c>
      <c r="W405" s="5">
        <v>219231.85</v>
      </c>
      <c r="X405" s="5">
        <v>219231.85</v>
      </c>
      <c r="Y405" s="5">
        <v>232385.76</v>
      </c>
    </row>
    <row r="406" spans="1:25" hidden="1" x14ac:dyDescent="0.25">
      <c r="A406" t="s">
        <v>2611</v>
      </c>
      <c r="B406" t="s">
        <v>2477</v>
      </c>
      <c r="C406" t="s">
        <v>1889</v>
      </c>
      <c r="D406">
        <v>6074202300065930</v>
      </c>
      <c r="E406" t="str">
        <f>IF(COUNTIF(Tabela1[codProcesso],Tabela2[[#This Row],[PROCESSO]]),"Está","Não está")</f>
        <v>Não está</v>
      </c>
      <c r="F406" s="8" t="s">
        <v>2616</v>
      </c>
      <c r="G406" t="s">
        <v>2428</v>
      </c>
      <c r="H406" t="s">
        <v>2717</v>
      </c>
      <c r="I406" t="s">
        <v>2644</v>
      </c>
      <c r="J406" t="s">
        <v>2718</v>
      </c>
      <c r="K406" s="3">
        <v>45947</v>
      </c>
      <c r="L406" s="5">
        <v>2657090.02</v>
      </c>
      <c r="M406" s="5">
        <v>221424.17</v>
      </c>
      <c r="N406" s="5">
        <v>219231.85</v>
      </c>
      <c r="O406" s="5">
        <v>219231.85</v>
      </c>
      <c r="P406" s="5">
        <v>219231.85</v>
      </c>
      <c r="Q406" s="5">
        <v>219231.85</v>
      </c>
      <c r="R406" s="5">
        <v>219231.85</v>
      </c>
      <c r="S406" s="5">
        <v>219231.85</v>
      </c>
      <c r="T406" s="5">
        <v>219231.85</v>
      </c>
      <c r="U406" s="5">
        <v>219231.85</v>
      </c>
      <c r="V406" s="5">
        <v>219231.85</v>
      </c>
      <c r="W406" s="5">
        <v>219231.85</v>
      </c>
      <c r="X406" s="5">
        <v>232385.76</v>
      </c>
      <c r="Y406" s="5">
        <v>232385.76</v>
      </c>
    </row>
    <row r="407" spans="1:25" hidden="1" x14ac:dyDescent="0.25">
      <c r="A407" t="s">
        <v>2611</v>
      </c>
      <c r="B407" t="s">
        <v>2477</v>
      </c>
      <c r="C407" t="s">
        <v>1889</v>
      </c>
      <c r="D407">
        <v>6074202300065950</v>
      </c>
      <c r="E407" t="str">
        <f>IF(COUNTIF(Tabela1[codProcesso],Tabela2[[#This Row],[PROCESSO]]),"Está","Não está")</f>
        <v>Não está</v>
      </c>
      <c r="F407" s="8" t="s">
        <v>2616</v>
      </c>
      <c r="G407" t="s">
        <v>2428</v>
      </c>
      <c r="H407" t="s">
        <v>2719</v>
      </c>
      <c r="I407" t="s">
        <v>2644</v>
      </c>
      <c r="J407" t="s">
        <v>2720</v>
      </c>
      <c r="K407" s="3">
        <v>45976</v>
      </c>
      <c r="L407" s="5">
        <v>2657090.02</v>
      </c>
      <c r="M407" s="5">
        <v>221424.17</v>
      </c>
      <c r="N407" s="5">
        <v>219231.85</v>
      </c>
      <c r="O407" s="5">
        <v>219231.85</v>
      </c>
      <c r="P407" s="5">
        <v>219231.85</v>
      </c>
      <c r="Q407" s="5">
        <v>219231.85</v>
      </c>
      <c r="R407" s="5">
        <v>219231.85</v>
      </c>
      <c r="S407" s="5">
        <v>219231.85</v>
      </c>
      <c r="T407" s="5">
        <v>219231.85</v>
      </c>
      <c r="U407" s="5">
        <v>219231.85</v>
      </c>
      <c r="V407" s="5">
        <v>219231.85</v>
      </c>
      <c r="W407" s="5">
        <v>219231.85</v>
      </c>
      <c r="X407" s="5">
        <v>232385.76</v>
      </c>
      <c r="Y407" s="5">
        <v>232385.76</v>
      </c>
    </row>
    <row r="408" spans="1:25" hidden="1" x14ac:dyDescent="0.25">
      <c r="A408" t="s">
        <v>2611</v>
      </c>
      <c r="B408" t="s">
        <v>2477</v>
      </c>
      <c r="C408" t="s">
        <v>1889</v>
      </c>
      <c r="D408">
        <v>6074202300065960</v>
      </c>
      <c r="E408" t="str">
        <f>IF(COUNTIF(Tabela1[codProcesso],Tabela2[[#This Row],[PROCESSO]]),"Está","Não está")</f>
        <v>Não está</v>
      </c>
      <c r="F408" s="8" t="s">
        <v>2616</v>
      </c>
      <c r="G408" t="s">
        <v>2428</v>
      </c>
      <c r="H408" t="s">
        <v>2721</v>
      </c>
      <c r="I408" t="s">
        <v>2644</v>
      </c>
      <c r="J408" t="s">
        <v>2722</v>
      </c>
      <c r="K408" s="3">
        <v>45962</v>
      </c>
      <c r="L408" s="5">
        <v>2657090.02</v>
      </c>
      <c r="M408" s="5">
        <v>221424.17</v>
      </c>
      <c r="N408" s="5">
        <v>219231.85</v>
      </c>
      <c r="O408" s="5">
        <v>219231.85</v>
      </c>
      <c r="P408" s="5">
        <v>219231.85</v>
      </c>
      <c r="Q408" s="5">
        <v>219231.85</v>
      </c>
      <c r="R408" s="5">
        <v>219231.85</v>
      </c>
      <c r="S408" s="5">
        <v>219231.85</v>
      </c>
      <c r="T408" s="5">
        <v>219231.85</v>
      </c>
      <c r="U408" s="5">
        <v>219231.85</v>
      </c>
      <c r="V408" s="5">
        <v>219231.85</v>
      </c>
      <c r="W408" s="5">
        <v>219231.85</v>
      </c>
      <c r="X408" s="5">
        <v>232385.76</v>
      </c>
      <c r="Y408" s="5">
        <v>232385.76</v>
      </c>
    </row>
    <row r="409" spans="1:25" hidden="1" x14ac:dyDescent="0.25">
      <c r="A409" t="s">
        <v>2611</v>
      </c>
      <c r="B409" t="s">
        <v>2477</v>
      </c>
      <c r="C409" t="s">
        <v>1889</v>
      </c>
      <c r="D409">
        <v>6074202300065970</v>
      </c>
      <c r="E409" t="str">
        <f>IF(COUNTIF(Tabela1[codProcesso],Tabela2[[#This Row],[PROCESSO]]),"Está","Não está")</f>
        <v>Não está</v>
      </c>
      <c r="F409" s="8" t="s">
        <v>2616</v>
      </c>
      <c r="G409" t="s">
        <v>2428</v>
      </c>
      <c r="H409" t="s">
        <v>2723</v>
      </c>
      <c r="I409" t="s">
        <v>2644</v>
      </c>
      <c r="J409" t="s">
        <v>2724</v>
      </c>
      <c r="K409" s="3">
        <v>45962</v>
      </c>
      <c r="L409" s="5">
        <v>2657090.02</v>
      </c>
      <c r="M409" s="5">
        <v>221424.17</v>
      </c>
      <c r="N409" s="5">
        <v>219231.85</v>
      </c>
      <c r="O409" s="5">
        <v>219231.85</v>
      </c>
      <c r="P409" s="5">
        <v>219231.85</v>
      </c>
      <c r="Q409" s="5">
        <v>219231.85</v>
      </c>
      <c r="R409" s="5">
        <v>219231.85</v>
      </c>
      <c r="S409" s="5">
        <v>219231.85</v>
      </c>
      <c r="T409" s="5">
        <v>219231.85</v>
      </c>
      <c r="U409" s="5">
        <v>219231.85</v>
      </c>
      <c r="V409" s="5">
        <v>219231.85</v>
      </c>
      <c r="W409" s="5">
        <v>219231.85</v>
      </c>
      <c r="X409" s="5">
        <v>232385.76</v>
      </c>
      <c r="Y409" s="5">
        <v>232385.76</v>
      </c>
    </row>
    <row r="410" spans="1:25" hidden="1" x14ac:dyDescent="0.25">
      <c r="A410" t="s">
        <v>2611</v>
      </c>
      <c r="B410" t="s">
        <v>2477</v>
      </c>
      <c r="C410" t="s">
        <v>1889</v>
      </c>
      <c r="D410">
        <v>6074202300065850</v>
      </c>
      <c r="E410" t="str">
        <f>IF(COUNTIF(Tabela1[codProcesso],Tabela2[[#This Row],[PROCESSO]]),"Está","Não está")</f>
        <v>Não está</v>
      </c>
      <c r="F410" s="8" t="s">
        <v>2616</v>
      </c>
      <c r="G410" t="s">
        <v>2428</v>
      </c>
      <c r="H410" t="s">
        <v>2725</v>
      </c>
      <c r="I410" t="s">
        <v>2644</v>
      </c>
      <c r="J410" t="s">
        <v>2726</v>
      </c>
      <c r="K410" s="3">
        <v>45940</v>
      </c>
      <c r="L410" s="5">
        <v>2670243.9300000002</v>
      </c>
      <c r="M410" s="5">
        <v>222520.33</v>
      </c>
      <c r="N410" s="5">
        <v>219231.85</v>
      </c>
      <c r="O410" s="5">
        <v>219231.85</v>
      </c>
      <c r="P410" s="5">
        <v>219231.85</v>
      </c>
      <c r="Q410" s="5">
        <v>219231.85</v>
      </c>
      <c r="R410" s="5">
        <v>219231.85</v>
      </c>
      <c r="S410" s="5">
        <v>219231.85</v>
      </c>
      <c r="T410" s="5">
        <v>219231.85</v>
      </c>
      <c r="U410" s="5">
        <v>219231.85</v>
      </c>
      <c r="V410" s="5">
        <v>219231.85</v>
      </c>
      <c r="W410" s="5">
        <v>232385.76</v>
      </c>
      <c r="X410" s="5">
        <v>232385.76</v>
      </c>
      <c r="Y410" s="5">
        <v>232385.76</v>
      </c>
    </row>
    <row r="411" spans="1:25" hidden="1" x14ac:dyDescent="0.25">
      <c r="A411" t="s">
        <v>2611</v>
      </c>
      <c r="B411" t="s">
        <v>2477</v>
      </c>
      <c r="C411" t="s">
        <v>1889</v>
      </c>
      <c r="D411">
        <v>6074202300066080</v>
      </c>
      <c r="E411" t="str">
        <f>IF(COUNTIF(Tabela1[codProcesso],Tabela2[[#This Row],[PROCESSO]]),"Está","Não está")</f>
        <v>Não está</v>
      </c>
      <c r="F411" s="8" t="s">
        <v>2616</v>
      </c>
      <c r="G411" t="s">
        <v>2428</v>
      </c>
      <c r="H411" t="s">
        <v>2727</v>
      </c>
      <c r="I411" t="s">
        <v>2644</v>
      </c>
      <c r="J411" t="s">
        <v>2728</v>
      </c>
      <c r="K411" s="3">
        <v>45947</v>
      </c>
      <c r="L411" s="5">
        <v>2657090.02</v>
      </c>
      <c r="M411" s="5">
        <v>221424.17</v>
      </c>
      <c r="N411" s="5">
        <v>219231.85</v>
      </c>
      <c r="O411" s="5">
        <v>219231.85</v>
      </c>
      <c r="P411" s="5">
        <v>219231.85</v>
      </c>
      <c r="Q411" s="5">
        <v>219231.85</v>
      </c>
      <c r="R411" s="5">
        <v>219231.85</v>
      </c>
      <c r="S411" s="5">
        <v>219231.85</v>
      </c>
      <c r="T411" s="5">
        <v>219231.85</v>
      </c>
      <c r="U411" s="5">
        <v>219231.85</v>
      </c>
      <c r="V411" s="5">
        <v>219231.85</v>
      </c>
      <c r="W411" s="5">
        <v>219231.85</v>
      </c>
      <c r="X411" s="5">
        <v>232385.76</v>
      </c>
      <c r="Y411" s="5">
        <v>232385.76</v>
      </c>
    </row>
    <row r="412" spans="1:25" hidden="1" x14ac:dyDescent="0.25">
      <c r="A412" t="s">
        <v>2611</v>
      </c>
      <c r="B412" t="s">
        <v>2477</v>
      </c>
      <c r="C412" t="s">
        <v>1889</v>
      </c>
      <c r="D412">
        <v>6074202300066090</v>
      </c>
      <c r="E412" t="str">
        <f>IF(COUNTIF(Tabela1[codProcesso],Tabela2[[#This Row],[PROCESSO]]),"Está","Não está")</f>
        <v>Não está</v>
      </c>
      <c r="F412" s="8" t="s">
        <v>2616</v>
      </c>
      <c r="G412" t="s">
        <v>2428</v>
      </c>
      <c r="H412" t="s">
        <v>2729</v>
      </c>
      <c r="I412" t="s">
        <v>2644</v>
      </c>
      <c r="J412" t="s">
        <v>2730</v>
      </c>
      <c r="K412" s="3">
        <v>46000</v>
      </c>
      <c r="L412" s="5">
        <v>2643936.11</v>
      </c>
      <c r="M412" s="5">
        <v>220328.01</v>
      </c>
      <c r="N412" s="5">
        <v>219231.85</v>
      </c>
      <c r="O412" s="5">
        <v>219231.85</v>
      </c>
      <c r="P412" s="5">
        <v>219231.85</v>
      </c>
      <c r="Q412" s="5">
        <v>219231.85</v>
      </c>
      <c r="R412" s="5">
        <v>219231.85</v>
      </c>
      <c r="S412" s="5">
        <v>219231.85</v>
      </c>
      <c r="T412" s="5">
        <v>219231.85</v>
      </c>
      <c r="U412" s="5">
        <v>219231.85</v>
      </c>
      <c r="V412" s="5">
        <v>219231.85</v>
      </c>
      <c r="W412" s="5">
        <v>219231.85</v>
      </c>
      <c r="X412" s="5">
        <v>219231.85</v>
      </c>
      <c r="Y412" s="5">
        <v>232385.76</v>
      </c>
    </row>
    <row r="413" spans="1:25" hidden="1" x14ac:dyDescent="0.25">
      <c r="A413" t="s">
        <v>2611</v>
      </c>
      <c r="B413" t="s">
        <v>2477</v>
      </c>
      <c r="C413" t="s">
        <v>1889</v>
      </c>
      <c r="D413">
        <v>6074202300066150</v>
      </c>
      <c r="E413" t="str">
        <f>IF(COUNTIF(Tabela1[codProcesso],Tabela2[[#This Row],[PROCESSO]]),"Está","Não está")</f>
        <v>Não está</v>
      </c>
      <c r="F413" s="8" t="s">
        <v>2616</v>
      </c>
      <c r="G413" t="s">
        <v>2428</v>
      </c>
      <c r="H413" t="s">
        <v>2731</v>
      </c>
      <c r="I413" t="s">
        <v>2644</v>
      </c>
      <c r="J413" t="s">
        <v>2732</v>
      </c>
      <c r="K413" s="3">
        <v>45970</v>
      </c>
      <c r="L413" s="5">
        <v>2657090.02</v>
      </c>
      <c r="M413" s="5">
        <v>221424.17</v>
      </c>
      <c r="N413" s="5">
        <v>219231.85</v>
      </c>
      <c r="O413" s="5">
        <v>219231.85</v>
      </c>
      <c r="P413" s="5">
        <v>219231.85</v>
      </c>
      <c r="Q413" s="5">
        <v>219231.85</v>
      </c>
      <c r="R413" s="5">
        <v>219231.85</v>
      </c>
      <c r="S413" s="5">
        <v>219231.85</v>
      </c>
      <c r="T413" s="5">
        <v>219231.85</v>
      </c>
      <c r="U413" s="5">
        <v>219231.85</v>
      </c>
      <c r="V413" s="5">
        <v>219231.85</v>
      </c>
      <c r="W413" s="5">
        <v>219231.85</v>
      </c>
      <c r="X413" s="5">
        <v>232385.76</v>
      </c>
      <c r="Y413" s="5">
        <v>232385.76</v>
      </c>
    </row>
    <row r="414" spans="1:25" hidden="1" x14ac:dyDescent="0.25">
      <c r="A414" t="s">
        <v>2611</v>
      </c>
      <c r="B414" t="s">
        <v>2477</v>
      </c>
      <c r="C414" t="s">
        <v>1889</v>
      </c>
      <c r="D414">
        <v>6074202300066190</v>
      </c>
      <c r="E414" t="str">
        <f>IF(COUNTIF(Tabela1[codProcesso],Tabela2[[#This Row],[PROCESSO]]),"Está","Não está")</f>
        <v>Não está</v>
      </c>
      <c r="F414" s="8" t="s">
        <v>2616</v>
      </c>
      <c r="G414" t="s">
        <v>2428</v>
      </c>
      <c r="H414" t="s">
        <v>2733</v>
      </c>
      <c r="I414" t="s">
        <v>2644</v>
      </c>
      <c r="J414" t="s">
        <v>2734</v>
      </c>
      <c r="K414" s="3">
        <v>45935</v>
      </c>
      <c r="L414" s="5">
        <v>2670243.9300000002</v>
      </c>
      <c r="M414" s="5">
        <v>222520.33</v>
      </c>
      <c r="N414" s="5">
        <v>219231.85</v>
      </c>
      <c r="O414" s="5">
        <v>219231.85</v>
      </c>
      <c r="P414" s="5">
        <v>219231.85</v>
      </c>
      <c r="Q414" s="5">
        <v>219231.85</v>
      </c>
      <c r="R414" s="5">
        <v>219231.85</v>
      </c>
      <c r="S414" s="5">
        <v>219231.85</v>
      </c>
      <c r="T414" s="5">
        <v>219231.85</v>
      </c>
      <c r="U414" s="5">
        <v>219231.85</v>
      </c>
      <c r="V414" s="5">
        <v>219231.85</v>
      </c>
      <c r="W414" s="5">
        <v>232385.76</v>
      </c>
      <c r="X414" s="5">
        <v>232385.76</v>
      </c>
      <c r="Y414" s="5">
        <v>232385.76</v>
      </c>
    </row>
    <row r="415" spans="1:25" hidden="1" x14ac:dyDescent="0.25">
      <c r="A415" t="s">
        <v>2611</v>
      </c>
      <c r="B415" t="s">
        <v>2477</v>
      </c>
      <c r="C415" t="s">
        <v>1889</v>
      </c>
      <c r="D415">
        <v>6074202300066210</v>
      </c>
      <c r="E415" t="str">
        <f>IF(COUNTIF(Tabela1[codProcesso],Tabela2[[#This Row],[PROCESSO]]),"Está","Não está")</f>
        <v>Não está</v>
      </c>
      <c r="F415" s="8" t="s">
        <v>2616</v>
      </c>
      <c r="G415" t="s">
        <v>2428</v>
      </c>
      <c r="H415" t="s">
        <v>2735</v>
      </c>
      <c r="I415" t="s">
        <v>2644</v>
      </c>
      <c r="J415" t="s">
        <v>2736</v>
      </c>
      <c r="K415" s="3">
        <v>45977</v>
      </c>
      <c r="L415" s="5">
        <v>2657090.02</v>
      </c>
      <c r="M415" s="5">
        <v>221424.17</v>
      </c>
      <c r="N415" s="5">
        <v>219231.85</v>
      </c>
      <c r="O415" s="5">
        <v>219231.85</v>
      </c>
      <c r="P415" s="5">
        <v>219231.85</v>
      </c>
      <c r="Q415" s="5">
        <v>219231.85</v>
      </c>
      <c r="R415" s="5">
        <v>219231.85</v>
      </c>
      <c r="S415" s="5">
        <v>219231.85</v>
      </c>
      <c r="T415" s="5">
        <v>219231.85</v>
      </c>
      <c r="U415" s="5">
        <v>219231.85</v>
      </c>
      <c r="V415" s="5">
        <v>219231.85</v>
      </c>
      <c r="W415" s="5">
        <v>219231.85</v>
      </c>
      <c r="X415" s="5">
        <v>232385.76</v>
      </c>
      <c r="Y415" s="5">
        <v>232385.76</v>
      </c>
    </row>
    <row r="416" spans="1:25" hidden="1" x14ac:dyDescent="0.25">
      <c r="A416" t="s">
        <v>2611</v>
      </c>
      <c r="B416" t="s">
        <v>2477</v>
      </c>
      <c r="C416" t="s">
        <v>1889</v>
      </c>
      <c r="D416">
        <v>6074202300066000</v>
      </c>
      <c r="E416" t="str">
        <f>IF(COUNTIF(Tabela1[codProcesso],Tabela2[[#This Row],[PROCESSO]]),"Está","Não está")</f>
        <v>Não está</v>
      </c>
      <c r="F416" s="8" t="s">
        <v>2616</v>
      </c>
      <c r="G416" t="s">
        <v>2428</v>
      </c>
      <c r="H416" t="s">
        <v>2737</v>
      </c>
      <c r="I416" t="s">
        <v>2644</v>
      </c>
      <c r="J416" t="s">
        <v>2738</v>
      </c>
      <c r="K416" s="3">
        <v>45957</v>
      </c>
      <c r="L416" s="5">
        <v>2657090.02</v>
      </c>
      <c r="M416" s="5">
        <v>221424.17</v>
      </c>
      <c r="N416" s="5">
        <v>219231.85</v>
      </c>
      <c r="O416" s="5">
        <v>219231.85</v>
      </c>
      <c r="P416" s="5">
        <v>219231.85</v>
      </c>
      <c r="Q416" s="5">
        <v>219231.85</v>
      </c>
      <c r="R416" s="5">
        <v>219231.85</v>
      </c>
      <c r="S416" s="5">
        <v>219231.85</v>
      </c>
      <c r="T416" s="5">
        <v>219231.85</v>
      </c>
      <c r="U416" s="5">
        <v>219231.85</v>
      </c>
      <c r="V416" s="5">
        <v>219231.85</v>
      </c>
      <c r="W416" s="5">
        <v>219231.85</v>
      </c>
      <c r="X416" s="5">
        <v>232385.76</v>
      </c>
      <c r="Y416" s="5">
        <v>232385.76</v>
      </c>
    </row>
    <row r="417" spans="1:25" hidden="1" x14ac:dyDescent="0.25">
      <c r="A417" t="s">
        <v>2611</v>
      </c>
      <c r="B417" t="s">
        <v>2477</v>
      </c>
      <c r="C417" t="s">
        <v>1889</v>
      </c>
      <c r="D417">
        <v>6074202300065840</v>
      </c>
      <c r="E417" t="str">
        <f>IF(COUNTIF(Tabela1[codProcesso],Tabela2[[#This Row],[PROCESSO]]),"Está","Não está")</f>
        <v>Não está</v>
      </c>
      <c r="F417" s="8" t="s">
        <v>2616</v>
      </c>
      <c r="G417" t="s">
        <v>2428</v>
      </c>
      <c r="H417" t="s">
        <v>2739</v>
      </c>
      <c r="I417" t="s">
        <v>2644</v>
      </c>
      <c r="J417" t="s">
        <v>2740</v>
      </c>
      <c r="K417" s="3">
        <v>45962</v>
      </c>
      <c r="L417" s="5">
        <v>2657090.02</v>
      </c>
      <c r="M417" s="5">
        <v>221424.17</v>
      </c>
      <c r="N417" s="5">
        <v>219231.85</v>
      </c>
      <c r="O417" s="5">
        <v>219231.85</v>
      </c>
      <c r="P417" s="5">
        <v>219231.85</v>
      </c>
      <c r="Q417" s="5">
        <v>219231.85</v>
      </c>
      <c r="R417" s="5">
        <v>219231.85</v>
      </c>
      <c r="S417" s="5">
        <v>219231.85</v>
      </c>
      <c r="T417" s="5">
        <v>219231.85</v>
      </c>
      <c r="U417" s="5">
        <v>219231.85</v>
      </c>
      <c r="V417" s="5">
        <v>219231.85</v>
      </c>
      <c r="W417" s="5">
        <v>219231.85</v>
      </c>
      <c r="X417" s="5">
        <v>232385.76</v>
      </c>
      <c r="Y417" s="5">
        <v>232385.76</v>
      </c>
    </row>
    <row r="418" spans="1:25" hidden="1" x14ac:dyDescent="0.25">
      <c r="A418" t="s">
        <v>2611</v>
      </c>
      <c r="B418" t="s">
        <v>2477</v>
      </c>
      <c r="C418" t="s">
        <v>1889</v>
      </c>
      <c r="D418">
        <v>6074202300066100</v>
      </c>
      <c r="E418" t="str">
        <f>IF(COUNTIF(Tabela1[codProcesso],Tabela2[[#This Row],[PROCESSO]]),"Está","Não está")</f>
        <v>Não está</v>
      </c>
      <c r="F418" s="8" t="s">
        <v>2616</v>
      </c>
      <c r="G418" t="s">
        <v>2428</v>
      </c>
      <c r="H418" t="s">
        <v>2741</v>
      </c>
      <c r="I418" t="s">
        <v>2644</v>
      </c>
      <c r="J418" t="s">
        <v>2742</v>
      </c>
      <c r="K418" s="3">
        <v>45957</v>
      </c>
      <c r="L418" s="5">
        <v>2657090.02</v>
      </c>
      <c r="M418" s="5">
        <v>221424.17</v>
      </c>
      <c r="N418" s="5">
        <v>219231.85</v>
      </c>
      <c r="O418" s="5">
        <v>219231.85</v>
      </c>
      <c r="P418" s="5">
        <v>219231.85</v>
      </c>
      <c r="Q418" s="5">
        <v>219231.85</v>
      </c>
      <c r="R418" s="5">
        <v>219231.85</v>
      </c>
      <c r="S418" s="5">
        <v>219231.85</v>
      </c>
      <c r="T418" s="5">
        <v>219231.85</v>
      </c>
      <c r="U418" s="5">
        <v>219231.85</v>
      </c>
      <c r="V418" s="5">
        <v>219231.85</v>
      </c>
      <c r="W418" s="5">
        <v>219231.85</v>
      </c>
      <c r="X418" s="5">
        <v>232385.76</v>
      </c>
      <c r="Y418" s="5">
        <v>232385.76</v>
      </c>
    </row>
    <row r="419" spans="1:25" hidden="1" x14ac:dyDescent="0.25">
      <c r="A419" t="s">
        <v>2611</v>
      </c>
      <c r="B419" t="s">
        <v>2477</v>
      </c>
      <c r="C419" t="s">
        <v>1889</v>
      </c>
      <c r="D419">
        <v>6074202300066140</v>
      </c>
      <c r="E419" t="str">
        <f>IF(COUNTIF(Tabela1[codProcesso],Tabela2[[#This Row],[PROCESSO]]),"Está","Não está")</f>
        <v>Não está</v>
      </c>
      <c r="F419" s="8" t="s">
        <v>2616</v>
      </c>
      <c r="G419" t="s">
        <v>2428</v>
      </c>
      <c r="H419" t="s">
        <v>2743</v>
      </c>
      <c r="I419" t="s">
        <v>2644</v>
      </c>
      <c r="J419" t="s">
        <v>2744</v>
      </c>
      <c r="K419" s="3">
        <v>45955</v>
      </c>
      <c r="L419" s="5">
        <v>2657090.02</v>
      </c>
      <c r="M419" s="5">
        <v>221424.17</v>
      </c>
      <c r="N419" s="5">
        <v>219231.85</v>
      </c>
      <c r="O419" s="5">
        <v>219231.85</v>
      </c>
      <c r="P419" s="5">
        <v>219231.85</v>
      </c>
      <c r="Q419" s="5">
        <v>219231.85</v>
      </c>
      <c r="R419" s="5">
        <v>219231.85</v>
      </c>
      <c r="S419" s="5">
        <v>219231.85</v>
      </c>
      <c r="T419" s="5">
        <v>219231.85</v>
      </c>
      <c r="U419" s="5">
        <v>219231.85</v>
      </c>
      <c r="V419" s="5">
        <v>219231.85</v>
      </c>
      <c r="W419" s="5">
        <v>219231.85</v>
      </c>
      <c r="X419" s="5">
        <v>232385.76</v>
      </c>
      <c r="Y419" s="5">
        <v>232385.76</v>
      </c>
    </row>
    <row r="420" spans="1:25" hidden="1" x14ac:dyDescent="0.25">
      <c r="A420" t="s">
        <v>2611</v>
      </c>
      <c r="B420" t="s">
        <v>2477</v>
      </c>
      <c r="C420" t="s">
        <v>1889</v>
      </c>
      <c r="D420">
        <v>6074202300066160</v>
      </c>
      <c r="E420" t="str">
        <f>IF(COUNTIF(Tabela1[codProcesso],Tabela2[[#This Row],[PROCESSO]]),"Está","Não está")</f>
        <v>Não está</v>
      </c>
      <c r="F420" s="8" t="s">
        <v>2616</v>
      </c>
      <c r="G420" t="s">
        <v>2428</v>
      </c>
      <c r="H420" t="s">
        <v>2745</v>
      </c>
      <c r="I420" t="s">
        <v>2644</v>
      </c>
      <c r="J420" t="s">
        <v>2746</v>
      </c>
      <c r="K420" s="3">
        <v>45977</v>
      </c>
      <c r="L420" s="5">
        <v>2657090.02</v>
      </c>
      <c r="M420" s="5">
        <v>221424.17</v>
      </c>
      <c r="N420" s="5">
        <v>219231.85</v>
      </c>
      <c r="O420" s="5">
        <v>219231.85</v>
      </c>
      <c r="P420" s="5">
        <v>219231.85</v>
      </c>
      <c r="Q420" s="5">
        <v>219231.85</v>
      </c>
      <c r="R420" s="5">
        <v>219231.85</v>
      </c>
      <c r="S420" s="5">
        <v>219231.85</v>
      </c>
      <c r="T420" s="5">
        <v>219231.85</v>
      </c>
      <c r="U420" s="5">
        <v>219231.85</v>
      </c>
      <c r="V420" s="5">
        <v>219231.85</v>
      </c>
      <c r="W420" s="5">
        <v>219231.85</v>
      </c>
      <c r="X420" s="5">
        <v>232385.76</v>
      </c>
      <c r="Y420" s="5">
        <v>232385.76</v>
      </c>
    </row>
    <row r="421" spans="1:25" hidden="1" x14ac:dyDescent="0.25">
      <c r="A421" t="s">
        <v>2611</v>
      </c>
      <c r="B421" t="s">
        <v>2477</v>
      </c>
      <c r="C421" t="s">
        <v>1889</v>
      </c>
      <c r="D421">
        <v>6074202300066110</v>
      </c>
      <c r="E421" t="str">
        <f>IF(COUNTIF(Tabela1[codProcesso],Tabela2[[#This Row],[PROCESSO]]),"Está","Não está")</f>
        <v>Não está</v>
      </c>
      <c r="F421" s="8" t="s">
        <v>2616</v>
      </c>
      <c r="G421" t="s">
        <v>2428</v>
      </c>
      <c r="H421" t="s">
        <v>2747</v>
      </c>
      <c r="I421" t="s">
        <v>2644</v>
      </c>
      <c r="J421" t="s">
        <v>2748</v>
      </c>
      <c r="K421" s="3">
        <v>45964</v>
      </c>
      <c r="L421" s="5">
        <v>2657090.02</v>
      </c>
      <c r="M421" s="5">
        <v>221424.17</v>
      </c>
      <c r="N421" s="5">
        <v>219231.85</v>
      </c>
      <c r="O421" s="5">
        <v>219231.85</v>
      </c>
      <c r="P421" s="5">
        <v>219231.85</v>
      </c>
      <c r="Q421" s="5">
        <v>219231.85</v>
      </c>
      <c r="R421" s="5">
        <v>219231.85</v>
      </c>
      <c r="S421" s="5">
        <v>219231.85</v>
      </c>
      <c r="T421" s="5">
        <v>219231.85</v>
      </c>
      <c r="U421" s="5">
        <v>219231.85</v>
      </c>
      <c r="V421" s="5">
        <v>219231.85</v>
      </c>
      <c r="W421" s="5">
        <v>219231.85</v>
      </c>
      <c r="X421" s="5">
        <v>232385.76</v>
      </c>
      <c r="Y421" s="5">
        <v>232385.76</v>
      </c>
    </row>
    <row r="422" spans="1:25" hidden="1" x14ac:dyDescent="0.25">
      <c r="A422" t="s">
        <v>2611</v>
      </c>
      <c r="B422" t="s">
        <v>2477</v>
      </c>
      <c r="C422" t="s">
        <v>1889</v>
      </c>
      <c r="D422">
        <v>6074202300066170</v>
      </c>
      <c r="E422" t="str">
        <f>IF(COUNTIF(Tabela1[codProcesso],Tabela2[[#This Row],[PROCESSO]]),"Está","Não está")</f>
        <v>Não está</v>
      </c>
      <c r="F422" s="8" t="s">
        <v>2616</v>
      </c>
      <c r="G422" t="s">
        <v>2428</v>
      </c>
      <c r="H422" t="s">
        <v>2749</v>
      </c>
      <c r="I422" t="s">
        <v>2644</v>
      </c>
      <c r="J422" t="s">
        <v>2750</v>
      </c>
      <c r="K422" s="3">
        <v>45971</v>
      </c>
      <c r="L422" s="5">
        <v>2657090.02</v>
      </c>
      <c r="M422" s="5">
        <v>221424.17</v>
      </c>
      <c r="N422" s="5">
        <v>219231.85</v>
      </c>
      <c r="O422" s="5">
        <v>219231.85</v>
      </c>
      <c r="P422" s="5">
        <v>219231.85</v>
      </c>
      <c r="Q422" s="5">
        <v>219231.85</v>
      </c>
      <c r="R422" s="5">
        <v>219231.85</v>
      </c>
      <c r="S422" s="5">
        <v>219231.85</v>
      </c>
      <c r="T422" s="5">
        <v>219231.85</v>
      </c>
      <c r="U422" s="5">
        <v>219231.85</v>
      </c>
      <c r="V422" s="5">
        <v>219231.85</v>
      </c>
      <c r="W422" s="5">
        <v>219231.85</v>
      </c>
      <c r="X422" s="5">
        <v>232385.76</v>
      </c>
      <c r="Y422" s="5">
        <v>232385.76</v>
      </c>
    </row>
    <row r="423" spans="1:25" hidden="1" x14ac:dyDescent="0.25">
      <c r="A423" t="s">
        <v>2611</v>
      </c>
      <c r="B423" t="s">
        <v>2477</v>
      </c>
      <c r="C423" t="s">
        <v>1889</v>
      </c>
      <c r="D423">
        <v>6074202300066200</v>
      </c>
      <c r="E423" t="str">
        <f>IF(COUNTIF(Tabela1[codProcesso],Tabela2[[#This Row],[PROCESSO]]),"Está","Não está")</f>
        <v>Não está</v>
      </c>
      <c r="F423" s="8" t="s">
        <v>2616</v>
      </c>
      <c r="G423" t="s">
        <v>2428</v>
      </c>
      <c r="H423" t="s">
        <v>2751</v>
      </c>
      <c r="I423" t="s">
        <v>2644</v>
      </c>
      <c r="J423" t="s">
        <v>2752</v>
      </c>
      <c r="K423" s="3">
        <v>45980</v>
      </c>
      <c r="L423" s="5">
        <v>2657090.02</v>
      </c>
      <c r="M423" s="5">
        <v>221424.17</v>
      </c>
      <c r="N423" s="5">
        <v>219231.85</v>
      </c>
      <c r="O423" s="5">
        <v>219231.85</v>
      </c>
      <c r="P423" s="5">
        <v>219231.85</v>
      </c>
      <c r="Q423" s="5">
        <v>219231.85</v>
      </c>
      <c r="R423" s="5">
        <v>219231.85</v>
      </c>
      <c r="S423" s="5">
        <v>219231.85</v>
      </c>
      <c r="T423" s="5">
        <v>219231.85</v>
      </c>
      <c r="U423" s="5">
        <v>219231.85</v>
      </c>
      <c r="V423" s="5">
        <v>219231.85</v>
      </c>
      <c r="W423" s="5">
        <v>219231.85</v>
      </c>
      <c r="X423" s="5">
        <v>232385.76</v>
      </c>
      <c r="Y423" s="5">
        <v>232385.76</v>
      </c>
    </row>
    <row r="424" spans="1:25" hidden="1" x14ac:dyDescent="0.25">
      <c r="A424" t="s">
        <v>2611</v>
      </c>
      <c r="B424" t="s">
        <v>2477</v>
      </c>
      <c r="C424" t="s">
        <v>1889</v>
      </c>
      <c r="D424">
        <v>6074202300065890</v>
      </c>
      <c r="E424" t="str">
        <f>IF(COUNTIF(Tabela1[codProcesso],Tabela2[[#This Row],[PROCESSO]]),"Está","Não está")</f>
        <v>Não está</v>
      </c>
      <c r="F424" s="8" t="s">
        <v>2616</v>
      </c>
      <c r="G424" t="s">
        <v>2428</v>
      </c>
      <c r="H424" t="s">
        <v>2753</v>
      </c>
      <c r="I424" t="s">
        <v>2644</v>
      </c>
      <c r="J424" t="s">
        <v>2754</v>
      </c>
      <c r="K424" s="3">
        <v>45971</v>
      </c>
      <c r="L424" s="5">
        <v>2657090.02</v>
      </c>
      <c r="M424" s="5">
        <v>221424.17</v>
      </c>
      <c r="N424" s="5">
        <v>219231.85</v>
      </c>
      <c r="O424" s="5">
        <v>219231.85</v>
      </c>
      <c r="P424" s="5">
        <v>219231.85</v>
      </c>
      <c r="Q424" s="5">
        <v>219231.85</v>
      </c>
      <c r="R424" s="5">
        <v>219231.85</v>
      </c>
      <c r="S424" s="5">
        <v>219231.85</v>
      </c>
      <c r="T424" s="5">
        <v>219231.85</v>
      </c>
      <c r="U424" s="5">
        <v>219231.85</v>
      </c>
      <c r="V424" s="5">
        <v>219231.85</v>
      </c>
      <c r="W424" s="5">
        <v>219231.85</v>
      </c>
      <c r="X424" s="5">
        <v>232385.76</v>
      </c>
      <c r="Y424" s="5">
        <v>232385.76</v>
      </c>
    </row>
    <row r="425" spans="1:25" hidden="1" x14ac:dyDescent="0.25">
      <c r="A425" t="s">
        <v>2611</v>
      </c>
      <c r="B425" t="s">
        <v>2477</v>
      </c>
      <c r="C425" t="s">
        <v>1889</v>
      </c>
      <c r="D425">
        <v>6074202300065980</v>
      </c>
      <c r="E425" t="str">
        <f>IF(COUNTIF(Tabela1[codProcesso],Tabela2[[#This Row],[PROCESSO]]),"Está","Não está")</f>
        <v>Não está</v>
      </c>
      <c r="F425" s="8" t="s">
        <v>2616</v>
      </c>
      <c r="G425" t="s">
        <v>2428</v>
      </c>
      <c r="H425" t="s">
        <v>2755</v>
      </c>
      <c r="I425" t="s">
        <v>2644</v>
      </c>
      <c r="J425" t="s">
        <v>2756</v>
      </c>
      <c r="K425" s="3">
        <v>45978</v>
      </c>
      <c r="L425" s="5">
        <v>2657090.02</v>
      </c>
      <c r="M425" s="5">
        <v>221424.17</v>
      </c>
      <c r="N425" s="5">
        <v>219231.85</v>
      </c>
      <c r="O425" s="5">
        <v>219231.85</v>
      </c>
      <c r="P425" s="5">
        <v>219231.85</v>
      </c>
      <c r="Q425" s="5">
        <v>219231.85</v>
      </c>
      <c r="R425" s="5">
        <v>219231.85</v>
      </c>
      <c r="S425" s="5">
        <v>219231.85</v>
      </c>
      <c r="T425" s="5">
        <v>219231.85</v>
      </c>
      <c r="U425" s="5">
        <v>219231.85</v>
      </c>
      <c r="V425" s="5">
        <v>219231.85</v>
      </c>
      <c r="W425" s="5">
        <v>219231.85</v>
      </c>
      <c r="X425" s="5">
        <v>232385.76</v>
      </c>
      <c r="Y425" s="5">
        <v>232385.76</v>
      </c>
    </row>
    <row r="426" spans="1:25" hidden="1" x14ac:dyDescent="0.25">
      <c r="A426" t="s">
        <v>2611</v>
      </c>
      <c r="B426" t="s">
        <v>2477</v>
      </c>
      <c r="C426" t="s">
        <v>1889</v>
      </c>
      <c r="D426">
        <v>6074202300066220</v>
      </c>
      <c r="E426" t="str">
        <f>IF(COUNTIF(Tabela1[codProcesso],Tabela2[[#This Row],[PROCESSO]]),"Está","Não está")</f>
        <v>Não está</v>
      </c>
      <c r="F426" s="8" t="s">
        <v>2616</v>
      </c>
      <c r="G426" t="s">
        <v>2428</v>
      </c>
      <c r="H426" t="s">
        <v>2757</v>
      </c>
      <c r="I426" t="s">
        <v>2644</v>
      </c>
      <c r="J426" t="s">
        <v>2758</v>
      </c>
      <c r="K426" s="3">
        <v>45979</v>
      </c>
      <c r="L426" s="5">
        <v>2657090.02</v>
      </c>
      <c r="M426" s="5">
        <v>221424.17</v>
      </c>
      <c r="N426" s="5">
        <v>219231.85</v>
      </c>
      <c r="O426" s="5">
        <v>219231.85</v>
      </c>
      <c r="P426" s="5">
        <v>219231.85</v>
      </c>
      <c r="Q426" s="5">
        <v>219231.85</v>
      </c>
      <c r="R426" s="5">
        <v>219231.85</v>
      </c>
      <c r="S426" s="5">
        <v>219231.85</v>
      </c>
      <c r="T426" s="5">
        <v>219231.85</v>
      </c>
      <c r="U426" s="5">
        <v>219231.85</v>
      </c>
      <c r="V426" s="5">
        <v>219231.85</v>
      </c>
      <c r="W426" s="5">
        <v>219231.85</v>
      </c>
      <c r="X426" s="5">
        <v>232385.76</v>
      </c>
      <c r="Y426" s="5">
        <v>232385.76</v>
      </c>
    </row>
    <row r="427" spans="1:25" hidden="1" x14ac:dyDescent="0.25">
      <c r="A427" t="s">
        <v>2611</v>
      </c>
      <c r="B427" t="s">
        <v>2477</v>
      </c>
      <c r="C427" t="s">
        <v>1889</v>
      </c>
      <c r="D427">
        <v>6074202300066030</v>
      </c>
      <c r="E427" t="str">
        <f>IF(COUNTIF(Tabela1[codProcesso],Tabela2[[#This Row],[PROCESSO]]),"Está","Não está")</f>
        <v>Não está</v>
      </c>
      <c r="F427" s="8" t="s">
        <v>2616</v>
      </c>
      <c r="G427" t="s">
        <v>2428</v>
      </c>
      <c r="H427" t="s">
        <v>2759</v>
      </c>
      <c r="I427" t="s">
        <v>2644</v>
      </c>
      <c r="J427" t="s">
        <v>2760</v>
      </c>
      <c r="K427" s="3">
        <v>45997</v>
      </c>
      <c r="L427" s="5">
        <v>2643936.11</v>
      </c>
      <c r="M427" s="5">
        <v>220328.01</v>
      </c>
      <c r="N427" s="5">
        <v>219231.85</v>
      </c>
      <c r="O427" s="5">
        <v>219231.85</v>
      </c>
      <c r="P427" s="5">
        <v>219231.85</v>
      </c>
      <c r="Q427" s="5">
        <v>219231.85</v>
      </c>
      <c r="R427" s="5">
        <v>219231.85</v>
      </c>
      <c r="S427" s="5">
        <v>219231.85</v>
      </c>
      <c r="T427" s="5">
        <v>219231.85</v>
      </c>
      <c r="U427" s="5">
        <v>219231.85</v>
      </c>
      <c r="V427" s="5">
        <v>219231.85</v>
      </c>
      <c r="W427" s="5">
        <v>219231.85</v>
      </c>
      <c r="X427" s="5">
        <v>219231.85</v>
      </c>
      <c r="Y427" s="5">
        <v>232385.76</v>
      </c>
    </row>
    <row r="428" spans="1:25" hidden="1" x14ac:dyDescent="0.25">
      <c r="A428" t="s">
        <v>2611</v>
      </c>
      <c r="B428" t="s">
        <v>2477</v>
      </c>
      <c r="C428" t="s">
        <v>1889</v>
      </c>
      <c r="D428">
        <v>6074202300066040</v>
      </c>
      <c r="E428" t="str">
        <f>IF(COUNTIF(Tabela1[codProcesso],Tabela2[[#This Row],[PROCESSO]]),"Está","Não está")</f>
        <v>Não está</v>
      </c>
      <c r="F428" s="8" t="s">
        <v>2616</v>
      </c>
      <c r="G428" t="s">
        <v>2428</v>
      </c>
      <c r="H428" t="s">
        <v>2761</v>
      </c>
      <c r="I428" t="s">
        <v>2644</v>
      </c>
      <c r="J428" t="s">
        <v>2495</v>
      </c>
      <c r="K428" s="3">
        <v>46000</v>
      </c>
      <c r="L428" s="5">
        <v>2643936.11</v>
      </c>
      <c r="M428" s="5">
        <v>220328.01</v>
      </c>
      <c r="N428" s="5">
        <v>219231.85</v>
      </c>
      <c r="O428" s="5">
        <v>219231.85</v>
      </c>
      <c r="P428" s="5">
        <v>219231.85</v>
      </c>
      <c r="Q428" s="5">
        <v>219231.85</v>
      </c>
      <c r="R428" s="5">
        <v>219231.85</v>
      </c>
      <c r="S428" s="5">
        <v>219231.85</v>
      </c>
      <c r="T428" s="5">
        <v>219231.85</v>
      </c>
      <c r="U428" s="5">
        <v>219231.85</v>
      </c>
      <c r="V428" s="5">
        <v>219231.85</v>
      </c>
      <c r="W428" s="5">
        <v>219231.85</v>
      </c>
      <c r="X428" s="5">
        <v>219231.85</v>
      </c>
      <c r="Y428" s="5">
        <v>232385.76</v>
      </c>
    </row>
    <row r="429" spans="1:25" hidden="1" x14ac:dyDescent="0.25">
      <c r="A429" t="s">
        <v>2611</v>
      </c>
      <c r="B429" t="s">
        <v>2477</v>
      </c>
      <c r="C429" t="s">
        <v>1889</v>
      </c>
      <c r="D429">
        <v>6074202300112960</v>
      </c>
      <c r="E429" t="str">
        <f>IF(COUNTIF(Tabela1[codProcesso],Tabela2[[#This Row],[PROCESSO]]),"Está","Não está")</f>
        <v>Não está</v>
      </c>
      <c r="F429" s="8" t="s">
        <v>2616</v>
      </c>
      <c r="G429" t="s">
        <v>2428</v>
      </c>
      <c r="H429" t="s">
        <v>2762</v>
      </c>
      <c r="I429" t="s">
        <v>2644</v>
      </c>
      <c r="J429" t="s">
        <v>2763</v>
      </c>
      <c r="K429" s="3">
        <v>46032</v>
      </c>
      <c r="L429" s="5">
        <v>2788629.12</v>
      </c>
      <c r="M429" s="5">
        <v>232385.76</v>
      </c>
      <c r="N429" s="5">
        <v>232385.76</v>
      </c>
      <c r="O429" s="5">
        <v>232385.76</v>
      </c>
      <c r="P429" s="5">
        <v>232385.76</v>
      </c>
      <c r="Q429" s="5">
        <v>232385.76</v>
      </c>
      <c r="R429" s="5">
        <v>232385.76</v>
      </c>
      <c r="S429" s="5">
        <v>232385.76</v>
      </c>
      <c r="T429" s="5">
        <v>232385.76</v>
      </c>
      <c r="U429" s="5">
        <v>232385.76</v>
      </c>
      <c r="V429" s="5">
        <v>232385.76</v>
      </c>
      <c r="W429" s="5">
        <v>232385.76</v>
      </c>
      <c r="X429" s="5">
        <v>232385.76</v>
      </c>
      <c r="Y429" s="5">
        <v>232385.76</v>
      </c>
    </row>
    <row r="430" spans="1:25" hidden="1" x14ac:dyDescent="0.25">
      <c r="A430" t="s">
        <v>2611</v>
      </c>
      <c r="B430" t="s">
        <v>2477</v>
      </c>
      <c r="C430" t="s">
        <v>1889</v>
      </c>
      <c r="D430">
        <v>6074202300112970</v>
      </c>
      <c r="E430" t="str">
        <f>IF(COUNTIF(Tabela1[codProcesso],Tabela2[[#This Row],[PROCESSO]]),"Está","Não está")</f>
        <v>Não está</v>
      </c>
      <c r="F430" s="8" t="s">
        <v>2616</v>
      </c>
      <c r="G430" t="s">
        <v>2428</v>
      </c>
      <c r="H430" t="s">
        <v>2764</v>
      </c>
      <c r="I430" t="s">
        <v>2644</v>
      </c>
      <c r="J430" t="s">
        <v>2765</v>
      </c>
      <c r="K430" s="3">
        <v>46032</v>
      </c>
      <c r="L430" s="5">
        <v>2788629.12</v>
      </c>
      <c r="M430" s="5">
        <v>232385.76</v>
      </c>
      <c r="N430" s="5">
        <v>232385.76</v>
      </c>
      <c r="O430" s="5">
        <v>232385.76</v>
      </c>
      <c r="P430" s="5">
        <v>232385.76</v>
      </c>
      <c r="Q430" s="5">
        <v>232385.76</v>
      </c>
      <c r="R430" s="5">
        <v>232385.76</v>
      </c>
      <c r="S430" s="5">
        <v>232385.76</v>
      </c>
      <c r="T430" s="5">
        <v>232385.76</v>
      </c>
      <c r="U430" s="5">
        <v>232385.76</v>
      </c>
      <c r="V430" s="5">
        <v>232385.76</v>
      </c>
      <c r="W430" s="5">
        <v>232385.76</v>
      </c>
      <c r="X430" s="5">
        <v>232385.76</v>
      </c>
      <c r="Y430" s="5">
        <v>232385.76</v>
      </c>
    </row>
    <row r="431" spans="1:25" hidden="1" x14ac:dyDescent="0.25">
      <c r="A431" t="s">
        <v>2766</v>
      </c>
      <c r="B431" t="s">
        <v>2477</v>
      </c>
      <c r="C431" t="s">
        <v>1889</v>
      </c>
      <c r="D431">
        <v>6074202100030640</v>
      </c>
      <c r="E431" t="str">
        <f>IF(COUNTIF(Tabela1[codProcesso],Tabela2[[#This Row],[PROCESSO]]),"Está","Não está")</f>
        <v>Não está</v>
      </c>
      <c r="F431" s="8" t="s">
        <v>2767</v>
      </c>
      <c r="G431" t="s">
        <v>2766</v>
      </c>
      <c r="H431" t="s">
        <v>2768</v>
      </c>
      <c r="I431" t="s">
        <v>2769</v>
      </c>
      <c r="J431" t="s">
        <v>2565</v>
      </c>
      <c r="K431" s="3">
        <v>46217</v>
      </c>
      <c r="L431" s="5">
        <v>1038197.16</v>
      </c>
      <c r="M431" s="5">
        <v>86516.43</v>
      </c>
      <c r="N431" s="5">
        <v>173032.86</v>
      </c>
      <c r="O431" s="5">
        <v>173032.86</v>
      </c>
      <c r="P431" s="5">
        <v>173032.86</v>
      </c>
      <c r="Q431" s="5">
        <v>173032.86</v>
      </c>
      <c r="R431" s="5">
        <v>173032.86</v>
      </c>
      <c r="S431" s="5">
        <v>173032.86</v>
      </c>
      <c r="T431" t="s">
        <v>2770</v>
      </c>
      <c r="U431" t="s">
        <v>2770</v>
      </c>
      <c r="V431" t="s">
        <v>2770</v>
      </c>
      <c r="W431" t="s">
        <v>2770</v>
      </c>
      <c r="X431" t="s">
        <v>2770</v>
      </c>
      <c r="Y431" t="s">
        <v>2770</v>
      </c>
    </row>
    <row r="432" spans="1:25" hidden="1" x14ac:dyDescent="0.25">
      <c r="A432" t="s">
        <v>2766</v>
      </c>
      <c r="B432" t="s">
        <v>2477</v>
      </c>
      <c r="C432" t="s">
        <v>1889</v>
      </c>
      <c r="D432">
        <v>6074201900024020</v>
      </c>
      <c r="E432" t="str">
        <f>IF(COUNTIF(Tabela1[codProcesso],Tabela2[[#This Row],[PROCESSO]]),"Está","Não está")</f>
        <v>Não está</v>
      </c>
      <c r="F432" s="8" t="s">
        <v>2767</v>
      </c>
      <c r="G432" t="s">
        <v>2766</v>
      </c>
      <c r="H432" t="s">
        <v>2771</v>
      </c>
      <c r="I432" t="s">
        <v>2772</v>
      </c>
      <c r="J432" t="s">
        <v>2773</v>
      </c>
      <c r="K432" s="3">
        <v>46081</v>
      </c>
      <c r="L432" s="5">
        <v>37608.31</v>
      </c>
      <c r="M432" s="5">
        <v>3134.03</v>
      </c>
      <c r="N432" s="5">
        <v>19855.23</v>
      </c>
      <c r="O432" s="5">
        <v>17753.080000000002</v>
      </c>
      <c r="P432" t="s">
        <v>2770</v>
      </c>
      <c r="Q432" t="s">
        <v>2770</v>
      </c>
      <c r="R432" t="s">
        <v>2770</v>
      </c>
      <c r="S432" t="s">
        <v>2770</v>
      </c>
      <c r="T432" t="s">
        <v>2770</v>
      </c>
      <c r="U432" t="s">
        <v>2770</v>
      </c>
      <c r="V432" t="s">
        <v>2770</v>
      </c>
      <c r="W432" t="s">
        <v>2770</v>
      </c>
      <c r="X432" t="s">
        <v>2770</v>
      </c>
      <c r="Y432" t="s">
        <v>2770</v>
      </c>
    </row>
    <row r="433" spans="1:25" hidden="1" x14ac:dyDescent="0.25">
      <c r="A433" t="s">
        <v>2766</v>
      </c>
      <c r="B433" t="s">
        <v>2477</v>
      </c>
      <c r="C433" t="s">
        <v>1889</v>
      </c>
      <c r="D433">
        <v>6074202400077380</v>
      </c>
      <c r="E433" t="str">
        <f>IF(COUNTIF(Tabela1[codProcesso],Tabela2[[#This Row],[PROCESSO]]),"Está","Não está")</f>
        <v>Não está</v>
      </c>
      <c r="F433" s="8" t="s">
        <v>2767</v>
      </c>
      <c r="G433" t="s">
        <v>2766</v>
      </c>
      <c r="H433" t="s">
        <v>2774</v>
      </c>
      <c r="I433" t="s">
        <v>2775</v>
      </c>
      <c r="J433" t="s">
        <v>2776</v>
      </c>
      <c r="K433" s="3">
        <v>46112</v>
      </c>
      <c r="L433" s="5">
        <v>102048.66</v>
      </c>
      <c r="M433" s="5">
        <v>8504.06</v>
      </c>
      <c r="N433" s="5">
        <v>34016.22</v>
      </c>
      <c r="O433" s="5">
        <v>34016.22</v>
      </c>
      <c r="P433" s="5">
        <v>34016.22</v>
      </c>
      <c r="Q433" t="s">
        <v>2770</v>
      </c>
      <c r="R433" t="s">
        <v>2770</v>
      </c>
      <c r="S433" t="s">
        <v>2770</v>
      </c>
      <c r="T433" t="s">
        <v>2770</v>
      </c>
      <c r="U433" t="s">
        <v>2770</v>
      </c>
      <c r="V433" t="s">
        <v>2770</v>
      </c>
      <c r="W433" t="s">
        <v>2770</v>
      </c>
      <c r="X433" t="s">
        <v>2770</v>
      </c>
      <c r="Y433" t="s">
        <v>2770</v>
      </c>
    </row>
    <row r="434" spans="1:25" hidden="1" x14ac:dyDescent="0.25">
      <c r="A434" t="s">
        <v>2766</v>
      </c>
      <c r="B434" t="s">
        <v>2477</v>
      </c>
      <c r="C434" t="s">
        <v>1889</v>
      </c>
      <c r="D434">
        <v>6074202400074880</v>
      </c>
      <c r="E434" t="str">
        <f>IF(COUNTIF(Tabela1[codProcesso],Tabela2[[#This Row],[PROCESSO]]),"Está","Não está")</f>
        <v>Não está</v>
      </c>
      <c r="F434" s="8" t="s">
        <v>2767</v>
      </c>
      <c r="G434" t="s">
        <v>2766</v>
      </c>
      <c r="H434" t="s">
        <v>2777</v>
      </c>
      <c r="I434" t="s">
        <v>2778</v>
      </c>
      <c r="J434" t="s">
        <v>2779</v>
      </c>
      <c r="K434" s="3">
        <v>46081</v>
      </c>
      <c r="L434" s="5">
        <v>137731.79999999999</v>
      </c>
      <c r="M434" s="5">
        <v>11477.65</v>
      </c>
      <c r="N434" s="5">
        <v>68865.899999999994</v>
      </c>
      <c r="O434" s="5">
        <v>68865.899999999994</v>
      </c>
      <c r="P434" t="s">
        <v>2770</v>
      </c>
      <c r="Q434" t="s">
        <v>2770</v>
      </c>
      <c r="R434" t="s">
        <v>2770</v>
      </c>
      <c r="S434" t="s">
        <v>2770</v>
      </c>
      <c r="T434" t="s">
        <v>2770</v>
      </c>
      <c r="U434" t="s">
        <v>2770</v>
      </c>
      <c r="V434" t="s">
        <v>2770</v>
      </c>
      <c r="W434" t="s">
        <v>2770</v>
      </c>
      <c r="X434" t="s">
        <v>2770</v>
      </c>
      <c r="Y434" t="s">
        <v>2770</v>
      </c>
    </row>
    <row r="435" spans="1:25" hidden="1" x14ac:dyDescent="0.25">
      <c r="A435" t="s">
        <v>2766</v>
      </c>
      <c r="B435" t="s">
        <v>2477</v>
      </c>
      <c r="C435" t="s">
        <v>1889</v>
      </c>
      <c r="D435">
        <v>6074202400077510</v>
      </c>
      <c r="E435" t="str">
        <f>IF(COUNTIF(Tabela1[codProcesso],Tabela2[[#This Row],[PROCESSO]]),"Está","Não está")</f>
        <v>Não está</v>
      </c>
      <c r="F435" s="8" t="s">
        <v>2767</v>
      </c>
      <c r="G435" t="s">
        <v>2766</v>
      </c>
      <c r="H435" t="s">
        <v>2780</v>
      </c>
      <c r="I435" t="s">
        <v>2781</v>
      </c>
      <c r="J435" t="s">
        <v>2782</v>
      </c>
      <c r="K435" s="3">
        <v>46112</v>
      </c>
      <c r="L435" s="5">
        <v>210573.71</v>
      </c>
      <c r="M435" s="5">
        <v>17547.810000000001</v>
      </c>
      <c r="N435" s="5">
        <v>74640.639999999999</v>
      </c>
      <c r="O435" s="5">
        <v>75270.63</v>
      </c>
      <c r="P435" s="5">
        <v>60662.44</v>
      </c>
      <c r="Q435" t="s">
        <v>2770</v>
      </c>
      <c r="R435" t="s">
        <v>2770</v>
      </c>
      <c r="S435" t="s">
        <v>2770</v>
      </c>
      <c r="T435" t="s">
        <v>2770</v>
      </c>
      <c r="U435" t="s">
        <v>2770</v>
      </c>
      <c r="V435" t="s">
        <v>2770</v>
      </c>
      <c r="W435" t="s">
        <v>2770</v>
      </c>
      <c r="X435" t="s">
        <v>2770</v>
      </c>
      <c r="Y435" t="s">
        <v>2770</v>
      </c>
    </row>
    <row r="436" spans="1:25" hidden="1" x14ac:dyDescent="0.25">
      <c r="A436" t="s">
        <v>2766</v>
      </c>
      <c r="B436" t="s">
        <v>2477</v>
      </c>
      <c r="C436" t="s">
        <v>1889</v>
      </c>
      <c r="D436">
        <v>6074202400075120</v>
      </c>
      <c r="E436" t="str">
        <f>IF(COUNTIF(Tabela1[codProcesso],Tabela2[[#This Row],[PROCESSO]]),"Está","Não está")</f>
        <v>Não está</v>
      </c>
      <c r="F436" s="8" t="s">
        <v>2767</v>
      </c>
      <c r="G436" t="s">
        <v>2766</v>
      </c>
      <c r="H436" t="s">
        <v>2783</v>
      </c>
      <c r="I436" t="s">
        <v>2784</v>
      </c>
      <c r="J436" t="s">
        <v>2785</v>
      </c>
      <c r="K436" s="3">
        <v>46081</v>
      </c>
      <c r="L436" s="5">
        <v>110404.24</v>
      </c>
      <c r="M436" s="5">
        <v>9200.35</v>
      </c>
      <c r="N436" s="5">
        <v>55952.12</v>
      </c>
      <c r="O436" s="5">
        <v>54452.12</v>
      </c>
      <c r="P436" t="s">
        <v>2770</v>
      </c>
      <c r="Q436" t="s">
        <v>2770</v>
      </c>
      <c r="R436" t="s">
        <v>2770</v>
      </c>
      <c r="S436" t="s">
        <v>2770</v>
      </c>
      <c r="T436" t="s">
        <v>2770</v>
      </c>
      <c r="U436" t="s">
        <v>2770</v>
      </c>
      <c r="V436" t="s">
        <v>2770</v>
      </c>
      <c r="W436" t="s">
        <v>2770</v>
      </c>
      <c r="X436" t="s">
        <v>2770</v>
      </c>
      <c r="Y436" t="s">
        <v>2770</v>
      </c>
    </row>
    <row r="437" spans="1:25" hidden="1" x14ac:dyDescent="0.25">
      <c r="A437" t="s">
        <v>2766</v>
      </c>
      <c r="B437" t="s">
        <v>2477</v>
      </c>
      <c r="C437" t="s">
        <v>1889</v>
      </c>
      <c r="D437">
        <v>6074202300021070</v>
      </c>
      <c r="E437" t="str">
        <f>IF(COUNTIF(Tabela1[codProcesso],Tabela2[[#This Row],[PROCESSO]]),"Está","Não está")</f>
        <v>Não está</v>
      </c>
      <c r="F437" s="8" t="s">
        <v>2767</v>
      </c>
      <c r="G437" t="s">
        <v>2766</v>
      </c>
      <c r="H437" t="s">
        <v>2786</v>
      </c>
      <c r="I437" t="s">
        <v>2787</v>
      </c>
      <c r="J437" t="s">
        <v>2788</v>
      </c>
      <c r="K437" s="3">
        <v>46112</v>
      </c>
      <c r="L437" s="5">
        <v>61710.43</v>
      </c>
      <c r="M437" s="5">
        <v>5142.54</v>
      </c>
      <c r="N437" s="5">
        <v>19736.810000000001</v>
      </c>
      <c r="O437" s="5">
        <v>19736.810000000001</v>
      </c>
      <c r="P437" s="5">
        <v>22236.81</v>
      </c>
      <c r="Q437" t="s">
        <v>2770</v>
      </c>
      <c r="R437" t="s">
        <v>2770</v>
      </c>
      <c r="S437" t="s">
        <v>2770</v>
      </c>
      <c r="T437" t="s">
        <v>2770</v>
      </c>
      <c r="U437" t="s">
        <v>2770</v>
      </c>
      <c r="V437" t="s">
        <v>2770</v>
      </c>
      <c r="W437" t="s">
        <v>2770</v>
      </c>
      <c r="X437" t="s">
        <v>2770</v>
      </c>
      <c r="Y437" t="s">
        <v>2770</v>
      </c>
    </row>
    <row r="438" spans="1:25" hidden="1" x14ac:dyDescent="0.25">
      <c r="A438" t="s">
        <v>2766</v>
      </c>
      <c r="B438" t="s">
        <v>2477</v>
      </c>
      <c r="C438" t="s">
        <v>1889</v>
      </c>
      <c r="D438">
        <v>6074202400077190</v>
      </c>
      <c r="E438" t="str">
        <f>IF(COUNTIF(Tabela1[codProcesso],Tabela2[[#This Row],[PROCESSO]]),"Está","Não está")</f>
        <v>Não está</v>
      </c>
      <c r="F438" s="8" t="s">
        <v>2767</v>
      </c>
      <c r="G438" t="s">
        <v>2766</v>
      </c>
      <c r="H438" t="s">
        <v>2789</v>
      </c>
      <c r="I438" t="s">
        <v>2790</v>
      </c>
      <c r="J438" t="s">
        <v>2791</v>
      </c>
      <c r="K438" s="3">
        <v>46081</v>
      </c>
      <c r="L438" s="5">
        <v>74094.7</v>
      </c>
      <c r="M438" s="5">
        <v>6174.56</v>
      </c>
      <c r="N438" s="5">
        <v>37047.35</v>
      </c>
      <c r="O438" s="5">
        <v>37047.35</v>
      </c>
      <c r="P438" t="s">
        <v>2770</v>
      </c>
      <c r="Q438" t="s">
        <v>2770</v>
      </c>
      <c r="R438" t="s">
        <v>2770</v>
      </c>
      <c r="S438" t="s">
        <v>2770</v>
      </c>
      <c r="T438" t="s">
        <v>2770</v>
      </c>
      <c r="U438" t="s">
        <v>2770</v>
      </c>
      <c r="V438" t="s">
        <v>2770</v>
      </c>
      <c r="W438" t="s">
        <v>2770</v>
      </c>
      <c r="X438" t="s">
        <v>2770</v>
      </c>
      <c r="Y438" t="s">
        <v>2770</v>
      </c>
    </row>
    <row r="439" spans="1:25" hidden="1" x14ac:dyDescent="0.25">
      <c r="A439" t="s">
        <v>2766</v>
      </c>
      <c r="B439" t="s">
        <v>2477</v>
      </c>
      <c r="C439" t="s">
        <v>1889</v>
      </c>
      <c r="D439">
        <v>6074202300021410</v>
      </c>
      <c r="E439" t="str">
        <f>IF(COUNTIF(Tabela1[codProcesso],Tabela2[[#This Row],[PROCESSO]]),"Está","Não está")</f>
        <v>Não está</v>
      </c>
      <c r="F439" s="8" t="s">
        <v>2767</v>
      </c>
      <c r="G439" t="s">
        <v>2766</v>
      </c>
      <c r="H439" t="s">
        <v>2792</v>
      </c>
      <c r="I439" t="s">
        <v>2793</v>
      </c>
      <c r="J439" t="s">
        <v>2794</v>
      </c>
      <c r="K439" s="3">
        <v>46112</v>
      </c>
      <c r="L439" s="5">
        <v>98700</v>
      </c>
      <c r="M439" s="5">
        <v>8225</v>
      </c>
      <c r="N439" s="5">
        <v>32900</v>
      </c>
      <c r="O439" s="5">
        <v>32900</v>
      </c>
      <c r="P439" s="5">
        <v>32900</v>
      </c>
      <c r="Q439" t="s">
        <v>2770</v>
      </c>
      <c r="R439" t="s">
        <v>2770</v>
      </c>
      <c r="S439" t="s">
        <v>2770</v>
      </c>
      <c r="T439" t="s">
        <v>2770</v>
      </c>
      <c r="U439" t="s">
        <v>2770</v>
      </c>
      <c r="V439" t="s">
        <v>2770</v>
      </c>
      <c r="W439" t="s">
        <v>2770</v>
      </c>
      <c r="X439" t="s">
        <v>2770</v>
      </c>
      <c r="Y439" t="s">
        <v>2770</v>
      </c>
    </row>
    <row r="440" spans="1:25" hidden="1" x14ac:dyDescent="0.25">
      <c r="A440" t="s">
        <v>2766</v>
      </c>
      <c r="B440" t="s">
        <v>2477</v>
      </c>
      <c r="C440" t="s">
        <v>1889</v>
      </c>
      <c r="D440">
        <v>6074202400075090</v>
      </c>
      <c r="E440" t="str">
        <f>IF(COUNTIF(Tabela1[codProcesso],Tabela2[[#This Row],[PROCESSO]]),"Está","Não está")</f>
        <v>Não está</v>
      </c>
      <c r="F440" s="8" t="s">
        <v>2767</v>
      </c>
      <c r="G440" t="s">
        <v>2766</v>
      </c>
      <c r="H440" t="s">
        <v>2795</v>
      </c>
      <c r="I440" t="s">
        <v>2796</v>
      </c>
      <c r="J440" t="s">
        <v>2797</v>
      </c>
      <c r="K440" s="3">
        <v>46081</v>
      </c>
      <c r="L440" s="5">
        <v>144649.04999999999</v>
      </c>
      <c r="M440" s="5">
        <v>12054.09</v>
      </c>
      <c r="N440" s="5">
        <v>55198.77</v>
      </c>
      <c r="O440" s="5">
        <v>89450.28</v>
      </c>
      <c r="P440" t="s">
        <v>2770</v>
      </c>
      <c r="Q440" t="s">
        <v>2770</v>
      </c>
      <c r="R440" t="s">
        <v>2770</v>
      </c>
      <c r="S440" t="s">
        <v>2770</v>
      </c>
      <c r="T440" t="s">
        <v>2770</v>
      </c>
      <c r="U440" t="s">
        <v>2770</v>
      </c>
      <c r="V440" t="s">
        <v>2770</v>
      </c>
      <c r="W440" t="s">
        <v>2770</v>
      </c>
      <c r="X440" t="s">
        <v>2770</v>
      </c>
      <c r="Y440" t="s">
        <v>2770</v>
      </c>
    </row>
    <row r="441" spans="1:25" hidden="1" x14ac:dyDescent="0.25">
      <c r="A441" t="s">
        <v>2766</v>
      </c>
      <c r="B441" t="s">
        <v>2477</v>
      </c>
      <c r="C441" t="s">
        <v>1889</v>
      </c>
      <c r="D441">
        <v>6074202200018400</v>
      </c>
      <c r="E441" t="str">
        <f>IF(COUNTIF(Tabela1[codProcesso],Tabela2[[#This Row],[PROCESSO]]),"Está","Não está")</f>
        <v>Não está</v>
      </c>
      <c r="F441" s="8" t="s">
        <v>2767</v>
      </c>
      <c r="G441" t="s">
        <v>2766</v>
      </c>
      <c r="H441" t="s">
        <v>2798</v>
      </c>
      <c r="I441" t="s">
        <v>2799</v>
      </c>
      <c r="J441" t="s">
        <v>2800</v>
      </c>
      <c r="K441" s="3">
        <v>46173</v>
      </c>
      <c r="L441" s="5">
        <v>79787</v>
      </c>
      <c r="M441" s="5">
        <v>6648.92</v>
      </c>
      <c r="N441" s="5">
        <v>14811</v>
      </c>
      <c r="O441" s="5">
        <v>15111</v>
      </c>
      <c r="P441" s="5">
        <v>19811</v>
      </c>
      <c r="Q441" s="5">
        <v>15243</v>
      </c>
      <c r="R441" s="5">
        <v>14811</v>
      </c>
      <c r="S441" t="s">
        <v>2770</v>
      </c>
      <c r="T441" t="s">
        <v>2770</v>
      </c>
      <c r="U441" t="s">
        <v>2770</v>
      </c>
      <c r="V441" t="s">
        <v>2770</v>
      </c>
      <c r="W441" t="s">
        <v>2770</v>
      </c>
      <c r="X441" t="s">
        <v>2770</v>
      </c>
      <c r="Y441" t="s">
        <v>2770</v>
      </c>
    </row>
    <row r="442" spans="1:25" hidden="1" x14ac:dyDescent="0.25">
      <c r="A442" t="s">
        <v>2766</v>
      </c>
      <c r="B442" t="s">
        <v>2477</v>
      </c>
      <c r="C442" t="s">
        <v>1889</v>
      </c>
      <c r="D442">
        <v>6074202400074920</v>
      </c>
      <c r="E442" t="str">
        <f>IF(COUNTIF(Tabela1[codProcesso],Tabela2[[#This Row],[PROCESSO]]),"Está","Não está")</f>
        <v>Não está</v>
      </c>
      <c r="F442" s="8" t="s">
        <v>2767</v>
      </c>
      <c r="G442" t="s">
        <v>2766</v>
      </c>
      <c r="H442" t="s">
        <v>2801</v>
      </c>
      <c r="I442" t="s">
        <v>2802</v>
      </c>
      <c r="J442" t="s">
        <v>2803</v>
      </c>
      <c r="K442" s="3">
        <v>46081</v>
      </c>
      <c r="L442" s="5">
        <v>143540</v>
      </c>
      <c r="M442" s="5">
        <v>11961.67</v>
      </c>
      <c r="N442" s="5">
        <v>71770</v>
      </c>
      <c r="O442" s="5">
        <v>71770</v>
      </c>
      <c r="P442" t="s">
        <v>2770</v>
      </c>
      <c r="Q442" t="s">
        <v>2770</v>
      </c>
      <c r="R442" t="s">
        <v>2770</v>
      </c>
      <c r="S442" t="s">
        <v>2770</v>
      </c>
      <c r="T442" t="s">
        <v>2770</v>
      </c>
      <c r="U442" t="s">
        <v>2770</v>
      </c>
      <c r="V442" t="s">
        <v>2770</v>
      </c>
      <c r="W442" t="s">
        <v>2770</v>
      </c>
      <c r="X442" t="s">
        <v>2770</v>
      </c>
      <c r="Y442" t="s">
        <v>2770</v>
      </c>
    </row>
    <row r="443" spans="1:25" hidden="1" x14ac:dyDescent="0.25">
      <c r="A443" t="s">
        <v>2766</v>
      </c>
      <c r="B443" t="s">
        <v>2477</v>
      </c>
      <c r="C443" t="s">
        <v>1889</v>
      </c>
      <c r="D443">
        <v>6074201900023920</v>
      </c>
      <c r="E443" t="str">
        <f>IF(COUNTIF(Tabela1[codProcesso],Tabela2[[#This Row],[PROCESSO]]),"Está","Não está")</f>
        <v>Não está</v>
      </c>
      <c r="F443" s="8" t="s">
        <v>2767</v>
      </c>
      <c r="G443" t="s">
        <v>2766</v>
      </c>
      <c r="H443" t="s">
        <v>2804</v>
      </c>
      <c r="I443" t="s">
        <v>2805</v>
      </c>
      <c r="J443" t="s">
        <v>2806</v>
      </c>
      <c r="K443" s="3">
        <v>46142</v>
      </c>
      <c r="L443" s="5">
        <v>65346.83</v>
      </c>
      <c r="M443" s="5">
        <v>5445.57</v>
      </c>
      <c r="N443" s="5">
        <v>30499.59</v>
      </c>
      <c r="O443" s="5">
        <v>12449.08</v>
      </c>
      <c r="P443" s="5">
        <v>11199.08</v>
      </c>
      <c r="Q443" s="5">
        <v>11199.08</v>
      </c>
      <c r="R443" t="s">
        <v>2770</v>
      </c>
      <c r="S443" t="s">
        <v>2770</v>
      </c>
      <c r="T443" t="s">
        <v>2770</v>
      </c>
      <c r="U443" t="s">
        <v>2770</v>
      </c>
      <c r="V443" t="s">
        <v>2770</v>
      </c>
      <c r="W443" t="s">
        <v>2770</v>
      </c>
      <c r="X443" t="s">
        <v>2770</v>
      </c>
      <c r="Y443" t="s">
        <v>2770</v>
      </c>
    </row>
    <row r="444" spans="1:25" hidden="1" x14ac:dyDescent="0.25">
      <c r="A444" t="s">
        <v>2766</v>
      </c>
      <c r="B444" t="s">
        <v>2477</v>
      </c>
      <c r="C444" t="s">
        <v>1889</v>
      </c>
      <c r="D444">
        <v>6074202400077080</v>
      </c>
      <c r="E444" t="str">
        <f>IF(COUNTIF(Tabela1[codProcesso],Tabela2[[#This Row],[PROCESSO]]),"Está","Não está")</f>
        <v>Não está</v>
      </c>
      <c r="F444" s="8" t="s">
        <v>2767</v>
      </c>
      <c r="G444" t="s">
        <v>2766</v>
      </c>
      <c r="H444" t="s">
        <v>2807</v>
      </c>
      <c r="I444" t="s">
        <v>2808</v>
      </c>
      <c r="J444" t="s">
        <v>2809</v>
      </c>
      <c r="K444" s="3">
        <v>46090</v>
      </c>
      <c r="L444" s="5">
        <v>114773.34</v>
      </c>
      <c r="M444" s="5">
        <v>9564.4500000000007</v>
      </c>
      <c r="N444" s="5">
        <v>55041.34</v>
      </c>
      <c r="O444" s="5">
        <v>59732</v>
      </c>
      <c r="P444" t="s">
        <v>2770</v>
      </c>
      <c r="Q444" t="s">
        <v>2770</v>
      </c>
      <c r="R444" t="s">
        <v>2770</v>
      </c>
      <c r="S444" t="s">
        <v>2770</v>
      </c>
      <c r="T444" t="s">
        <v>2770</v>
      </c>
      <c r="U444" t="s">
        <v>2770</v>
      </c>
      <c r="V444" t="s">
        <v>2770</v>
      </c>
      <c r="W444" t="s">
        <v>2770</v>
      </c>
      <c r="X444" t="s">
        <v>2770</v>
      </c>
      <c r="Y444" t="s">
        <v>2770</v>
      </c>
    </row>
    <row r="445" spans="1:25" hidden="1" x14ac:dyDescent="0.25">
      <c r="A445" t="s">
        <v>2766</v>
      </c>
      <c r="B445" t="s">
        <v>2477</v>
      </c>
      <c r="C445" t="s">
        <v>1889</v>
      </c>
      <c r="D445">
        <v>6074201900023910</v>
      </c>
      <c r="E445" t="str">
        <f>IF(COUNTIF(Tabela1[codProcesso],Tabela2[[#This Row],[PROCESSO]]),"Está","Não está")</f>
        <v>Não está</v>
      </c>
      <c r="F445" s="8" t="s">
        <v>2767</v>
      </c>
      <c r="G445" t="s">
        <v>2766</v>
      </c>
      <c r="H445" t="s">
        <v>2810</v>
      </c>
      <c r="I445" t="s">
        <v>2811</v>
      </c>
      <c r="J445" t="s">
        <v>2806</v>
      </c>
      <c r="K445" s="3">
        <v>46142</v>
      </c>
      <c r="L445" s="5">
        <v>72570.73</v>
      </c>
      <c r="M445" s="5">
        <v>6047.56</v>
      </c>
      <c r="N445" s="5">
        <v>18783.330000000002</v>
      </c>
      <c r="O445" s="5">
        <v>18275.8</v>
      </c>
      <c r="P445" s="5">
        <v>17755.8</v>
      </c>
      <c r="Q445" s="5">
        <v>17755.8</v>
      </c>
      <c r="R445" t="s">
        <v>2770</v>
      </c>
      <c r="S445" t="s">
        <v>2770</v>
      </c>
      <c r="T445" t="s">
        <v>2770</v>
      </c>
      <c r="U445" t="s">
        <v>2770</v>
      </c>
      <c r="V445" t="s">
        <v>2770</v>
      </c>
      <c r="W445" t="s">
        <v>2770</v>
      </c>
      <c r="X445" t="s">
        <v>2770</v>
      </c>
      <c r="Y445" t="s">
        <v>2770</v>
      </c>
    </row>
    <row r="446" spans="1:25" hidden="1" x14ac:dyDescent="0.25">
      <c r="A446" t="s">
        <v>2766</v>
      </c>
      <c r="B446" t="s">
        <v>2477</v>
      </c>
      <c r="C446" t="s">
        <v>1889</v>
      </c>
      <c r="D446">
        <v>6074202300020860</v>
      </c>
      <c r="E446" t="str">
        <f>IF(COUNTIF(Tabela1[codProcesso],Tabela2[[#This Row],[PROCESSO]]),"Está","Não está")</f>
        <v>Não está</v>
      </c>
      <c r="F446" s="8" t="s">
        <v>2767</v>
      </c>
      <c r="G446" t="s">
        <v>2766</v>
      </c>
      <c r="H446" t="s">
        <v>2812</v>
      </c>
      <c r="I446" t="s">
        <v>2813</v>
      </c>
      <c r="J446" t="s">
        <v>2803</v>
      </c>
      <c r="K446" s="3">
        <v>46081</v>
      </c>
      <c r="L446" s="5">
        <v>203185.62</v>
      </c>
      <c r="M446" s="5">
        <v>16932.14</v>
      </c>
      <c r="N446" s="5">
        <v>101592.81</v>
      </c>
      <c r="O446" s="5">
        <v>101592.81</v>
      </c>
      <c r="P446" t="s">
        <v>2770</v>
      </c>
      <c r="Q446" t="s">
        <v>2770</v>
      </c>
      <c r="R446" t="s">
        <v>2770</v>
      </c>
      <c r="S446" t="s">
        <v>2770</v>
      </c>
      <c r="T446" t="s">
        <v>2770</v>
      </c>
      <c r="U446" t="s">
        <v>2770</v>
      </c>
      <c r="V446" t="s">
        <v>2770</v>
      </c>
      <c r="W446" t="s">
        <v>2770</v>
      </c>
      <c r="X446" t="s">
        <v>2770</v>
      </c>
      <c r="Y446" t="s">
        <v>2770</v>
      </c>
    </row>
    <row r="447" spans="1:25" hidden="1" x14ac:dyDescent="0.25">
      <c r="A447" t="s">
        <v>2766</v>
      </c>
      <c r="B447" t="s">
        <v>2477</v>
      </c>
      <c r="C447" t="s">
        <v>1889</v>
      </c>
      <c r="D447">
        <v>6074202300019600</v>
      </c>
      <c r="E447" t="str">
        <f>IF(COUNTIF(Tabela1[codProcesso],Tabela2[[#This Row],[PROCESSO]]),"Está","Não está")</f>
        <v>Não está</v>
      </c>
      <c r="F447" s="8" t="s">
        <v>2767</v>
      </c>
      <c r="G447" t="s">
        <v>2766</v>
      </c>
      <c r="H447" t="s">
        <v>2814</v>
      </c>
      <c r="I447" t="s">
        <v>2815</v>
      </c>
      <c r="J447" t="s">
        <v>2816</v>
      </c>
      <c r="K447" s="3">
        <v>46112</v>
      </c>
      <c r="L447" s="5">
        <v>74970</v>
      </c>
      <c r="M447" s="5">
        <v>6247.5</v>
      </c>
      <c r="N447" s="5">
        <v>24990</v>
      </c>
      <c r="O447" s="5">
        <v>24990</v>
      </c>
      <c r="P447" s="5">
        <v>24990</v>
      </c>
      <c r="Q447" t="s">
        <v>2770</v>
      </c>
      <c r="R447" t="s">
        <v>2770</v>
      </c>
      <c r="S447" t="s">
        <v>2770</v>
      </c>
      <c r="T447" t="s">
        <v>2770</v>
      </c>
      <c r="U447" t="s">
        <v>2770</v>
      </c>
      <c r="V447" t="s">
        <v>2770</v>
      </c>
      <c r="W447" t="s">
        <v>2770</v>
      </c>
      <c r="X447" t="s">
        <v>2770</v>
      </c>
      <c r="Y447" t="s">
        <v>2770</v>
      </c>
    </row>
    <row r="448" spans="1:25" hidden="1" x14ac:dyDescent="0.25">
      <c r="A448" t="s">
        <v>2766</v>
      </c>
      <c r="B448" t="s">
        <v>2477</v>
      </c>
      <c r="C448" t="s">
        <v>1889</v>
      </c>
      <c r="D448">
        <v>6074202200009930</v>
      </c>
      <c r="E448" t="str">
        <f>IF(COUNTIF(Tabela1[codProcesso],Tabela2[[#This Row],[PROCESSO]]),"Está","Não está")</f>
        <v>Não está</v>
      </c>
      <c r="F448" s="8" t="s">
        <v>2767</v>
      </c>
      <c r="G448" t="s">
        <v>2766</v>
      </c>
      <c r="H448" t="s">
        <v>2817</v>
      </c>
      <c r="I448" t="s">
        <v>2818</v>
      </c>
      <c r="J448" t="s">
        <v>2819</v>
      </c>
      <c r="K448" s="3">
        <v>46081</v>
      </c>
      <c r="L448" s="5">
        <v>33050</v>
      </c>
      <c r="M448" s="5">
        <v>2754.17</v>
      </c>
      <c r="N448" s="5">
        <v>16200</v>
      </c>
      <c r="O448" s="5">
        <v>16850</v>
      </c>
      <c r="P448" t="s">
        <v>2770</v>
      </c>
      <c r="Q448" t="s">
        <v>2770</v>
      </c>
      <c r="R448" t="s">
        <v>2770</v>
      </c>
      <c r="S448" t="s">
        <v>2770</v>
      </c>
      <c r="T448" t="s">
        <v>2770</v>
      </c>
      <c r="U448" t="s">
        <v>2770</v>
      </c>
      <c r="V448" t="s">
        <v>2770</v>
      </c>
      <c r="W448" t="s">
        <v>2770</v>
      </c>
      <c r="X448" t="s">
        <v>2770</v>
      </c>
      <c r="Y448" t="s">
        <v>2770</v>
      </c>
    </row>
    <row r="449" spans="1:25" hidden="1" x14ac:dyDescent="0.25">
      <c r="A449" t="s">
        <v>2766</v>
      </c>
      <c r="B449" t="s">
        <v>2477</v>
      </c>
      <c r="C449" t="s">
        <v>1889</v>
      </c>
      <c r="D449">
        <v>6074202400074980</v>
      </c>
      <c r="E449" t="str">
        <f>IF(COUNTIF(Tabela1[codProcesso],Tabela2[[#This Row],[PROCESSO]]),"Está","Não está")</f>
        <v>Não está</v>
      </c>
      <c r="F449" s="8" t="s">
        <v>2767</v>
      </c>
      <c r="G449" t="s">
        <v>2766</v>
      </c>
      <c r="H449" t="s">
        <v>2820</v>
      </c>
      <c r="I449" t="s">
        <v>2821</v>
      </c>
      <c r="J449" t="s">
        <v>2822</v>
      </c>
      <c r="K449" s="3">
        <v>46112</v>
      </c>
      <c r="L449" s="5">
        <v>175693.2</v>
      </c>
      <c r="M449" s="5">
        <v>14641.1</v>
      </c>
      <c r="N449" s="5">
        <v>58564.4</v>
      </c>
      <c r="O449" s="5">
        <v>58564.4</v>
      </c>
      <c r="P449" s="5">
        <v>58564.4</v>
      </c>
      <c r="Q449" t="s">
        <v>2770</v>
      </c>
      <c r="R449" t="s">
        <v>2770</v>
      </c>
      <c r="S449" t="s">
        <v>2770</v>
      </c>
      <c r="T449" t="s">
        <v>2770</v>
      </c>
      <c r="U449" t="s">
        <v>2770</v>
      </c>
      <c r="V449" t="s">
        <v>2770</v>
      </c>
      <c r="W449" t="s">
        <v>2770</v>
      </c>
      <c r="X449" t="s">
        <v>2770</v>
      </c>
      <c r="Y449" t="s">
        <v>2770</v>
      </c>
    </row>
    <row r="450" spans="1:25" hidden="1" x14ac:dyDescent="0.25">
      <c r="A450" t="s">
        <v>2766</v>
      </c>
      <c r="B450" t="s">
        <v>2477</v>
      </c>
      <c r="C450" t="s">
        <v>1889</v>
      </c>
      <c r="D450">
        <v>6074202400077540</v>
      </c>
      <c r="E450" t="str">
        <f>IF(COUNTIF(Tabela1[codProcesso],Tabela2[[#This Row],[PROCESSO]]),"Está","Não está")</f>
        <v>Não está</v>
      </c>
      <c r="F450" s="8" t="s">
        <v>2767</v>
      </c>
      <c r="G450" t="s">
        <v>2766</v>
      </c>
      <c r="H450" t="s">
        <v>2823</v>
      </c>
      <c r="I450" t="s">
        <v>2824</v>
      </c>
      <c r="J450" t="s">
        <v>2825</v>
      </c>
      <c r="K450" s="3">
        <v>46112</v>
      </c>
      <c r="L450" s="5">
        <v>188212.81</v>
      </c>
      <c r="M450" s="5">
        <v>15684.4</v>
      </c>
      <c r="N450" s="5">
        <v>62404.27</v>
      </c>
      <c r="O450" s="5">
        <v>63404.27</v>
      </c>
      <c r="P450" s="5">
        <v>62404.27</v>
      </c>
      <c r="Q450" t="s">
        <v>2770</v>
      </c>
      <c r="R450" t="s">
        <v>2770</v>
      </c>
      <c r="S450" t="s">
        <v>2770</v>
      </c>
      <c r="T450" t="s">
        <v>2770</v>
      </c>
      <c r="U450" t="s">
        <v>2770</v>
      </c>
      <c r="V450" t="s">
        <v>2770</v>
      </c>
      <c r="W450" t="s">
        <v>2770</v>
      </c>
      <c r="X450" t="s">
        <v>2770</v>
      </c>
      <c r="Y450" t="s">
        <v>2770</v>
      </c>
    </row>
    <row r="451" spans="1:25" hidden="1" x14ac:dyDescent="0.25">
      <c r="A451" t="s">
        <v>2766</v>
      </c>
      <c r="B451" t="s">
        <v>2477</v>
      </c>
      <c r="C451" t="s">
        <v>1889</v>
      </c>
      <c r="D451">
        <v>6074202400076810</v>
      </c>
      <c r="E451" t="str">
        <f>IF(COUNTIF(Tabela1[codProcesso],Tabela2[[#This Row],[PROCESSO]]),"Está","Não está")</f>
        <v>Não está</v>
      </c>
      <c r="F451" s="8" t="s">
        <v>2767</v>
      </c>
      <c r="G451" t="s">
        <v>2766</v>
      </c>
      <c r="H451" t="s">
        <v>2826</v>
      </c>
      <c r="I451" t="s">
        <v>2827</v>
      </c>
      <c r="J451" t="s">
        <v>2828</v>
      </c>
      <c r="K451" s="3">
        <v>46112</v>
      </c>
      <c r="L451" s="5">
        <v>76019.19</v>
      </c>
      <c r="M451" s="5">
        <v>6334.93</v>
      </c>
      <c r="N451" s="5">
        <v>24395.279999999999</v>
      </c>
      <c r="O451" s="5">
        <v>27228.63</v>
      </c>
      <c r="P451" s="5">
        <v>24395.279999999999</v>
      </c>
      <c r="Q451" t="s">
        <v>2770</v>
      </c>
      <c r="R451" t="s">
        <v>2770</v>
      </c>
      <c r="S451" t="s">
        <v>2770</v>
      </c>
      <c r="T451" t="s">
        <v>2770</v>
      </c>
      <c r="U451" t="s">
        <v>2770</v>
      </c>
      <c r="V451" t="s">
        <v>2770</v>
      </c>
      <c r="W451" t="s">
        <v>2770</v>
      </c>
      <c r="X451" t="s">
        <v>2770</v>
      </c>
      <c r="Y451" t="s">
        <v>2770</v>
      </c>
    </row>
    <row r="452" spans="1:25" hidden="1" x14ac:dyDescent="0.25">
      <c r="A452" t="s">
        <v>2766</v>
      </c>
      <c r="B452" t="s">
        <v>2477</v>
      </c>
      <c r="C452" t="s">
        <v>1889</v>
      </c>
      <c r="D452">
        <v>6074202300021820</v>
      </c>
      <c r="E452" t="str">
        <f>IF(COUNTIF(Tabela1[codProcesso],Tabela2[[#This Row],[PROCESSO]]),"Está","Não está")</f>
        <v>Não está</v>
      </c>
      <c r="F452" s="8" t="s">
        <v>2767</v>
      </c>
      <c r="G452" t="s">
        <v>2766</v>
      </c>
      <c r="H452" t="s">
        <v>2829</v>
      </c>
      <c r="I452" t="s">
        <v>2830</v>
      </c>
      <c r="J452" t="s">
        <v>2831</v>
      </c>
      <c r="K452" s="3">
        <v>46112</v>
      </c>
      <c r="L452" s="5">
        <v>104160</v>
      </c>
      <c r="M452" s="5">
        <v>8680</v>
      </c>
      <c r="N452" s="5">
        <v>32500</v>
      </c>
      <c r="O452" s="5">
        <v>40090</v>
      </c>
      <c r="P452" s="5">
        <v>31570</v>
      </c>
      <c r="Q452" t="s">
        <v>2770</v>
      </c>
      <c r="R452" t="s">
        <v>2770</v>
      </c>
      <c r="S452" t="s">
        <v>2770</v>
      </c>
      <c r="T452" t="s">
        <v>2770</v>
      </c>
      <c r="U452" t="s">
        <v>2770</v>
      </c>
      <c r="V452" t="s">
        <v>2770</v>
      </c>
      <c r="W452" t="s">
        <v>2770</v>
      </c>
      <c r="X452" t="s">
        <v>2770</v>
      </c>
      <c r="Y452" t="s">
        <v>2770</v>
      </c>
    </row>
    <row r="453" spans="1:25" hidden="1" x14ac:dyDescent="0.25">
      <c r="A453" t="s">
        <v>2766</v>
      </c>
      <c r="B453" t="s">
        <v>2477</v>
      </c>
      <c r="C453" t="s">
        <v>1889</v>
      </c>
      <c r="D453">
        <v>6074202200009880</v>
      </c>
      <c r="E453" t="str">
        <f>IF(COUNTIF(Tabela1[codProcesso],Tabela2[[#This Row],[PROCESSO]]),"Está","Não está")</f>
        <v>Não está</v>
      </c>
      <c r="F453" s="8" t="s">
        <v>2767</v>
      </c>
      <c r="G453" t="s">
        <v>2766</v>
      </c>
      <c r="H453" t="s">
        <v>2832</v>
      </c>
      <c r="I453" t="s">
        <v>2833</v>
      </c>
      <c r="J453" t="s">
        <v>2834</v>
      </c>
      <c r="K453" s="3">
        <v>46387</v>
      </c>
      <c r="L453" s="5">
        <v>3837581.14</v>
      </c>
      <c r="M453" s="5">
        <v>319798.43</v>
      </c>
      <c r="N453" s="5">
        <v>313674.7</v>
      </c>
      <c r="O453" s="5">
        <v>313674.7</v>
      </c>
      <c r="P453" s="5">
        <v>313674.71000000002</v>
      </c>
      <c r="Q453" s="5">
        <v>316122.75</v>
      </c>
      <c r="R453" s="5">
        <v>316122.75</v>
      </c>
      <c r="S453" s="5">
        <v>316122.75</v>
      </c>
      <c r="T453" s="5">
        <v>316122.75</v>
      </c>
      <c r="U453" s="5">
        <v>316122.75</v>
      </c>
      <c r="V453" s="5">
        <v>316122.78000000003</v>
      </c>
      <c r="W453" s="5">
        <v>317475.76</v>
      </c>
      <c r="X453" s="5">
        <v>341172.37</v>
      </c>
      <c r="Y453" s="5">
        <v>341172.37</v>
      </c>
    </row>
    <row r="454" spans="1:25" hidden="1" x14ac:dyDescent="0.25">
      <c r="A454" t="s">
        <v>2766</v>
      </c>
      <c r="B454" t="s">
        <v>2477</v>
      </c>
      <c r="C454" t="s">
        <v>1889</v>
      </c>
      <c r="D454">
        <v>6074202300022730</v>
      </c>
      <c r="E454" t="str">
        <f>IF(COUNTIF(Tabela1[codProcesso],Tabela2[[#This Row],[PROCESSO]]),"Está","Não está")</f>
        <v>Não está</v>
      </c>
      <c r="F454" s="8" t="s">
        <v>2767</v>
      </c>
      <c r="G454" t="s">
        <v>2766</v>
      </c>
      <c r="H454" t="s">
        <v>2835</v>
      </c>
      <c r="I454" t="s">
        <v>2836</v>
      </c>
      <c r="J454" t="s">
        <v>2837</v>
      </c>
      <c r="K454" s="3">
        <v>46112</v>
      </c>
      <c r="L454" s="5">
        <v>85882.3</v>
      </c>
      <c r="M454" s="5">
        <v>7156.86</v>
      </c>
      <c r="N454" s="5">
        <v>27734.27</v>
      </c>
      <c r="O454" s="5">
        <v>27734.27</v>
      </c>
      <c r="P454" s="5">
        <v>30413.759999999998</v>
      </c>
      <c r="Q454" t="s">
        <v>2770</v>
      </c>
      <c r="R454" t="s">
        <v>2770</v>
      </c>
      <c r="S454" t="s">
        <v>2770</v>
      </c>
      <c r="T454" t="s">
        <v>2770</v>
      </c>
      <c r="U454" t="s">
        <v>2770</v>
      </c>
      <c r="V454" t="s">
        <v>2770</v>
      </c>
      <c r="W454" t="s">
        <v>2770</v>
      </c>
      <c r="X454" t="s">
        <v>2770</v>
      </c>
      <c r="Y454" t="s">
        <v>2770</v>
      </c>
    </row>
    <row r="455" spans="1:25" hidden="1" x14ac:dyDescent="0.25">
      <c r="A455" t="s">
        <v>2766</v>
      </c>
      <c r="B455" t="s">
        <v>2477</v>
      </c>
      <c r="C455" t="s">
        <v>1889</v>
      </c>
      <c r="D455">
        <v>6074202400077390</v>
      </c>
      <c r="E455" t="str">
        <f>IF(COUNTIF(Tabela1[codProcesso],Tabela2[[#This Row],[PROCESSO]]),"Está","Não está")</f>
        <v>Não está</v>
      </c>
      <c r="F455" s="8" t="s">
        <v>2767</v>
      </c>
      <c r="G455" t="s">
        <v>2766</v>
      </c>
      <c r="H455" t="s">
        <v>2838</v>
      </c>
      <c r="I455" t="s">
        <v>2839</v>
      </c>
      <c r="J455" t="s">
        <v>2840</v>
      </c>
      <c r="K455" s="3">
        <v>46203</v>
      </c>
      <c r="L455" s="5">
        <v>405346.67</v>
      </c>
      <c r="M455" s="5">
        <v>33778.89</v>
      </c>
      <c r="N455" s="5">
        <v>42890.28</v>
      </c>
      <c r="O455" s="5">
        <v>68962.28</v>
      </c>
      <c r="P455" s="5">
        <v>68810.28</v>
      </c>
      <c r="Q455" s="5">
        <v>68810.28</v>
      </c>
      <c r="R455" s="5">
        <v>80610.16</v>
      </c>
      <c r="S455" s="5">
        <v>75263.39</v>
      </c>
      <c r="T455" t="s">
        <v>2770</v>
      </c>
      <c r="U455" t="s">
        <v>2770</v>
      </c>
      <c r="V455" t="s">
        <v>2770</v>
      </c>
      <c r="W455" t="s">
        <v>2770</v>
      </c>
      <c r="X455" t="s">
        <v>2770</v>
      </c>
      <c r="Y455" t="s">
        <v>2770</v>
      </c>
    </row>
    <row r="456" spans="1:25" hidden="1" x14ac:dyDescent="0.25">
      <c r="A456" t="s">
        <v>2766</v>
      </c>
      <c r="B456" t="s">
        <v>2477</v>
      </c>
      <c r="C456" t="s">
        <v>1889</v>
      </c>
      <c r="D456">
        <v>6074202400077270</v>
      </c>
      <c r="E456" t="str">
        <f>IF(COUNTIF(Tabela1[codProcesso],Tabela2[[#This Row],[PROCESSO]]),"Está","Não está")</f>
        <v>Não está</v>
      </c>
      <c r="F456" s="8" t="s">
        <v>2767</v>
      </c>
      <c r="G456" t="s">
        <v>2766</v>
      </c>
      <c r="H456" t="s">
        <v>2841</v>
      </c>
      <c r="I456" t="s">
        <v>2842</v>
      </c>
      <c r="J456" t="s">
        <v>2843</v>
      </c>
      <c r="K456" s="3">
        <v>46112</v>
      </c>
      <c r="L456" s="5">
        <v>134828.67000000001</v>
      </c>
      <c r="M456" s="5">
        <v>11235.72</v>
      </c>
      <c r="N456" s="5">
        <v>44762.89</v>
      </c>
      <c r="O456" s="5">
        <v>43962.89</v>
      </c>
      <c r="P456" s="5">
        <v>46102.89</v>
      </c>
      <c r="Q456" t="s">
        <v>2770</v>
      </c>
      <c r="R456" t="s">
        <v>2770</v>
      </c>
      <c r="S456" t="s">
        <v>2770</v>
      </c>
      <c r="T456" t="s">
        <v>2770</v>
      </c>
      <c r="U456" t="s">
        <v>2770</v>
      </c>
      <c r="V456" t="s">
        <v>2770</v>
      </c>
      <c r="W456" t="s">
        <v>2770</v>
      </c>
      <c r="X456" t="s">
        <v>2770</v>
      </c>
      <c r="Y456" t="s">
        <v>2770</v>
      </c>
    </row>
    <row r="457" spans="1:25" hidden="1" x14ac:dyDescent="0.25">
      <c r="A457" t="s">
        <v>2766</v>
      </c>
      <c r="B457" t="s">
        <v>2477</v>
      </c>
      <c r="C457" t="s">
        <v>1889</v>
      </c>
      <c r="D457">
        <v>6074202100042200</v>
      </c>
      <c r="E457" t="str">
        <f>IF(COUNTIF(Tabela1[codProcesso],Tabela2[[#This Row],[PROCESSO]]),"Está","Não está")</f>
        <v>Não está</v>
      </c>
      <c r="F457" s="8" t="s">
        <v>2767</v>
      </c>
      <c r="G457" t="s">
        <v>2766</v>
      </c>
      <c r="H457" t="s">
        <v>2844</v>
      </c>
      <c r="I457" t="s">
        <v>2845</v>
      </c>
      <c r="J457" t="s">
        <v>2846</v>
      </c>
      <c r="K457" s="3">
        <v>46203</v>
      </c>
      <c r="L457" s="5">
        <v>245906.44</v>
      </c>
      <c r="M457" s="5">
        <v>20492.2</v>
      </c>
      <c r="N457" s="5">
        <v>41237.5</v>
      </c>
      <c r="O457" s="5">
        <v>40517.5</v>
      </c>
      <c r="P457" s="5">
        <v>40517.5</v>
      </c>
      <c r="Q457" s="5">
        <v>40517.5</v>
      </c>
      <c r="R457" s="5">
        <v>42017.5</v>
      </c>
      <c r="S457" s="5">
        <v>41098.94</v>
      </c>
      <c r="T457" t="s">
        <v>2770</v>
      </c>
      <c r="U457" t="s">
        <v>2770</v>
      </c>
      <c r="V457" t="s">
        <v>2770</v>
      </c>
      <c r="W457" t="s">
        <v>2770</v>
      </c>
      <c r="X457" t="s">
        <v>2770</v>
      </c>
      <c r="Y457" t="s">
        <v>2770</v>
      </c>
    </row>
    <row r="458" spans="1:25" hidden="1" x14ac:dyDescent="0.25">
      <c r="A458" t="s">
        <v>2766</v>
      </c>
      <c r="B458" t="s">
        <v>2477</v>
      </c>
      <c r="C458" t="s">
        <v>1889</v>
      </c>
      <c r="D458">
        <v>6074202300021800</v>
      </c>
      <c r="E458" t="str">
        <f>IF(COUNTIF(Tabela1[codProcesso],Tabela2[[#This Row],[PROCESSO]]),"Está","Não está")</f>
        <v>Não está</v>
      </c>
      <c r="F458" s="8" t="s">
        <v>2767</v>
      </c>
      <c r="G458" t="s">
        <v>2766</v>
      </c>
      <c r="H458" t="s">
        <v>2847</v>
      </c>
      <c r="I458" t="s">
        <v>2848</v>
      </c>
      <c r="J458" t="s">
        <v>2849</v>
      </c>
      <c r="K458" s="3">
        <v>46265</v>
      </c>
      <c r="L458" s="5">
        <v>598494.6</v>
      </c>
      <c r="M458" s="5">
        <v>49874.55</v>
      </c>
      <c r="N458" s="5">
        <v>80537.88</v>
      </c>
      <c r="O458" s="5">
        <v>80168.88</v>
      </c>
      <c r="P458" s="5">
        <v>77582.880000000005</v>
      </c>
      <c r="Q458" s="5">
        <v>80537.88</v>
      </c>
      <c r="R458" s="5">
        <v>80168.88</v>
      </c>
      <c r="S458" s="5">
        <v>80168.88</v>
      </c>
      <c r="T458" s="5">
        <v>80537.88</v>
      </c>
      <c r="U458" s="5">
        <v>38791.440000000002</v>
      </c>
      <c r="V458" t="s">
        <v>2770</v>
      </c>
      <c r="W458" t="s">
        <v>2770</v>
      </c>
      <c r="X458" t="s">
        <v>2770</v>
      </c>
      <c r="Y458" t="s">
        <v>2770</v>
      </c>
    </row>
    <row r="459" spans="1:25" hidden="1" x14ac:dyDescent="0.25">
      <c r="A459" t="s">
        <v>2766</v>
      </c>
      <c r="B459" t="s">
        <v>2477</v>
      </c>
      <c r="C459" t="s">
        <v>1889</v>
      </c>
      <c r="D459">
        <v>6074202100042490</v>
      </c>
      <c r="E459" t="str">
        <f>IF(COUNTIF(Tabela1[codProcesso],Tabela2[[#This Row],[PROCESSO]]),"Está","Não está")</f>
        <v>Não está</v>
      </c>
      <c r="F459" s="8" t="s">
        <v>2767</v>
      </c>
      <c r="G459" t="s">
        <v>2766</v>
      </c>
      <c r="H459" t="s">
        <v>2850</v>
      </c>
      <c r="I459" t="s">
        <v>2851</v>
      </c>
      <c r="J459" t="s">
        <v>2806</v>
      </c>
      <c r="K459" s="3">
        <v>46112</v>
      </c>
      <c r="L459" s="5">
        <v>125068.2</v>
      </c>
      <c r="M459" s="5">
        <v>10422.35</v>
      </c>
      <c r="N459" s="5">
        <v>41193.24</v>
      </c>
      <c r="O459" s="5">
        <v>42681.72</v>
      </c>
      <c r="P459" s="5">
        <v>41193.24</v>
      </c>
      <c r="Q459" t="s">
        <v>2770</v>
      </c>
      <c r="R459" t="s">
        <v>2770</v>
      </c>
      <c r="S459" t="s">
        <v>2770</v>
      </c>
      <c r="T459" t="s">
        <v>2770</v>
      </c>
      <c r="U459" t="s">
        <v>2770</v>
      </c>
      <c r="V459" t="s">
        <v>2770</v>
      </c>
      <c r="W459" t="s">
        <v>2770</v>
      </c>
      <c r="X459" t="s">
        <v>2770</v>
      </c>
      <c r="Y459" t="s">
        <v>2770</v>
      </c>
    </row>
    <row r="460" spans="1:25" hidden="1" x14ac:dyDescent="0.25">
      <c r="A460" t="s">
        <v>2766</v>
      </c>
      <c r="B460" t="s">
        <v>2477</v>
      </c>
      <c r="C460" t="s">
        <v>1889</v>
      </c>
      <c r="D460">
        <v>6074202400077460</v>
      </c>
      <c r="E460" t="str">
        <f>IF(COUNTIF(Tabela1[codProcesso],Tabela2[[#This Row],[PROCESSO]]),"Está","Não está")</f>
        <v>Não está</v>
      </c>
      <c r="F460" s="8" t="s">
        <v>2767</v>
      </c>
      <c r="G460" t="s">
        <v>2766</v>
      </c>
      <c r="H460" t="s">
        <v>2852</v>
      </c>
      <c r="I460" t="s">
        <v>2853</v>
      </c>
      <c r="J460" t="s">
        <v>2522</v>
      </c>
      <c r="K460" s="3">
        <v>46142</v>
      </c>
      <c r="L460" s="5">
        <v>264916.46000000002</v>
      </c>
      <c r="M460" s="5">
        <v>22076.37</v>
      </c>
      <c r="N460" s="5">
        <v>53462.239999999998</v>
      </c>
      <c r="O460" s="5">
        <v>53462.239999999998</v>
      </c>
      <c r="P460" s="5">
        <v>59879.74</v>
      </c>
      <c r="Q460" s="5">
        <v>98112.24</v>
      </c>
      <c r="R460" t="s">
        <v>2770</v>
      </c>
      <c r="S460" t="s">
        <v>2770</v>
      </c>
      <c r="T460" t="s">
        <v>2770</v>
      </c>
      <c r="U460" t="s">
        <v>2770</v>
      </c>
      <c r="V460" t="s">
        <v>2770</v>
      </c>
      <c r="W460" t="s">
        <v>2770</v>
      </c>
      <c r="X460" t="s">
        <v>2770</v>
      </c>
      <c r="Y460" t="s">
        <v>2770</v>
      </c>
    </row>
    <row r="461" spans="1:25" hidden="1" x14ac:dyDescent="0.25">
      <c r="A461" t="s">
        <v>2766</v>
      </c>
      <c r="B461" t="s">
        <v>2477</v>
      </c>
      <c r="C461" t="s">
        <v>1889</v>
      </c>
      <c r="D461">
        <v>6074202200016950</v>
      </c>
      <c r="E461" t="str">
        <f>IF(COUNTIF(Tabela1[codProcesso],Tabela2[[#This Row],[PROCESSO]]),"Está","Não está")</f>
        <v>Não está</v>
      </c>
      <c r="F461" s="8" t="s">
        <v>2767</v>
      </c>
      <c r="G461" t="s">
        <v>2766</v>
      </c>
      <c r="H461" t="s">
        <v>2854</v>
      </c>
      <c r="I461" t="s">
        <v>2855</v>
      </c>
      <c r="J461" t="s">
        <v>2856</v>
      </c>
      <c r="K461" s="3">
        <v>46173</v>
      </c>
      <c r="L461" s="5">
        <v>800724.45</v>
      </c>
      <c r="M461" s="5">
        <v>66727.039999999994</v>
      </c>
      <c r="N461" s="5">
        <v>160144.89000000001</v>
      </c>
      <c r="O461" s="5">
        <v>160144.89000000001</v>
      </c>
      <c r="P461" s="5">
        <v>160144.89000000001</v>
      </c>
      <c r="Q461" s="5">
        <v>160144.89000000001</v>
      </c>
      <c r="R461" s="5">
        <v>160144.89000000001</v>
      </c>
      <c r="S461" t="s">
        <v>2770</v>
      </c>
      <c r="T461" t="s">
        <v>2770</v>
      </c>
      <c r="U461" t="s">
        <v>2770</v>
      </c>
      <c r="V461" t="s">
        <v>2770</v>
      </c>
      <c r="W461" t="s">
        <v>2770</v>
      </c>
      <c r="X461" t="s">
        <v>2770</v>
      </c>
      <c r="Y461" t="s">
        <v>2770</v>
      </c>
    </row>
    <row r="462" spans="1:25" hidden="1" x14ac:dyDescent="0.25">
      <c r="A462" t="s">
        <v>2766</v>
      </c>
      <c r="B462" t="s">
        <v>2477</v>
      </c>
      <c r="C462" t="s">
        <v>1889</v>
      </c>
      <c r="D462">
        <v>6074202300019100</v>
      </c>
      <c r="E462" t="str">
        <f>IF(COUNTIF(Tabela1[codProcesso],Tabela2[[#This Row],[PROCESSO]]),"Está","Não está")</f>
        <v>Não está</v>
      </c>
      <c r="F462" s="8" t="s">
        <v>2767</v>
      </c>
      <c r="G462" t="s">
        <v>2766</v>
      </c>
      <c r="H462" t="s">
        <v>2857</v>
      </c>
      <c r="I462" t="s">
        <v>2858</v>
      </c>
      <c r="J462" t="s">
        <v>2859</v>
      </c>
      <c r="K462" s="3">
        <v>46234</v>
      </c>
      <c r="L462" s="5">
        <v>200340</v>
      </c>
      <c r="M462" s="5">
        <v>16695</v>
      </c>
      <c r="N462" s="5">
        <v>28620</v>
      </c>
      <c r="O462" s="5">
        <v>28620</v>
      </c>
      <c r="P462" s="5">
        <v>28620</v>
      </c>
      <c r="Q462" s="5">
        <v>28620</v>
      </c>
      <c r="R462" s="5">
        <v>28620</v>
      </c>
      <c r="S462" s="5">
        <v>28620</v>
      </c>
      <c r="T462" s="5">
        <v>28620</v>
      </c>
      <c r="U462" t="s">
        <v>2770</v>
      </c>
      <c r="V462" t="s">
        <v>2770</v>
      </c>
      <c r="W462" t="s">
        <v>2770</v>
      </c>
      <c r="X462" t="s">
        <v>2770</v>
      </c>
      <c r="Y462" t="s">
        <v>2770</v>
      </c>
    </row>
    <row r="463" spans="1:25" hidden="1" x14ac:dyDescent="0.25">
      <c r="A463" t="s">
        <v>2766</v>
      </c>
      <c r="B463" t="s">
        <v>2477</v>
      </c>
      <c r="C463" t="s">
        <v>1889</v>
      </c>
      <c r="D463">
        <v>6074202200016960</v>
      </c>
      <c r="E463" t="str">
        <f>IF(COUNTIF(Tabela1[codProcesso],Tabela2[[#This Row],[PROCESSO]]),"Está","Não está")</f>
        <v>Não está</v>
      </c>
      <c r="F463" s="8" t="s">
        <v>2767</v>
      </c>
      <c r="G463" t="s">
        <v>2766</v>
      </c>
      <c r="H463" t="s">
        <v>2860</v>
      </c>
      <c r="I463" t="s">
        <v>2861</v>
      </c>
      <c r="J463" t="s">
        <v>2856</v>
      </c>
      <c r="K463" s="3">
        <v>45808</v>
      </c>
      <c r="L463" s="5">
        <v>273608.3</v>
      </c>
      <c r="M463" s="5">
        <v>22800.69</v>
      </c>
      <c r="N463" s="5">
        <v>55097.66</v>
      </c>
      <c r="O463" s="5">
        <v>55097.66</v>
      </c>
      <c r="P463" s="5">
        <v>55097.66</v>
      </c>
      <c r="Q463" s="5">
        <v>54157.66</v>
      </c>
      <c r="R463" s="5">
        <v>54157.66</v>
      </c>
      <c r="S463" t="s">
        <v>2770</v>
      </c>
      <c r="T463" t="s">
        <v>2770</v>
      </c>
      <c r="U463" t="s">
        <v>2770</v>
      </c>
      <c r="V463" t="s">
        <v>2770</v>
      </c>
      <c r="W463" t="s">
        <v>2770</v>
      </c>
      <c r="X463" t="s">
        <v>2770</v>
      </c>
      <c r="Y463" t="s">
        <v>2770</v>
      </c>
    </row>
    <row r="464" spans="1:25" hidden="1" x14ac:dyDescent="0.25">
      <c r="A464" t="s">
        <v>2766</v>
      </c>
      <c r="B464" t="s">
        <v>2477</v>
      </c>
      <c r="C464" t="s">
        <v>1889</v>
      </c>
      <c r="D464">
        <v>6074202400075020</v>
      </c>
      <c r="E464" t="str">
        <f>IF(COUNTIF(Tabela1[codProcesso],Tabela2[[#This Row],[PROCESSO]]),"Está","Não está")</f>
        <v>Não está</v>
      </c>
      <c r="F464" s="8" t="s">
        <v>2767</v>
      </c>
      <c r="G464" t="s">
        <v>2766</v>
      </c>
      <c r="H464" t="s">
        <v>2862</v>
      </c>
      <c r="I464" t="s">
        <v>2863</v>
      </c>
      <c r="J464" t="s">
        <v>2864</v>
      </c>
      <c r="K464" s="3">
        <v>46174</v>
      </c>
      <c r="L464" s="5">
        <v>322772</v>
      </c>
      <c r="M464" s="5">
        <v>26897.67</v>
      </c>
      <c r="N464" s="5">
        <v>66260</v>
      </c>
      <c r="O464" s="5">
        <v>59996</v>
      </c>
      <c r="P464" s="5">
        <v>66260</v>
      </c>
      <c r="Q464" s="5">
        <v>63996</v>
      </c>
      <c r="R464" s="5">
        <v>66260</v>
      </c>
      <c r="S464" t="s">
        <v>2770</v>
      </c>
      <c r="T464" t="s">
        <v>2770</v>
      </c>
      <c r="U464" t="s">
        <v>2770</v>
      </c>
      <c r="V464" t="s">
        <v>2770</v>
      </c>
      <c r="W464" t="s">
        <v>2770</v>
      </c>
      <c r="X464" t="s">
        <v>2770</v>
      </c>
      <c r="Y464" t="s">
        <v>2770</v>
      </c>
    </row>
    <row r="465" spans="1:25" hidden="1" x14ac:dyDescent="0.25">
      <c r="A465" t="s">
        <v>2766</v>
      </c>
      <c r="B465" t="s">
        <v>2477</v>
      </c>
      <c r="C465" t="s">
        <v>1889</v>
      </c>
      <c r="D465">
        <v>6074202400077520</v>
      </c>
      <c r="E465" t="str">
        <f>IF(COUNTIF(Tabela1[codProcesso],Tabela2[[#This Row],[PROCESSO]]),"Está","Não está")</f>
        <v>Não está</v>
      </c>
      <c r="F465" s="8" t="s">
        <v>2767</v>
      </c>
      <c r="G465" t="s">
        <v>2766</v>
      </c>
      <c r="H465" t="s">
        <v>2865</v>
      </c>
      <c r="I465" t="s">
        <v>2866</v>
      </c>
      <c r="J465" t="s">
        <v>2867</v>
      </c>
      <c r="K465" s="3">
        <v>46142</v>
      </c>
      <c r="L465" s="5">
        <v>190580</v>
      </c>
      <c r="M465" s="5">
        <v>15881.67</v>
      </c>
      <c r="N465" s="5">
        <v>47645</v>
      </c>
      <c r="O465" s="5">
        <v>47645</v>
      </c>
      <c r="P465" s="5">
        <v>47645</v>
      </c>
      <c r="Q465" s="5">
        <v>47645</v>
      </c>
      <c r="R465" t="s">
        <v>2770</v>
      </c>
      <c r="S465" t="s">
        <v>2770</v>
      </c>
      <c r="T465" t="s">
        <v>2770</v>
      </c>
      <c r="U465" t="s">
        <v>2770</v>
      </c>
      <c r="V465" t="s">
        <v>2770</v>
      </c>
      <c r="W465" t="s">
        <v>2770</v>
      </c>
      <c r="X465" t="s">
        <v>2770</v>
      </c>
      <c r="Y465" t="s">
        <v>2770</v>
      </c>
    </row>
    <row r="466" spans="1:25" hidden="1" x14ac:dyDescent="0.25">
      <c r="A466" t="s">
        <v>2766</v>
      </c>
      <c r="B466" t="s">
        <v>2477</v>
      </c>
      <c r="C466" t="s">
        <v>1889</v>
      </c>
      <c r="D466">
        <v>6074202300022470</v>
      </c>
      <c r="E466" t="str">
        <f>IF(COUNTIF(Tabela1[codProcesso],Tabela2[[#This Row],[PROCESSO]]),"Está","Não está")</f>
        <v>Não está</v>
      </c>
      <c r="F466" s="8" t="s">
        <v>2767</v>
      </c>
      <c r="G466" t="s">
        <v>2766</v>
      </c>
      <c r="H466" t="s">
        <v>2868</v>
      </c>
      <c r="I466" t="s">
        <v>2869</v>
      </c>
      <c r="J466" t="s">
        <v>2870</v>
      </c>
      <c r="K466" s="3">
        <v>46112</v>
      </c>
      <c r="L466" s="5">
        <v>344676.12</v>
      </c>
      <c r="M466" s="5">
        <v>28723.01</v>
      </c>
      <c r="N466" s="5">
        <v>94304.04</v>
      </c>
      <c r="O466" s="5">
        <v>126736.04</v>
      </c>
      <c r="P466" s="5">
        <v>123636.04</v>
      </c>
      <c r="Q466" t="s">
        <v>2770</v>
      </c>
      <c r="R466" t="s">
        <v>2770</v>
      </c>
      <c r="S466" t="s">
        <v>2770</v>
      </c>
      <c r="T466" t="s">
        <v>2770</v>
      </c>
      <c r="U466" t="s">
        <v>2770</v>
      </c>
      <c r="V466" t="s">
        <v>2770</v>
      </c>
      <c r="W466" t="s">
        <v>2770</v>
      </c>
      <c r="X466" t="s">
        <v>2770</v>
      </c>
      <c r="Y466" t="s">
        <v>2770</v>
      </c>
    </row>
    <row r="467" spans="1:25" hidden="1" x14ac:dyDescent="0.25">
      <c r="A467" t="s">
        <v>2766</v>
      </c>
      <c r="B467" t="s">
        <v>2477</v>
      </c>
      <c r="C467" t="s">
        <v>1889</v>
      </c>
      <c r="D467">
        <v>6074202100042140</v>
      </c>
      <c r="E467" t="str">
        <f>IF(COUNTIF(Tabela1[codProcesso],Tabela2[[#This Row],[PROCESSO]]),"Está","Não está")</f>
        <v>Não está</v>
      </c>
      <c r="F467" s="8" t="s">
        <v>2767</v>
      </c>
      <c r="G467" t="s">
        <v>2766</v>
      </c>
      <c r="H467" t="s">
        <v>2871</v>
      </c>
      <c r="I467" t="s">
        <v>2872</v>
      </c>
      <c r="J467" t="s">
        <v>2873</v>
      </c>
      <c r="K467" s="3">
        <v>46264</v>
      </c>
      <c r="L467" s="5">
        <v>205743.51</v>
      </c>
      <c r="M467" s="5">
        <v>17145.29</v>
      </c>
      <c r="N467" s="5">
        <v>24554.68</v>
      </c>
      <c r="O467" s="5">
        <v>25661.8</v>
      </c>
      <c r="P467" s="5">
        <v>26079.01</v>
      </c>
      <c r="Q467" s="5">
        <v>29578.83</v>
      </c>
      <c r="R467" s="5">
        <v>24554.68</v>
      </c>
      <c r="S467" s="5">
        <v>25655.52</v>
      </c>
      <c r="T467" s="5">
        <v>24554.68</v>
      </c>
      <c r="U467" s="5">
        <v>25104.31</v>
      </c>
      <c r="V467" t="s">
        <v>2770</v>
      </c>
      <c r="W467" t="s">
        <v>2770</v>
      </c>
      <c r="X467" t="s">
        <v>2770</v>
      </c>
      <c r="Y467" t="s">
        <v>2770</v>
      </c>
    </row>
    <row r="468" spans="1:25" hidden="1" x14ac:dyDescent="0.25">
      <c r="A468" t="s">
        <v>2766</v>
      </c>
      <c r="B468" t="s">
        <v>2477</v>
      </c>
      <c r="C468" t="s">
        <v>1889</v>
      </c>
      <c r="D468">
        <v>6074202400075070</v>
      </c>
      <c r="E468" t="str">
        <f>IF(COUNTIF(Tabela1[codProcesso],Tabela2[[#This Row],[PROCESSO]]),"Está","Não está")</f>
        <v>Não está</v>
      </c>
      <c r="F468" s="8" t="s">
        <v>2767</v>
      </c>
      <c r="G468" t="s">
        <v>2766</v>
      </c>
      <c r="H468" t="s">
        <v>2874</v>
      </c>
      <c r="I468" t="s">
        <v>2875</v>
      </c>
      <c r="J468" t="s">
        <v>2693</v>
      </c>
      <c r="K468" s="3">
        <v>46142</v>
      </c>
      <c r="L468" s="5">
        <v>266558.03999999998</v>
      </c>
      <c r="M468" s="5">
        <v>22213.17</v>
      </c>
      <c r="N468" s="5">
        <v>66639.509999999995</v>
      </c>
      <c r="O468" s="5">
        <v>66639.509999999995</v>
      </c>
      <c r="P468" s="5">
        <v>66639.509999999995</v>
      </c>
      <c r="Q468" s="5">
        <v>66639.509999999995</v>
      </c>
      <c r="R468" t="s">
        <v>2770</v>
      </c>
      <c r="S468" t="s">
        <v>2770</v>
      </c>
      <c r="T468" t="s">
        <v>2770</v>
      </c>
      <c r="U468" t="s">
        <v>2770</v>
      </c>
      <c r="V468" t="s">
        <v>2770</v>
      </c>
      <c r="W468" t="s">
        <v>2770</v>
      </c>
      <c r="X468" t="s">
        <v>2770</v>
      </c>
      <c r="Y468" t="s">
        <v>2770</v>
      </c>
    </row>
    <row r="469" spans="1:25" hidden="1" x14ac:dyDescent="0.25">
      <c r="A469" t="s">
        <v>2766</v>
      </c>
      <c r="B469" t="s">
        <v>2477</v>
      </c>
      <c r="C469" t="s">
        <v>1889</v>
      </c>
      <c r="D469">
        <v>6074202300022680</v>
      </c>
      <c r="E469" t="str">
        <f>IF(COUNTIF(Tabela1[codProcesso],Tabela2[[#This Row],[PROCESSO]]),"Está","Não está")</f>
        <v>Não está</v>
      </c>
      <c r="F469" s="8" t="s">
        <v>2767</v>
      </c>
      <c r="G469" t="s">
        <v>2766</v>
      </c>
      <c r="H469" t="s">
        <v>2876</v>
      </c>
      <c r="I469" t="s">
        <v>2877</v>
      </c>
      <c r="J469" t="s">
        <v>2505</v>
      </c>
      <c r="K469" s="3">
        <v>46081</v>
      </c>
      <c r="L469" s="5">
        <v>71472.100000000006</v>
      </c>
      <c r="M469" s="5">
        <v>5956.01</v>
      </c>
      <c r="N469" s="5">
        <v>35736.050000000003</v>
      </c>
      <c r="O469" s="5">
        <v>35736.050000000003</v>
      </c>
      <c r="P469" t="s">
        <v>2770</v>
      </c>
      <c r="Q469" t="s">
        <v>2770</v>
      </c>
      <c r="R469" t="s">
        <v>2770</v>
      </c>
      <c r="S469" t="s">
        <v>2770</v>
      </c>
      <c r="T469" t="s">
        <v>2770</v>
      </c>
      <c r="U469" t="s">
        <v>2770</v>
      </c>
      <c r="V469" t="s">
        <v>2770</v>
      </c>
      <c r="W469" t="s">
        <v>2770</v>
      </c>
      <c r="X469" t="s">
        <v>2770</v>
      </c>
      <c r="Y469" t="s">
        <v>2770</v>
      </c>
    </row>
    <row r="470" spans="1:25" hidden="1" x14ac:dyDescent="0.25">
      <c r="A470" t="s">
        <v>2766</v>
      </c>
      <c r="B470" t="s">
        <v>2477</v>
      </c>
      <c r="C470" t="s">
        <v>1889</v>
      </c>
      <c r="D470">
        <v>6074202400077280</v>
      </c>
      <c r="E470" t="str">
        <f>IF(COUNTIF(Tabela1[codProcesso],Tabela2[[#This Row],[PROCESSO]]),"Está","Não está")</f>
        <v>Não está</v>
      </c>
      <c r="F470" s="8" t="s">
        <v>2767</v>
      </c>
      <c r="G470" t="s">
        <v>2766</v>
      </c>
      <c r="H470" t="s">
        <v>2878</v>
      </c>
      <c r="I470" t="s">
        <v>2879</v>
      </c>
      <c r="J470" t="s">
        <v>2880</v>
      </c>
      <c r="K470" s="3">
        <v>46234</v>
      </c>
      <c r="L470" s="5">
        <v>418028.36</v>
      </c>
      <c r="M470" s="5">
        <v>34835.699999999997</v>
      </c>
      <c r="N470" s="5">
        <v>53926.92</v>
      </c>
      <c r="O470" s="5">
        <v>66796.92</v>
      </c>
      <c r="P470" s="5">
        <v>58846.92</v>
      </c>
      <c r="Q470" s="5">
        <v>57346.92</v>
      </c>
      <c r="R470" s="5">
        <v>64216.92</v>
      </c>
      <c r="S470" s="5">
        <v>59846.92</v>
      </c>
      <c r="T470" s="5">
        <v>57046.84</v>
      </c>
      <c r="U470" t="s">
        <v>2770</v>
      </c>
      <c r="V470" t="s">
        <v>2770</v>
      </c>
      <c r="W470" t="s">
        <v>2770</v>
      </c>
      <c r="X470" t="s">
        <v>2770</v>
      </c>
      <c r="Y470" t="s">
        <v>2770</v>
      </c>
    </row>
    <row r="471" spans="1:25" hidden="1" x14ac:dyDescent="0.25">
      <c r="A471" t="s">
        <v>2766</v>
      </c>
      <c r="B471" t="s">
        <v>2477</v>
      </c>
      <c r="C471" t="s">
        <v>1889</v>
      </c>
      <c r="D471">
        <v>6074202300020350</v>
      </c>
      <c r="E471" t="str">
        <f>IF(COUNTIF(Tabela1[codProcesso],Tabela2[[#This Row],[PROCESSO]]),"Está","Não está")</f>
        <v>Não está</v>
      </c>
      <c r="F471" s="8" t="s">
        <v>2767</v>
      </c>
      <c r="G471" t="s">
        <v>2766</v>
      </c>
      <c r="H471" t="s">
        <v>2881</v>
      </c>
      <c r="I471" t="s">
        <v>2882</v>
      </c>
      <c r="J471" t="s">
        <v>2883</v>
      </c>
      <c r="K471" s="3">
        <v>46568</v>
      </c>
      <c r="L471" s="5">
        <v>121562.18</v>
      </c>
      <c r="M471" s="5">
        <v>10130.18</v>
      </c>
      <c r="N471" s="5">
        <v>9938.02</v>
      </c>
      <c r="O471" s="5">
        <v>9938.02</v>
      </c>
      <c r="P471" s="5">
        <v>9938.02</v>
      </c>
      <c r="Q471" s="5">
        <v>9938.02</v>
      </c>
      <c r="R471" s="5">
        <v>9938.02</v>
      </c>
      <c r="S471" s="5">
        <v>9938.02</v>
      </c>
      <c r="T471" s="5">
        <v>10322.36</v>
      </c>
      <c r="U471" s="5">
        <v>10322.34</v>
      </c>
      <c r="V471" s="5">
        <v>10322.34</v>
      </c>
      <c r="W471" s="5">
        <v>10322.34</v>
      </c>
      <c r="X471" s="5">
        <v>10322.34</v>
      </c>
      <c r="Y471" s="5">
        <v>10322.34</v>
      </c>
    </row>
    <row r="472" spans="1:25" hidden="1" x14ac:dyDescent="0.25">
      <c r="A472" t="s">
        <v>2766</v>
      </c>
      <c r="B472" t="s">
        <v>2477</v>
      </c>
      <c r="C472" t="s">
        <v>1889</v>
      </c>
      <c r="D472">
        <v>6074202300022810</v>
      </c>
      <c r="E472" t="str">
        <f>IF(COUNTIF(Tabela1[codProcesso],Tabela2[[#This Row],[PROCESSO]]),"Está","Não está")</f>
        <v>Não está</v>
      </c>
      <c r="F472" s="8" t="s">
        <v>2767</v>
      </c>
      <c r="G472" t="s">
        <v>2766</v>
      </c>
      <c r="H472" t="s">
        <v>2884</v>
      </c>
      <c r="I472" t="s">
        <v>2885</v>
      </c>
      <c r="J472" t="s">
        <v>2886</v>
      </c>
      <c r="K472" s="3">
        <v>46142</v>
      </c>
      <c r="L472" s="5">
        <v>95996.800000000003</v>
      </c>
      <c r="M472" s="5">
        <v>7999.73</v>
      </c>
      <c r="N472" s="5">
        <v>23999.200000000001</v>
      </c>
      <c r="O472" s="5">
        <v>23999.200000000001</v>
      </c>
      <c r="P472" s="5">
        <v>23999.200000000001</v>
      </c>
      <c r="Q472" s="5">
        <v>23999.200000000001</v>
      </c>
      <c r="R472" t="s">
        <v>2770</v>
      </c>
      <c r="S472" t="s">
        <v>2770</v>
      </c>
      <c r="T472" t="s">
        <v>2770</v>
      </c>
      <c r="U472" t="s">
        <v>2770</v>
      </c>
      <c r="V472" t="s">
        <v>2770</v>
      </c>
      <c r="W472" t="s">
        <v>2770</v>
      </c>
      <c r="X472" t="s">
        <v>2770</v>
      </c>
      <c r="Y472" t="s">
        <v>2770</v>
      </c>
    </row>
    <row r="473" spans="1:25" hidden="1" x14ac:dyDescent="0.25">
      <c r="A473" t="s">
        <v>2766</v>
      </c>
      <c r="B473" t="s">
        <v>2477</v>
      </c>
      <c r="C473" t="s">
        <v>1889</v>
      </c>
      <c r="D473">
        <v>6074202200009790</v>
      </c>
      <c r="E473" t="str">
        <f>IF(COUNTIF(Tabela1[codProcesso],Tabela2[[#This Row],[PROCESSO]]),"Está","Não está")</f>
        <v>Não está</v>
      </c>
      <c r="F473" s="8" t="s">
        <v>2767</v>
      </c>
      <c r="G473" t="s">
        <v>2766</v>
      </c>
      <c r="H473" t="s">
        <v>2887</v>
      </c>
      <c r="I473" t="s">
        <v>2888</v>
      </c>
      <c r="J473" t="s">
        <v>2889</v>
      </c>
      <c r="K473" s="3">
        <v>46173</v>
      </c>
      <c r="L473" s="5">
        <v>221494.6</v>
      </c>
      <c r="M473" s="5">
        <v>18457.88</v>
      </c>
      <c r="N473" s="5">
        <v>47546.9</v>
      </c>
      <c r="O473" s="5">
        <v>47046.9</v>
      </c>
      <c r="P473" s="5">
        <v>47546.9</v>
      </c>
      <c r="Q473" s="5">
        <v>47046.95</v>
      </c>
      <c r="R473" s="5">
        <v>32306.95</v>
      </c>
      <c r="S473" t="s">
        <v>2770</v>
      </c>
      <c r="T473" t="s">
        <v>2770</v>
      </c>
      <c r="U473" t="s">
        <v>2770</v>
      </c>
      <c r="V473" t="s">
        <v>2770</v>
      </c>
      <c r="W473" t="s">
        <v>2770</v>
      </c>
      <c r="X473" t="s">
        <v>2770</v>
      </c>
      <c r="Y473" t="s">
        <v>2770</v>
      </c>
    </row>
    <row r="474" spans="1:25" hidden="1" x14ac:dyDescent="0.25">
      <c r="A474" t="s">
        <v>2766</v>
      </c>
      <c r="B474" t="s">
        <v>2477</v>
      </c>
      <c r="C474" t="s">
        <v>1889</v>
      </c>
      <c r="D474">
        <v>6074202200017170</v>
      </c>
      <c r="E474" t="str">
        <f>IF(COUNTIF(Tabela1[codProcesso],Tabela2[[#This Row],[PROCESSO]]),"Está","Não está")</f>
        <v>Não está</v>
      </c>
      <c r="F474" s="8" t="s">
        <v>2767</v>
      </c>
      <c r="G474" t="s">
        <v>2766</v>
      </c>
      <c r="H474" t="s">
        <v>2890</v>
      </c>
      <c r="I474" t="s">
        <v>2891</v>
      </c>
      <c r="J474" t="s">
        <v>2892</v>
      </c>
      <c r="K474" s="3">
        <v>46142</v>
      </c>
      <c r="L474" s="5">
        <v>61988.84</v>
      </c>
      <c r="M474" s="5">
        <v>5165.74</v>
      </c>
      <c r="N474" s="5">
        <v>20052.21</v>
      </c>
      <c r="O474" s="5">
        <v>12362.21</v>
      </c>
      <c r="P474" s="5">
        <v>12502.21</v>
      </c>
      <c r="Q474" s="5">
        <v>17072.21</v>
      </c>
      <c r="R474" t="s">
        <v>2770</v>
      </c>
      <c r="S474" t="s">
        <v>2770</v>
      </c>
      <c r="T474" t="s">
        <v>2770</v>
      </c>
      <c r="U474" t="s">
        <v>2770</v>
      </c>
      <c r="V474" t="s">
        <v>2770</v>
      </c>
      <c r="W474" t="s">
        <v>2770</v>
      </c>
      <c r="X474" t="s">
        <v>2770</v>
      </c>
      <c r="Y474" t="s">
        <v>2770</v>
      </c>
    </row>
    <row r="475" spans="1:25" hidden="1" x14ac:dyDescent="0.25">
      <c r="A475" t="s">
        <v>2766</v>
      </c>
      <c r="B475" t="s">
        <v>2477</v>
      </c>
      <c r="C475" t="s">
        <v>1889</v>
      </c>
      <c r="D475">
        <v>6074202200016810</v>
      </c>
      <c r="E475" t="str">
        <f>IF(COUNTIF(Tabela1[codProcesso],Tabela2[[#This Row],[PROCESSO]]),"Está","Não está")</f>
        <v>Não está</v>
      </c>
      <c r="F475" s="8" t="s">
        <v>2767</v>
      </c>
      <c r="G475" t="s">
        <v>2766</v>
      </c>
      <c r="H475" t="s">
        <v>2893</v>
      </c>
      <c r="I475" t="s">
        <v>2894</v>
      </c>
      <c r="J475" t="s">
        <v>2895</v>
      </c>
      <c r="K475" s="3">
        <v>46142</v>
      </c>
      <c r="L475" s="5">
        <v>259436.15</v>
      </c>
      <c r="M475" s="5">
        <v>21619.68</v>
      </c>
      <c r="N475" s="5">
        <v>66959.039999999994</v>
      </c>
      <c r="O475" s="5">
        <v>62759.040000000001</v>
      </c>
      <c r="P475" s="5">
        <v>66959.039999999994</v>
      </c>
      <c r="Q475" s="5">
        <v>62759.03</v>
      </c>
      <c r="R475" t="s">
        <v>2770</v>
      </c>
      <c r="S475" t="s">
        <v>2770</v>
      </c>
      <c r="T475" t="s">
        <v>2770</v>
      </c>
      <c r="U475" t="s">
        <v>2770</v>
      </c>
      <c r="V475" t="s">
        <v>2770</v>
      </c>
      <c r="W475" t="s">
        <v>2770</v>
      </c>
      <c r="X475" t="s">
        <v>2770</v>
      </c>
      <c r="Y475" t="s">
        <v>2770</v>
      </c>
    </row>
    <row r="476" spans="1:25" hidden="1" x14ac:dyDescent="0.25">
      <c r="A476" t="s">
        <v>2766</v>
      </c>
      <c r="B476" t="s">
        <v>2477</v>
      </c>
      <c r="C476" t="s">
        <v>1889</v>
      </c>
      <c r="D476">
        <v>6074202100042350</v>
      </c>
      <c r="E476" t="str">
        <f>IF(COUNTIF(Tabela1[codProcesso],Tabela2[[#This Row],[PROCESSO]]),"Está","Não está")</f>
        <v>Não está</v>
      </c>
      <c r="F476" s="8" t="s">
        <v>2767</v>
      </c>
      <c r="G476" t="s">
        <v>2766</v>
      </c>
      <c r="H476" t="s">
        <v>2896</v>
      </c>
      <c r="I476" t="s">
        <v>2897</v>
      </c>
      <c r="J476" t="s">
        <v>2806</v>
      </c>
      <c r="K476" s="3">
        <v>46173</v>
      </c>
      <c r="L476" s="5">
        <v>298876.67</v>
      </c>
      <c r="M476" s="5">
        <v>24906.39</v>
      </c>
      <c r="N476" s="5">
        <v>58416.37</v>
      </c>
      <c r="O476" s="5">
        <v>61472.09</v>
      </c>
      <c r="P476" s="5">
        <v>60209.760000000002</v>
      </c>
      <c r="Q476" s="5">
        <v>61472.09</v>
      </c>
      <c r="R476" s="5">
        <v>57306.36</v>
      </c>
      <c r="S476" t="s">
        <v>2770</v>
      </c>
      <c r="T476" t="s">
        <v>2770</v>
      </c>
      <c r="U476" t="s">
        <v>2770</v>
      </c>
      <c r="V476" t="s">
        <v>2770</v>
      </c>
      <c r="W476" t="s">
        <v>2770</v>
      </c>
      <c r="X476" t="s">
        <v>2770</v>
      </c>
      <c r="Y476" t="s">
        <v>2770</v>
      </c>
    </row>
    <row r="477" spans="1:25" hidden="1" x14ac:dyDescent="0.25">
      <c r="A477" t="s">
        <v>2766</v>
      </c>
      <c r="B477" t="s">
        <v>2477</v>
      </c>
      <c r="C477" t="s">
        <v>1889</v>
      </c>
      <c r="D477">
        <v>6074202300019300</v>
      </c>
      <c r="E477" t="str">
        <f>IF(COUNTIF(Tabela1[codProcesso],Tabela2[[#This Row],[PROCESSO]]),"Está","Não está")</f>
        <v>Não está</v>
      </c>
      <c r="F477" s="8" t="s">
        <v>2767</v>
      </c>
      <c r="G477" t="s">
        <v>2766</v>
      </c>
      <c r="H477" t="s">
        <v>2898</v>
      </c>
      <c r="I477" t="s">
        <v>2899</v>
      </c>
      <c r="J477" t="s">
        <v>2900</v>
      </c>
      <c r="K477" s="3">
        <v>46173</v>
      </c>
      <c r="L477" s="5">
        <v>127680</v>
      </c>
      <c r="M477" s="5">
        <v>10640</v>
      </c>
      <c r="N477" s="5">
        <v>25920</v>
      </c>
      <c r="O477" s="5">
        <v>25920</v>
      </c>
      <c r="P477" s="5">
        <v>25920</v>
      </c>
      <c r="Q477" s="5">
        <v>30320</v>
      </c>
      <c r="R477" s="5">
        <v>19600</v>
      </c>
      <c r="S477" t="s">
        <v>2770</v>
      </c>
      <c r="T477" t="s">
        <v>2770</v>
      </c>
      <c r="U477" t="s">
        <v>2770</v>
      </c>
      <c r="V477" t="s">
        <v>2770</v>
      </c>
      <c r="W477" t="s">
        <v>2770</v>
      </c>
      <c r="X477" t="s">
        <v>2770</v>
      </c>
      <c r="Y477" t="s">
        <v>2770</v>
      </c>
    </row>
    <row r="478" spans="1:25" hidden="1" x14ac:dyDescent="0.25">
      <c r="A478" t="s">
        <v>2766</v>
      </c>
      <c r="B478" t="s">
        <v>2477</v>
      </c>
      <c r="C478" t="s">
        <v>1889</v>
      </c>
      <c r="D478">
        <v>6074202200010890</v>
      </c>
      <c r="E478" t="str">
        <f>IF(COUNTIF(Tabela1[codProcesso],Tabela2[[#This Row],[PROCESSO]]),"Está","Não está")</f>
        <v>Não está</v>
      </c>
      <c r="F478" s="8" t="s">
        <v>2767</v>
      </c>
      <c r="G478" t="s">
        <v>2766</v>
      </c>
      <c r="H478" t="s">
        <v>2901</v>
      </c>
      <c r="I478" t="s">
        <v>2902</v>
      </c>
      <c r="J478" t="s">
        <v>2797</v>
      </c>
      <c r="K478" s="3">
        <v>46173</v>
      </c>
      <c r="L478" s="5">
        <v>611093.46</v>
      </c>
      <c r="M478" s="5">
        <v>50924.46</v>
      </c>
      <c r="N478" s="5">
        <v>110038.62</v>
      </c>
      <c r="O478" s="5">
        <v>110038.62</v>
      </c>
      <c r="P478" s="5">
        <v>107538.62</v>
      </c>
      <c r="Q478" s="5">
        <v>107578.62</v>
      </c>
      <c r="R478" s="5">
        <v>175898.98</v>
      </c>
      <c r="S478" t="s">
        <v>2770</v>
      </c>
      <c r="T478" t="s">
        <v>2770</v>
      </c>
      <c r="U478" t="s">
        <v>2770</v>
      </c>
      <c r="V478" t="s">
        <v>2770</v>
      </c>
      <c r="W478" t="s">
        <v>2770</v>
      </c>
      <c r="X478" t="s">
        <v>2770</v>
      </c>
      <c r="Y478" t="s">
        <v>2770</v>
      </c>
    </row>
    <row r="479" spans="1:25" hidden="1" x14ac:dyDescent="0.25">
      <c r="A479" t="s">
        <v>2766</v>
      </c>
      <c r="B479" t="s">
        <v>2477</v>
      </c>
      <c r="C479" t="s">
        <v>1889</v>
      </c>
      <c r="D479">
        <v>6074201800017720</v>
      </c>
      <c r="E479" t="str">
        <f>IF(COUNTIF(Tabela1[codProcesso],Tabela2[[#This Row],[PROCESSO]]),"Está","Não está")</f>
        <v>Não está</v>
      </c>
      <c r="F479" s="8" t="s">
        <v>2767</v>
      </c>
      <c r="G479" t="s">
        <v>2766</v>
      </c>
      <c r="H479" t="s">
        <v>2903</v>
      </c>
      <c r="I479" t="s">
        <v>2904</v>
      </c>
      <c r="J479" t="s">
        <v>2552</v>
      </c>
      <c r="K479" s="3">
        <v>46142</v>
      </c>
      <c r="L479" s="5">
        <v>268137.01</v>
      </c>
      <c r="M479" s="5">
        <v>22344.75</v>
      </c>
      <c r="N479" s="5">
        <v>65897.279999999999</v>
      </c>
      <c r="O479" s="5">
        <v>65897.279999999999</v>
      </c>
      <c r="P479" s="5">
        <v>76565.210000000006</v>
      </c>
      <c r="Q479" s="5">
        <v>59777.24</v>
      </c>
      <c r="R479" t="s">
        <v>2770</v>
      </c>
      <c r="S479" t="s">
        <v>2770</v>
      </c>
      <c r="T479" t="s">
        <v>2770</v>
      </c>
      <c r="U479" t="s">
        <v>2770</v>
      </c>
      <c r="V479" t="s">
        <v>2770</v>
      </c>
      <c r="W479" t="s">
        <v>2770</v>
      </c>
      <c r="X479" t="s">
        <v>2770</v>
      </c>
      <c r="Y479" t="s">
        <v>2770</v>
      </c>
    </row>
    <row r="480" spans="1:25" hidden="1" x14ac:dyDescent="0.25">
      <c r="A480" t="s">
        <v>2766</v>
      </c>
      <c r="B480" t="s">
        <v>2477</v>
      </c>
      <c r="C480" t="s">
        <v>1889</v>
      </c>
      <c r="D480">
        <v>6074202200010610</v>
      </c>
      <c r="E480" t="str">
        <f>IF(COUNTIF(Tabela1[codProcesso],Tabela2[[#This Row],[PROCESSO]]),"Está","Não está")</f>
        <v>Não está</v>
      </c>
      <c r="F480" s="8" t="s">
        <v>2767</v>
      </c>
      <c r="G480" t="s">
        <v>2766</v>
      </c>
      <c r="H480" t="s">
        <v>2905</v>
      </c>
      <c r="I480" t="s">
        <v>2906</v>
      </c>
      <c r="J480" t="s">
        <v>2806</v>
      </c>
      <c r="K480" s="3">
        <v>46173</v>
      </c>
      <c r="L480" s="5">
        <v>156750.98000000001</v>
      </c>
      <c r="M480" s="5">
        <v>13062.58</v>
      </c>
      <c r="N480" s="5">
        <v>31992.080000000002</v>
      </c>
      <c r="O480" s="5">
        <v>34119.370000000003</v>
      </c>
      <c r="P480" s="5">
        <v>29504.080000000002</v>
      </c>
      <c r="Q480" s="5">
        <v>31631.37</v>
      </c>
      <c r="R480" s="5">
        <v>29504.080000000002</v>
      </c>
      <c r="S480" t="s">
        <v>2770</v>
      </c>
      <c r="T480" t="s">
        <v>2770</v>
      </c>
      <c r="U480" t="s">
        <v>2770</v>
      </c>
      <c r="V480" t="s">
        <v>2770</v>
      </c>
      <c r="W480" t="s">
        <v>2770</v>
      </c>
      <c r="X480" t="s">
        <v>2770</v>
      </c>
      <c r="Y480" t="s">
        <v>2770</v>
      </c>
    </row>
    <row r="481" spans="1:25" hidden="1" x14ac:dyDescent="0.25">
      <c r="A481" t="s">
        <v>2766</v>
      </c>
      <c r="B481" t="s">
        <v>2477</v>
      </c>
      <c r="C481" t="s">
        <v>1889</v>
      </c>
      <c r="D481">
        <v>6074202200009600</v>
      </c>
      <c r="E481" t="str">
        <f>IF(COUNTIF(Tabela1[codProcesso],Tabela2[[#This Row],[PROCESSO]]),"Está","Não está")</f>
        <v>Não está</v>
      </c>
      <c r="F481" s="8" t="s">
        <v>2767</v>
      </c>
      <c r="G481" t="s">
        <v>2766</v>
      </c>
      <c r="H481" t="s">
        <v>2907</v>
      </c>
      <c r="I481" t="s">
        <v>2908</v>
      </c>
      <c r="J481" t="s">
        <v>2909</v>
      </c>
      <c r="K481" s="3">
        <v>46234</v>
      </c>
      <c r="L481" s="5">
        <v>257231.8</v>
      </c>
      <c r="M481" s="5">
        <v>21435.98</v>
      </c>
      <c r="N481" s="5">
        <v>36747.4</v>
      </c>
      <c r="O481" s="5">
        <v>36747.4</v>
      </c>
      <c r="P481" s="5">
        <v>36747.4</v>
      </c>
      <c r="Q481" s="5">
        <v>36747.4</v>
      </c>
      <c r="R481" s="5">
        <v>36747.4</v>
      </c>
      <c r="S481" s="5">
        <v>36747.4</v>
      </c>
      <c r="T481" s="5">
        <v>36747.4</v>
      </c>
      <c r="U481" t="s">
        <v>2770</v>
      </c>
      <c r="V481" t="s">
        <v>2770</v>
      </c>
      <c r="W481" t="s">
        <v>2770</v>
      </c>
      <c r="X481" t="s">
        <v>2770</v>
      </c>
      <c r="Y481" t="s">
        <v>2770</v>
      </c>
    </row>
    <row r="482" spans="1:25" hidden="1" x14ac:dyDescent="0.25">
      <c r="A482" t="s">
        <v>2766</v>
      </c>
      <c r="B482" t="s">
        <v>2477</v>
      </c>
      <c r="C482" t="s">
        <v>1889</v>
      </c>
      <c r="D482">
        <v>6074202100041470</v>
      </c>
      <c r="E482" t="str">
        <f>IF(COUNTIF(Tabela1[codProcesso],Tabela2[[#This Row],[PROCESSO]]),"Está","Não está")</f>
        <v>Não está</v>
      </c>
      <c r="F482" s="8" t="s">
        <v>2767</v>
      </c>
      <c r="G482" t="s">
        <v>2766</v>
      </c>
      <c r="H482" t="s">
        <v>2910</v>
      </c>
      <c r="I482" t="s">
        <v>2911</v>
      </c>
      <c r="J482" t="s">
        <v>2912</v>
      </c>
      <c r="K482" s="3">
        <v>46142</v>
      </c>
      <c r="L482" s="5">
        <v>48602.28</v>
      </c>
      <c r="M482" s="5">
        <v>4050.19</v>
      </c>
      <c r="N482" s="5">
        <v>16200.76</v>
      </c>
      <c r="O482" s="5">
        <v>16200.76</v>
      </c>
      <c r="P482" s="5">
        <v>16200.76</v>
      </c>
      <c r="Q482" t="s">
        <v>2770</v>
      </c>
      <c r="R482" t="s">
        <v>2770</v>
      </c>
      <c r="S482" t="s">
        <v>2770</v>
      </c>
      <c r="T482" t="s">
        <v>2770</v>
      </c>
      <c r="U482" t="s">
        <v>2770</v>
      </c>
      <c r="V482" t="s">
        <v>2770</v>
      </c>
      <c r="W482" t="s">
        <v>2770</v>
      </c>
      <c r="X482" t="s">
        <v>2770</v>
      </c>
      <c r="Y482" t="s">
        <v>2770</v>
      </c>
    </row>
    <row r="483" spans="1:25" hidden="1" x14ac:dyDescent="0.25">
      <c r="A483" t="s">
        <v>2766</v>
      </c>
      <c r="B483" t="s">
        <v>2477</v>
      </c>
      <c r="C483" t="s">
        <v>1889</v>
      </c>
      <c r="D483">
        <v>6074202200010490</v>
      </c>
      <c r="E483" t="str">
        <f>IF(COUNTIF(Tabela1[codProcesso],Tabela2[[#This Row],[PROCESSO]]),"Está","Não está")</f>
        <v>Não está</v>
      </c>
      <c r="F483" s="8" t="s">
        <v>2767</v>
      </c>
      <c r="G483" t="s">
        <v>2766</v>
      </c>
      <c r="H483" t="s">
        <v>2913</v>
      </c>
      <c r="I483" t="s">
        <v>2914</v>
      </c>
      <c r="J483" t="s">
        <v>2915</v>
      </c>
      <c r="K483" s="3">
        <v>46234</v>
      </c>
      <c r="L483" s="5">
        <v>136678.82999999999</v>
      </c>
      <c r="M483" s="5">
        <v>11389.9</v>
      </c>
      <c r="N483" s="5">
        <v>20782.689999999999</v>
      </c>
      <c r="O483" s="5">
        <v>18582.689999999999</v>
      </c>
      <c r="P483" s="5">
        <v>19682.689999999999</v>
      </c>
      <c r="Q483" s="5">
        <v>18582.689999999999</v>
      </c>
      <c r="R483" s="5">
        <v>19682.689999999999</v>
      </c>
      <c r="S483" s="5">
        <v>18582.689999999999</v>
      </c>
      <c r="T483" s="5">
        <v>20782.689999999999</v>
      </c>
      <c r="U483" t="s">
        <v>2770</v>
      </c>
      <c r="V483" t="s">
        <v>2770</v>
      </c>
      <c r="W483" t="s">
        <v>2770</v>
      </c>
      <c r="X483" t="s">
        <v>2770</v>
      </c>
      <c r="Y483" t="s">
        <v>2770</v>
      </c>
    </row>
    <row r="484" spans="1:25" hidden="1" x14ac:dyDescent="0.25">
      <c r="A484" t="s">
        <v>2766</v>
      </c>
      <c r="B484" t="s">
        <v>2477</v>
      </c>
      <c r="C484" t="s">
        <v>1889</v>
      </c>
      <c r="D484">
        <v>6074202300020170</v>
      </c>
      <c r="E484" t="str">
        <f>IF(COUNTIF(Tabela1[codProcesso],Tabela2[[#This Row],[PROCESSO]]),"Está","Não está")</f>
        <v>Não está</v>
      </c>
      <c r="F484" s="8" t="s">
        <v>2767</v>
      </c>
      <c r="G484" t="s">
        <v>2766</v>
      </c>
      <c r="H484" t="s">
        <v>2916</v>
      </c>
      <c r="I484" t="s">
        <v>2917</v>
      </c>
      <c r="J484" t="s">
        <v>2918</v>
      </c>
      <c r="K484" s="3">
        <v>46203</v>
      </c>
      <c r="L484" s="5">
        <v>238246.34</v>
      </c>
      <c r="M484" s="5">
        <v>19853.86</v>
      </c>
      <c r="N484" s="5">
        <v>46024.39</v>
      </c>
      <c r="O484" s="5">
        <v>41724.39</v>
      </c>
      <c r="P484" s="5">
        <v>38524.39</v>
      </c>
      <c r="Q484" s="5">
        <v>41724.39</v>
      </c>
      <c r="R484" s="5">
        <v>38524.39</v>
      </c>
      <c r="S484" s="5">
        <v>31724.39</v>
      </c>
      <c r="T484" t="s">
        <v>2770</v>
      </c>
      <c r="U484" t="s">
        <v>2770</v>
      </c>
      <c r="V484" t="s">
        <v>2770</v>
      </c>
      <c r="W484" t="s">
        <v>2770</v>
      </c>
      <c r="X484" t="s">
        <v>2770</v>
      </c>
      <c r="Y484" t="s">
        <v>2770</v>
      </c>
    </row>
    <row r="485" spans="1:25" hidden="1" x14ac:dyDescent="0.25">
      <c r="A485" t="s">
        <v>2766</v>
      </c>
      <c r="B485" t="s">
        <v>2477</v>
      </c>
      <c r="C485" t="s">
        <v>1889</v>
      </c>
      <c r="D485">
        <v>6074202300022510</v>
      </c>
      <c r="E485" t="str">
        <f>IF(COUNTIF(Tabela1[codProcesso],Tabela2[[#This Row],[PROCESSO]]),"Está","Não está")</f>
        <v>Não está</v>
      </c>
      <c r="F485" s="8" t="s">
        <v>2767</v>
      </c>
      <c r="G485" t="s">
        <v>2766</v>
      </c>
      <c r="H485" t="s">
        <v>2919</v>
      </c>
      <c r="I485" t="s">
        <v>2920</v>
      </c>
      <c r="J485" t="s">
        <v>2921</v>
      </c>
      <c r="K485" s="3">
        <v>46203</v>
      </c>
      <c r="L485" s="5">
        <v>164000</v>
      </c>
      <c r="M485" s="5">
        <v>13666.67</v>
      </c>
      <c r="N485" s="5">
        <v>5000</v>
      </c>
      <c r="O485" s="5">
        <v>38500</v>
      </c>
      <c r="P485" s="5">
        <v>39500</v>
      </c>
      <c r="Q485" s="5">
        <v>38500</v>
      </c>
      <c r="R485" s="5">
        <v>38500</v>
      </c>
      <c r="S485" s="5">
        <v>4000</v>
      </c>
      <c r="T485" t="s">
        <v>2770</v>
      </c>
      <c r="U485" t="s">
        <v>2770</v>
      </c>
      <c r="V485" t="s">
        <v>2770</v>
      </c>
      <c r="W485" t="s">
        <v>2770</v>
      </c>
      <c r="X485" t="s">
        <v>2770</v>
      </c>
      <c r="Y485" t="s">
        <v>2770</v>
      </c>
    </row>
    <row r="486" spans="1:25" hidden="1" x14ac:dyDescent="0.25">
      <c r="A486" t="s">
        <v>2766</v>
      </c>
      <c r="B486" t="s">
        <v>2477</v>
      </c>
      <c r="C486" t="s">
        <v>1889</v>
      </c>
      <c r="D486">
        <v>6074202300023080</v>
      </c>
      <c r="E486" t="str">
        <f>IF(COUNTIF(Tabela1[codProcesso],Tabela2[[#This Row],[PROCESSO]]),"Está","Não está")</f>
        <v>Não está</v>
      </c>
      <c r="F486" s="8" t="s">
        <v>2767</v>
      </c>
      <c r="G486" t="s">
        <v>2766</v>
      </c>
      <c r="H486" t="s">
        <v>2922</v>
      </c>
      <c r="I486" t="s">
        <v>2923</v>
      </c>
      <c r="J486" t="s">
        <v>2925</v>
      </c>
      <c r="K486" s="3">
        <v>46234</v>
      </c>
      <c r="L486" s="5">
        <v>256385.85</v>
      </c>
      <c r="M486" s="5">
        <v>21365.49</v>
      </c>
      <c r="N486" s="5">
        <v>71100.83</v>
      </c>
      <c r="O486" s="5">
        <v>10770.83</v>
      </c>
      <c r="P486" s="5">
        <v>71100.83</v>
      </c>
      <c r="Q486" s="5">
        <v>10770.84</v>
      </c>
      <c r="R486" s="5">
        <v>71100.84</v>
      </c>
      <c r="S486" s="5">
        <v>10770.84</v>
      </c>
      <c r="T486" s="5">
        <v>10770.84</v>
      </c>
      <c r="U486" t="s">
        <v>2770</v>
      </c>
      <c r="V486" t="s">
        <v>2770</v>
      </c>
      <c r="W486" t="s">
        <v>2770</v>
      </c>
      <c r="X486" t="s">
        <v>2770</v>
      </c>
      <c r="Y486" t="s">
        <v>2770</v>
      </c>
    </row>
    <row r="487" spans="1:25" hidden="1" x14ac:dyDescent="0.25">
      <c r="E487" t="str">
        <f>IF(COUNTIF(Tabela1[codProcesso],Tabela2[[#This Row],[PROCESSO]]),"Está","Não está")</f>
        <v>Não está</v>
      </c>
      <c r="F487" s="8" t="str">
        <f>IF(COUNTIF(Tabela1[codProcesso],Tabela2[[#This Row],[PROCESSO]]),"Está","Não está")</f>
        <v>Não está</v>
      </c>
      <c r="I487" t="s">
        <v>2924</v>
      </c>
      <c r="K487" s="3"/>
      <c r="L487" s="5"/>
      <c r="M487" s="5"/>
      <c r="N487" s="5"/>
    </row>
    <row r="488" spans="1:25" hidden="1" x14ac:dyDescent="0.25">
      <c r="A488" t="s">
        <v>2766</v>
      </c>
      <c r="B488" t="s">
        <v>2477</v>
      </c>
      <c r="C488" t="s">
        <v>1889</v>
      </c>
      <c r="D488" t="s">
        <v>2926</v>
      </c>
      <c r="E488" t="str">
        <f>IF(COUNTIF(Tabela1[codProcesso],Tabela2[[#This Row],[PROCESSO]]),"Está","Não está")</f>
        <v>Não está</v>
      </c>
      <c r="F488" s="8" t="s">
        <v>2767</v>
      </c>
      <c r="G488" t="s">
        <v>2766</v>
      </c>
      <c r="H488" t="s">
        <v>2927</v>
      </c>
      <c r="I488" t="s">
        <v>2928</v>
      </c>
      <c r="J488" t="s">
        <v>2883</v>
      </c>
      <c r="K488" s="3">
        <v>46234</v>
      </c>
      <c r="L488" s="5">
        <v>46122.79</v>
      </c>
      <c r="M488" s="5">
        <v>3843.57</v>
      </c>
      <c r="N488" s="5">
        <v>6588.97</v>
      </c>
      <c r="O488" s="5">
        <v>6588.97</v>
      </c>
      <c r="P488" s="5">
        <v>6588.97</v>
      </c>
      <c r="Q488" s="5">
        <v>6588.97</v>
      </c>
      <c r="R488" s="5">
        <v>6588.97</v>
      </c>
      <c r="S488" s="5">
        <v>6588.97</v>
      </c>
      <c r="T488" s="5">
        <v>6588.97</v>
      </c>
      <c r="U488" t="s">
        <v>2770</v>
      </c>
      <c r="V488" t="s">
        <v>2770</v>
      </c>
      <c r="W488" t="s">
        <v>2770</v>
      </c>
      <c r="X488" t="s">
        <v>2770</v>
      </c>
      <c r="Y488" t="s">
        <v>2770</v>
      </c>
    </row>
    <row r="489" spans="1:25" hidden="1" x14ac:dyDescent="0.25">
      <c r="A489" t="s">
        <v>2766</v>
      </c>
      <c r="B489" t="s">
        <v>2477</v>
      </c>
      <c r="C489" t="s">
        <v>1889</v>
      </c>
      <c r="D489" t="s">
        <v>2929</v>
      </c>
      <c r="E489" t="str">
        <f>IF(COUNTIF(Tabela1[codProcesso],Tabela2[[#This Row],[PROCESSO]]),"Está","Não está")</f>
        <v>Não está</v>
      </c>
      <c r="F489" s="8" t="s">
        <v>2767</v>
      </c>
      <c r="G489" t="s">
        <v>2766</v>
      </c>
      <c r="H489" t="s">
        <v>2930</v>
      </c>
      <c r="I489" t="s">
        <v>2931</v>
      </c>
      <c r="J489" t="s">
        <v>2803</v>
      </c>
      <c r="K489" s="3">
        <v>46203</v>
      </c>
      <c r="L489" s="5">
        <v>246685.54</v>
      </c>
      <c r="M489" s="5">
        <v>20557.13</v>
      </c>
      <c r="N489" s="5">
        <v>66872.59</v>
      </c>
      <c r="O489" s="5">
        <v>56872.59</v>
      </c>
      <c r="P489" s="5">
        <v>44447.59</v>
      </c>
      <c r="Q489" s="5">
        <v>34447.589999999997</v>
      </c>
      <c r="R489" s="5">
        <v>22022.59</v>
      </c>
      <c r="S489" s="5">
        <v>22022.59</v>
      </c>
      <c r="T489" t="s">
        <v>2770</v>
      </c>
      <c r="U489" t="s">
        <v>2770</v>
      </c>
      <c r="V489" t="s">
        <v>2770</v>
      </c>
      <c r="W489" t="s">
        <v>2770</v>
      </c>
      <c r="X489" t="s">
        <v>2770</v>
      </c>
      <c r="Y489" t="s">
        <v>2770</v>
      </c>
    </row>
    <row r="490" spans="1:25" hidden="1" x14ac:dyDescent="0.25">
      <c r="A490" t="s">
        <v>2766</v>
      </c>
      <c r="B490" t="s">
        <v>2477</v>
      </c>
      <c r="C490" t="s">
        <v>1889</v>
      </c>
      <c r="D490" t="s">
        <v>2932</v>
      </c>
      <c r="E490" t="str">
        <f>IF(COUNTIF(Tabela1[codProcesso],Tabela2[[#This Row],[PROCESSO]]),"Está","Não está")</f>
        <v>Não está</v>
      </c>
      <c r="F490" s="8" t="s">
        <v>2767</v>
      </c>
      <c r="G490" t="s">
        <v>2766</v>
      </c>
      <c r="H490" t="s">
        <v>2933</v>
      </c>
      <c r="I490" t="s">
        <v>2934</v>
      </c>
      <c r="J490" t="s">
        <v>2935</v>
      </c>
      <c r="K490" s="3">
        <v>46265</v>
      </c>
      <c r="L490" s="5">
        <v>574420.32999999996</v>
      </c>
      <c r="M490" s="5">
        <v>47868.36</v>
      </c>
      <c r="N490" s="5">
        <v>69927.55</v>
      </c>
      <c r="O490" s="5">
        <v>84927.54</v>
      </c>
      <c r="P490" s="5">
        <v>69927.539999999994</v>
      </c>
      <c r="Q490" s="5">
        <v>69927.539999999994</v>
      </c>
      <c r="R490" s="5">
        <v>69927.539999999994</v>
      </c>
      <c r="S490" s="5">
        <v>69927.539999999994</v>
      </c>
      <c r="T490" s="5">
        <v>69927.539999999994</v>
      </c>
      <c r="U490" s="5">
        <v>69927.539999999994</v>
      </c>
      <c r="V490" t="s">
        <v>2770</v>
      </c>
      <c r="W490" t="s">
        <v>2770</v>
      </c>
      <c r="X490" t="s">
        <v>2770</v>
      </c>
      <c r="Y490" t="s">
        <v>2770</v>
      </c>
    </row>
    <row r="491" spans="1:25" hidden="1" x14ac:dyDescent="0.25">
      <c r="A491" t="s">
        <v>2766</v>
      </c>
      <c r="B491" t="s">
        <v>2477</v>
      </c>
      <c r="C491" t="s">
        <v>1889</v>
      </c>
      <c r="D491" t="s">
        <v>2936</v>
      </c>
      <c r="E491" t="str">
        <f>IF(COUNTIF(Tabela1[codProcesso],Tabela2[[#This Row],[PROCESSO]]),"Está","Não está")</f>
        <v>Não está</v>
      </c>
      <c r="F491" s="8" t="s">
        <v>2767</v>
      </c>
      <c r="G491" t="s">
        <v>2766</v>
      </c>
      <c r="H491" t="s">
        <v>2937</v>
      </c>
      <c r="I491" t="s">
        <v>2938</v>
      </c>
      <c r="J491" t="s">
        <v>2940</v>
      </c>
      <c r="K491" s="3">
        <v>46053</v>
      </c>
      <c r="L491" s="5">
        <v>11900.46</v>
      </c>
      <c r="M491" s="5">
        <v>991.71</v>
      </c>
      <c r="N491" s="5">
        <v>11900.46</v>
      </c>
      <c r="O491" t="s">
        <v>2770</v>
      </c>
      <c r="P491" t="s">
        <v>2770</v>
      </c>
      <c r="Q491" t="s">
        <v>2770</v>
      </c>
      <c r="R491" t="s">
        <v>2770</v>
      </c>
      <c r="S491" t="s">
        <v>2770</v>
      </c>
      <c r="T491" t="s">
        <v>2770</v>
      </c>
      <c r="U491" t="s">
        <v>2770</v>
      </c>
      <c r="V491" t="s">
        <v>2770</v>
      </c>
      <c r="W491" t="s">
        <v>2770</v>
      </c>
      <c r="X491" t="s">
        <v>2770</v>
      </c>
      <c r="Y491" t="s">
        <v>2770</v>
      </c>
    </row>
    <row r="492" spans="1:25" hidden="1" x14ac:dyDescent="0.25">
      <c r="E492" t="str">
        <f>IF(COUNTIF(Tabela1[codProcesso],Tabela2[[#This Row],[PROCESSO]]),"Está","Não está")</f>
        <v>Não está</v>
      </c>
      <c r="F492" s="8" t="str">
        <f>IF(COUNTIF(Tabela1[codProcesso],Tabela2[[#This Row],[PROCESSO]]),"Está","Não está")</f>
        <v>Não está</v>
      </c>
      <c r="I492" t="s">
        <v>2939</v>
      </c>
      <c r="K492" s="3"/>
      <c r="L492" s="5"/>
      <c r="M492" s="5"/>
      <c r="N492" s="5"/>
    </row>
    <row r="493" spans="1:25" hidden="1" x14ac:dyDescent="0.25">
      <c r="A493" t="s">
        <v>2766</v>
      </c>
      <c r="B493" t="s">
        <v>2477</v>
      </c>
      <c r="C493" t="s">
        <v>1889</v>
      </c>
      <c r="D493" t="s">
        <v>2941</v>
      </c>
      <c r="E493" t="str">
        <f>IF(COUNTIF(Tabela1[codProcesso],Tabela2[[#This Row],[PROCESSO]]),"Está","Não está")</f>
        <v>Não está</v>
      </c>
      <c r="F493" s="8" t="s">
        <v>2767</v>
      </c>
      <c r="G493" t="s">
        <v>2766</v>
      </c>
      <c r="H493" t="s">
        <v>2942</v>
      </c>
      <c r="I493" t="s">
        <v>2943</v>
      </c>
      <c r="J493" t="s">
        <v>2873</v>
      </c>
      <c r="K493" s="3">
        <v>46446</v>
      </c>
      <c r="L493" s="5">
        <v>313778.64</v>
      </c>
      <c r="M493" s="5">
        <v>26148.22</v>
      </c>
      <c r="N493" s="5">
        <v>28089.22</v>
      </c>
      <c r="O493" s="5">
        <v>42349.22</v>
      </c>
      <c r="P493" s="5">
        <v>18818.78</v>
      </c>
      <c r="Q493" s="5">
        <v>29694.98</v>
      </c>
      <c r="R493" s="5">
        <v>20368.78</v>
      </c>
      <c r="S493" s="5">
        <v>26018.78</v>
      </c>
      <c r="T493" s="5">
        <v>20368.78</v>
      </c>
      <c r="U493" s="5">
        <v>31618.78</v>
      </c>
      <c r="V493" s="5">
        <v>22544.98</v>
      </c>
      <c r="W493" s="5">
        <v>26018.78</v>
      </c>
      <c r="X493" s="5">
        <v>20368.78</v>
      </c>
      <c r="Y493" s="5">
        <v>27518.78</v>
      </c>
    </row>
    <row r="494" spans="1:25" hidden="1" x14ac:dyDescent="0.25">
      <c r="A494" t="s">
        <v>2766</v>
      </c>
      <c r="B494" t="s">
        <v>2477</v>
      </c>
      <c r="C494" t="s">
        <v>1889</v>
      </c>
      <c r="D494" t="s">
        <v>2944</v>
      </c>
      <c r="E494" t="str">
        <f>IF(COUNTIF(Tabela1[codProcesso],Tabela2[[#This Row],[PROCESSO]]),"Está","Não está")</f>
        <v>Não está</v>
      </c>
      <c r="F494" s="8" t="s">
        <v>2767</v>
      </c>
      <c r="G494" t="s">
        <v>2766</v>
      </c>
      <c r="H494" t="s">
        <v>2945</v>
      </c>
      <c r="I494" t="s">
        <v>2946</v>
      </c>
      <c r="J494" t="s">
        <v>2843</v>
      </c>
      <c r="K494" s="3">
        <v>46356</v>
      </c>
      <c r="L494" s="5">
        <v>215478.48</v>
      </c>
      <c r="M494" s="5">
        <v>17956.54</v>
      </c>
      <c r="N494" s="5">
        <v>26230.34</v>
      </c>
      <c r="O494" s="5">
        <v>19230.34</v>
      </c>
      <c r="P494" s="5">
        <v>19230.34</v>
      </c>
      <c r="Q494" s="5">
        <v>19230.34</v>
      </c>
      <c r="R494" s="5">
        <v>19230.34</v>
      </c>
      <c r="S494" s="5">
        <v>20230.34</v>
      </c>
      <c r="T494" s="5">
        <v>19230.34</v>
      </c>
      <c r="U494" s="5">
        <v>19225.080000000002</v>
      </c>
      <c r="V494" s="5">
        <v>17880.34</v>
      </c>
      <c r="W494" s="5">
        <v>17880.34</v>
      </c>
      <c r="X494" s="5">
        <v>17880.34</v>
      </c>
      <c r="Y494" t="s">
        <v>2770</v>
      </c>
    </row>
    <row r="495" spans="1:25" hidden="1" x14ac:dyDescent="0.25">
      <c r="A495" t="s">
        <v>2766</v>
      </c>
      <c r="B495" t="s">
        <v>2477</v>
      </c>
      <c r="C495" t="s">
        <v>1889</v>
      </c>
      <c r="D495" t="s">
        <v>2947</v>
      </c>
      <c r="E495" t="str">
        <f>IF(COUNTIF(Tabela1[codProcesso],Tabela2[[#This Row],[PROCESSO]]),"Está","Não está")</f>
        <v>Não está</v>
      </c>
      <c r="F495" s="8" t="s">
        <v>2767</v>
      </c>
      <c r="G495" t="s">
        <v>2766</v>
      </c>
      <c r="H495" t="s">
        <v>2948</v>
      </c>
      <c r="I495" t="s">
        <v>2949</v>
      </c>
      <c r="J495" t="s">
        <v>2950</v>
      </c>
      <c r="K495" s="3">
        <v>46507</v>
      </c>
      <c r="L495" s="5">
        <v>546930.31000000006</v>
      </c>
      <c r="M495" s="5">
        <v>45577.53</v>
      </c>
      <c r="N495" s="5">
        <v>51295.09</v>
      </c>
      <c r="O495" s="5">
        <v>50883.79</v>
      </c>
      <c r="P495" s="5">
        <v>50883.79</v>
      </c>
      <c r="Q495" s="5">
        <v>31149.62</v>
      </c>
      <c r="R495" s="5">
        <v>6120.19</v>
      </c>
      <c r="S495" s="5">
        <v>50883.79</v>
      </c>
      <c r="T495" s="5">
        <v>50883.79</v>
      </c>
      <c r="U495" s="5">
        <v>50883.79</v>
      </c>
      <c r="V495" s="5">
        <v>51295.09</v>
      </c>
      <c r="W495" s="5">
        <v>50883.79</v>
      </c>
      <c r="X495" s="5">
        <v>50883.79</v>
      </c>
      <c r="Y495" s="5">
        <v>50883.79</v>
      </c>
    </row>
    <row r="496" spans="1:25" hidden="1" x14ac:dyDescent="0.25">
      <c r="A496" t="s">
        <v>2951</v>
      </c>
      <c r="B496" t="s">
        <v>2477</v>
      </c>
      <c r="C496" t="s">
        <v>1889</v>
      </c>
      <c r="D496" t="s">
        <v>2952</v>
      </c>
      <c r="E496" t="str">
        <f>IF(COUNTIF(Tabela1[codProcesso],Tabela2[[#This Row],[PROCESSO]]),"Está","Não está")</f>
        <v>Não está</v>
      </c>
      <c r="F496" s="8" t="s">
        <v>2953</v>
      </c>
      <c r="G496" t="s">
        <v>2951</v>
      </c>
      <c r="H496" t="s">
        <v>2954</v>
      </c>
      <c r="I496" t="s">
        <v>2955</v>
      </c>
      <c r="J496" t="s">
        <v>2956</v>
      </c>
      <c r="K496" s="3">
        <v>46295</v>
      </c>
      <c r="L496" s="5">
        <v>133317.09</v>
      </c>
      <c r="M496" s="5">
        <v>11109.76</v>
      </c>
      <c r="N496" s="5">
        <v>14813.01</v>
      </c>
      <c r="O496" s="5">
        <v>14813.01</v>
      </c>
      <c r="P496" s="5">
        <v>14813.01</v>
      </c>
      <c r="Q496" s="5">
        <v>14813.01</v>
      </c>
      <c r="R496" s="5">
        <v>14813.01</v>
      </c>
      <c r="S496" s="5">
        <v>14813.01</v>
      </c>
      <c r="T496" s="5">
        <v>14813.01</v>
      </c>
      <c r="U496" s="5">
        <v>14813.01</v>
      </c>
      <c r="V496" s="5">
        <v>14813.01</v>
      </c>
      <c r="W496" t="s">
        <v>2770</v>
      </c>
      <c r="X496" t="s">
        <v>2770</v>
      </c>
      <c r="Y496" t="s">
        <v>2770</v>
      </c>
    </row>
    <row r="497" spans="1:25" hidden="1" x14ac:dyDescent="0.25">
      <c r="A497" t="s">
        <v>2951</v>
      </c>
      <c r="B497" t="s">
        <v>2477</v>
      </c>
      <c r="C497" t="s">
        <v>1889</v>
      </c>
      <c r="D497" t="s">
        <v>2957</v>
      </c>
      <c r="E497" t="str">
        <f>IF(COUNTIF(Tabela1[codProcesso],Tabela2[[#This Row],[PROCESSO]]),"Está","Não está")</f>
        <v>Não está</v>
      </c>
      <c r="F497" s="8" t="s">
        <v>2953</v>
      </c>
      <c r="G497" t="s">
        <v>2951</v>
      </c>
      <c r="H497" t="s">
        <v>2958</v>
      </c>
      <c r="I497" t="s">
        <v>2959</v>
      </c>
      <c r="J497" t="s">
        <v>2912</v>
      </c>
      <c r="K497" s="3">
        <v>46142</v>
      </c>
      <c r="L497" s="5">
        <v>59470.32</v>
      </c>
      <c r="M497" s="5">
        <v>4955.8599999999997</v>
      </c>
      <c r="N497" s="5">
        <v>14867.58</v>
      </c>
      <c r="O497" s="5">
        <v>14867.58</v>
      </c>
      <c r="P497" s="5">
        <v>14867.58</v>
      </c>
      <c r="Q497" s="5">
        <v>14867.58</v>
      </c>
      <c r="R497" t="s">
        <v>2770</v>
      </c>
      <c r="S497" t="s">
        <v>2770</v>
      </c>
      <c r="T497" t="s">
        <v>2770</v>
      </c>
      <c r="U497" t="s">
        <v>2770</v>
      </c>
      <c r="V497" t="s">
        <v>2770</v>
      </c>
      <c r="W497" t="s">
        <v>2770</v>
      </c>
      <c r="X497" t="s">
        <v>2770</v>
      </c>
      <c r="Y497" t="s">
        <v>2770</v>
      </c>
    </row>
    <row r="498" spans="1:25" hidden="1" x14ac:dyDescent="0.25">
      <c r="A498" t="s">
        <v>2951</v>
      </c>
      <c r="B498" t="s">
        <v>2477</v>
      </c>
      <c r="C498" t="s">
        <v>1889</v>
      </c>
      <c r="D498" t="s">
        <v>2960</v>
      </c>
      <c r="E498" t="str">
        <f>IF(COUNTIF(Tabela1[codProcesso],Tabela2[[#This Row],[PROCESSO]]),"Está","Não está")</f>
        <v>Não está</v>
      </c>
      <c r="F498" s="8" t="s">
        <v>2953</v>
      </c>
      <c r="G498" t="s">
        <v>2951</v>
      </c>
      <c r="H498" t="s">
        <v>2961</v>
      </c>
      <c r="I498" t="s">
        <v>2962</v>
      </c>
      <c r="J498" t="s">
        <v>2918</v>
      </c>
      <c r="K498" s="3">
        <v>46387</v>
      </c>
      <c r="L498" s="5">
        <v>113260.08</v>
      </c>
      <c r="M498" s="5">
        <v>9438.34</v>
      </c>
      <c r="N498" s="5">
        <v>9438.34</v>
      </c>
      <c r="O498" s="5">
        <v>9438.34</v>
      </c>
      <c r="P498" s="5">
        <v>9438.34</v>
      </c>
      <c r="Q498" s="5">
        <v>9438.34</v>
      </c>
      <c r="R498" s="5">
        <v>9438.34</v>
      </c>
      <c r="S498" s="5">
        <v>9438.34</v>
      </c>
      <c r="T498" s="5">
        <v>9438.34</v>
      </c>
      <c r="U498" s="5">
        <v>9438.34</v>
      </c>
      <c r="V498" s="5">
        <v>9438.34</v>
      </c>
      <c r="W498" s="5">
        <v>9438.34</v>
      </c>
      <c r="X498" s="5">
        <v>9438.34</v>
      </c>
      <c r="Y498" s="5">
        <v>9438.34</v>
      </c>
    </row>
    <row r="499" spans="1:25" hidden="1" x14ac:dyDescent="0.25">
      <c r="A499" t="s">
        <v>2951</v>
      </c>
      <c r="B499" t="s">
        <v>2477</v>
      </c>
      <c r="C499" t="s">
        <v>1889</v>
      </c>
      <c r="D499" t="s">
        <v>2963</v>
      </c>
      <c r="E499" t="str">
        <f>IF(COUNTIF(Tabela1[codProcesso],Tabela2[[#This Row],[PROCESSO]]),"Está","Não está")</f>
        <v>Não está</v>
      </c>
      <c r="F499" s="8" t="s">
        <v>2953</v>
      </c>
      <c r="G499" t="s">
        <v>2951</v>
      </c>
      <c r="H499" t="s">
        <v>2964</v>
      </c>
      <c r="I499" t="s">
        <v>2965</v>
      </c>
      <c r="J499" t="s">
        <v>2966</v>
      </c>
      <c r="K499" s="3">
        <v>46203</v>
      </c>
      <c r="L499" s="5">
        <v>86958</v>
      </c>
      <c r="M499" s="5">
        <v>7246.5</v>
      </c>
      <c r="N499" s="5">
        <v>15743</v>
      </c>
      <c r="O499" s="5">
        <v>15743</v>
      </c>
      <c r="P499" s="5">
        <v>15743</v>
      </c>
      <c r="Q499" s="5">
        <v>13243</v>
      </c>
      <c r="R499" s="5">
        <v>13243</v>
      </c>
      <c r="S499" s="5">
        <v>13243</v>
      </c>
      <c r="T499" t="s">
        <v>2770</v>
      </c>
      <c r="U499" t="s">
        <v>2770</v>
      </c>
      <c r="V499" t="s">
        <v>2770</v>
      </c>
      <c r="W499" t="s">
        <v>2770</v>
      </c>
      <c r="X499" t="s">
        <v>2770</v>
      </c>
      <c r="Y499" t="s">
        <v>2770</v>
      </c>
    </row>
    <row r="500" spans="1:25" hidden="1" x14ac:dyDescent="0.25">
      <c r="A500" t="s">
        <v>2951</v>
      </c>
      <c r="B500" t="s">
        <v>2477</v>
      </c>
      <c r="C500" t="s">
        <v>1889</v>
      </c>
      <c r="D500" t="s">
        <v>2967</v>
      </c>
      <c r="E500" t="str">
        <f>IF(COUNTIF(Tabela1[codProcesso],Tabela2[[#This Row],[PROCESSO]]),"Está","Não está")</f>
        <v>Não está</v>
      </c>
      <c r="F500" s="8" t="s">
        <v>2953</v>
      </c>
      <c r="G500" t="s">
        <v>2951</v>
      </c>
      <c r="H500" t="s">
        <v>2968</v>
      </c>
      <c r="I500" t="s">
        <v>2969</v>
      </c>
      <c r="J500" t="s">
        <v>2779</v>
      </c>
      <c r="K500" s="3">
        <v>46203</v>
      </c>
      <c r="L500" s="5">
        <v>71167.320000000007</v>
      </c>
      <c r="M500" s="5">
        <v>5930.61</v>
      </c>
      <c r="N500" s="5">
        <v>10688.78</v>
      </c>
      <c r="O500" s="5">
        <v>12188.78</v>
      </c>
      <c r="P500" s="5">
        <v>12188.78</v>
      </c>
      <c r="Q500" s="5">
        <v>12152.62</v>
      </c>
      <c r="R500" s="5">
        <v>12457.44</v>
      </c>
      <c r="S500" s="5">
        <v>11490.92</v>
      </c>
      <c r="T500" t="s">
        <v>2770</v>
      </c>
      <c r="U500" t="s">
        <v>2770</v>
      </c>
      <c r="V500" t="s">
        <v>2770</v>
      </c>
      <c r="W500" t="s">
        <v>2770</v>
      </c>
      <c r="X500" t="s">
        <v>2770</v>
      </c>
      <c r="Y500" t="s">
        <v>2770</v>
      </c>
    </row>
    <row r="501" spans="1:25" hidden="1" x14ac:dyDescent="0.25">
      <c r="E501" t="str">
        <f>IF(COUNTIF(Tabela1[codProcesso],Tabela2[[#This Row],[PROCESSO]]),"Está","Não está")</f>
        <v>Não está</v>
      </c>
      <c r="F501" s="8" t="str">
        <f>IF(COUNTIF(Tabela1[codProcesso],Tabela2[[#This Row],[PROCESSO]]),"Está","Não está")</f>
        <v>Não está</v>
      </c>
      <c r="I501" t="s">
        <v>2970</v>
      </c>
      <c r="K501" s="3"/>
      <c r="L501" s="5"/>
      <c r="M501" s="5"/>
      <c r="N501" s="5"/>
    </row>
    <row r="502" spans="1:25" hidden="1" x14ac:dyDescent="0.25">
      <c r="E502" t="str">
        <f>IF(COUNTIF(Tabela1[codProcesso],Tabela2[[#This Row],[PROCESSO]]),"Está","Não está")</f>
        <v>Não está</v>
      </c>
      <c r="F502" s="8" t="str">
        <f>IF(COUNTIF(Tabela1[codProcesso],Tabela2[[#This Row],[PROCESSO]]),"Está","Não está")</f>
        <v>Não está</v>
      </c>
      <c r="I502" t="s">
        <v>2971</v>
      </c>
      <c r="K502" s="3"/>
      <c r="L502" s="5"/>
      <c r="M502" s="5"/>
      <c r="N502" s="5"/>
    </row>
    <row r="503" spans="1:25" hidden="1" x14ac:dyDescent="0.25">
      <c r="A503" t="s">
        <v>2951</v>
      </c>
      <c r="B503" t="s">
        <v>2477</v>
      </c>
      <c r="C503" t="s">
        <v>1889</v>
      </c>
      <c r="D503" t="s">
        <v>2972</v>
      </c>
      <c r="E503" t="str">
        <f>IF(COUNTIF(Tabela1[codProcesso],Tabela2[[#This Row],[PROCESSO]]),"Está","Não está")</f>
        <v>Não está</v>
      </c>
      <c r="F503" s="8" t="s">
        <v>2953</v>
      </c>
      <c r="G503" t="s">
        <v>2951</v>
      </c>
      <c r="H503" t="s">
        <v>2973</v>
      </c>
      <c r="I503" t="s">
        <v>2974</v>
      </c>
      <c r="J503" t="s">
        <v>2975</v>
      </c>
      <c r="K503" s="3">
        <v>46112</v>
      </c>
      <c r="L503" s="5">
        <v>105548.34</v>
      </c>
      <c r="M503" s="5">
        <v>8795.7000000000007</v>
      </c>
      <c r="N503" s="5">
        <v>32182.78</v>
      </c>
      <c r="O503" s="5">
        <v>41382.78</v>
      </c>
      <c r="P503" s="5">
        <v>31982.78</v>
      </c>
      <c r="Q503" t="s">
        <v>2770</v>
      </c>
      <c r="R503" t="s">
        <v>2770</v>
      </c>
      <c r="S503" t="s">
        <v>2770</v>
      </c>
      <c r="T503" t="s">
        <v>2770</v>
      </c>
      <c r="U503" t="s">
        <v>2770</v>
      </c>
      <c r="V503" t="s">
        <v>2770</v>
      </c>
      <c r="W503" t="s">
        <v>2770</v>
      </c>
      <c r="X503" t="s">
        <v>2770</v>
      </c>
      <c r="Y503" t="s">
        <v>2770</v>
      </c>
    </row>
    <row r="504" spans="1:25" hidden="1" x14ac:dyDescent="0.25">
      <c r="A504" t="s">
        <v>2951</v>
      </c>
      <c r="B504" t="s">
        <v>2477</v>
      </c>
      <c r="C504" t="s">
        <v>1889</v>
      </c>
      <c r="D504" t="s">
        <v>2976</v>
      </c>
      <c r="E504" t="str">
        <f>IF(COUNTIF(Tabela1[codProcesso],Tabela2[[#This Row],[PROCESSO]]),"Está","Não está")</f>
        <v>Não está</v>
      </c>
      <c r="F504" s="8" t="s">
        <v>2953</v>
      </c>
      <c r="G504" t="s">
        <v>2951</v>
      </c>
      <c r="H504" t="s">
        <v>2977</v>
      </c>
      <c r="I504" t="s">
        <v>2978</v>
      </c>
      <c r="J504" t="s">
        <v>2979</v>
      </c>
      <c r="K504" s="3">
        <v>46326</v>
      </c>
      <c r="L504" s="5">
        <v>717063.91</v>
      </c>
      <c r="M504" s="5">
        <v>59755.33</v>
      </c>
      <c r="N504" s="5">
        <v>69606.399999999994</v>
      </c>
      <c r="O504" s="5">
        <v>70606.399999999994</v>
      </c>
      <c r="P504" s="5">
        <v>70606.399999999994</v>
      </c>
      <c r="Q504" s="5">
        <v>84606.399999999994</v>
      </c>
      <c r="R504" s="5">
        <v>70606.31</v>
      </c>
      <c r="S504" s="5">
        <v>70606.399999999994</v>
      </c>
      <c r="T504" s="5">
        <v>69606.399999999994</v>
      </c>
      <c r="U504" s="5">
        <v>70606.399999999994</v>
      </c>
      <c r="V504" s="5">
        <v>70606.399999999994</v>
      </c>
      <c r="W504" s="5">
        <v>69606.399999999994</v>
      </c>
      <c r="X504" t="s">
        <v>2770</v>
      </c>
      <c r="Y504" t="s">
        <v>2770</v>
      </c>
    </row>
    <row r="505" spans="1:25" hidden="1" x14ac:dyDescent="0.25">
      <c r="A505" t="s">
        <v>2951</v>
      </c>
      <c r="B505" t="s">
        <v>2477</v>
      </c>
      <c r="C505" t="s">
        <v>1889</v>
      </c>
      <c r="D505" t="s">
        <v>2980</v>
      </c>
      <c r="E505" t="str">
        <f>IF(COUNTIF(Tabela1[codProcesso],Tabela2[[#This Row],[PROCESSO]]),"Está","Não está")</f>
        <v>Não está</v>
      </c>
      <c r="F505" s="8" t="s">
        <v>2953</v>
      </c>
      <c r="G505" t="s">
        <v>2951</v>
      </c>
      <c r="H505" t="s">
        <v>2981</v>
      </c>
      <c r="I505" t="s">
        <v>2982</v>
      </c>
      <c r="J505" t="s">
        <v>2983</v>
      </c>
      <c r="K505" s="3">
        <v>46326</v>
      </c>
      <c r="L505" s="5">
        <v>113220</v>
      </c>
      <c r="M505" s="5">
        <v>9435</v>
      </c>
      <c r="N505" s="5">
        <v>11122</v>
      </c>
      <c r="O505" s="5">
        <v>11122</v>
      </c>
      <c r="P505" s="5">
        <v>11122</v>
      </c>
      <c r="Q505" s="5">
        <v>12122</v>
      </c>
      <c r="R505" s="5">
        <v>11122</v>
      </c>
      <c r="S505" s="5">
        <v>11122</v>
      </c>
      <c r="T505" s="5">
        <v>11122</v>
      </c>
      <c r="U505" s="5">
        <v>11122</v>
      </c>
      <c r="V505" s="5">
        <v>11122</v>
      </c>
      <c r="W505" s="5">
        <v>12122</v>
      </c>
      <c r="X505" t="s">
        <v>2770</v>
      </c>
      <c r="Y505" t="s">
        <v>2770</v>
      </c>
    </row>
    <row r="506" spans="1:25" hidden="1" x14ac:dyDescent="0.25">
      <c r="A506" t="s">
        <v>2951</v>
      </c>
      <c r="B506" t="s">
        <v>2477</v>
      </c>
      <c r="C506" t="s">
        <v>1889</v>
      </c>
      <c r="D506" t="s">
        <v>2984</v>
      </c>
      <c r="E506" t="str">
        <f>IF(COUNTIF(Tabela1[codProcesso],Tabela2[[#This Row],[PROCESSO]]),"Está","Não está")</f>
        <v>Não está</v>
      </c>
      <c r="F506" s="8" t="s">
        <v>2953</v>
      </c>
      <c r="G506" t="s">
        <v>2951</v>
      </c>
      <c r="H506" t="s">
        <v>2985</v>
      </c>
      <c r="I506" t="s">
        <v>2986</v>
      </c>
      <c r="J506" t="s">
        <v>2987</v>
      </c>
      <c r="K506" s="3">
        <v>46053</v>
      </c>
      <c r="L506" s="5">
        <v>77750</v>
      </c>
      <c r="M506" s="5">
        <v>6479.17</v>
      </c>
      <c r="N506" s="5">
        <v>77750</v>
      </c>
      <c r="O506" t="s">
        <v>2770</v>
      </c>
      <c r="P506" t="s">
        <v>2770</v>
      </c>
      <c r="Q506" t="s">
        <v>2770</v>
      </c>
      <c r="R506" t="s">
        <v>2770</v>
      </c>
      <c r="S506" t="s">
        <v>2770</v>
      </c>
      <c r="T506" t="s">
        <v>2770</v>
      </c>
      <c r="U506" t="s">
        <v>2770</v>
      </c>
      <c r="V506" t="s">
        <v>2770</v>
      </c>
      <c r="W506" t="s">
        <v>2770</v>
      </c>
      <c r="X506" t="s">
        <v>2770</v>
      </c>
      <c r="Y506" t="s">
        <v>2770</v>
      </c>
    </row>
    <row r="507" spans="1:25" hidden="1" x14ac:dyDescent="0.25">
      <c r="A507" t="s">
        <v>2951</v>
      </c>
      <c r="B507" t="s">
        <v>2477</v>
      </c>
      <c r="C507" t="s">
        <v>1889</v>
      </c>
      <c r="D507" t="s">
        <v>2988</v>
      </c>
      <c r="E507" t="str">
        <f>IF(COUNTIF(Tabela1[codProcesso],Tabela2[[#This Row],[PROCESSO]]),"Está","Não está")</f>
        <v>Não está</v>
      </c>
      <c r="F507" s="8" t="s">
        <v>2953</v>
      </c>
      <c r="G507" t="s">
        <v>2951</v>
      </c>
      <c r="H507" t="s">
        <v>2989</v>
      </c>
      <c r="I507" t="s">
        <v>2990</v>
      </c>
      <c r="J507" t="s">
        <v>2991</v>
      </c>
      <c r="K507" s="3">
        <v>46081</v>
      </c>
      <c r="L507" s="5">
        <v>30400</v>
      </c>
      <c r="M507" s="5">
        <v>2533.33</v>
      </c>
      <c r="N507" s="5">
        <v>15200</v>
      </c>
      <c r="O507" s="5">
        <v>15200</v>
      </c>
      <c r="P507" t="s">
        <v>2770</v>
      </c>
      <c r="Q507" t="s">
        <v>2770</v>
      </c>
      <c r="R507" t="s">
        <v>2770</v>
      </c>
      <c r="S507" t="s">
        <v>2770</v>
      </c>
      <c r="T507" t="s">
        <v>2770</v>
      </c>
      <c r="U507" t="s">
        <v>2770</v>
      </c>
      <c r="V507" t="s">
        <v>2770</v>
      </c>
      <c r="W507" t="s">
        <v>2770</v>
      </c>
      <c r="X507" t="s">
        <v>2770</v>
      </c>
      <c r="Y507" t="s">
        <v>2770</v>
      </c>
    </row>
    <row r="508" spans="1:25" hidden="1" x14ac:dyDescent="0.25">
      <c r="A508" t="s">
        <v>2951</v>
      </c>
      <c r="B508" t="s">
        <v>2477</v>
      </c>
      <c r="C508" t="s">
        <v>1889</v>
      </c>
      <c r="D508" t="s">
        <v>2992</v>
      </c>
      <c r="E508" t="str">
        <f>IF(COUNTIF(Tabela1[codProcesso],Tabela2[[#This Row],[PROCESSO]]),"Está","Não está")</f>
        <v>Não está</v>
      </c>
      <c r="F508" s="8" t="s">
        <v>2953</v>
      </c>
      <c r="G508" t="s">
        <v>2951</v>
      </c>
      <c r="H508" t="s">
        <v>2993</v>
      </c>
      <c r="I508" t="s">
        <v>2994</v>
      </c>
      <c r="J508" t="s">
        <v>2956</v>
      </c>
      <c r="K508" s="3" t="s">
        <v>2995</v>
      </c>
      <c r="L508" s="5">
        <v>199775.28</v>
      </c>
      <c r="M508" s="5">
        <v>16647.939999999999</v>
      </c>
      <c r="N508" s="5">
        <v>16647.939999999999</v>
      </c>
      <c r="O508" s="5">
        <v>16647.939999999999</v>
      </c>
      <c r="P508" s="5">
        <v>16647.939999999999</v>
      </c>
      <c r="Q508" s="5">
        <v>16647.939999999999</v>
      </c>
      <c r="R508" s="5">
        <v>16647.939999999999</v>
      </c>
      <c r="S508" s="5">
        <v>16647.939999999999</v>
      </c>
      <c r="T508" s="5">
        <v>16647.939999999999</v>
      </c>
      <c r="U508" s="5">
        <v>16647.939999999999</v>
      </c>
      <c r="V508" s="5">
        <v>16647.939999999999</v>
      </c>
      <c r="W508" s="5">
        <v>16647.939999999999</v>
      </c>
      <c r="X508" s="5">
        <v>16647.939999999999</v>
      </c>
      <c r="Y508" s="5">
        <v>16647.939999999999</v>
      </c>
    </row>
    <row r="509" spans="1:25" hidden="1" x14ac:dyDescent="0.25">
      <c r="A509" t="s">
        <v>2951</v>
      </c>
      <c r="B509" t="s">
        <v>2477</v>
      </c>
      <c r="C509" t="s">
        <v>1889</v>
      </c>
      <c r="D509" t="s">
        <v>2996</v>
      </c>
      <c r="E509" t="str">
        <f>IF(COUNTIF(Tabela1[codProcesso],Tabela2[[#This Row],[PROCESSO]]),"Está","Não está")</f>
        <v>Não está</v>
      </c>
      <c r="F509" s="8" t="s">
        <v>2953</v>
      </c>
      <c r="G509" t="s">
        <v>2951</v>
      </c>
      <c r="H509" t="s">
        <v>2997</v>
      </c>
      <c r="I509" t="s">
        <v>2998</v>
      </c>
      <c r="J509" t="s">
        <v>2999</v>
      </c>
      <c r="K509" s="3" t="s">
        <v>2995</v>
      </c>
      <c r="L509" s="5">
        <v>563366.80000000005</v>
      </c>
      <c r="M509" s="5">
        <v>46947.23</v>
      </c>
      <c r="N509" s="5">
        <v>46947.23</v>
      </c>
      <c r="O509" s="5">
        <v>46947.23</v>
      </c>
      <c r="P509" s="5">
        <v>46947.23</v>
      </c>
      <c r="Q509" s="5">
        <v>46947.23</v>
      </c>
      <c r="R509" s="5">
        <v>46947.23</v>
      </c>
      <c r="S509" s="5">
        <v>46947.23</v>
      </c>
      <c r="T509" s="5">
        <v>46947.23</v>
      </c>
      <c r="U509" s="5">
        <v>46947.23</v>
      </c>
      <c r="V509" s="5">
        <v>46947.23</v>
      </c>
      <c r="W509" s="5">
        <v>46947.23</v>
      </c>
      <c r="X509" s="5">
        <v>46947.23</v>
      </c>
      <c r="Y509" s="5">
        <v>46947.23</v>
      </c>
    </row>
    <row r="510" spans="1:25" hidden="1" x14ac:dyDescent="0.25">
      <c r="A510" t="s">
        <v>2951</v>
      </c>
      <c r="B510" t="s">
        <v>2477</v>
      </c>
      <c r="C510" t="s">
        <v>1889</v>
      </c>
      <c r="D510" t="s">
        <v>3000</v>
      </c>
      <c r="E510" t="str">
        <f>IF(COUNTIF(Tabela1[codProcesso],Tabela2[[#This Row],[PROCESSO]]),"Está","Não está")</f>
        <v>Não está</v>
      </c>
      <c r="F510" s="8" t="s">
        <v>2953</v>
      </c>
      <c r="G510" t="s">
        <v>2951</v>
      </c>
      <c r="H510" t="s">
        <v>3001</v>
      </c>
      <c r="I510" t="s">
        <v>3002</v>
      </c>
      <c r="J510" t="s">
        <v>3003</v>
      </c>
      <c r="K510" s="3" t="s">
        <v>2995</v>
      </c>
      <c r="L510" s="5">
        <v>237875.7</v>
      </c>
      <c r="M510" s="5">
        <v>19822.98</v>
      </c>
      <c r="N510" s="5">
        <v>19822.98</v>
      </c>
      <c r="O510" s="5">
        <v>19822.98</v>
      </c>
      <c r="P510" s="5">
        <v>19822.98</v>
      </c>
      <c r="Q510" s="5">
        <v>19822.98</v>
      </c>
      <c r="R510" s="5">
        <v>19822.98</v>
      </c>
      <c r="S510" s="5">
        <v>19822.98</v>
      </c>
      <c r="T510" s="5">
        <v>19822.98</v>
      </c>
      <c r="U510" s="5">
        <v>19822.98</v>
      </c>
      <c r="V510" s="5">
        <v>19822.98</v>
      </c>
      <c r="W510" s="5">
        <v>19822.98</v>
      </c>
      <c r="X510" s="5">
        <v>19822.98</v>
      </c>
      <c r="Y510" s="5">
        <v>19822.98</v>
      </c>
    </row>
    <row r="511" spans="1:25" hidden="1" x14ac:dyDescent="0.25">
      <c r="A511" t="s">
        <v>2951</v>
      </c>
      <c r="B511" t="s">
        <v>2477</v>
      </c>
      <c r="C511" t="s">
        <v>1889</v>
      </c>
      <c r="D511" t="s">
        <v>3004</v>
      </c>
      <c r="E511" t="str">
        <f>IF(COUNTIF(Tabela1[codProcesso],Tabela2[[#This Row],[PROCESSO]]),"Está","Não está")</f>
        <v>Não está</v>
      </c>
      <c r="F511" s="8" t="s">
        <v>2953</v>
      </c>
      <c r="G511" t="s">
        <v>2951</v>
      </c>
      <c r="H511" t="s">
        <v>3005</v>
      </c>
      <c r="I511" t="s">
        <v>3006</v>
      </c>
      <c r="J511" t="s">
        <v>3007</v>
      </c>
      <c r="K511" s="3" t="s">
        <v>2995</v>
      </c>
      <c r="L511" s="5">
        <v>200000</v>
      </c>
      <c r="M511" s="5">
        <v>16666.669999999998</v>
      </c>
      <c r="N511" s="5">
        <v>16666.669999999998</v>
      </c>
      <c r="O511" s="5">
        <v>16666.669999999998</v>
      </c>
      <c r="P511" s="5">
        <v>16666.669999999998</v>
      </c>
      <c r="Q511" s="5">
        <v>16666.669999999998</v>
      </c>
      <c r="R511" s="5">
        <v>16666.669999999998</v>
      </c>
      <c r="S511" s="5">
        <v>16666.669999999998</v>
      </c>
      <c r="T511" s="5">
        <v>16666.669999999998</v>
      </c>
      <c r="U511" s="5">
        <v>16666.669999999998</v>
      </c>
      <c r="V511" s="5">
        <v>16666.669999999998</v>
      </c>
      <c r="W511" s="5">
        <v>16666.669999999998</v>
      </c>
      <c r="X511" s="5">
        <v>16666.669999999998</v>
      </c>
      <c r="Y511" s="5">
        <v>16666.669999999998</v>
      </c>
    </row>
    <row r="512" spans="1:25" hidden="1" x14ac:dyDescent="0.25">
      <c r="A512" t="s">
        <v>2951</v>
      </c>
      <c r="B512" t="s">
        <v>2477</v>
      </c>
      <c r="C512" t="s">
        <v>1889</v>
      </c>
      <c r="D512" t="s">
        <v>3008</v>
      </c>
      <c r="E512" t="str">
        <f>IF(COUNTIF(Tabela1[codProcesso],Tabela2[[#This Row],[PROCESSO]]),"Está","Não está")</f>
        <v>Não está</v>
      </c>
      <c r="F512" s="8" t="s">
        <v>2953</v>
      </c>
      <c r="G512" t="s">
        <v>2951</v>
      </c>
      <c r="H512" t="s">
        <v>3009</v>
      </c>
      <c r="I512" t="s">
        <v>3010</v>
      </c>
      <c r="J512" t="s">
        <v>3011</v>
      </c>
      <c r="K512" s="3" t="s">
        <v>2995</v>
      </c>
      <c r="L512" s="5">
        <v>299880</v>
      </c>
      <c r="M512" s="5">
        <v>24990</v>
      </c>
      <c r="N512" s="5">
        <v>24990</v>
      </c>
      <c r="O512" s="5">
        <v>24990</v>
      </c>
      <c r="P512" s="5">
        <v>24990</v>
      </c>
      <c r="Q512" s="5">
        <v>24990</v>
      </c>
      <c r="R512" s="5">
        <v>24990</v>
      </c>
      <c r="S512" s="5">
        <v>24990</v>
      </c>
      <c r="T512" s="5">
        <v>24990</v>
      </c>
      <c r="U512" s="5">
        <v>24990</v>
      </c>
      <c r="V512" s="5">
        <v>24990</v>
      </c>
      <c r="W512" s="5">
        <v>24990</v>
      </c>
      <c r="X512" s="5">
        <v>24990</v>
      </c>
      <c r="Y512" s="5">
        <v>24990</v>
      </c>
    </row>
    <row r="513" spans="1:25" hidden="1" x14ac:dyDescent="0.25">
      <c r="A513" t="s">
        <v>2951</v>
      </c>
      <c r="B513" t="s">
        <v>2477</v>
      </c>
      <c r="C513" t="s">
        <v>1889</v>
      </c>
      <c r="D513" t="s">
        <v>3012</v>
      </c>
      <c r="E513" t="str">
        <f>IF(COUNTIF(Tabela1[codProcesso],Tabela2[[#This Row],[PROCESSO]]),"Está","Não está")</f>
        <v>Não está</v>
      </c>
      <c r="F513" s="8" t="s">
        <v>2953</v>
      </c>
      <c r="G513" t="s">
        <v>2951</v>
      </c>
      <c r="H513" t="s">
        <v>3013</v>
      </c>
      <c r="I513" t="s">
        <v>3014</v>
      </c>
      <c r="J513" t="s">
        <v>2975</v>
      </c>
      <c r="K513" s="3" t="s">
        <v>2995</v>
      </c>
      <c r="L513" s="5">
        <v>275556.08</v>
      </c>
      <c r="M513" s="5">
        <v>22963.01</v>
      </c>
      <c r="N513" s="5">
        <v>22963.01</v>
      </c>
      <c r="O513" s="5">
        <v>22963.01</v>
      </c>
      <c r="P513" s="5">
        <v>22963.01</v>
      </c>
      <c r="Q513" s="5">
        <v>22963.01</v>
      </c>
      <c r="R513" s="5">
        <v>22963.01</v>
      </c>
      <c r="S513" s="5">
        <v>22963.01</v>
      </c>
      <c r="T513" s="5">
        <v>22963.01</v>
      </c>
      <c r="U513" s="5">
        <v>22963.01</v>
      </c>
      <c r="V513" s="5">
        <v>22963.01</v>
      </c>
      <c r="W513" s="5">
        <v>22963.01</v>
      </c>
      <c r="X513" s="5">
        <v>22963.01</v>
      </c>
      <c r="Y513" s="5">
        <v>22963.01</v>
      </c>
    </row>
    <row r="514" spans="1:25" hidden="1" x14ac:dyDescent="0.25">
      <c r="A514" t="s">
        <v>2951</v>
      </c>
      <c r="B514" t="s">
        <v>2477</v>
      </c>
      <c r="C514" t="s">
        <v>1889</v>
      </c>
      <c r="D514" t="s">
        <v>3015</v>
      </c>
      <c r="E514" t="str">
        <f>IF(COUNTIF(Tabela1[codProcesso],Tabela2[[#This Row],[PROCESSO]]),"Está","Não está")</f>
        <v>Não está</v>
      </c>
      <c r="F514" s="8" t="s">
        <v>2953</v>
      </c>
      <c r="G514" t="s">
        <v>2951</v>
      </c>
      <c r="H514" t="s">
        <v>3016</v>
      </c>
      <c r="I514" t="s">
        <v>3017</v>
      </c>
      <c r="J514" t="s">
        <v>3018</v>
      </c>
      <c r="K514" s="3" t="s">
        <v>2995</v>
      </c>
      <c r="L514" s="5">
        <v>1315670.5</v>
      </c>
      <c r="M514" s="5">
        <v>109639.21</v>
      </c>
      <c r="N514" s="5">
        <v>109639.21</v>
      </c>
      <c r="O514" s="5">
        <v>109639.21</v>
      </c>
      <c r="P514" s="5">
        <v>109639.21</v>
      </c>
      <c r="Q514" s="5">
        <v>109639.21</v>
      </c>
      <c r="R514" s="5">
        <v>109639.21</v>
      </c>
      <c r="S514" s="5">
        <v>109639.21</v>
      </c>
      <c r="T514" s="5">
        <v>109639.21</v>
      </c>
      <c r="U514" s="5">
        <v>109639.21</v>
      </c>
      <c r="V514" s="5">
        <v>109639.21</v>
      </c>
      <c r="W514" s="5">
        <v>109639.21</v>
      </c>
      <c r="X514" s="5">
        <v>109639.21</v>
      </c>
      <c r="Y514" s="5">
        <v>109639.21</v>
      </c>
    </row>
    <row r="515" spans="1:25" hidden="1" x14ac:dyDescent="0.25">
      <c r="A515" t="s">
        <v>2951</v>
      </c>
      <c r="B515" t="s">
        <v>2477</v>
      </c>
      <c r="C515" t="s">
        <v>1889</v>
      </c>
      <c r="D515" t="s">
        <v>3019</v>
      </c>
      <c r="E515" t="str">
        <f>IF(COUNTIF(Tabela1[codProcesso],Tabela2[[#This Row],[PROCESSO]]),"Está","Não está")</f>
        <v>Não está</v>
      </c>
      <c r="F515" s="8" t="s">
        <v>2953</v>
      </c>
      <c r="G515" t="s">
        <v>2951</v>
      </c>
      <c r="H515" t="s">
        <v>3020</v>
      </c>
      <c r="I515" t="s">
        <v>3021</v>
      </c>
      <c r="J515" t="s">
        <v>3018</v>
      </c>
      <c r="K515" s="3" t="s">
        <v>2995</v>
      </c>
      <c r="L515" s="5">
        <v>1415098.9</v>
      </c>
      <c r="M515" s="5">
        <v>117924.91</v>
      </c>
      <c r="N515" s="5">
        <v>117924.91</v>
      </c>
      <c r="O515" s="5">
        <v>117924.91</v>
      </c>
      <c r="P515" s="5">
        <v>117924.91</v>
      </c>
      <c r="Q515" s="5">
        <v>117924.91</v>
      </c>
      <c r="R515" s="5">
        <v>117924.91</v>
      </c>
      <c r="S515" s="5">
        <v>117924.91</v>
      </c>
      <c r="T515" s="5">
        <v>117924.91</v>
      </c>
      <c r="U515" s="5">
        <v>117924.91</v>
      </c>
      <c r="V515" s="5">
        <v>117924.91</v>
      </c>
      <c r="W515" s="5">
        <v>117924.91</v>
      </c>
      <c r="X515" s="5">
        <v>117924.91</v>
      </c>
      <c r="Y515" s="5">
        <v>117924.91</v>
      </c>
    </row>
    <row r="516" spans="1:25" hidden="1" x14ac:dyDescent="0.25">
      <c r="A516" t="s">
        <v>2951</v>
      </c>
      <c r="B516" t="s">
        <v>2477</v>
      </c>
      <c r="C516" t="s">
        <v>1889</v>
      </c>
      <c r="D516" t="s">
        <v>3022</v>
      </c>
      <c r="E516" t="str">
        <f>IF(COUNTIF(Tabela1[codProcesso],Tabela2[[#This Row],[PROCESSO]]),"Está","Não está")</f>
        <v>Não está</v>
      </c>
      <c r="F516" s="8" t="s">
        <v>2953</v>
      </c>
      <c r="G516" t="s">
        <v>2951</v>
      </c>
      <c r="H516" t="s">
        <v>3023</v>
      </c>
      <c r="I516" t="s">
        <v>3024</v>
      </c>
      <c r="J516" t="s">
        <v>3025</v>
      </c>
      <c r="K516" s="3" t="s">
        <v>2995</v>
      </c>
      <c r="L516" s="5">
        <v>110444.4</v>
      </c>
      <c r="M516" s="5">
        <v>9203.7000000000007</v>
      </c>
      <c r="N516" s="5">
        <v>9203.7000000000007</v>
      </c>
      <c r="O516" s="5">
        <v>9203.7000000000007</v>
      </c>
      <c r="P516" s="5">
        <v>9203.7000000000007</v>
      </c>
      <c r="Q516" s="5">
        <v>9203.7000000000007</v>
      </c>
      <c r="R516" s="5">
        <v>9203.7000000000007</v>
      </c>
      <c r="S516" s="5">
        <v>9203.7000000000007</v>
      </c>
      <c r="T516" s="5">
        <v>9203.7000000000007</v>
      </c>
      <c r="U516" s="5">
        <v>9203.7000000000007</v>
      </c>
      <c r="V516" s="5">
        <v>9203.7000000000007</v>
      </c>
      <c r="W516" s="5">
        <v>9203.7000000000007</v>
      </c>
      <c r="X516" s="5">
        <v>9203.7000000000007</v>
      </c>
      <c r="Y516" s="5">
        <v>9203.7000000000007</v>
      </c>
    </row>
    <row r="517" spans="1:25" hidden="1" x14ac:dyDescent="0.25">
      <c r="A517" t="s">
        <v>2951</v>
      </c>
      <c r="B517" t="s">
        <v>2477</v>
      </c>
      <c r="C517" t="s">
        <v>1889</v>
      </c>
      <c r="D517" t="s">
        <v>3026</v>
      </c>
      <c r="E517" t="str">
        <f>IF(COUNTIF(Tabela1[codProcesso],Tabela2[[#This Row],[PROCESSO]]),"Está","Não está")</f>
        <v>Não está</v>
      </c>
      <c r="F517" s="8" t="s">
        <v>2953</v>
      </c>
      <c r="G517" t="s">
        <v>2951</v>
      </c>
      <c r="H517" t="s">
        <v>3027</v>
      </c>
      <c r="I517" t="s">
        <v>3028</v>
      </c>
      <c r="J517" t="s">
        <v>3029</v>
      </c>
      <c r="K517" s="3" t="s">
        <v>2995</v>
      </c>
      <c r="L517" s="5">
        <v>126841.93</v>
      </c>
      <c r="M517" s="5">
        <v>10570.16</v>
      </c>
      <c r="N517" s="5">
        <v>10570.16</v>
      </c>
      <c r="O517" s="5">
        <v>10570.16</v>
      </c>
      <c r="P517" s="5">
        <v>10570.16</v>
      </c>
      <c r="Q517" s="5">
        <v>10570.16</v>
      </c>
      <c r="R517" s="5">
        <v>10570.16</v>
      </c>
      <c r="S517" s="5">
        <v>10570.16</v>
      </c>
      <c r="T517" s="5">
        <v>10570.16</v>
      </c>
      <c r="U517" s="5">
        <v>10570.16</v>
      </c>
      <c r="V517" s="5">
        <v>10570.16</v>
      </c>
      <c r="W517" s="5">
        <v>10570.16</v>
      </c>
      <c r="X517" s="5">
        <v>10570.16</v>
      </c>
      <c r="Y517" s="5">
        <v>10570.16</v>
      </c>
    </row>
    <row r="518" spans="1:25" hidden="1" x14ac:dyDescent="0.25">
      <c r="A518" t="s">
        <v>2951</v>
      </c>
      <c r="B518" t="s">
        <v>2477</v>
      </c>
      <c r="C518" t="s">
        <v>1889</v>
      </c>
      <c r="D518" t="s">
        <v>3030</v>
      </c>
      <c r="E518" t="str">
        <f>IF(COUNTIF(Tabela1[codProcesso],Tabela2[[#This Row],[PROCESSO]]),"Está","Não está")</f>
        <v>Não está</v>
      </c>
      <c r="F518" s="8" t="s">
        <v>2953</v>
      </c>
      <c r="G518" t="s">
        <v>2951</v>
      </c>
      <c r="H518" t="s">
        <v>3031</v>
      </c>
      <c r="I518" t="s">
        <v>3032</v>
      </c>
      <c r="J518" t="s">
        <v>3033</v>
      </c>
      <c r="K518" s="3" t="s">
        <v>2995</v>
      </c>
      <c r="L518" s="5">
        <v>224614.29</v>
      </c>
      <c r="M518" s="5">
        <v>18717.86</v>
      </c>
      <c r="N518" s="5">
        <v>18717.86</v>
      </c>
      <c r="O518" s="5">
        <v>18717.86</v>
      </c>
      <c r="P518" s="5">
        <v>18717.86</v>
      </c>
      <c r="Q518" s="5">
        <v>18717.86</v>
      </c>
      <c r="R518" s="5">
        <v>18717.86</v>
      </c>
      <c r="S518" s="5">
        <v>18717.86</v>
      </c>
      <c r="T518" s="5">
        <v>18717.86</v>
      </c>
      <c r="U518" s="5">
        <v>18717.86</v>
      </c>
      <c r="V518" s="5">
        <v>18717.86</v>
      </c>
      <c r="W518" s="5">
        <v>18717.86</v>
      </c>
      <c r="X518" s="5">
        <v>18717.86</v>
      </c>
      <c r="Y518" s="5">
        <v>18717.86</v>
      </c>
    </row>
    <row r="519" spans="1:25" hidden="1" x14ac:dyDescent="0.25">
      <c r="A519" t="s">
        <v>2951</v>
      </c>
      <c r="B519" t="s">
        <v>2477</v>
      </c>
      <c r="C519" t="s">
        <v>1889</v>
      </c>
      <c r="D519" t="s">
        <v>3034</v>
      </c>
      <c r="E519" t="str">
        <f>IF(COUNTIF(Tabela1[codProcesso],Tabela2[[#This Row],[PROCESSO]]),"Está","Não está")</f>
        <v>Não está</v>
      </c>
      <c r="F519" s="8" t="s">
        <v>2953</v>
      </c>
      <c r="G519" t="s">
        <v>2951</v>
      </c>
      <c r="H519" t="s">
        <v>3035</v>
      </c>
      <c r="I519" t="s">
        <v>3036</v>
      </c>
      <c r="J519" t="s">
        <v>3037</v>
      </c>
      <c r="K519" s="3" t="s">
        <v>2995</v>
      </c>
      <c r="L519" s="5">
        <v>126321.9</v>
      </c>
      <c r="M519" s="5">
        <v>10526.83</v>
      </c>
      <c r="N519" s="5">
        <v>10526.83</v>
      </c>
      <c r="O519" s="5">
        <v>10526.83</v>
      </c>
      <c r="P519" s="5">
        <v>10526.83</v>
      </c>
      <c r="Q519" s="5">
        <v>10526.83</v>
      </c>
      <c r="R519" s="5">
        <v>10526.83</v>
      </c>
      <c r="S519" s="5">
        <v>10526.83</v>
      </c>
      <c r="T519" s="5">
        <v>10526.83</v>
      </c>
      <c r="U519" s="5">
        <v>10526.83</v>
      </c>
      <c r="V519" s="5">
        <v>10526.83</v>
      </c>
      <c r="W519" s="5">
        <v>10526.83</v>
      </c>
      <c r="X519" s="5">
        <v>10526.83</v>
      </c>
      <c r="Y519" s="5">
        <v>10526.83</v>
      </c>
    </row>
    <row r="520" spans="1:25" hidden="1" x14ac:dyDescent="0.25">
      <c r="A520" t="s">
        <v>2951</v>
      </c>
      <c r="B520" t="s">
        <v>2477</v>
      </c>
      <c r="C520" t="s">
        <v>1889</v>
      </c>
      <c r="D520" t="s">
        <v>3038</v>
      </c>
      <c r="E520" t="str">
        <f>IF(COUNTIF(Tabela1[codProcesso],Tabela2[[#This Row],[PROCESSO]]),"Está","Não está")</f>
        <v>Não está</v>
      </c>
      <c r="F520" s="8" t="s">
        <v>2953</v>
      </c>
      <c r="G520" t="s">
        <v>2951</v>
      </c>
      <c r="H520" t="s">
        <v>3039</v>
      </c>
      <c r="I520" t="s">
        <v>3040</v>
      </c>
      <c r="J520" t="s">
        <v>3041</v>
      </c>
      <c r="K520" s="3" t="s">
        <v>2995</v>
      </c>
      <c r="L520" s="5">
        <v>263526.28999999998</v>
      </c>
      <c r="M520" s="5">
        <v>21960.52</v>
      </c>
      <c r="N520" s="5">
        <v>21960.52</v>
      </c>
      <c r="O520" s="5">
        <v>21960.52</v>
      </c>
      <c r="P520" s="5">
        <v>21960.52</v>
      </c>
      <c r="Q520" s="5">
        <v>21960.52</v>
      </c>
      <c r="R520" s="5">
        <v>21960.52</v>
      </c>
      <c r="S520" s="5">
        <v>21960.52</v>
      </c>
      <c r="T520" s="5">
        <v>21960.52</v>
      </c>
      <c r="U520" s="5">
        <v>21960.52</v>
      </c>
      <c r="V520" s="5">
        <v>21960.52</v>
      </c>
      <c r="W520" s="5">
        <v>21960.52</v>
      </c>
      <c r="X520" s="5">
        <v>21960.52</v>
      </c>
      <c r="Y520" s="5">
        <v>21960.52</v>
      </c>
    </row>
    <row r="521" spans="1:25" hidden="1" x14ac:dyDescent="0.25">
      <c r="A521" t="s">
        <v>2951</v>
      </c>
      <c r="B521" t="s">
        <v>2477</v>
      </c>
      <c r="C521" t="s">
        <v>1889</v>
      </c>
      <c r="D521" t="s">
        <v>3042</v>
      </c>
      <c r="E521" t="str">
        <f>IF(COUNTIF(Tabela1[codProcesso],Tabela2[[#This Row],[PROCESSO]]),"Está","Não está")</f>
        <v>Não está</v>
      </c>
      <c r="F521" s="8" t="s">
        <v>2953</v>
      </c>
      <c r="G521" t="s">
        <v>2951</v>
      </c>
      <c r="H521" t="s">
        <v>3043</v>
      </c>
      <c r="I521" t="s">
        <v>3044</v>
      </c>
      <c r="J521" t="s">
        <v>2779</v>
      </c>
      <c r="K521" s="3" t="s">
        <v>2995</v>
      </c>
      <c r="L521" s="5">
        <v>381807.65</v>
      </c>
      <c r="M521" s="5">
        <v>31817.3</v>
      </c>
      <c r="N521" s="5">
        <v>31817.3</v>
      </c>
      <c r="O521" s="5">
        <v>31817.3</v>
      </c>
      <c r="P521" s="5">
        <v>31817.3</v>
      </c>
      <c r="Q521" s="5">
        <v>31817.3</v>
      </c>
      <c r="R521" s="5">
        <v>31817.3</v>
      </c>
      <c r="S521" s="5">
        <v>31817.3</v>
      </c>
      <c r="T521" s="5">
        <v>31817.3</v>
      </c>
      <c r="U521" s="5">
        <v>31817.3</v>
      </c>
      <c r="V521" s="5">
        <v>31817.3</v>
      </c>
      <c r="W521" s="5">
        <v>31817.3</v>
      </c>
      <c r="X521" s="5">
        <v>31817.3</v>
      </c>
      <c r="Y521" s="5">
        <v>31817.3</v>
      </c>
    </row>
    <row r="522" spans="1:25" hidden="1" x14ac:dyDescent="0.25">
      <c r="A522" t="s">
        <v>2951</v>
      </c>
      <c r="B522" t="s">
        <v>2477</v>
      </c>
      <c r="C522" t="s">
        <v>1889</v>
      </c>
      <c r="D522" t="s">
        <v>3045</v>
      </c>
      <c r="E522" t="str">
        <f>IF(COUNTIF(Tabela1[codProcesso],Tabela2[[#This Row],[PROCESSO]]),"Está","Não está")</f>
        <v>Não está</v>
      </c>
      <c r="F522" s="8" t="s">
        <v>2953</v>
      </c>
      <c r="G522" t="s">
        <v>2951</v>
      </c>
      <c r="H522" t="s">
        <v>3046</v>
      </c>
      <c r="I522" t="s">
        <v>3047</v>
      </c>
      <c r="J522" t="s">
        <v>2918</v>
      </c>
      <c r="K522" s="3" t="s">
        <v>2995</v>
      </c>
      <c r="L522" s="5">
        <v>106104.2</v>
      </c>
      <c r="M522" s="5">
        <v>8842.02</v>
      </c>
      <c r="N522" s="5">
        <v>8842.02</v>
      </c>
      <c r="O522" s="5">
        <v>8842.02</v>
      </c>
      <c r="P522" s="5">
        <v>8842.02</v>
      </c>
      <c r="Q522" s="5">
        <v>8842.02</v>
      </c>
      <c r="R522" s="5">
        <v>8842.02</v>
      </c>
      <c r="S522" s="5">
        <v>8842.02</v>
      </c>
      <c r="T522" s="5">
        <v>8842.02</v>
      </c>
      <c r="U522" s="5">
        <v>8842.02</v>
      </c>
      <c r="V522" s="5">
        <v>8842.02</v>
      </c>
      <c r="W522" s="5">
        <v>8842.02</v>
      </c>
      <c r="X522" s="5">
        <v>8842.02</v>
      </c>
      <c r="Y522" s="5">
        <v>8842.02</v>
      </c>
    </row>
    <row r="523" spans="1:25" hidden="1" x14ac:dyDescent="0.25">
      <c r="A523" t="s">
        <v>2951</v>
      </c>
      <c r="B523" t="s">
        <v>2477</v>
      </c>
      <c r="C523" t="s">
        <v>1889</v>
      </c>
      <c r="D523" t="s">
        <v>3048</v>
      </c>
      <c r="E523" t="str">
        <f>IF(COUNTIF(Tabela1[codProcesso],Tabela2[[#This Row],[PROCESSO]]),"Está","Não está")</f>
        <v>Não está</v>
      </c>
      <c r="F523" s="8" t="s">
        <v>2953</v>
      </c>
      <c r="G523" t="s">
        <v>2951</v>
      </c>
      <c r="H523" t="s">
        <v>3049</v>
      </c>
      <c r="I523" t="s">
        <v>3050</v>
      </c>
      <c r="J523" t="s">
        <v>2975</v>
      </c>
      <c r="K523" s="3" t="s">
        <v>2995</v>
      </c>
      <c r="L523" s="5">
        <v>251184.12</v>
      </c>
      <c r="M523" s="5">
        <v>20932.009999999998</v>
      </c>
      <c r="N523" s="5">
        <v>20932.009999999998</v>
      </c>
      <c r="O523" s="5">
        <v>20932.009999999998</v>
      </c>
      <c r="P523" s="5">
        <v>20932.009999999998</v>
      </c>
      <c r="Q523" s="5">
        <v>20932.009999999998</v>
      </c>
      <c r="R523" s="5">
        <v>20932.009999999998</v>
      </c>
      <c r="S523" s="5">
        <v>20932.009999999998</v>
      </c>
      <c r="T523" s="5">
        <v>20932.009999999998</v>
      </c>
      <c r="U523" s="5">
        <v>20932.009999999998</v>
      </c>
      <c r="V523" s="5">
        <v>20932.009999999998</v>
      </c>
      <c r="W523" s="5">
        <v>20932.009999999998</v>
      </c>
      <c r="X523" s="5">
        <v>20932.009999999998</v>
      </c>
      <c r="Y523" s="5">
        <v>20932.009999999998</v>
      </c>
    </row>
    <row r="524" spans="1:25" hidden="1" x14ac:dyDescent="0.25">
      <c r="A524" t="s">
        <v>2766</v>
      </c>
      <c r="B524" t="s">
        <v>2477</v>
      </c>
      <c r="C524" t="s">
        <v>1889</v>
      </c>
      <c r="D524" t="s">
        <v>3051</v>
      </c>
      <c r="E524" t="str">
        <f>IF(COUNTIF(Tabela1[codProcesso],Tabela2[[#This Row],[PROCESSO]]),"Está","Não está")</f>
        <v>Não está</v>
      </c>
      <c r="F524" s="8" t="s">
        <v>2767</v>
      </c>
      <c r="G524" t="s">
        <v>2766</v>
      </c>
      <c r="H524" t="s">
        <v>3052</v>
      </c>
      <c r="I524" t="s">
        <v>3053</v>
      </c>
      <c r="J524" t="s">
        <v>3054</v>
      </c>
      <c r="K524" s="3" t="s">
        <v>2995</v>
      </c>
      <c r="L524" s="5">
        <v>1195407.8999999999</v>
      </c>
      <c r="M524" s="5">
        <v>99617.33</v>
      </c>
      <c r="N524" s="5">
        <v>99617.33</v>
      </c>
      <c r="O524" s="5">
        <v>99617.33</v>
      </c>
      <c r="P524" s="5">
        <v>99617.33</v>
      </c>
      <c r="Q524" s="5">
        <v>99617.33</v>
      </c>
      <c r="R524" s="5">
        <v>99617.33</v>
      </c>
      <c r="S524" s="5">
        <v>99617.33</v>
      </c>
      <c r="T524" s="5">
        <v>99617.33</v>
      </c>
      <c r="U524" s="5">
        <v>99617.33</v>
      </c>
      <c r="V524" s="5">
        <v>99617.33</v>
      </c>
      <c r="W524" s="5">
        <v>99617.33</v>
      </c>
      <c r="X524" s="5">
        <v>99617.33</v>
      </c>
      <c r="Y524" s="5">
        <v>99617.33</v>
      </c>
    </row>
    <row r="525" spans="1:25" hidden="1" x14ac:dyDescent="0.25">
      <c r="A525" t="s">
        <v>2766</v>
      </c>
      <c r="B525" t="s">
        <v>2477</v>
      </c>
      <c r="C525" t="s">
        <v>1889</v>
      </c>
      <c r="D525" t="s">
        <v>3055</v>
      </c>
      <c r="E525" t="str">
        <f>IF(COUNTIF(Tabela1[codProcesso],Tabela2[[#This Row],[PROCESSO]]),"Está","Não está")</f>
        <v>Não está</v>
      </c>
      <c r="F525" s="8" t="s">
        <v>2767</v>
      </c>
      <c r="G525" t="s">
        <v>2766</v>
      </c>
      <c r="H525" t="s">
        <v>3056</v>
      </c>
      <c r="I525" t="s">
        <v>3057</v>
      </c>
      <c r="J525" t="s">
        <v>2843</v>
      </c>
      <c r="K525" s="3" t="s">
        <v>2995</v>
      </c>
      <c r="L525" s="5">
        <v>432044.09</v>
      </c>
      <c r="M525" s="5">
        <v>36003.67</v>
      </c>
      <c r="N525" s="5">
        <v>36003.67</v>
      </c>
      <c r="O525" s="5">
        <v>36003.67</v>
      </c>
      <c r="P525" s="5">
        <v>36003.67</v>
      </c>
      <c r="Q525" s="5">
        <v>36003.67</v>
      </c>
      <c r="R525" s="5">
        <v>36003.67</v>
      </c>
      <c r="S525" s="5">
        <v>36003.67</v>
      </c>
      <c r="T525" s="5">
        <v>36003.67</v>
      </c>
      <c r="U525" s="5">
        <v>36003.67</v>
      </c>
      <c r="V525" s="5">
        <v>36003.67</v>
      </c>
      <c r="W525" s="5">
        <v>36003.67</v>
      </c>
      <c r="X525" s="5">
        <v>36003.67</v>
      </c>
      <c r="Y525" s="5">
        <v>36003.67</v>
      </c>
    </row>
    <row r="526" spans="1:25" hidden="1" x14ac:dyDescent="0.25">
      <c r="A526" t="s">
        <v>2766</v>
      </c>
      <c r="B526" t="s">
        <v>2477</v>
      </c>
      <c r="C526" t="s">
        <v>1889</v>
      </c>
      <c r="D526" t="s">
        <v>3058</v>
      </c>
      <c r="E526" t="str">
        <f>IF(COUNTIF(Tabela1[codProcesso],Tabela2[[#This Row],[PROCESSO]]),"Está","Não está")</f>
        <v>Não está</v>
      </c>
      <c r="F526" s="8" t="s">
        <v>2767</v>
      </c>
      <c r="G526" t="s">
        <v>2766</v>
      </c>
      <c r="H526" t="s">
        <v>3059</v>
      </c>
      <c r="I526" t="s">
        <v>3060</v>
      </c>
      <c r="J526" t="s">
        <v>2889</v>
      </c>
      <c r="K526" s="3" t="s">
        <v>2995</v>
      </c>
      <c r="L526" s="5">
        <v>180656.25</v>
      </c>
      <c r="M526" s="5">
        <v>15054.69</v>
      </c>
      <c r="N526" s="5">
        <v>15054.69</v>
      </c>
      <c r="O526" s="5">
        <v>15054.69</v>
      </c>
      <c r="P526" s="5">
        <v>15054.69</v>
      </c>
      <c r="Q526" s="5">
        <v>15054.69</v>
      </c>
      <c r="R526" s="5">
        <v>15054.69</v>
      </c>
      <c r="S526" s="5">
        <v>15054.69</v>
      </c>
      <c r="T526" s="5">
        <v>15054.69</v>
      </c>
      <c r="U526" s="5">
        <v>15054.69</v>
      </c>
      <c r="V526" s="5">
        <v>15054.69</v>
      </c>
      <c r="W526" s="5">
        <v>15054.69</v>
      </c>
      <c r="X526" s="5">
        <v>15054.69</v>
      </c>
      <c r="Y526" s="5">
        <v>15054.69</v>
      </c>
    </row>
    <row r="527" spans="1:25" hidden="1" x14ac:dyDescent="0.25">
      <c r="A527" t="s">
        <v>2766</v>
      </c>
      <c r="B527" t="s">
        <v>2477</v>
      </c>
      <c r="C527" t="s">
        <v>1889</v>
      </c>
      <c r="D527" t="s">
        <v>3061</v>
      </c>
      <c r="E527" t="str">
        <f>IF(COUNTIF(Tabela1[codProcesso],Tabela2[[#This Row],[PROCESSO]]),"Está","Não está")</f>
        <v>Não está</v>
      </c>
      <c r="F527" s="8" t="s">
        <v>2767</v>
      </c>
      <c r="G527" t="s">
        <v>2766</v>
      </c>
      <c r="H527" t="s">
        <v>3062</v>
      </c>
      <c r="I527" t="s">
        <v>3063</v>
      </c>
      <c r="J527" t="s">
        <v>3064</v>
      </c>
      <c r="K527" s="3" t="s">
        <v>2995</v>
      </c>
      <c r="L527" s="5">
        <v>587255.81999999995</v>
      </c>
      <c r="M527" s="5">
        <v>48937.99</v>
      </c>
      <c r="N527" s="5">
        <v>48937.99</v>
      </c>
      <c r="O527" s="5">
        <v>48937.99</v>
      </c>
      <c r="P527" s="5">
        <v>48937.99</v>
      </c>
      <c r="Q527" s="5">
        <v>48937.99</v>
      </c>
      <c r="R527" s="5">
        <v>48937.99</v>
      </c>
      <c r="S527" s="5">
        <v>48937.99</v>
      </c>
      <c r="T527" s="5">
        <v>48937.99</v>
      </c>
      <c r="U527" s="5">
        <v>48937.99</v>
      </c>
      <c r="V527" s="5">
        <v>48937.99</v>
      </c>
      <c r="W527" s="5">
        <v>48937.99</v>
      </c>
      <c r="X527" s="5">
        <v>48937.99</v>
      </c>
      <c r="Y527" s="5">
        <v>48937.99</v>
      </c>
    </row>
    <row r="528" spans="1:25" hidden="1" x14ac:dyDescent="0.25">
      <c r="A528" t="s">
        <v>2766</v>
      </c>
      <c r="B528" t="s">
        <v>2477</v>
      </c>
      <c r="C528" t="s">
        <v>1889</v>
      </c>
      <c r="D528" t="s">
        <v>3065</v>
      </c>
      <c r="E528" t="str">
        <f>IF(COUNTIF(Tabela1[codProcesso],Tabela2[[#This Row],[PROCESSO]]),"Está","Não está")</f>
        <v>Não está</v>
      </c>
      <c r="F528" s="8" t="s">
        <v>2767</v>
      </c>
      <c r="G528" t="s">
        <v>2766</v>
      </c>
      <c r="H528" t="s">
        <v>3066</v>
      </c>
      <c r="I528" t="s">
        <v>3067</v>
      </c>
      <c r="J528" t="s">
        <v>2834</v>
      </c>
      <c r="K528" s="3" t="s">
        <v>2995</v>
      </c>
      <c r="L528" s="5">
        <v>1939087.91</v>
      </c>
      <c r="M528" s="5">
        <v>161590.66</v>
      </c>
      <c r="N528" s="5">
        <v>161590.66</v>
      </c>
      <c r="O528" s="5">
        <v>161590.66</v>
      </c>
      <c r="P528" s="5">
        <v>161590.66</v>
      </c>
      <c r="Q528" s="5">
        <v>161590.66</v>
      </c>
      <c r="R528" s="5">
        <v>161590.66</v>
      </c>
      <c r="S528" s="5">
        <v>161590.66</v>
      </c>
      <c r="T528" s="5">
        <v>161590.66</v>
      </c>
      <c r="U528" s="5">
        <v>161590.66</v>
      </c>
      <c r="V528" s="5">
        <v>161590.66</v>
      </c>
      <c r="W528" s="5">
        <v>161590.66</v>
      </c>
      <c r="X528" s="5">
        <v>161590.66</v>
      </c>
      <c r="Y528" s="5">
        <v>161590.66</v>
      </c>
    </row>
    <row r="529" spans="1:25" hidden="1" x14ac:dyDescent="0.25">
      <c r="A529" t="s">
        <v>2766</v>
      </c>
      <c r="B529" t="s">
        <v>2477</v>
      </c>
      <c r="C529" t="s">
        <v>1889</v>
      </c>
      <c r="D529" t="s">
        <v>3068</v>
      </c>
      <c r="E529" t="str">
        <f>IF(COUNTIF(Tabela1[codProcesso],Tabela2[[#This Row],[PROCESSO]]),"Está","Não está")</f>
        <v>Não está</v>
      </c>
      <c r="F529" s="8" t="s">
        <v>2767</v>
      </c>
      <c r="G529" t="s">
        <v>2766</v>
      </c>
      <c r="H529" t="s">
        <v>3069</v>
      </c>
      <c r="I529" t="s">
        <v>3070</v>
      </c>
      <c r="J529" t="s">
        <v>2900</v>
      </c>
      <c r="K529" s="3" t="s">
        <v>2995</v>
      </c>
      <c r="L529" s="5">
        <v>470498.2</v>
      </c>
      <c r="M529" s="5">
        <v>39208.18</v>
      </c>
      <c r="N529" s="5">
        <v>39208.18</v>
      </c>
      <c r="O529" s="5">
        <v>39208.18</v>
      </c>
      <c r="P529" s="5">
        <v>39208.18</v>
      </c>
      <c r="Q529" s="5">
        <v>39208.18</v>
      </c>
      <c r="R529" s="5">
        <v>39208.18</v>
      </c>
      <c r="S529" s="5">
        <v>39208.18</v>
      </c>
      <c r="T529" s="5">
        <v>39208.18</v>
      </c>
      <c r="U529" s="5">
        <v>39208.18</v>
      </c>
      <c r="V529" s="5">
        <v>39208.18</v>
      </c>
      <c r="W529" s="5">
        <v>39208.18</v>
      </c>
      <c r="X529" s="5">
        <v>39208.18</v>
      </c>
      <c r="Y529" s="5">
        <v>39208.18</v>
      </c>
    </row>
    <row r="530" spans="1:25" hidden="1" x14ac:dyDescent="0.25">
      <c r="A530" t="s">
        <v>2766</v>
      </c>
      <c r="B530" t="s">
        <v>2477</v>
      </c>
      <c r="C530" t="s">
        <v>1889</v>
      </c>
      <c r="D530" t="s">
        <v>3071</v>
      </c>
      <c r="E530" t="str">
        <f>IF(COUNTIF(Tabela1[codProcesso],Tabela2[[#This Row],[PROCESSO]]),"Está","Não está")</f>
        <v>Não está</v>
      </c>
      <c r="F530" s="8" t="s">
        <v>2767</v>
      </c>
      <c r="G530" t="s">
        <v>2766</v>
      </c>
      <c r="H530" t="s">
        <v>3072</v>
      </c>
      <c r="I530" t="s">
        <v>3073</v>
      </c>
      <c r="J530" t="s">
        <v>3029</v>
      </c>
      <c r="K530" s="3" t="s">
        <v>2995</v>
      </c>
      <c r="L530" s="5">
        <v>272000</v>
      </c>
      <c r="M530" s="5">
        <v>22666.67</v>
      </c>
      <c r="N530" s="5">
        <v>22666.67</v>
      </c>
      <c r="O530" s="5">
        <v>22666.67</v>
      </c>
      <c r="P530" s="5">
        <v>22666.67</v>
      </c>
      <c r="Q530" s="5">
        <v>22666.67</v>
      </c>
      <c r="R530" s="5">
        <v>22666.67</v>
      </c>
      <c r="S530" s="5">
        <v>22666.67</v>
      </c>
      <c r="T530" s="5">
        <v>22666.67</v>
      </c>
      <c r="U530" s="5">
        <v>22666.67</v>
      </c>
      <c r="V530" s="5">
        <v>22666.67</v>
      </c>
      <c r="W530" s="5">
        <v>22666.67</v>
      </c>
      <c r="X530" s="5">
        <v>22666.67</v>
      </c>
      <c r="Y530" s="5">
        <v>22666.67</v>
      </c>
    </row>
    <row r="531" spans="1:25" hidden="1" x14ac:dyDescent="0.25">
      <c r="A531" t="s">
        <v>2766</v>
      </c>
      <c r="B531" t="s">
        <v>2477</v>
      </c>
      <c r="C531" t="s">
        <v>1889</v>
      </c>
      <c r="D531" t="s">
        <v>3074</v>
      </c>
      <c r="E531" t="str">
        <f>IF(COUNTIF(Tabela1[codProcesso],Tabela2[[#This Row],[PROCESSO]]),"Está","Não está")</f>
        <v>Não está</v>
      </c>
      <c r="F531" s="8" t="s">
        <v>2767</v>
      </c>
      <c r="G531" t="s">
        <v>2766</v>
      </c>
      <c r="H531" t="s">
        <v>3075</v>
      </c>
      <c r="I531" t="s">
        <v>3076</v>
      </c>
      <c r="J531" t="s">
        <v>2900</v>
      </c>
      <c r="K531" s="3" t="s">
        <v>2995</v>
      </c>
      <c r="L531" s="5">
        <v>418205</v>
      </c>
      <c r="M531" s="5">
        <v>34850.42</v>
      </c>
      <c r="N531" s="5">
        <v>34850.42</v>
      </c>
      <c r="O531" s="5">
        <v>34850.42</v>
      </c>
      <c r="P531" s="5">
        <v>34850.42</v>
      </c>
      <c r="Q531" s="5">
        <v>34850.42</v>
      </c>
      <c r="R531" s="5">
        <v>34850.42</v>
      </c>
      <c r="S531" s="5">
        <v>34850.42</v>
      </c>
      <c r="T531" s="5">
        <v>34850.42</v>
      </c>
      <c r="U531" s="5">
        <v>34850.42</v>
      </c>
      <c r="V531" s="5">
        <v>34850.42</v>
      </c>
      <c r="W531" s="5">
        <v>34850.42</v>
      </c>
      <c r="X531" s="5">
        <v>34850.42</v>
      </c>
      <c r="Y531" s="5">
        <v>34850.42</v>
      </c>
    </row>
    <row r="532" spans="1:25" hidden="1" x14ac:dyDescent="0.25">
      <c r="A532" t="s">
        <v>2766</v>
      </c>
      <c r="B532" t="s">
        <v>2477</v>
      </c>
      <c r="C532" t="s">
        <v>1889</v>
      </c>
      <c r="D532" t="s">
        <v>3077</v>
      </c>
      <c r="E532" t="str">
        <f>IF(COUNTIF(Tabela1[codProcesso],Tabela2[[#This Row],[PROCESSO]]),"Está","Não está")</f>
        <v>Não está</v>
      </c>
      <c r="F532" s="8" t="s">
        <v>2767</v>
      </c>
      <c r="G532" t="s">
        <v>2766</v>
      </c>
      <c r="H532" t="s">
        <v>3078</v>
      </c>
      <c r="I532" t="s">
        <v>3079</v>
      </c>
      <c r="J532" t="s">
        <v>2552</v>
      </c>
      <c r="K532" s="3" t="s">
        <v>2995</v>
      </c>
      <c r="L532" s="5">
        <v>315324.05</v>
      </c>
      <c r="M532" s="5">
        <v>26277</v>
      </c>
      <c r="N532" s="5">
        <v>26277</v>
      </c>
      <c r="O532" s="5">
        <v>26277</v>
      </c>
      <c r="P532" s="5">
        <v>26277</v>
      </c>
      <c r="Q532" s="5">
        <v>26277</v>
      </c>
      <c r="R532" s="5">
        <v>26277</v>
      </c>
      <c r="S532" s="5">
        <v>26277</v>
      </c>
      <c r="T532" s="5">
        <v>26277</v>
      </c>
      <c r="U532" s="5">
        <v>26277</v>
      </c>
      <c r="V532" s="5">
        <v>26277</v>
      </c>
      <c r="W532" s="5">
        <v>26277</v>
      </c>
      <c r="X532" s="5">
        <v>26277</v>
      </c>
      <c r="Y532" s="5">
        <v>26277</v>
      </c>
    </row>
    <row r="533" spans="1:25" hidden="1" x14ac:dyDescent="0.25">
      <c r="A533" t="s">
        <v>2766</v>
      </c>
      <c r="B533" t="s">
        <v>2477</v>
      </c>
      <c r="C533" t="s">
        <v>1889</v>
      </c>
      <c r="D533" t="s">
        <v>3080</v>
      </c>
      <c r="E533" t="str">
        <f>IF(COUNTIF(Tabela1[codProcesso],Tabela2[[#This Row],[PROCESSO]]),"Está","Não está")</f>
        <v>Não está</v>
      </c>
      <c r="F533" s="8" t="s">
        <v>2767</v>
      </c>
      <c r="G533" t="s">
        <v>2766</v>
      </c>
      <c r="H533" t="s">
        <v>3081</v>
      </c>
      <c r="I533" t="s">
        <v>3082</v>
      </c>
      <c r="J533" t="s">
        <v>2552</v>
      </c>
      <c r="K533" s="3" t="s">
        <v>2995</v>
      </c>
      <c r="L533" s="5">
        <v>405013.5</v>
      </c>
      <c r="M533" s="5">
        <v>33751.129999999997</v>
      </c>
      <c r="N533" s="5">
        <v>33751.129999999997</v>
      </c>
      <c r="O533" s="5">
        <v>33751.129999999997</v>
      </c>
      <c r="P533" s="5">
        <v>33751.129999999997</v>
      </c>
      <c r="Q533" s="5">
        <v>33751.129999999997</v>
      </c>
      <c r="R533" s="5">
        <v>33751.129999999997</v>
      </c>
      <c r="S533" s="5">
        <v>33751.129999999997</v>
      </c>
      <c r="T533" s="5">
        <v>33751.129999999997</v>
      </c>
      <c r="U533" s="5">
        <v>33751.129999999997</v>
      </c>
      <c r="V533" s="5">
        <v>33751.129999999997</v>
      </c>
      <c r="W533" s="5">
        <v>33751.129999999997</v>
      </c>
      <c r="X533" s="5">
        <v>33751.129999999997</v>
      </c>
      <c r="Y533" s="5">
        <v>33751.129999999997</v>
      </c>
    </row>
    <row r="534" spans="1:25" hidden="1" x14ac:dyDescent="0.25">
      <c r="A534" t="s">
        <v>2766</v>
      </c>
      <c r="B534" t="s">
        <v>2477</v>
      </c>
      <c r="C534" t="s">
        <v>1889</v>
      </c>
      <c r="D534" t="s">
        <v>3083</v>
      </c>
      <c r="E534" t="str">
        <f>IF(COUNTIF(Tabela1[codProcesso],Tabela2[[#This Row],[PROCESSO]]),"Está","Não está")</f>
        <v>Não está</v>
      </c>
      <c r="F534" s="8" t="s">
        <v>2767</v>
      </c>
      <c r="G534" t="s">
        <v>2766</v>
      </c>
      <c r="H534" t="s">
        <v>3084</v>
      </c>
      <c r="I534" t="s">
        <v>3085</v>
      </c>
      <c r="J534" t="s">
        <v>3086</v>
      </c>
      <c r="K534" s="3" t="s">
        <v>2995</v>
      </c>
      <c r="L534" s="5">
        <v>1660319.9</v>
      </c>
      <c r="M534" s="5">
        <v>138359.99</v>
      </c>
      <c r="N534" s="5">
        <v>138359.99</v>
      </c>
      <c r="O534" s="5">
        <v>138359.99</v>
      </c>
      <c r="P534" s="5">
        <v>138359.99</v>
      </c>
      <c r="Q534" s="5">
        <v>138359.99</v>
      </c>
      <c r="R534" s="5">
        <v>138359.99</v>
      </c>
      <c r="S534" s="5">
        <v>138359.99</v>
      </c>
      <c r="T534" s="5">
        <v>138359.99</v>
      </c>
      <c r="U534" s="5">
        <v>138359.99</v>
      </c>
      <c r="V534" s="5">
        <v>138359.99</v>
      </c>
      <c r="W534" s="5">
        <v>138359.99</v>
      </c>
      <c r="X534" s="5">
        <v>138359.99</v>
      </c>
      <c r="Y534" s="5">
        <v>138359.99</v>
      </c>
    </row>
    <row r="535" spans="1:25" hidden="1" x14ac:dyDescent="0.25">
      <c r="A535" t="s">
        <v>2766</v>
      </c>
      <c r="B535" t="s">
        <v>2477</v>
      </c>
      <c r="C535" t="s">
        <v>1889</v>
      </c>
      <c r="D535" t="s">
        <v>3087</v>
      </c>
      <c r="E535" t="str">
        <f>IF(COUNTIF(Tabela1[codProcesso],Tabela2[[#This Row],[PROCESSO]]),"Está","Não está")</f>
        <v>Não está</v>
      </c>
      <c r="F535" s="8" t="s">
        <v>2767</v>
      </c>
      <c r="G535" t="s">
        <v>2766</v>
      </c>
      <c r="H535" t="s">
        <v>3088</v>
      </c>
      <c r="I535" t="s">
        <v>3089</v>
      </c>
      <c r="J535" t="s">
        <v>2895</v>
      </c>
      <c r="K535" s="3" t="s">
        <v>2995</v>
      </c>
      <c r="L535" s="5">
        <v>411401.16</v>
      </c>
      <c r="M535" s="5">
        <v>34283.43</v>
      </c>
      <c r="N535" s="5">
        <v>34283.43</v>
      </c>
      <c r="O535" s="5">
        <v>34283.43</v>
      </c>
      <c r="P535" s="5">
        <v>34283.43</v>
      </c>
      <c r="Q535" s="5">
        <v>34283.43</v>
      </c>
      <c r="R535" s="5">
        <v>34283.43</v>
      </c>
      <c r="S535" s="5">
        <v>34283.43</v>
      </c>
      <c r="T535" s="5">
        <v>34283.43</v>
      </c>
      <c r="U535" s="5">
        <v>34283.43</v>
      </c>
      <c r="V535" s="5">
        <v>34283.43</v>
      </c>
      <c r="W535" s="5">
        <v>34283.43</v>
      </c>
      <c r="X535" s="5">
        <v>34283.43</v>
      </c>
      <c r="Y535" s="5">
        <v>34283.43</v>
      </c>
    </row>
    <row r="536" spans="1:25" hidden="1" x14ac:dyDescent="0.25">
      <c r="A536" t="s">
        <v>2766</v>
      </c>
      <c r="B536" t="s">
        <v>2477</v>
      </c>
      <c r="C536" t="s">
        <v>1889</v>
      </c>
      <c r="D536" t="s">
        <v>3090</v>
      </c>
      <c r="E536" t="str">
        <f>IF(COUNTIF(Tabela1[codProcesso],Tabela2[[#This Row],[PROCESSO]]),"Está","Não está")</f>
        <v>Não está</v>
      </c>
      <c r="F536" s="8" t="s">
        <v>2767</v>
      </c>
      <c r="G536" t="s">
        <v>2766</v>
      </c>
      <c r="H536" t="s">
        <v>3091</v>
      </c>
      <c r="I536" t="s">
        <v>3092</v>
      </c>
      <c r="J536" t="s">
        <v>2809</v>
      </c>
      <c r="K536" s="3" t="s">
        <v>2995</v>
      </c>
      <c r="L536" s="5">
        <v>1926019.48</v>
      </c>
      <c r="M536" s="5">
        <v>160501.62</v>
      </c>
      <c r="N536" s="5">
        <v>160501.62</v>
      </c>
      <c r="O536" s="5">
        <v>160501.62</v>
      </c>
      <c r="P536" s="5">
        <v>160501.62</v>
      </c>
      <c r="Q536" s="5">
        <v>160501.62</v>
      </c>
      <c r="R536" s="5">
        <v>160501.62</v>
      </c>
      <c r="S536" s="5">
        <v>160501.62</v>
      </c>
      <c r="T536" s="5">
        <v>160501.62</v>
      </c>
      <c r="U536" s="5">
        <v>160501.62</v>
      </c>
      <c r="V536" s="5">
        <v>160501.62</v>
      </c>
      <c r="W536" s="5">
        <v>160501.62</v>
      </c>
      <c r="X536" s="5">
        <v>160501.62</v>
      </c>
      <c r="Y536" s="5">
        <v>160501.62</v>
      </c>
    </row>
    <row r="537" spans="1:25" hidden="1" x14ac:dyDescent="0.25">
      <c r="A537" t="s">
        <v>2766</v>
      </c>
      <c r="B537" t="s">
        <v>2477</v>
      </c>
      <c r="C537" t="s">
        <v>1889</v>
      </c>
      <c r="D537" t="s">
        <v>3093</v>
      </c>
      <c r="E537" t="str">
        <f>IF(COUNTIF(Tabela1[codProcesso],Tabela2[[#This Row],[PROCESSO]]),"Está","Não está")</f>
        <v>Não está</v>
      </c>
      <c r="F537" s="8" t="s">
        <v>2767</v>
      </c>
      <c r="G537" t="s">
        <v>2766</v>
      </c>
      <c r="H537" t="s">
        <v>3094</v>
      </c>
      <c r="I537" t="s">
        <v>3095</v>
      </c>
      <c r="J537" t="s">
        <v>2834</v>
      </c>
      <c r="K537" s="3" t="s">
        <v>2995</v>
      </c>
      <c r="L537" s="5">
        <v>1210535.04</v>
      </c>
      <c r="M537" s="5">
        <v>100877.92</v>
      </c>
      <c r="N537" s="5">
        <v>100877.92</v>
      </c>
      <c r="O537" s="5">
        <v>100877.92</v>
      </c>
      <c r="P537" s="5">
        <v>100877.92</v>
      </c>
      <c r="Q537" s="5">
        <v>100877.92</v>
      </c>
      <c r="R537" s="5">
        <v>100877.92</v>
      </c>
      <c r="S537" s="5">
        <v>100877.92</v>
      </c>
      <c r="T537" s="5">
        <v>100877.92</v>
      </c>
      <c r="U537" s="5">
        <v>100877.92</v>
      </c>
      <c r="V537" s="5">
        <v>100877.92</v>
      </c>
      <c r="W537" s="5">
        <v>100877.92</v>
      </c>
      <c r="X537" s="5">
        <v>100877.92</v>
      </c>
      <c r="Y537" s="5">
        <v>100877.92</v>
      </c>
    </row>
    <row r="538" spans="1:25" hidden="1" x14ac:dyDescent="0.25">
      <c r="A538" t="s">
        <v>2766</v>
      </c>
      <c r="B538" t="s">
        <v>2477</v>
      </c>
      <c r="C538" t="s">
        <v>1889</v>
      </c>
      <c r="D538" t="s">
        <v>3096</v>
      </c>
      <c r="E538" t="str">
        <f>IF(COUNTIF(Tabela1[codProcesso],Tabela2[[#This Row],[PROCESSO]]),"Está","Não está")</f>
        <v>Não está</v>
      </c>
      <c r="F538" s="8" t="s">
        <v>2767</v>
      </c>
      <c r="G538" t="s">
        <v>2766</v>
      </c>
      <c r="H538" t="s">
        <v>3097</v>
      </c>
      <c r="I538" t="s">
        <v>3098</v>
      </c>
      <c r="J538" t="s">
        <v>3099</v>
      </c>
      <c r="K538" s="3" t="s">
        <v>2995</v>
      </c>
      <c r="L538" s="5">
        <v>504275.3</v>
      </c>
      <c r="M538" s="5">
        <v>42022.94</v>
      </c>
      <c r="N538" s="5">
        <v>42022.94</v>
      </c>
      <c r="O538" s="5">
        <v>42022.94</v>
      </c>
      <c r="P538" s="5">
        <v>42022.94</v>
      </c>
      <c r="Q538" s="5">
        <v>42022.94</v>
      </c>
      <c r="R538" s="5">
        <v>42022.94</v>
      </c>
      <c r="S538" s="5">
        <v>42022.94</v>
      </c>
      <c r="T538" s="5">
        <v>42022.94</v>
      </c>
      <c r="U538" s="5">
        <v>42022.94</v>
      </c>
      <c r="V538" s="5">
        <v>42022.94</v>
      </c>
      <c r="W538" s="5">
        <v>42022.94</v>
      </c>
      <c r="X538" s="5">
        <v>42022.94</v>
      </c>
      <c r="Y538" s="5">
        <v>42022.94</v>
      </c>
    </row>
    <row r="539" spans="1:25" hidden="1" x14ac:dyDescent="0.25">
      <c r="A539" t="s">
        <v>2766</v>
      </c>
      <c r="B539" t="s">
        <v>2477</v>
      </c>
      <c r="C539" t="s">
        <v>1889</v>
      </c>
      <c r="D539" t="s">
        <v>3100</v>
      </c>
      <c r="E539" t="str">
        <f>IF(COUNTIF(Tabela1[codProcesso],Tabela2[[#This Row],[PROCESSO]]),"Está","Não está")</f>
        <v>Não está</v>
      </c>
      <c r="F539" s="8" t="s">
        <v>2767</v>
      </c>
      <c r="G539" t="s">
        <v>2766</v>
      </c>
      <c r="H539" t="s">
        <v>3101</v>
      </c>
      <c r="I539" t="s">
        <v>3102</v>
      </c>
      <c r="J539" t="s">
        <v>3103</v>
      </c>
      <c r="K539" s="3" t="s">
        <v>2995</v>
      </c>
      <c r="L539" s="5">
        <v>554068</v>
      </c>
      <c r="M539" s="5">
        <v>46172.33</v>
      </c>
      <c r="N539" s="5">
        <v>46172.33</v>
      </c>
      <c r="O539" s="5">
        <v>46172.33</v>
      </c>
      <c r="P539" s="5">
        <v>46172.33</v>
      </c>
      <c r="Q539" s="5">
        <v>46172.33</v>
      </c>
      <c r="R539" s="5">
        <v>46172.33</v>
      </c>
      <c r="S539" s="5">
        <v>46172.33</v>
      </c>
      <c r="T539" s="5">
        <v>46172.33</v>
      </c>
      <c r="U539" s="5">
        <v>46172.33</v>
      </c>
      <c r="V539" s="5">
        <v>46172.33</v>
      </c>
      <c r="W539" s="5">
        <v>46172.33</v>
      </c>
      <c r="X539" s="5">
        <v>46172.33</v>
      </c>
      <c r="Y539" s="5">
        <v>46172.33</v>
      </c>
    </row>
    <row r="540" spans="1:25" hidden="1" x14ac:dyDescent="0.25">
      <c r="A540" t="s">
        <v>2766</v>
      </c>
      <c r="B540" t="s">
        <v>2477</v>
      </c>
      <c r="C540" t="s">
        <v>1889</v>
      </c>
      <c r="D540" t="s">
        <v>3104</v>
      </c>
      <c r="E540" t="str">
        <f>IF(COUNTIF(Tabela1[codProcesso],Tabela2[[#This Row],[PROCESSO]]),"Está","Não está")</f>
        <v>Não está</v>
      </c>
      <c r="F540" s="8" t="s">
        <v>2767</v>
      </c>
      <c r="G540" t="s">
        <v>2766</v>
      </c>
      <c r="H540" t="s">
        <v>3105</v>
      </c>
      <c r="I540" t="s">
        <v>3106</v>
      </c>
      <c r="J540" t="s">
        <v>2935</v>
      </c>
      <c r="K540" s="3" t="s">
        <v>2995</v>
      </c>
      <c r="L540" s="5">
        <v>333337.32</v>
      </c>
      <c r="M540" s="5">
        <v>27778.11</v>
      </c>
      <c r="N540" s="5">
        <v>27778.11</v>
      </c>
      <c r="O540" s="5">
        <v>27778.11</v>
      </c>
      <c r="P540" s="5">
        <v>27778.11</v>
      </c>
      <c r="Q540" s="5">
        <v>27778.11</v>
      </c>
      <c r="R540" s="5">
        <v>27778.11</v>
      </c>
      <c r="S540" s="5">
        <v>27778.11</v>
      </c>
      <c r="T540" s="5">
        <v>27778.11</v>
      </c>
      <c r="U540" s="5">
        <v>27778.11</v>
      </c>
      <c r="V540" s="5">
        <v>27778.11</v>
      </c>
      <c r="W540" s="5">
        <v>27778.11</v>
      </c>
      <c r="X540" s="5">
        <v>27778.11</v>
      </c>
      <c r="Y540" s="5">
        <v>27778.11</v>
      </c>
    </row>
    <row r="541" spans="1:25" hidden="1" x14ac:dyDescent="0.25">
      <c r="A541" t="s">
        <v>2766</v>
      </c>
      <c r="B541" t="s">
        <v>2477</v>
      </c>
      <c r="C541" t="s">
        <v>1889</v>
      </c>
      <c r="D541" t="s">
        <v>3107</v>
      </c>
      <c r="E541" t="str">
        <f>IF(COUNTIF(Tabela1[codProcesso],Tabela2[[#This Row],[PROCESSO]]),"Está","Não está")</f>
        <v>Não está</v>
      </c>
      <c r="F541" s="8" t="s">
        <v>2767</v>
      </c>
      <c r="G541" t="s">
        <v>2766</v>
      </c>
      <c r="H541" t="s">
        <v>3108</v>
      </c>
      <c r="I541" t="s">
        <v>3109</v>
      </c>
      <c r="J541" t="s">
        <v>2895</v>
      </c>
      <c r="K541" s="3" t="s">
        <v>2995</v>
      </c>
      <c r="L541" s="5">
        <v>1512482.76</v>
      </c>
      <c r="M541" s="5">
        <v>126040.23</v>
      </c>
      <c r="N541" s="5">
        <v>126040.23</v>
      </c>
      <c r="O541" s="5">
        <v>126040.23</v>
      </c>
      <c r="P541" s="5">
        <v>126040.23</v>
      </c>
      <c r="Q541" s="5">
        <v>126040.23</v>
      </c>
      <c r="R541" s="5">
        <v>126040.23</v>
      </c>
      <c r="S541" s="5">
        <v>126040.23</v>
      </c>
      <c r="T541" s="5">
        <v>126040.23</v>
      </c>
      <c r="U541" s="5">
        <v>126040.23</v>
      </c>
      <c r="V541" s="5">
        <v>126040.23</v>
      </c>
      <c r="W541" s="5">
        <v>126040.23</v>
      </c>
      <c r="X541" s="5">
        <v>126040.23</v>
      </c>
      <c r="Y541" s="5">
        <v>126040.23</v>
      </c>
    </row>
    <row r="542" spans="1:25" hidden="1" x14ac:dyDescent="0.25">
      <c r="A542" t="s">
        <v>2766</v>
      </c>
      <c r="B542" t="s">
        <v>2477</v>
      </c>
      <c r="C542" t="s">
        <v>1889</v>
      </c>
      <c r="D542" t="s">
        <v>3110</v>
      </c>
      <c r="E542" t="str">
        <f>IF(COUNTIF(Tabela1[codProcesso],Tabela2[[#This Row],[PROCESSO]]),"Está","Não está")</f>
        <v>Não está</v>
      </c>
      <c r="F542" s="8" t="s">
        <v>2767</v>
      </c>
      <c r="G542" t="s">
        <v>2766</v>
      </c>
      <c r="H542" t="s">
        <v>3111</v>
      </c>
      <c r="I542" t="s">
        <v>3112</v>
      </c>
      <c r="J542" t="s">
        <v>2552</v>
      </c>
      <c r="K542" s="3" t="s">
        <v>2995</v>
      </c>
      <c r="L542" s="5">
        <v>270180</v>
      </c>
      <c r="M542" s="5">
        <v>22515</v>
      </c>
      <c r="N542" s="5">
        <v>22515</v>
      </c>
      <c r="O542" s="5">
        <v>22515</v>
      </c>
      <c r="P542" s="5">
        <v>22515</v>
      </c>
      <c r="Q542" s="5">
        <v>22515</v>
      </c>
      <c r="R542" s="5">
        <v>22515</v>
      </c>
      <c r="S542" s="5">
        <v>22515</v>
      </c>
      <c r="T542" s="5">
        <v>22515</v>
      </c>
      <c r="U542" s="5">
        <v>22515</v>
      </c>
      <c r="V542" s="5">
        <v>22515</v>
      </c>
      <c r="W542" s="5">
        <v>22515</v>
      </c>
      <c r="X542" s="5">
        <v>22515</v>
      </c>
      <c r="Y542" s="5">
        <v>22515</v>
      </c>
    </row>
    <row r="543" spans="1:25" hidden="1" x14ac:dyDescent="0.25">
      <c r="A543" t="s">
        <v>2766</v>
      </c>
      <c r="B543" t="s">
        <v>2477</v>
      </c>
      <c r="C543" t="s">
        <v>1889</v>
      </c>
      <c r="D543" t="s">
        <v>3113</v>
      </c>
      <c r="E543" t="str">
        <f>IF(COUNTIF(Tabela1[codProcesso],Tabela2[[#This Row],[PROCESSO]]),"Está","Não está")</f>
        <v>Não está</v>
      </c>
      <c r="F543" s="8" t="s">
        <v>2767</v>
      </c>
      <c r="G543" t="s">
        <v>2766</v>
      </c>
      <c r="H543" t="s">
        <v>3114</v>
      </c>
      <c r="I543" t="s">
        <v>3115</v>
      </c>
      <c r="J543" t="s">
        <v>3116</v>
      </c>
      <c r="K543" s="3" t="s">
        <v>2995</v>
      </c>
      <c r="L543" s="5">
        <v>194772.04</v>
      </c>
      <c r="M543" s="5">
        <v>16231</v>
      </c>
      <c r="N543" s="5">
        <v>16231</v>
      </c>
      <c r="O543" s="5">
        <v>16231</v>
      </c>
      <c r="P543" s="5">
        <v>16231</v>
      </c>
      <c r="Q543" s="5">
        <v>16231</v>
      </c>
      <c r="R543" s="5">
        <v>16231</v>
      </c>
      <c r="S543" s="5">
        <v>16231</v>
      </c>
      <c r="T543" s="5">
        <v>16231</v>
      </c>
      <c r="U543" s="5">
        <v>16231</v>
      </c>
      <c r="V543" s="5">
        <v>16231</v>
      </c>
      <c r="W543" s="5">
        <v>16231</v>
      </c>
      <c r="X543" s="5">
        <v>16231</v>
      </c>
      <c r="Y543" s="5">
        <v>16231</v>
      </c>
    </row>
    <row r="544" spans="1:25" hidden="1" x14ac:dyDescent="0.25">
      <c r="A544" t="s">
        <v>2766</v>
      </c>
      <c r="B544" t="s">
        <v>2477</v>
      </c>
      <c r="C544" t="s">
        <v>1889</v>
      </c>
      <c r="D544" t="s">
        <v>3117</v>
      </c>
      <c r="E544" t="str">
        <f>IF(COUNTIF(Tabela1[codProcesso],Tabela2[[#This Row],[PROCESSO]]),"Está","Não está")</f>
        <v>Não está</v>
      </c>
      <c r="F544" s="8" t="s">
        <v>2767</v>
      </c>
      <c r="G544" t="s">
        <v>2766</v>
      </c>
      <c r="H544" t="s">
        <v>3118</v>
      </c>
      <c r="I544" t="s">
        <v>3119</v>
      </c>
      <c r="J544" t="s">
        <v>3120</v>
      </c>
      <c r="K544" s="3" t="s">
        <v>2995</v>
      </c>
      <c r="L544" s="5">
        <v>261993.03</v>
      </c>
      <c r="M544" s="5">
        <v>21832.75</v>
      </c>
      <c r="N544" s="5">
        <v>21832.75</v>
      </c>
      <c r="O544" s="5">
        <v>21832.75</v>
      </c>
      <c r="P544" s="5">
        <v>21832.75</v>
      </c>
      <c r="Q544" s="5">
        <v>21832.75</v>
      </c>
      <c r="R544" s="5">
        <v>21832.75</v>
      </c>
      <c r="S544" s="5">
        <v>21832.75</v>
      </c>
      <c r="T544" s="5">
        <v>21832.75</v>
      </c>
      <c r="U544" s="5">
        <v>21832.75</v>
      </c>
      <c r="V544" s="5">
        <v>21832.75</v>
      </c>
      <c r="W544" s="5">
        <v>21832.75</v>
      </c>
      <c r="X544" s="5">
        <v>21832.75</v>
      </c>
      <c r="Y544" s="5">
        <v>21832.75</v>
      </c>
    </row>
    <row r="545" spans="1:25" hidden="1" x14ac:dyDescent="0.25">
      <c r="A545" t="s">
        <v>2766</v>
      </c>
      <c r="B545" t="s">
        <v>2477</v>
      </c>
      <c r="C545" t="s">
        <v>1889</v>
      </c>
      <c r="D545" t="s">
        <v>3121</v>
      </c>
      <c r="E545" t="str">
        <f>IF(COUNTIF(Tabela1[codProcesso],Tabela2[[#This Row],[PROCESSO]]),"Está","Não está")</f>
        <v>Não está</v>
      </c>
      <c r="F545" s="8" t="s">
        <v>2767</v>
      </c>
      <c r="G545" t="s">
        <v>2766</v>
      </c>
      <c r="H545" t="s">
        <v>3122</v>
      </c>
      <c r="I545" t="s">
        <v>3123</v>
      </c>
      <c r="J545" t="s">
        <v>3124</v>
      </c>
      <c r="K545" s="3" t="s">
        <v>2995</v>
      </c>
      <c r="L545" s="5">
        <v>221400</v>
      </c>
      <c r="M545" s="5">
        <v>18450</v>
      </c>
      <c r="N545" s="5">
        <v>18450</v>
      </c>
      <c r="O545" s="5">
        <v>18450</v>
      </c>
      <c r="P545" s="5">
        <v>18450</v>
      </c>
      <c r="Q545" s="5">
        <v>18450</v>
      </c>
      <c r="R545" s="5">
        <v>18450</v>
      </c>
      <c r="S545" s="5">
        <v>18450</v>
      </c>
      <c r="T545" s="5">
        <v>18450</v>
      </c>
      <c r="U545" s="5">
        <v>18450</v>
      </c>
      <c r="V545" s="5">
        <v>18450</v>
      </c>
      <c r="W545" s="5">
        <v>18450</v>
      </c>
      <c r="X545" s="5">
        <v>18450</v>
      </c>
      <c r="Y545" s="5">
        <v>18450</v>
      </c>
    </row>
    <row r="546" spans="1:25" hidden="1" x14ac:dyDescent="0.25">
      <c r="A546" t="s">
        <v>2766</v>
      </c>
      <c r="B546" t="s">
        <v>2477</v>
      </c>
      <c r="C546" t="s">
        <v>1889</v>
      </c>
      <c r="D546" t="s">
        <v>3125</v>
      </c>
      <c r="E546" t="str">
        <f>IF(COUNTIF(Tabela1[codProcesso],Tabela2[[#This Row],[PROCESSO]]),"Está","Não está")</f>
        <v>Não está</v>
      </c>
      <c r="F546" s="8" t="s">
        <v>2767</v>
      </c>
      <c r="G546" t="s">
        <v>2766</v>
      </c>
      <c r="H546" t="s">
        <v>3126</v>
      </c>
      <c r="I546" t="s">
        <v>3127</v>
      </c>
      <c r="J546" t="s">
        <v>3128</v>
      </c>
      <c r="K546" s="3" t="s">
        <v>2995</v>
      </c>
      <c r="L546" s="5">
        <v>534012.92000000004</v>
      </c>
      <c r="M546" s="5">
        <v>44501.08</v>
      </c>
      <c r="N546" s="5">
        <v>44501.08</v>
      </c>
      <c r="O546" s="5">
        <v>44501.08</v>
      </c>
      <c r="P546" s="5">
        <v>44501.08</v>
      </c>
      <c r="Q546" s="5">
        <v>44501.08</v>
      </c>
      <c r="R546" s="5">
        <v>44501.08</v>
      </c>
      <c r="S546" s="5">
        <v>44501.08</v>
      </c>
      <c r="T546" s="5">
        <v>44501.08</v>
      </c>
      <c r="U546" s="5">
        <v>44501.08</v>
      </c>
      <c r="V546" s="5">
        <v>44501.08</v>
      </c>
      <c r="W546" s="5">
        <v>44501.08</v>
      </c>
      <c r="X546" s="5">
        <v>44501.08</v>
      </c>
      <c r="Y546" s="5">
        <v>44501.08</v>
      </c>
    </row>
    <row r="547" spans="1:25" hidden="1" x14ac:dyDescent="0.25">
      <c r="A547" t="s">
        <v>2766</v>
      </c>
      <c r="B547" t="s">
        <v>2477</v>
      </c>
      <c r="C547" t="s">
        <v>1889</v>
      </c>
      <c r="D547" t="s">
        <v>3129</v>
      </c>
      <c r="E547" t="str">
        <f>IF(COUNTIF(Tabela1[codProcesso],Tabela2[[#This Row],[PROCESSO]]),"Está","Não está")</f>
        <v>Não está</v>
      </c>
      <c r="F547" s="8" t="s">
        <v>2767</v>
      </c>
      <c r="G547" t="s">
        <v>2766</v>
      </c>
      <c r="H547" t="s">
        <v>3130</v>
      </c>
      <c r="I547" t="s">
        <v>3131</v>
      </c>
      <c r="J547" t="s">
        <v>2925</v>
      </c>
      <c r="K547" s="3" t="s">
        <v>2995</v>
      </c>
      <c r="L547" s="5">
        <v>442613.36</v>
      </c>
      <c r="M547" s="5">
        <v>36884.449999999997</v>
      </c>
      <c r="N547" s="5">
        <v>36884.449999999997</v>
      </c>
      <c r="O547" s="5">
        <v>36884.449999999997</v>
      </c>
      <c r="P547" s="5">
        <v>36884.449999999997</v>
      </c>
      <c r="Q547" s="5">
        <v>36884.449999999997</v>
      </c>
      <c r="R547" s="5">
        <v>36884.449999999997</v>
      </c>
      <c r="S547" s="5">
        <v>36884.449999999997</v>
      </c>
      <c r="T547" s="5">
        <v>36884.449999999997</v>
      </c>
      <c r="U547" s="5">
        <v>36884.449999999997</v>
      </c>
      <c r="V547" s="5">
        <v>36884.449999999997</v>
      </c>
      <c r="W547" s="5">
        <v>36884.449999999997</v>
      </c>
      <c r="X547" s="5">
        <v>36884.449999999997</v>
      </c>
      <c r="Y547" s="5">
        <v>36884.449999999997</v>
      </c>
    </row>
    <row r="548" spans="1:25" hidden="1" x14ac:dyDescent="0.25">
      <c r="A548" t="s">
        <v>2766</v>
      </c>
      <c r="B548" t="s">
        <v>2477</v>
      </c>
      <c r="C548" t="s">
        <v>1889</v>
      </c>
      <c r="D548" t="s">
        <v>3132</v>
      </c>
      <c r="E548" t="str">
        <f>IF(COUNTIF(Tabela1[codProcesso],Tabela2[[#This Row],[PROCESSO]]),"Está","Não está")</f>
        <v>Não está</v>
      </c>
      <c r="F548" s="8" t="s">
        <v>2767</v>
      </c>
      <c r="G548" t="s">
        <v>2766</v>
      </c>
      <c r="H548" t="s">
        <v>3133</v>
      </c>
      <c r="I548" t="s">
        <v>3134</v>
      </c>
      <c r="J548" t="s">
        <v>3135</v>
      </c>
      <c r="K548" s="3" t="s">
        <v>2995</v>
      </c>
      <c r="L548" s="5">
        <v>497526.88</v>
      </c>
      <c r="M548" s="5">
        <v>41460.57</v>
      </c>
      <c r="N548" s="5">
        <v>41460.57</v>
      </c>
      <c r="O548" s="5">
        <v>41460.57</v>
      </c>
      <c r="P548" s="5">
        <v>41460.57</v>
      </c>
      <c r="Q548" s="5">
        <v>41460.57</v>
      </c>
      <c r="R548" s="5">
        <v>41460.57</v>
      </c>
      <c r="S548" s="5">
        <v>41460.57</v>
      </c>
      <c r="T548" s="5">
        <v>41460.57</v>
      </c>
      <c r="U548" s="5">
        <v>41460.57</v>
      </c>
      <c r="V548" s="5">
        <v>41460.57</v>
      </c>
      <c r="W548" s="5">
        <v>41460.57</v>
      </c>
      <c r="X548" s="5">
        <v>41460.57</v>
      </c>
      <c r="Y548" s="5">
        <v>41460.57</v>
      </c>
    </row>
    <row r="549" spans="1:25" hidden="1" x14ac:dyDescent="0.25">
      <c r="A549" t="s">
        <v>2766</v>
      </c>
      <c r="B549" t="s">
        <v>2477</v>
      </c>
      <c r="C549" t="s">
        <v>1889</v>
      </c>
      <c r="D549" t="s">
        <v>3136</v>
      </c>
      <c r="E549" t="str">
        <f>IF(COUNTIF(Tabela1[codProcesso],Tabela2[[#This Row],[PROCESSO]]),"Está","Não está")</f>
        <v>Não está</v>
      </c>
      <c r="F549" s="8" t="s">
        <v>2767</v>
      </c>
      <c r="G549" t="s">
        <v>2766</v>
      </c>
      <c r="H549" t="s">
        <v>3137</v>
      </c>
      <c r="I549" t="s">
        <v>3138</v>
      </c>
      <c r="J549" t="s">
        <v>3139</v>
      </c>
      <c r="K549" s="3" t="s">
        <v>2995</v>
      </c>
      <c r="L549" s="5">
        <v>798969.72</v>
      </c>
      <c r="M549" s="5">
        <v>66580.81</v>
      </c>
      <c r="N549" s="5">
        <v>66580.81</v>
      </c>
      <c r="O549" s="5">
        <v>66580.81</v>
      </c>
      <c r="P549" s="5">
        <v>66580.81</v>
      </c>
      <c r="Q549" s="5">
        <v>66580.81</v>
      </c>
      <c r="R549" s="5">
        <v>66580.81</v>
      </c>
      <c r="S549" s="5">
        <v>66580.81</v>
      </c>
      <c r="T549" s="5">
        <v>66580.81</v>
      </c>
      <c r="U549" s="5">
        <v>66580.81</v>
      </c>
      <c r="V549" s="5">
        <v>66580.81</v>
      </c>
      <c r="W549" s="5">
        <v>66580.81</v>
      </c>
      <c r="X549" s="5">
        <v>66580.81</v>
      </c>
      <c r="Y549" s="5">
        <v>66580.81</v>
      </c>
    </row>
    <row r="550" spans="1:25" hidden="1" x14ac:dyDescent="0.25">
      <c r="A550" t="s">
        <v>2766</v>
      </c>
      <c r="B550" t="s">
        <v>2477</v>
      </c>
      <c r="C550" t="s">
        <v>1889</v>
      </c>
      <c r="D550" t="s">
        <v>3140</v>
      </c>
      <c r="E550" t="str">
        <f>IF(COUNTIF(Tabela1[codProcesso],Tabela2[[#This Row],[PROCESSO]]),"Está","Não está")</f>
        <v>Não está</v>
      </c>
      <c r="F550" s="8" t="s">
        <v>2767</v>
      </c>
      <c r="G550" t="s">
        <v>2766</v>
      </c>
      <c r="H550" t="s">
        <v>3141</v>
      </c>
      <c r="I550" t="s">
        <v>3142</v>
      </c>
      <c r="J550" t="s">
        <v>3143</v>
      </c>
      <c r="K550" s="3" t="s">
        <v>2995</v>
      </c>
      <c r="L550" s="5">
        <v>197251.03</v>
      </c>
      <c r="M550" s="5">
        <v>16437.59</v>
      </c>
      <c r="N550" s="5">
        <v>16437.59</v>
      </c>
      <c r="O550" s="5">
        <v>16437.59</v>
      </c>
      <c r="P550" s="5">
        <v>16437.59</v>
      </c>
      <c r="Q550" s="5">
        <v>16437.59</v>
      </c>
      <c r="R550" s="5">
        <v>16437.59</v>
      </c>
      <c r="S550" s="5">
        <v>16437.59</v>
      </c>
      <c r="T550" s="5">
        <v>16437.59</v>
      </c>
      <c r="U550" s="5">
        <v>16437.59</v>
      </c>
      <c r="V550" s="5">
        <v>16437.59</v>
      </c>
      <c r="W550" s="5">
        <v>16437.59</v>
      </c>
      <c r="X550" s="5">
        <v>16437.59</v>
      </c>
      <c r="Y550" s="5">
        <v>16437.59</v>
      </c>
    </row>
    <row r="551" spans="1:25" hidden="1" x14ac:dyDescent="0.25">
      <c r="A551" t="s">
        <v>2766</v>
      </c>
      <c r="B551" t="s">
        <v>2477</v>
      </c>
      <c r="C551" t="s">
        <v>1889</v>
      </c>
      <c r="D551" t="s">
        <v>3144</v>
      </c>
      <c r="E551" t="str">
        <f>IF(COUNTIF(Tabela1[codProcesso],Tabela2[[#This Row],[PROCESSO]]),"Está","Não está")</f>
        <v>Não está</v>
      </c>
      <c r="F551" s="8" t="s">
        <v>2767</v>
      </c>
      <c r="G551" t="s">
        <v>2766</v>
      </c>
      <c r="H551" t="s">
        <v>3145</v>
      </c>
      <c r="I551" t="s">
        <v>3146</v>
      </c>
      <c r="J551" t="s">
        <v>2918</v>
      </c>
      <c r="K551" s="3" t="s">
        <v>2995</v>
      </c>
      <c r="L551" s="5">
        <v>433421.21</v>
      </c>
      <c r="M551" s="5">
        <v>36118.43</v>
      </c>
      <c r="N551" s="5">
        <v>36118.43</v>
      </c>
      <c r="O551" s="5">
        <v>36118.43</v>
      </c>
      <c r="P551" s="5">
        <v>36118.43</v>
      </c>
      <c r="Q551" s="5">
        <v>36118.43</v>
      </c>
      <c r="R551" s="5">
        <v>36118.43</v>
      </c>
      <c r="S551" s="5">
        <v>36118.43</v>
      </c>
      <c r="T551" s="5">
        <v>36118.43</v>
      </c>
      <c r="U551" s="5">
        <v>36118.43</v>
      </c>
      <c r="V551" s="5">
        <v>36118.43</v>
      </c>
      <c r="W551" s="5">
        <v>36118.43</v>
      </c>
      <c r="X551" s="5">
        <v>36118.43</v>
      </c>
      <c r="Y551" s="5">
        <v>36118.43</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3885-94F9-4D20-AE35-56325F4C4C67}">
  <dimension ref="A3:E447"/>
  <sheetViews>
    <sheetView workbookViewId="0">
      <selection activeCell="B36" sqref="B36"/>
    </sheetView>
  </sheetViews>
  <sheetFormatPr defaultRowHeight="15" x14ac:dyDescent="0.25"/>
  <cols>
    <col min="1" max="1" width="70.28515625" customWidth="1"/>
    <col min="2" max="2" width="27" bestFit="1" customWidth="1"/>
    <col min="5" max="5" width="16.42578125" bestFit="1" customWidth="1"/>
  </cols>
  <sheetData>
    <row r="3" spans="1:2" x14ac:dyDescent="0.25">
      <c r="A3" s="6" t="s">
        <v>2470</v>
      </c>
      <c r="B3" t="s">
        <v>2475</v>
      </c>
    </row>
    <row r="4" spans="1:2" x14ac:dyDescent="0.25">
      <c r="A4" s="7" t="s">
        <v>1901</v>
      </c>
      <c r="B4" s="5">
        <v>12900331.299999999</v>
      </c>
    </row>
    <row r="5" spans="1:2" x14ac:dyDescent="0.25">
      <c r="A5" s="9" t="s">
        <v>1959</v>
      </c>
      <c r="B5" s="5">
        <v>60000</v>
      </c>
    </row>
    <row r="6" spans="1:2" x14ac:dyDescent="0.25">
      <c r="A6" s="10" t="s">
        <v>1961</v>
      </c>
      <c r="B6" s="5">
        <v>60000</v>
      </c>
    </row>
    <row r="7" spans="1:2" x14ac:dyDescent="0.25">
      <c r="A7" s="9" t="s">
        <v>1919</v>
      </c>
      <c r="B7" s="5">
        <v>19961.400000000001</v>
      </c>
    </row>
    <row r="8" spans="1:2" x14ac:dyDescent="0.25">
      <c r="A8" s="10" t="s">
        <v>1921</v>
      </c>
      <c r="B8" s="5">
        <v>19961.400000000001</v>
      </c>
    </row>
    <row r="9" spans="1:2" x14ac:dyDescent="0.25">
      <c r="A9" s="9" t="s">
        <v>2007</v>
      </c>
      <c r="B9" s="5">
        <v>252000</v>
      </c>
    </row>
    <row r="10" spans="1:2" x14ac:dyDescent="0.25">
      <c r="A10" s="10" t="s">
        <v>2006</v>
      </c>
      <c r="B10" s="5">
        <v>252000</v>
      </c>
    </row>
    <row r="11" spans="1:2" x14ac:dyDescent="0.25">
      <c r="A11" s="9" t="s">
        <v>1977</v>
      </c>
      <c r="B11" s="5">
        <v>830681.76</v>
      </c>
    </row>
    <row r="12" spans="1:2" x14ac:dyDescent="0.25">
      <c r="A12" s="10" t="s">
        <v>2004</v>
      </c>
      <c r="B12" s="5">
        <v>100000</v>
      </c>
    </row>
    <row r="13" spans="1:2" x14ac:dyDescent="0.25">
      <c r="A13" s="10" t="s">
        <v>2003</v>
      </c>
      <c r="B13" s="5">
        <v>10000</v>
      </c>
    </row>
    <row r="14" spans="1:2" x14ac:dyDescent="0.25">
      <c r="A14" s="10" t="s">
        <v>1978</v>
      </c>
      <c r="B14" s="5">
        <v>7500</v>
      </c>
    </row>
    <row r="15" spans="1:2" x14ac:dyDescent="0.25">
      <c r="A15" s="10" t="s">
        <v>2001</v>
      </c>
      <c r="B15" s="5">
        <v>30000</v>
      </c>
    </row>
    <row r="16" spans="1:2" x14ac:dyDescent="0.25">
      <c r="A16" s="10" t="s">
        <v>2002</v>
      </c>
      <c r="B16" s="5">
        <v>20000</v>
      </c>
    </row>
    <row r="17" spans="1:2" x14ac:dyDescent="0.25">
      <c r="A17" s="10" t="s">
        <v>2000</v>
      </c>
      <c r="B17" s="5">
        <v>30000</v>
      </c>
    </row>
    <row r="18" spans="1:2" x14ac:dyDescent="0.25">
      <c r="A18" s="10" t="s">
        <v>1998</v>
      </c>
      <c r="B18" s="5">
        <v>200000</v>
      </c>
    </row>
    <row r="19" spans="1:2" x14ac:dyDescent="0.25">
      <c r="A19" s="10" t="s">
        <v>2005</v>
      </c>
      <c r="B19" s="5">
        <v>10000</v>
      </c>
    </row>
    <row r="20" spans="1:2" x14ac:dyDescent="0.25">
      <c r="A20" s="10" t="s">
        <v>1991</v>
      </c>
      <c r="B20" s="5">
        <v>113336</v>
      </c>
    </row>
    <row r="21" spans="1:2" x14ac:dyDescent="0.25">
      <c r="A21" s="10" t="s">
        <v>1990</v>
      </c>
      <c r="B21" s="5">
        <v>309845.76000000001</v>
      </c>
    </row>
    <row r="22" spans="1:2" x14ac:dyDescent="0.25">
      <c r="A22" s="9" t="s">
        <v>1938</v>
      </c>
      <c r="B22" s="5">
        <v>100000</v>
      </c>
    </row>
    <row r="23" spans="1:2" x14ac:dyDescent="0.25">
      <c r="A23" s="10" t="s">
        <v>1940</v>
      </c>
      <c r="B23" s="5">
        <v>100000</v>
      </c>
    </row>
    <row r="24" spans="1:2" x14ac:dyDescent="0.25">
      <c r="A24" s="9" t="s">
        <v>1982</v>
      </c>
      <c r="B24" s="5">
        <v>540504.6</v>
      </c>
    </row>
    <row r="25" spans="1:2" x14ac:dyDescent="0.25">
      <c r="A25" s="10" t="s">
        <v>1984</v>
      </c>
      <c r="B25" s="5">
        <v>540504.6</v>
      </c>
    </row>
    <row r="26" spans="1:2" x14ac:dyDescent="0.25">
      <c r="A26" s="9" t="s">
        <v>1900</v>
      </c>
      <c r="B26" s="5">
        <v>10918963.539999999</v>
      </c>
    </row>
    <row r="27" spans="1:2" x14ac:dyDescent="0.25">
      <c r="A27" s="10" t="s">
        <v>1971</v>
      </c>
      <c r="B27" s="5">
        <v>204000</v>
      </c>
    </row>
    <row r="28" spans="1:2" x14ac:dyDescent="0.25">
      <c r="A28" s="10" t="s">
        <v>1952</v>
      </c>
      <c r="B28" s="5">
        <v>36000</v>
      </c>
    </row>
    <row r="29" spans="1:2" x14ac:dyDescent="0.25">
      <c r="A29" s="10" t="s">
        <v>1968</v>
      </c>
      <c r="B29" s="5">
        <v>111996</v>
      </c>
    </row>
    <row r="30" spans="1:2" x14ac:dyDescent="0.25">
      <c r="A30" s="10" t="s">
        <v>1975</v>
      </c>
      <c r="B30" s="5">
        <v>240000</v>
      </c>
    </row>
    <row r="31" spans="1:2" x14ac:dyDescent="0.25">
      <c r="A31" s="10" t="s">
        <v>1973</v>
      </c>
      <c r="B31" s="5">
        <v>7200</v>
      </c>
    </row>
    <row r="32" spans="1:2" x14ac:dyDescent="0.25">
      <c r="A32" s="10" t="s">
        <v>1980</v>
      </c>
      <c r="B32" s="5">
        <v>15000</v>
      </c>
    </row>
    <row r="33" spans="1:2" x14ac:dyDescent="0.25">
      <c r="A33" s="10" t="s">
        <v>1929</v>
      </c>
      <c r="B33" s="5">
        <v>1705.28</v>
      </c>
    </row>
    <row r="34" spans="1:2" x14ac:dyDescent="0.25">
      <c r="A34" s="10" t="s">
        <v>1913</v>
      </c>
      <c r="B34" s="5">
        <v>2286215.62</v>
      </c>
    </row>
    <row r="35" spans="1:2" x14ac:dyDescent="0.25">
      <c r="A35" s="10" t="s">
        <v>1906</v>
      </c>
      <c r="B35" s="5">
        <v>4500</v>
      </c>
    </row>
    <row r="36" spans="1:2" x14ac:dyDescent="0.25">
      <c r="A36" s="10" t="s">
        <v>1928</v>
      </c>
      <c r="B36" s="5">
        <v>175998.65</v>
      </c>
    </row>
    <row r="37" spans="1:2" x14ac:dyDescent="0.25">
      <c r="A37" s="10" t="s">
        <v>1944</v>
      </c>
      <c r="B37" s="5">
        <v>2928800</v>
      </c>
    </row>
    <row r="38" spans="1:2" x14ac:dyDescent="0.25">
      <c r="A38" s="10" t="s">
        <v>1936</v>
      </c>
      <c r="B38" s="5">
        <v>182275.44</v>
      </c>
    </row>
    <row r="39" spans="1:2" x14ac:dyDescent="0.25">
      <c r="A39" s="10" t="s">
        <v>1950</v>
      </c>
      <c r="B39" s="5">
        <v>8255.8799999999992</v>
      </c>
    </row>
    <row r="40" spans="1:2" x14ac:dyDescent="0.25">
      <c r="A40" s="10" t="s">
        <v>1903</v>
      </c>
      <c r="B40" s="5">
        <v>61635.6</v>
      </c>
    </row>
    <row r="41" spans="1:2" x14ac:dyDescent="0.25">
      <c r="A41" s="10" t="s">
        <v>1987</v>
      </c>
      <c r="B41" s="5">
        <v>1239383.04</v>
      </c>
    </row>
    <row r="42" spans="1:2" x14ac:dyDescent="0.25">
      <c r="A42" s="10" t="s">
        <v>1942</v>
      </c>
      <c r="B42" s="5">
        <v>90000</v>
      </c>
    </row>
    <row r="43" spans="1:2" x14ac:dyDescent="0.25">
      <c r="A43" s="10" t="s">
        <v>1915</v>
      </c>
      <c r="B43" s="5">
        <v>19749</v>
      </c>
    </row>
    <row r="44" spans="1:2" x14ac:dyDescent="0.25">
      <c r="A44" s="10" t="s">
        <v>1996</v>
      </c>
      <c r="B44" s="5">
        <v>113336</v>
      </c>
    </row>
    <row r="45" spans="1:2" x14ac:dyDescent="0.25">
      <c r="A45" s="10" t="s">
        <v>1948</v>
      </c>
      <c r="B45" s="5">
        <v>1304861.3999999999</v>
      </c>
    </row>
    <row r="46" spans="1:2" x14ac:dyDescent="0.25">
      <c r="A46" s="10" t="s">
        <v>1932</v>
      </c>
      <c r="B46" s="5">
        <v>26999.18</v>
      </c>
    </row>
    <row r="47" spans="1:2" x14ac:dyDescent="0.25">
      <c r="A47" s="10" t="s">
        <v>1994</v>
      </c>
      <c r="B47" s="5">
        <v>94649.52</v>
      </c>
    </row>
    <row r="48" spans="1:2" x14ac:dyDescent="0.25">
      <c r="A48" s="10" t="s">
        <v>1917</v>
      </c>
      <c r="B48" s="5">
        <v>248655.5</v>
      </c>
    </row>
    <row r="49" spans="1:2" x14ac:dyDescent="0.25">
      <c r="A49" s="10" t="s">
        <v>1963</v>
      </c>
      <c r="B49" s="5">
        <v>95380.12</v>
      </c>
    </row>
    <row r="50" spans="1:2" x14ac:dyDescent="0.25">
      <c r="A50" s="10" t="s">
        <v>1946</v>
      </c>
      <c r="B50" s="5">
        <v>455716.5</v>
      </c>
    </row>
    <row r="51" spans="1:2" x14ac:dyDescent="0.25">
      <c r="A51" s="10" t="s">
        <v>1965</v>
      </c>
      <c r="B51" s="5">
        <v>1240</v>
      </c>
    </row>
    <row r="52" spans="1:2" x14ac:dyDescent="0.25">
      <c r="A52" s="10" t="s">
        <v>1923</v>
      </c>
      <c r="B52" s="5">
        <v>461505.77</v>
      </c>
    </row>
    <row r="53" spans="1:2" x14ac:dyDescent="0.25">
      <c r="A53" s="10" t="s">
        <v>1957</v>
      </c>
      <c r="B53" s="5">
        <v>36580.879999999997</v>
      </c>
    </row>
    <row r="54" spans="1:2" x14ac:dyDescent="0.25">
      <c r="A54" s="10" t="s">
        <v>1954</v>
      </c>
      <c r="B54" s="5">
        <v>42750</v>
      </c>
    </row>
    <row r="55" spans="1:2" x14ac:dyDescent="0.25">
      <c r="A55" s="10" t="s">
        <v>1925</v>
      </c>
      <c r="B55" s="5">
        <v>6000</v>
      </c>
    </row>
    <row r="56" spans="1:2" x14ac:dyDescent="0.25">
      <c r="A56" s="10" t="s">
        <v>1934</v>
      </c>
      <c r="B56" s="5">
        <v>418574.16</v>
      </c>
    </row>
    <row r="57" spans="1:2" x14ac:dyDescent="0.25">
      <c r="A57" s="9" t="s">
        <v>1911</v>
      </c>
      <c r="B57" s="5">
        <v>178220</v>
      </c>
    </row>
    <row r="58" spans="1:2" x14ac:dyDescent="0.25">
      <c r="A58" s="10" t="s">
        <v>1912</v>
      </c>
      <c r="B58" s="5">
        <v>178220</v>
      </c>
    </row>
    <row r="59" spans="1:2" x14ac:dyDescent="0.25">
      <c r="A59" s="7" t="s">
        <v>2009</v>
      </c>
      <c r="B59" s="5">
        <v>5328414.7399999993</v>
      </c>
    </row>
    <row r="60" spans="1:2" x14ac:dyDescent="0.25">
      <c r="A60" s="9" t="s">
        <v>2031</v>
      </c>
      <c r="B60" s="5">
        <v>317702.2</v>
      </c>
    </row>
    <row r="61" spans="1:2" x14ac:dyDescent="0.25">
      <c r="A61" s="10" t="s">
        <v>2040</v>
      </c>
      <c r="B61" s="5">
        <v>200000</v>
      </c>
    </row>
    <row r="62" spans="1:2" x14ac:dyDescent="0.25">
      <c r="A62" s="10" t="s">
        <v>2038</v>
      </c>
      <c r="B62" s="5">
        <v>11336</v>
      </c>
    </row>
    <row r="63" spans="1:2" x14ac:dyDescent="0.25">
      <c r="A63" s="10" t="s">
        <v>2032</v>
      </c>
      <c r="B63" s="5">
        <v>106366.2</v>
      </c>
    </row>
    <row r="64" spans="1:2" x14ac:dyDescent="0.25">
      <c r="A64" s="9" t="s">
        <v>2021</v>
      </c>
      <c r="B64" s="5">
        <v>1083009.8400000001</v>
      </c>
    </row>
    <row r="65" spans="1:2" x14ac:dyDescent="0.25">
      <c r="A65" s="10" t="s">
        <v>2023</v>
      </c>
      <c r="B65" s="5">
        <v>1083009.8400000001</v>
      </c>
    </row>
    <row r="66" spans="1:2" x14ac:dyDescent="0.25">
      <c r="A66" s="9" t="s">
        <v>2008</v>
      </c>
      <c r="B66" s="5">
        <v>3927702.6999999997</v>
      </c>
    </row>
    <row r="67" spans="1:2" x14ac:dyDescent="0.25">
      <c r="A67" s="10" t="s">
        <v>2029</v>
      </c>
      <c r="B67" s="5">
        <v>360000</v>
      </c>
    </row>
    <row r="68" spans="1:2" x14ac:dyDescent="0.25">
      <c r="A68" s="10" t="s">
        <v>2013</v>
      </c>
      <c r="B68" s="5">
        <v>256216.44</v>
      </c>
    </row>
    <row r="69" spans="1:2" x14ac:dyDescent="0.25">
      <c r="A69" s="10" t="s">
        <v>2033</v>
      </c>
      <c r="B69" s="5">
        <v>240000</v>
      </c>
    </row>
    <row r="70" spans="1:2" x14ac:dyDescent="0.25">
      <c r="A70" s="10" t="s">
        <v>2020</v>
      </c>
      <c r="B70" s="5">
        <v>691.2</v>
      </c>
    </row>
    <row r="71" spans="1:2" x14ac:dyDescent="0.25">
      <c r="A71" s="10" t="s">
        <v>2010</v>
      </c>
      <c r="B71" s="5">
        <v>319964.28000000003</v>
      </c>
    </row>
    <row r="72" spans="1:2" x14ac:dyDescent="0.25">
      <c r="A72" s="10" t="s">
        <v>2011</v>
      </c>
      <c r="B72" s="5">
        <v>15254.96</v>
      </c>
    </row>
    <row r="73" spans="1:2" x14ac:dyDescent="0.25">
      <c r="A73" s="10" t="s">
        <v>2025</v>
      </c>
      <c r="B73" s="5">
        <v>1486890</v>
      </c>
    </row>
    <row r="74" spans="1:2" x14ac:dyDescent="0.25">
      <c r="A74" s="10" t="s">
        <v>2035</v>
      </c>
      <c r="B74" s="5">
        <v>1498.5</v>
      </c>
    </row>
    <row r="75" spans="1:2" x14ac:dyDescent="0.25">
      <c r="A75" s="10" t="s">
        <v>2027</v>
      </c>
      <c r="B75" s="5">
        <v>564797.17000000004</v>
      </c>
    </row>
    <row r="76" spans="1:2" x14ac:dyDescent="0.25">
      <c r="A76" s="10" t="s">
        <v>2030</v>
      </c>
      <c r="B76" s="5">
        <v>425464.8</v>
      </c>
    </row>
    <row r="77" spans="1:2" x14ac:dyDescent="0.25">
      <c r="A77" s="10" t="s">
        <v>1957</v>
      </c>
      <c r="B77" s="5">
        <v>12471.43</v>
      </c>
    </row>
    <row r="78" spans="1:2" x14ac:dyDescent="0.25">
      <c r="A78" s="10" t="s">
        <v>1954</v>
      </c>
      <c r="B78" s="5">
        <v>21375</v>
      </c>
    </row>
    <row r="79" spans="1:2" x14ac:dyDescent="0.25">
      <c r="A79" s="10" t="s">
        <v>2015</v>
      </c>
      <c r="B79" s="5">
        <v>211664.52</v>
      </c>
    </row>
    <row r="80" spans="1:2" x14ac:dyDescent="0.25">
      <c r="A80" s="10" t="s">
        <v>2017</v>
      </c>
      <c r="B80" s="5">
        <v>11414.4</v>
      </c>
    </row>
    <row r="81" spans="1:2" x14ac:dyDescent="0.25">
      <c r="A81" s="7" t="s">
        <v>2042</v>
      </c>
      <c r="B81" s="5">
        <v>11025834.85</v>
      </c>
    </row>
    <row r="82" spans="1:2" x14ac:dyDescent="0.25">
      <c r="A82" s="9" t="s">
        <v>2580</v>
      </c>
      <c r="B82" s="5">
        <v>1225834.8500000001</v>
      </c>
    </row>
    <row r="83" spans="1:2" x14ac:dyDescent="0.25">
      <c r="A83" s="10" t="s">
        <v>2582</v>
      </c>
      <c r="B83" s="5">
        <v>1225834.8500000001</v>
      </c>
    </row>
    <row r="84" spans="1:2" x14ac:dyDescent="0.25">
      <c r="A84" s="9" t="s">
        <v>2045</v>
      </c>
      <c r="B84" s="5">
        <v>200000</v>
      </c>
    </row>
    <row r="85" spans="1:2" x14ac:dyDescent="0.25">
      <c r="A85" s="10" t="s">
        <v>2047</v>
      </c>
      <c r="B85" s="5">
        <v>200000</v>
      </c>
    </row>
    <row r="86" spans="1:2" x14ac:dyDescent="0.25">
      <c r="A86" s="9" t="s">
        <v>2041</v>
      </c>
      <c r="B86" s="5">
        <v>9600000</v>
      </c>
    </row>
    <row r="87" spans="1:2" x14ac:dyDescent="0.25">
      <c r="A87" s="10" t="s">
        <v>2043</v>
      </c>
      <c r="B87" s="5">
        <v>9600000</v>
      </c>
    </row>
    <row r="88" spans="1:2" x14ac:dyDescent="0.25">
      <c r="A88" s="7" t="s">
        <v>2050</v>
      </c>
      <c r="B88" s="5">
        <v>1228732.6599999999</v>
      </c>
    </row>
    <row r="89" spans="1:2" x14ac:dyDescent="0.25">
      <c r="A89" s="9" t="s">
        <v>2061</v>
      </c>
      <c r="B89" s="5">
        <v>714268.56</v>
      </c>
    </row>
    <row r="90" spans="1:2" x14ac:dyDescent="0.25">
      <c r="A90" s="10" t="s">
        <v>2062</v>
      </c>
      <c r="B90" s="5">
        <v>714268.56</v>
      </c>
    </row>
    <row r="91" spans="1:2" x14ac:dyDescent="0.25">
      <c r="A91" s="9" t="s">
        <v>2049</v>
      </c>
      <c r="B91" s="5">
        <v>514464.10000000003</v>
      </c>
    </row>
    <row r="92" spans="1:2" x14ac:dyDescent="0.25">
      <c r="A92" s="10" t="s">
        <v>2064</v>
      </c>
      <c r="B92" s="5">
        <v>10000</v>
      </c>
    </row>
    <row r="93" spans="1:2" x14ac:dyDescent="0.25">
      <c r="A93" s="10" t="s">
        <v>2063</v>
      </c>
      <c r="B93" s="5">
        <v>8000</v>
      </c>
    </row>
    <row r="94" spans="1:2" x14ac:dyDescent="0.25">
      <c r="A94" s="10" t="s">
        <v>2053</v>
      </c>
      <c r="B94" s="5">
        <v>84000</v>
      </c>
    </row>
    <row r="95" spans="1:2" x14ac:dyDescent="0.25">
      <c r="A95" s="10" t="s">
        <v>1973</v>
      </c>
      <c r="B95" s="5">
        <v>24000</v>
      </c>
    </row>
    <row r="96" spans="1:2" x14ac:dyDescent="0.25">
      <c r="A96" s="10" t="s">
        <v>2054</v>
      </c>
      <c r="B96" s="5">
        <v>1000</v>
      </c>
    </row>
    <row r="97" spans="1:5" x14ac:dyDescent="0.25">
      <c r="A97" s="10" t="s">
        <v>2057</v>
      </c>
      <c r="B97" s="5">
        <v>871.6</v>
      </c>
    </row>
    <row r="98" spans="1:5" x14ac:dyDescent="0.25">
      <c r="A98" s="10" t="s">
        <v>2055</v>
      </c>
      <c r="B98" s="5">
        <v>371213.04</v>
      </c>
    </row>
    <row r="99" spans="1:5" x14ac:dyDescent="0.25">
      <c r="A99" s="10" t="s">
        <v>2058</v>
      </c>
      <c r="B99" s="5">
        <v>620</v>
      </c>
      <c r="E99">
        <v>10918963.539999999</v>
      </c>
    </row>
    <row r="100" spans="1:5" x14ac:dyDescent="0.25">
      <c r="A100" s="10" t="s">
        <v>1957</v>
      </c>
      <c r="B100" s="5">
        <v>13559.46</v>
      </c>
      <c r="E100">
        <v>63091840.380000003</v>
      </c>
    </row>
    <row r="101" spans="1:5" x14ac:dyDescent="0.25">
      <c r="A101" s="10" t="s">
        <v>2052</v>
      </c>
      <c r="B101" s="5">
        <v>1200</v>
      </c>
      <c r="E101" s="5">
        <f>E100+E99+GETPIVOTDATA("VALOR NECESSÁRIO",$A$3)</f>
        <v>339777367.94</v>
      </c>
    </row>
    <row r="102" spans="1:5" x14ac:dyDescent="0.25">
      <c r="A102" s="7" t="s">
        <v>2585</v>
      </c>
      <c r="B102" s="5">
        <v>2119032.64</v>
      </c>
    </row>
    <row r="103" spans="1:5" x14ac:dyDescent="0.25">
      <c r="A103" s="9" t="s">
        <v>2584</v>
      </c>
      <c r="B103" s="5">
        <v>2119032.64</v>
      </c>
    </row>
    <row r="104" spans="1:5" x14ac:dyDescent="0.25">
      <c r="A104" s="10" t="s">
        <v>2587</v>
      </c>
      <c r="B104" s="5">
        <v>2119032.64</v>
      </c>
    </row>
    <row r="105" spans="1:5" x14ac:dyDescent="0.25">
      <c r="A105" s="7" t="s">
        <v>2066</v>
      </c>
      <c r="B105" s="5">
        <v>9247084.959999999</v>
      </c>
    </row>
    <row r="106" spans="1:5" x14ac:dyDescent="0.25">
      <c r="A106" s="9" t="s">
        <v>2588</v>
      </c>
      <c r="B106" s="5">
        <v>8672128.6099999994</v>
      </c>
    </row>
    <row r="107" spans="1:5" x14ac:dyDescent="0.25">
      <c r="A107" s="10" t="s">
        <v>2590</v>
      </c>
      <c r="B107" s="5">
        <v>2151706.4900000002</v>
      </c>
    </row>
    <row r="108" spans="1:5" x14ac:dyDescent="0.25">
      <c r="A108" s="10" t="s">
        <v>2592</v>
      </c>
      <c r="B108" s="5">
        <v>2210204.17</v>
      </c>
    </row>
    <row r="109" spans="1:5" x14ac:dyDescent="0.25">
      <c r="A109" s="10" t="s">
        <v>2594</v>
      </c>
      <c r="B109" s="5">
        <v>2045553.52</v>
      </c>
    </row>
    <row r="110" spans="1:5" x14ac:dyDescent="0.25">
      <c r="A110" s="10" t="s">
        <v>2597</v>
      </c>
      <c r="B110" s="5">
        <v>2264664.4300000002</v>
      </c>
    </row>
    <row r="111" spans="1:5" x14ac:dyDescent="0.25">
      <c r="A111" s="9" t="s">
        <v>2080</v>
      </c>
      <c r="B111" s="5">
        <v>10000</v>
      </c>
    </row>
    <row r="112" spans="1:5" x14ac:dyDescent="0.25">
      <c r="A112" s="10" t="s">
        <v>2081</v>
      </c>
      <c r="B112" s="5">
        <v>10000</v>
      </c>
    </row>
    <row r="113" spans="1:2" x14ac:dyDescent="0.25">
      <c r="A113" s="9" t="s">
        <v>2065</v>
      </c>
      <c r="B113" s="5">
        <v>564956.35</v>
      </c>
    </row>
    <row r="114" spans="1:2" x14ac:dyDescent="0.25">
      <c r="A114" s="10" t="s">
        <v>2068</v>
      </c>
      <c r="B114" s="5">
        <v>472242.17</v>
      </c>
    </row>
    <row r="115" spans="1:2" x14ac:dyDescent="0.25">
      <c r="A115" s="10" t="s">
        <v>2076</v>
      </c>
      <c r="B115" s="5">
        <v>396.12</v>
      </c>
    </row>
    <row r="116" spans="1:2" x14ac:dyDescent="0.25">
      <c r="A116" s="10" t="s">
        <v>2078</v>
      </c>
      <c r="B116" s="5">
        <v>560</v>
      </c>
    </row>
    <row r="117" spans="1:2" x14ac:dyDescent="0.25">
      <c r="A117" s="10" t="s">
        <v>2070</v>
      </c>
      <c r="B117" s="5">
        <v>2500</v>
      </c>
    </row>
    <row r="118" spans="1:2" x14ac:dyDescent="0.25">
      <c r="A118" s="10" t="s">
        <v>2072</v>
      </c>
      <c r="B118" s="5">
        <v>85657.32</v>
      </c>
    </row>
    <row r="119" spans="1:2" x14ac:dyDescent="0.25">
      <c r="A119" s="10" t="s">
        <v>2074</v>
      </c>
      <c r="B119" s="5">
        <v>2400.7399999999998</v>
      </c>
    </row>
    <row r="120" spans="1:2" x14ac:dyDescent="0.25">
      <c r="A120" s="10" t="s">
        <v>2067</v>
      </c>
      <c r="B120" s="5">
        <v>1200</v>
      </c>
    </row>
    <row r="121" spans="1:2" x14ac:dyDescent="0.25">
      <c r="A121" s="7" t="s">
        <v>2599</v>
      </c>
      <c r="B121" s="5">
        <v>13532839.9</v>
      </c>
    </row>
    <row r="122" spans="1:2" x14ac:dyDescent="0.25">
      <c r="A122" s="9" t="s">
        <v>2598</v>
      </c>
      <c r="B122" s="5">
        <v>13532839.9</v>
      </c>
    </row>
    <row r="123" spans="1:2" x14ac:dyDescent="0.25">
      <c r="A123" s="10" t="s">
        <v>2601</v>
      </c>
      <c r="B123" s="5">
        <v>13532839.9</v>
      </c>
    </row>
    <row r="124" spans="1:2" x14ac:dyDescent="0.25">
      <c r="A124" s="7" t="s">
        <v>2479</v>
      </c>
      <c r="B124" s="5">
        <v>10451947.480000002</v>
      </c>
    </row>
    <row r="125" spans="1:2" x14ac:dyDescent="0.25">
      <c r="A125" s="9" t="s">
        <v>2478</v>
      </c>
      <c r="B125" s="5">
        <v>10451947.480000002</v>
      </c>
    </row>
    <row r="126" spans="1:2" x14ac:dyDescent="0.25">
      <c r="A126" s="10" t="s">
        <v>2484</v>
      </c>
      <c r="B126" s="5">
        <v>2190348.54</v>
      </c>
    </row>
    <row r="127" spans="1:2" x14ac:dyDescent="0.25">
      <c r="A127" s="10" t="s">
        <v>2481</v>
      </c>
      <c r="B127" s="5">
        <v>2121411.9300000002</v>
      </c>
    </row>
    <row r="128" spans="1:2" x14ac:dyDescent="0.25">
      <c r="A128" s="10" t="s">
        <v>2607</v>
      </c>
      <c r="B128" s="5">
        <v>2034694.31</v>
      </c>
    </row>
    <row r="129" spans="1:2" x14ac:dyDescent="0.25">
      <c r="A129" s="10" t="s">
        <v>2609</v>
      </c>
      <c r="B129" s="5">
        <v>2067358.4</v>
      </c>
    </row>
    <row r="130" spans="1:2" x14ac:dyDescent="0.25">
      <c r="A130" s="10" t="s">
        <v>2604</v>
      </c>
      <c r="B130" s="5">
        <v>2038134.3</v>
      </c>
    </row>
    <row r="131" spans="1:2" x14ac:dyDescent="0.25">
      <c r="A131" s="7" t="s">
        <v>2083</v>
      </c>
      <c r="B131" s="5">
        <v>57073661.970000014</v>
      </c>
    </row>
    <row r="132" spans="1:2" x14ac:dyDescent="0.25">
      <c r="A132" s="9" t="s">
        <v>2115</v>
      </c>
      <c r="B132" s="5">
        <v>9000000</v>
      </c>
    </row>
    <row r="133" spans="1:2" x14ac:dyDescent="0.25">
      <c r="A133" s="10" t="s">
        <v>2116</v>
      </c>
      <c r="B133" s="5">
        <v>9000000</v>
      </c>
    </row>
    <row r="134" spans="1:2" x14ac:dyDescent="0.25">
      <c r="A134" s="9" t="s">
        <v>2502</v>
      </c>
      <c r="B134" s="5">
        <v>5852384.6399999997</v>
      </c>
    </row>
    <row r="135" spans="1:2" x14ac:dyDescent="0.25">
      <c r="A135" s="10" t="s">
        <v>2504</v>
      </c>
      <c r="B135" s="5">
        <v>5852384.6399999997</v>
      </c>
    </row>
    <row r="136" spans="1:2" x14ac:dyDescent="0.25">
      <c r="A136" s="9" t="s">
        <v>2486</v>
      </c>
      <c r="B136" s="5">
        <v>30059134.710000005</v>
      </c>
    </row>
    <row r="137" spans="1:2" x14ac:dyDescent="0.25">
      <c r="A137" s="10" t="s">
        <v>2488</v>
      </c>
      <c r="B137" s="5">
        <v>2266324.2000000002</v>
      </c>
    </row>
    <row r="138" spans="1:2" x14ac:dyDescent="0.25">
      <c r="A138" s="10" t="s">
        <v>2509</v>
      </c>
      <c r="B138" s="5">
        <v>652528.56000000006</v>
      </c>
    </row>
    <row r="139" spans="1:2" x14ac:dyDescent="0.25">
      <c r="A139" s="10" t="s">
        <v>2547</v>
      </c>
      <c r="B139" s="5">
        <v>587579.64</v>
      </c>
    </row>
    <row r="140" spans="1:2" x14ac:dyDescent="0.25">
      <c r="A140" s="10" t="s">
        <v>2535</v>
      </c>
      <c r="B140" s="5">
        <v>517105.32</v>
      </c>
    </row>
    <row r="141" spans="1:2" x14ac:dyDescent="0.25">
      <c r="A141" s="10" t="s">
        <v>2524</v>
      </c>
      <c r="B141" s="5">
        <v>564492.36</v>
      </c>
    </row>
    <row r="142" spans="1:2" x14ac:dyDescent="0.25">
      <c r="A142" s="10" t="s">
        <v>2530</v>
      </c>
      <c r="B142" s="5">
        <v>625891.24</v>
      </c>
    </row>
    <row r="143" spans="1:2" x14ac:dyDescent="0.25">
      <c r="A143" s="10" t="s">
        <v>2551</v>
      </c>
      <c r="B143" s="5">
        <v>537264.12</v>
      </c>
    </row>
    <row r="144" spans="1:2" x14ac:dyDescent="0.25">
      <c r="A144" s="10" t="s">
        <v>2527</v>
      </c>
      <c r="B144" s="5">
        <v>526183.19999999995</v>
      </c>
    </row>
    <row r="145" spans="1:2" x14ac:dyDescent="0.25">
      <c r="A145" s="10" t="s">
        <v>2507</v>
      </c>
      <c r="B145" s="5">
        <v>508284.84</v>
      </c>
    </row>
    <row r="146" spans="1:2" x14ac:dyDescent="0.25">
      <c r="A146" s="10" t="s">
        <v>2543</v>
      </c>
      <c r="B146" s="5">
        <v>613770.36</v>
      </c>
    </row>
    <row r="147" spans="1:2" x14ac:dyDescent="0.25">
      <c r="A147" s="10" t="s">
        <v>2538</v>
      </c>
      <c r="B147" s="5">
        <v>535867.92000000004</v>
      </c>
    </row>
    <row r="148" spans="1:2" x14ac:dyDescent="0.25">
      <c r="A148" s="10" t="s">
        <v>2541</v>
      </c>
      <c r="B148" s="5">
        <v>461831.88</v>
      </c>
    </row>
    <row r="149" spans="1:2" x14ac:dyDescent="0.25">
      <c r="A149" s="10" t="s">
        <v>2549</v>
      </c>
      <c r="B149" s="5">
        <v>727578.72</v>
      </c>
    </row>
    <row r="150" spans="1:2" x14ac:dyDescent="0.25">
      <c r="A150" s="10" t="s">
        <v>2521</v>
      </c>
      <c r="B150" s="5">
        <v>442825.56</v>
      </c>
    </row>
    <row r="151" spans="1:2" x14ac:dyDescent="0.25">
      <c r="A151" s="10" t="s">
        <v>2545</v>
      </c>
      <c r="B151" s="5">
        <v>598404.12</v>
      </c>
    </row>
    <row r="152" spans="1:2" x14ac:dyDescent="0.25">
      <c r="A152" s="10" t="s">
        <v>2533</v>
      </c>
      <c r="B152" s="5">
        <v>504570.48</v>
      </c>
    </row>
    <row r="153" spans="1:2" x14ac:dyDescent="0.25">
      <c r="A153" s="10" t="s">
        <v>2517</v>
      </c>
      <c r="B153" s="5">
        <v>1817784</v>
      </c>
    </row>
    <row r="154" spans="1:2" x14ac:dyDescent="0.25">
      <c r="A154" s="10" t="s">
        <v>2519</v>
      </c>
      <c r="B154" s="5">
        <v>1989522.02</v>
      </c>
    </row>
    <row r="155" spans="1:2" x14ac:dyDescent="0.25">
      <c r="A155" s="10" t="s">
        <v>2512</v>
      </c>
      <c r="B155" s="5">
        <v>1355821.55</v>
      </c>
    </row>
    <row r="156" spans="1:2" x14ac:dyDescent="0.25">
      <c r="A156" s="10" t="s">
        <v>2497</v>
      </c>
      <c r="B156" s="5">
        <v>3661246.56</v>
      </c>
    </row>
    <row r="157" spans="1:2" x14ac:dyDescent="0.25">
      <c r="A157" s="10" t="s">
        <v>2515</v>
      </c>
      <c r="B157" s="5">
        <v>2093832.37</v>
      </c>
    </row>
    <row r="158" spans="1:2" x14ac:dyDescent="0.25">
      <c r="A158" s="10" t="s">
        <v>2491</v>
      </c>
      <c r="B158" s="5">
        <v>1739907.46</v>
      </c>
    </row>
    <row r="159" spans="1:2" x14ac:dyDescent="0.25">
      <c r="A159" s="10" t="s">
        <v>2500</v>
      </c>
      <c r="B159" s="5">
        <v>3448158.71</v>
      </c>
    </row>
    <row r="160" spans="1:2" x14ac:dyDescent="0.25">
      <c r="A160" s="10" t="s">
        <v>2494</v>
      </c>
      <c r="B160" s="5">
        <v>3282359.52</v>
      </c>
    </row>
    <row r="161" spans="1:2" x14ac:dyDescent="0.25">
      <c r="A161" s="9" t="s">
        <v>2119</v>
      </c>
      <c r="B161" s="5">
        <v>115000</v>
      </c>
    </row>
    <row r="162" spans="1:2" x14ac:dyDescent="0.25">
      <c r="A162" s="10" t="s">
        <v>2120</v>
      </c>
      <c r="B162" s="5">
        <v>15000</v>
      </c>
    </row>
    <row r="163" spans="1:2" x14ac:dyDescent="0.25">
      <c r="A163" s="10" t="s">
        <v>2121</v>
      </c>
      <c r="B163" s="5">
        <v>100000</v>
      </c>
    </row>
    <row r="164" spans="1:2" x14ac:dyDescent="0.25">
      <c r="A164" s="9" t="s">
        <v>2087</v>
      </c>
      <c r="B164" s="5">
        <v>130707.2</v>
      </c>
    </row>
    <row r="165" spans="1:2" x14ac:dyDescent="0.25">
      <c r="A165" s="10" t="s">
        <v>2089</v>
      </c>
      <c r="B165" s="5">
        <v>128707.2</v>
      </c>
    </row>
    <row r="166" spans="1:2" x14ac:dyDescent="0.25">
      <c r="A166" s="10" t="s">
        <v>2091</v>
      </c>
      <c r="B166" s="5">
        <v>2000</v>
      </c>
    </row>
    <row r="167" spans="1:2" x14ac:dyDescent="0.25">
      <c r="A167" s="9" t="s">
        <v>2082</v>
      </c>
      <c r="B167" s="5">
        <v>10130005.08</v>
      </c>
    </row>
    <row r="168" spans="1:2" x14ac:dyDescent="0.25">
      <c r="A168" s="10" t="s">
        <v>2101</v>
      </c>
      <c r="B168" s="5">
        <v>122941.18</v>
      </c>
    </row>
    <row r="169" spans="1:2" x14ac:dyDescent="0.25">
      <c r="A169" s="10" t="s">
        <v>1984</v>
      </c>
      <c r="B169" s="5">
        <v>9642625.5600000005</v>
      </c>
    </row>
    <row r="170" spans="1:2" x14ac:dyDescent="0.25">
      <c r="A170" s="10" t="s">
        <v>2085</v>
      </c>
      <c r="B170" s="5">
        <v>364438.34</v>
      </c>
    </row>
    <row r="171" spans="1:2" x14ac:dyDescent="0.25">
      <c r="A171" s="9" t="s">
        <v>2095</v>
      </c>
      <c r="B171" s="5">
        <v>1766430.34</v>
      </c>
    </row>
    <row r="172" spans="1:2" x14ac:dyDescent="0.25">
      <c r="A172" s="10" t="s">
        <v>2114</v>
      </c>
      <c r="B172" s="5">
        <v>72000</v>
      </c>
    </row>
    <row r="173" spans="1:2" x14ac:dyDescent="0.25">
      <c r="A173" s="10" t="s">
        <v>2117</v>
      </c>
      <c r="B173" s="5">
        <v>216000</v>
      </c>
    </row>
    <row r="174" spans="1:2" x14ac:dyDescent="0.25">
      <c r="A174" s="10" t="s">
        <v>2106</v>
      </c>
      <c r="B174" s="5">
        <v>333200</v>
      </c>
    </row>
    <row r="175" spans="1:2" x14ac:dyDescent="0.25">
      <c r="A175" s="10" t="s">
        <v>2118</v>
      </c>
      <c r="B175" s="5">
        <v>60000</v>
      </c>
    </row>
    <row r="176" spans="1:2" x14ac:dyDescent="0.25">
      <c r="A176" s="10" t="s">
        <v>2103</v>
      </c>
      <c r="B176" s="5">
        <v>344814.06</v>
      </c>
    </row>
    <row r="177" spans="1:2" x14ac:dyDescent="0.25">
      <c r="A177" s="10" t="s">
        <v>2098</v>
      </c>
      <c r="B177" s="5">
        <v>253994.28</v>
      </c>
    </row>
    <row r="178" spans="1:2" x14ac:dyDescent="0.25">
      <c r="A178" s="10" t="s">
        <v>2108</v>
      </c>
      <c r="B178" s="5">
        <v>869.04</v>
      </c>
    </row>
    <row r="179" spans="1:2" x14ac:dyDescent="0.25">
      <c r="A179" s="10" t="s">
        <v>2104</v>
      </c>
      <c r="B179" s="5">
        <v>1600</v>
      </c>
    </row>
    <row r="180" spans="1:2" x14ac:dyDescent="0.25">
      <c r="A180" s="10" t="s">
        <v>2109</v>
      </c>
      <c r="B180" s="5">
        <v>20271</v>
      </c>
    </row>
    <row r="181" spans="1:2" x14ac:dyDescent="0.25">
      <c r="A181" s="10" t="s">
        <v>2058</v>
      </c>
      <c r="B181" s="5">
        <v>620</v>
      </c>
    </row>
    <row r="182" spans="1:2" x14ac:dyDescent="0.25">
      <c r="A182" s="10" t="s">
        <v>2096</v>
      </c>
      <c r="B182" s="5">
        <v>48189.599999999999</v>
      </c>
    </row>
    <row r="183" spans="1:2" x14ac:dyDescent="0.25">
      <c r="A183" s="10" t="s">
        <v>2072</v>
      </c>
      <c r="B183" s="5">
        <v>42831.9</v>
      </c>
    </row>
    <row r="184" spans="1:2" x14ac:dyDescent="0.25">
      <c r="A184" s="10" t="s">
        <v>2074</v>
      </c>
      <c r="B184" s="5">
        <v>1600.46</v>
      </c>
    </row>
    <row r="185" spans="1:2" x14ac:dyDescent="0.25">
      <c r="A185" s="10" t="s">
        <v>2100</v>
      </c>
      <c r="B185" s="5">
        <v>0</v>
      </c>
    </row>
    <row r="186" spans="1:2" x14ac:dyDescent="0.25">
      <c r="A186" s="10" t="s">
        <v>2113</v>
      </c>
      <c r="B186" s="5">
        <v>370440</v>
      </c>
    </row>
    <row r="187" spans="1:2" x14ac:dyDescent="0.25">
      <c r="A187" s="9" t="s">
        <v>2093</v>
      </c>
      <c r="B187" s="5">
        <v>20000</v>
      </c>
    </row>
    <row r="188" spans="1:2" x14ac:dyDescent="0.25">
      <c r="A188" s="10" t="s">
        <v>2094</v>
      </c>
      <c r="B188" s="5">
        <v>20000</v>
      </c>
    </row>
    <row r="189" spans="1:2" x14ac:dyDescent="0.25">
      <c r="A189" s="7" t="s">
        <v>2554</v>
      </c>
      <c r="B189" s="5">
        <v>1909411.73</v>
      </c>
    </row>
    <row r="190" spans="1:2" x14ac:dyDescent="0.25">
      <c r="A190" s="9" t="s">
        <v>2553</v>
      </c>
      <c r="B190" s="5">
        <v>1909411.73</v>
      </c>
    </row>
    <row r="191" spans="1:2" x14ac:dyDescent="0.25">
      <c r="A191" s="10" t="s">
        <v>2556</v>
      </c>
      <c r="B191" s="5">
        <v>1909411.73</v>
      </c>
    </row>
    <row r="192" spans="1:2" x14ac:dyDescent="0.25">
      <c r="A192" s="7" t="s">
        <v>2558</v>
      </c>
      <c r="B192" s="5">
        <v>11847889.93</v>
      </c>
    </row>
    <row r="193" spans="1:2" x14ac:dyDescent="0.25">
      <c r="A193" s="9" t="s">
        <v>2557</v>
      </c>
      <c r="B193" s="5">
        <v>11847889.93</v>
      </c>
    </row>
    <row r="194" spans="1:2" x14ac:dyDescent="0.25">
      <c r="A194" s="10" t="s">
        <v>2560</v>
      </c>
      <c r="B194" s="5">
        <v>10197027.85</v>
      </c>
    </row>
    <row r="195" spans="1:2" x14ac:dyDescent="0.25">
      <c r="A195" s="10" t="s">
        <v>2567</v>
      </c>
      <c r="B195" s="5">
        <v>952049.28</v>
      </c>
    </row>
    <row r="196" spans="1:2" x14ac:dyDescent="0.25">
      <c r="A196" s="10" t="s">
        <v>2564</v>
      </c>
      <c r="B196" s="5">
        <v>698812.8</v>
      </c>
    </row>
    <row r="197" spans="1:2" x14ac:dyDescent="0.25">
      <c r="A197" s="7" t="s">
        <v>2123</v>
      </c>
      <c r="B197" s="5">
        <v>41629646.809999995</v>
      </c>
    </row>
    <row r="198" spans="1:2" x14ac:dyDescent="0.25">
      <c r="A198" s="9" t="s">
        <v>2335</v>
      </c>
      <c r="B198" s="5">
        <v>200000</v>
      </c>
    </row>
    <row r="199" spans="1:2" x14ac:dyDescent="0.25">
      <c r="A199" s="10" t="s">
        <v>2336</v>
      </c>
      <c r="B199" s="5">
        <v>200000</v>
      </c>
    </row>
    <row r="200" spans="1:2" x14ac:dyDescent="0.25">
      <c r="A200" s="9" t="s">
        <v>2326</v>
      </c>
      <c r="B200" s="5">
        <v>537057.83000000007</v>
      </c>
    </row>
    <row r="201" spans="1:2" x14ac:dyDescent="0.25">
      <c r="A201" s="10" t="s">
        <v>2334</v>
      </c>
      <c r="B201" s="5">
        <v>35000</v>
      </c>
    </row>
    <row r="202" spans="1:2" x14ac:dyDescent="0.25">
      <c r="A202" s="10" t="s">
        <v>2327</v>
      </c>
      <c r="B202" s="5">
        <v>502057.83</v>
      </c>
    </row>
    <row r="203" spans="1:2" x14ac:dyDescent="0.25">
      <c r="A203" s="9" t="s">
        <v>2280</v>
      </c>
      <c r="B203" s="5">
        <v>30000</v>
      </c>
    </row>
    <row r="204" spans="1:2" x14ac:dyDescent="0.25">
      <c r="A204" s="10" t="s">
        <v>1942</v>
      </c>
      <c r="B204" s="5">
        <v>30000</v>
      </c>
    </row>
    <row r="205" spans="1:2" x14ac:dyDescent="0.25">
      <c r="A205" s="9" t="s">
        <v>2122</v>
      </c>
      <c r="B205" s="5">
        <v>2056168.7300000002</v>
      </c>
    </row>
    <row r="206" spans="1:2" x14ac:dyDescent="0.25">
      <c r="A206" s="10" t="s">
        <v>2142</v>
      </c>
      <c r="B206" s="5">
        <v>2510</v>
      </c>
    </row>
    <row r="207" spans="1:2" x14ac:dyDescent="0.25">
      <c r="A207" s="10" t="s">
        <v>2300</v>
      </c>
      <c r="B207" s="5">
        <v>2500</v>
      </c>
    </row>
    <row r="208" spans="1:2" x14ac:dyDescent="0.25">
      <c r="A208" s="10" t="s">
        <v>2167</v>
      </c>
      <c r="B208" s="5">
        <v>1500</v>
      </c>
    </row>
    <row r="209" spans="1:2" x14ac:dyDescent="0.25">
      <c r="A209" s="10" t="s">
        <v>2257</v>
      </c>
      <c r="B209" s="5">
        <v>8000</v>
      </c>
    </row>
    <row r="210" spans="1:2" x14ac:dyDescent="0.25">
      <c r="A210" s="10" t="s">
        <v>2244</v>
      </c>
      <c r="B210" s="5">
        <v>5005</v>
      </c>
    </row>
    <row r="211" spans="1:2" x14ac:dyDescent="0.25">
      <c r="A211" s="10" t="s">
        <v>2223</v>
      </c>
      <c r="B211" s="5">
        <v>8500</v>
      </c>
    </row>
    <row r="212" spans="1:2" x14ac:dyDescent="0.25">
      <c r="A212" s="10" t="s">
        <v>2265</v>
      </c>
      <c r="B212" s="5">
        <v>9500</v>
      </c>
    </row>
    <row r="213" spans="1:2" x14ac:dyDescent="0.25">
      <c r="A213" s="10" t="s">
        <v>2234</v>
      </c>
      <c r="B213" s="5">
        <v>3000</v>
      </c>
    </row>
    <row r="214" spans="1:2" x14ac:dyDescent="0.25">
      <c r="A214" s="10" t="s">
        <v>2153</v>
      </c>
      <c r="B214" s="5">
        <v>5200</v>
      </c>
    </row>
    <row r="215" spans="1:2" x14ac:dyDescent="0.25">
      <c r="A215" s="10" t="s">
        <v>2272</v>
      </c>
      <c r="B215" s="5">
        <v>1600</v>
      </c>
    </row>
    <row r="216" spans="1:2" x14ac:dyDescent="0.25">
      <c r="A216" s="10" t="s">
        <v>2170</v>
      </c>
      <c r="B216" s="5">
        <v>100</v>
      </c>
    </row>
    <row r="217" spans="1:2" x14ac:dyDescent="0.25">
      <c r="A217" s="10" t="s">
        <v>2252</v>
      </c>
      <c r="B217" s="5">
        <v>600</v>
      </c>
    </row>
    <row r="218" spans="1:2" x14ac:dyDescent="0.25">
      <c r="A218" s="10" t="s">
        <v>2318</v>
      </c>
      <c r="B218" s="5">
        <v>9000</v>
      </c>
    </row>
    <row r="219" spans="1:2" x14ac:dyDescent="0.25">
      <c r="A219" s="10" t="s">
        <v>2297</v>
      </c>
      <c r="B219" s="5">
        <v>8500</v>
      </c>
    </row>
    <row r="220" spans="1:2" x14ac:dyDescent="0.25">
      <c r="A220" s="10" t="s">
        <v>2140</v>
      </c>
      <c r="B220" s="5">
        <v>121</v>
      </c>
    </row>
    <row r="221" spans="1:2" x14ac:dyDescent="0.25">
      <c r="A221" s="10" t="s">
        <v>2332</v>
      </c>
      <c r="B221" s="5">
        <v>2500</v>
      </c>
    </row>
    <row r="222" spans="1:2" x14ac:dyDescent="0.25">
      <c r="A222" s="10" t="s">
        <v>2212</v>
      </c>
      <c r="B222" s="5">
        <v>1700</v>
      </c>
    </row>
    <row r="223" spans="1:2" x14ac:dyDescent="0.25">
      <c r="A223" s="10" t="s">
        <v>2246</v>
      </c>
      <c r="B223" s="5">
        <v>150</v>
      </c>
    </row>
    <row r="224" spans="1:2" x14ac:dyDescent="0.25">
      <c r="A224" s="10" t="s">
        <v>2308</v>
      </c>
      <c r="B224" s="5">
        <v>1100</v>
      </c>
    </row>
    <row r="225" spans="1:2" x14ac:dyDescent="0.25">
      <c r="A225" s="10" t="s">
        <v>2237</v>
      </c>
      <c r="B225" s="5">
        <v>1100</v>
      </c>
    </row>
    <row r="226" spans="1:2" x14ac:dyDescent="0.25">
      <c r="A226" s="10" t="s">
        <v>2287</v>
      </c>
      <c r="B226" s="5">
        <v>3750</v>
      </c>
    </row>
    <row r="227" spans="1:2" x14ac:dyDescent="0.25">
      <c r="A227" s="10" t="s">
        <v>2158</v>
      </c>
      <c r="B227" s="5">
        <v>2700</v>
      </c>
    </row>
    <row r="228" spans="1:2" x14ac:dyDescent="0.25">
      <c r="A228" s="10" t="s">
        <v>2194</v>
      </c>
      <c r="B228" s="5">
        <v>77336</v>
      </c>
    </row>
    <row r="229" spans="1:2" x14ac:dyDescent="0.25">
      <c r="A229" s="10" t="s">
        <v>2165</v>
      </c>
      <c r="B229" s="5">
        <v>57500.28</v>
      </c>
    </row>
    <row r="230" spans="1:2" x14ac:dyDescent="0.25">
      <c r="A230" s="10" t="s">
        <v>2255</v>
      </c>
      <c r="B230" s="5">
        <v>96728.52</v>
      </c>
    </row>
    <row r="231" spans="1:2" x14ac:dyDescent="0.25">
      <c r="A231" s="10" t="s">
        <v>2242</v>
      </c>
      <c r="B231" s="5">
        <v>66141</v>
      </c>
    </row>
    <row r="232" spans="1:2" x14ac:dyDescent="0.25">
      <c r="A232" s="10" t="s">
        <v>2225</v>
      </c>
      <c r="B232" s="5">
        <v>75495.759999999995</v>
      </c>
    </row>
    <row r="233" spans="1:2" x14ac:dyDescent="0.25">
      <c r="A233" s="10" t="s">
        <v>2302</v>
      </c>
      <c r="B233" s="5">
        <v>121680</v>
      </c>
    </row>
    <row r="234" spans="1:2" x14ac:dyDescent="0.25">
      <c r="A234" s="10" t="s">
        <v>2263</v>
      </c>
      <c r="B234" s="5">
        <v>86047.2</v>
      </c>
    </row>
    <row r="235" spans="1:2" x14ac:dyDescent="0.25">
      <c r="A235" s="10" t="s">
        <v>2277</v>
      </c>
      <c r="B235" s="5">
        <v>59760</v>
      </c>
    </row>
    <row r="236" spans="1:2" x14ac:dyDescent="0.25">
      <c r="A236" s="10" t="s">
        <v>2232</v>
      </c>
      <c r="B236" s="5">
        <v>72194.34</v>
      </c>
    </row>
    <row r="237" spans="1:2" x14ac:dyDescent="0.25">
      <c r="A237" s="10" t="s">
        <v>2144</v>
      </c>
      <c r="B237" s="5">
        <v>35932.61</v>
      </c>
    </row>
    <row r="238" spans="1:2" x14ac:dyDescent="0.25">
      <c r="A238" s="10" t="s">
        <v>2292</v>
      </c>
      <c r="B238" s="5">
        <v>68070</v>
      </c>
    </row>
    <row r="239" spans="1:2" x14ac:dyDescent="0.25">
      <c r="A239" s="10" t="s">
        <v>2146</v>
      </c>
      <c r="B239" s="5">
        <v>49455.28</v>
      </c>
    </row>
    <row r="240" spans="1:2" x14ac:dyDescent="0.25">
      <c r="A240" s="10" t="s">
        <v>2151</v>
      </c>
      <c r="B240" s="5">
        <v>41497.4</v>
      </c>
    </row>
    <row r="241" spans="1:2" x14ac:dyDescent="0.25">
      <c r="A241" s="10" t="s">
        <v>2289</v>
      </c>
      <c r="B241" s="5">
        <v>63502</v>
      </c>
    </row>
    <row r="242" spans="1:2" x14ac:dyDescent="0.25">
      <c r="A242" s="10" t="s">
        <v>2274</v>
      </c>
      <c r="B242" s="5">
        <v>54554.64</v>
      </c>
    </row>
    <row r="243" spans="1:2" x14ac:dyDescent="0.25">
      <c r="A243" s="10" t="s">
        <v>2172</v>
      </c>
      <c r="B243" s="5">
        <v>42454.86</v>
      </c>
    </row>
    <row r="244" spans="1:2" x14ac:dyDescent="0.25">
      <c r="A244" s="10" t="s">
        <v>2125</v>
      </c>
      <c r="B244" s="5">
        <v>43004.32</v>
      </c>
    </row>
    <row r="245" spans="1:2" x14ac:dyDescent="0.25">
      <c r="A245" s="10" t="s">
        <v>2250</v>
      </c>
      <c r="B245" s="5">
        <v>66988.800000000003</v>
      </c>
    </row>
    <row r="246" spans="1:2" x14ac:dyDescent="0.25">
      <c r="A246" s="10" t="s">
        <v>2316</v>
      </c>
      <c r="B246" s="5">
        <v>109480</v>
      </c>
    </row>
    <row r="247" spans="1:2" x14ac:dyDescent="0.25">
      <c r="A247" s="10" t="s">
        <v>2156</v>
      </c>
      <c r="B247" s="5">
        <v>45593.760000000002</v>
      </c>
    </row>
    <row r="248" spans="1:2" x14ac:dyDescent="0.25">
      <c r="A248" s="10" t="s">
        <v>2295</v>
      </c>
      <c r="B248" s="5">
        <v>81204</v>
      </c>
    </row>
    <row r="249" spans="1:2" x14ac:dyDescent="0.25">
      <c r="A249" s="10" t="s">
        <v>2138</v>
      </c>
      <c r="B249" s="5">
        <v>45928</v>
      </c>
    </row>
    <row r="250" spans="1:2" x14ac:dyDescent="0.25">
      <c r="A250" s="10" t="s">
        <v>2329</v>
      </c>
      <c r="B250" s="5">
        <v>87360</v>
      </c>
    </row>
    <row r="251" spans="1:2" x14ac:dyDescent="0.25">
      <c r="A251" s="10" t="s">
        <v>2184</v>
      </c>
      <c r="B251" s="5">
        <v>128665.60000000001</v>
      </c>
    </row>
    <row r="252" spans="1:2" x14ac:dyDescent="0.25">
      <c r="A252" s="10" t="s">
        <v>2210</v>
      </c>
      <c r="B252" s="5">
        <v>63863.24</v>
      </c>
    </row>
    <row r="253" spans="1:2" x14ac:dyDescent="0.25">
      <c r="A253" s="10" t="s">
        <v>2248</v>
      </c>
      <c r="B253" s="5">
        <v>77832.639999999999</v>
      </c>
    </row>
    <row r="254" spans="1:2" x14ac:dyDescent="0.25">
      <c r="A254" s="10" t="s">
        <v>2310</v>
      </c>
      <c r="B254" s="5">
        <v>85200</v>
      </c>
    </row>
    <row r="255" spans="1:2" x14ac:dyDescent="0.25">
      <c r="A255" s="10" t="s">
        <v>2239</v>
      </c>
      <c r="B255" s="5">
        <v>54012.480000000003</v>
      </c>
    </row>
    <row r="256" spans="1:2" x14ac:dyDescent="0.25">
      <c r="A256" s="10" t="s">
        <v>2213</v>
      </c>
      <c r="B256" s="5">
        <v>1200</v>
      </c>
    </row>
    <row r="257" spans="1:2" x14ac:dyDescent="0.25">
      <c r="A257" s="10" t="s">
        <v>2235</v>
      </c>
      <c r="B257" s="5">
        <v>1200</v>
      </c>
    </row>
    <row r="258" spans="1:2" x14ac:dyDescent="0.25">
      <c r="A258" s="10" t="s">
        <v>2319</v>
      </c>
      <c r="B258" s="5">
        <v>1200</v>
      </c>
    </row>
    <row r="259" spans="1:2" x14ac:dyDescent="0.25">
      <c r="A259" s="10" t="s">
        <v>2187</v>
      </c>
      <c r="B259" s="5">
        <v>1200</v>
      </c>
    </row>
    <row r="260" spans="1:2" x14ac:dyDescent="0.25">
      <c r="A260" s="10" t="s">
        <v>2197</v>
      </c>
      <c r="B260" s="5">
        <v>1200</v>
      </c>
    </row>
    <row r="261" spans="1:2" x14ac:dyDescent="0.25">
      <c r="A261" s="10" t="s">
        <v>2173</v>
      </c>
      <c r="B261" s="5">
        <v>1200</v>
      </c>
    </row>
    <row r="262" spans="1:2" x14ac:dyDescent="0.25">
      <c r="A262" s="10" t="s">
        <v>2130</v>
      </c>
      <c r="B262" s="5">
        <v>350</v>
      </c>
    </row>
    <row r="263" spans="1:2" x14ac:dyDescent="0.25">
      <c r="A263" s="10" t="s">
        <v>2298</v>
      </c>
      <c r="B263" s="5">
        <v>1200</v>
      </c>
    </row>
    <row r="264" spans="1:2" x14ac:dyDescent="0.25">
      <c r="A264" s="10" t="s">
        <v>2240</v>
      </c>
      <c r="B264" s="5">
        <v>1200</v>
      </c>
    </row>
    <row r="265" spans="1:2" x14ac:dyDescent="0.25">
      <c r="A265" s="10" t="s">
        <v>2168</v>
      </c>
      <c r="B265" s="5">
        <v>1200</v>
      </c>
    </row>
    <row r="266" spans="1:2" x14ac:dyDescent="0.25">
      <c r="A266" s="10" t="s">
        <v>2258</v>
      </c>
      <c r="B266" s="5">
        <v>1200</v>
      </c>
    </row>
    <row r="267" spans="1:2" x14ac:dyDescent="0.25">
      <c r="A267" s="10" t="s">
        <v>2275</v>
      </c>
      <c r="B267" s="5">
        <v>1200</v>
      </c>
    </row>
    <row r="268" spans="1:2" x14ac:dyDescent="0.25">
      <c r="A268" s="10" t="s">
        <v>2253</v>
      </c>
      <c r="B268" s="5">
        <v>1200</v>
      </c>
    </row>
    <row r="269" spans="1:2" x14ac:dyDescent="0.25">
      <c r="A269" s="10" t="s">
        <v>2333</v>
      </c>
      <c r="B269" s="5">
        <v>500</v>
      </c>
    </row>
    <row r="270" spans="1:2" x14ac:dyDescent="0.25">
      <c r="A270" s="10" t="s">
        <v>2249</v>
      </c>
      <c r="B270" s="5">
        <v>1200</v>
      </c>
    </row>
    <row r="271" spans="1:2" x14ac:dyDescent="0.25">
      <c r="A271" s="10" t="s">
        <v>2311</v>
      </c>
      <c r="B271" s="5">
        <v>1200</v>
      </c>
    </row>
    <row r="272" spans="1:2" x14ac:dyDescent="0.25">
      <c r="A272" s="10" t="s">
        <v>2290</v>
      </c>
      <c r="B272" s="5">
        <v>1200</v>
      </c>
    </row>
    <row r="273" spans="1:2" x14ac:dyDescent="0.25">
      <c r="A273" s="10" t="s">
        <v>2154</v>
      </c>
      <c r="B273" s="5">
        <v>1200</v>
      </c>
    </row>
    <row r="274" spans="1:2" x14ac:dyDescent="0.25">
      <c r="A274" s="9" t="s">
        <v>2199</v>
      </c>
      <c r="B274" s="5">
        <v>8964564.959999999</v>
      </c>
    </row>
    <row r="275" spans="1:2" x14ac:dyDescent="0.25">
      <c r="A275" s="10" t="s">
        <v>2200</v>
      </c>
      <c r="B275" s="5">
        <v>277973.28000000003</v>
      </c>
    </row>
    <row r="276" spans="1:2" x14ac:dyDescent="0.25">
      <c r="A276" s="10" t="s">
        <v>1984</v>
      </c>
      <c r="B276" s="5">
        <v>8686591.6799999997</v>
      </c>
    </row>
    <row r="277" spans="1:2" x14ac:dyDescent="0.25">
      <c r="A277" s="9" t="s">
        <v>2134</v>
      </c>
      <c r="B277" s="5">
        <v>25292673.290000003</v>
      </c>
    </row>
    <row r="278" spans="1:2" x14ac:dyDescent="0.25">
      <c r="A278" s="10" t="s">
        <v>2323</v>
      </c>
      <c r="B278" s="5">
        <v>240000</v>
      </c>
    </row>
    <row r="279" spans="1:2" x14ac:dyDescent="0.25">
      <c r="A279" s="10" t="s">
        <v>2267</v>
      </c>
      <c r="B279" s="5">
        <v>38000</v>
      </c>
    </row>
    <row r="280" spans="1:2" x14ac:dyDescent="0.25">
      <c r="A280" s="10" t="s">
        <v>2324</v>
      </c>
      <c r="B280" s="5">
        <v>240000</v>
      </c>
    </row>
    <row r="281" spans="1:2" x14ac:dyDescent="0.25">
      <c r="A281" s="10" t="s">
        <v>2181</v>
      </c>
      <c r="B281" s="5">
        <v>145540.14000000001</v>
      </c>
    </row>
    <row r="282" spans="1:2" x14ac:dyDescent="0.25">
      <c r="A282" s="10" t="s">
        <v>2269</v>
      </c>
      <c r="B282" s="5">
        <v>11000</v>
      </c>
    </row>
    <row r="283" spans="1:2" x14ac:dyDescent="0.25">
      <c r="A283" s="10" t="s">
        <v>2285</v>
      </c>
      <c r="B283" s="5">
        <v>19000</v>
      </c>
    </row>
    <row r="284" spans="1:2" x14ac:dyDescent="0.25">
      <c r="A284" s="10" t="s">
        <v>2230</v>
      </c>
      <c r="B284" s="5">
        <v>3850</v>
      </c>
    </row>
    <row r="285" spans="1:2" x14ac:dyDescent="0.25">
      <c r="A285" s="10" t="s">
        <v>2205</v>
      </c>
      <c r="B285" s="5">
        <v>23200</v>
      </c>
    </row>
    <row r="286" spans="1:2" x14ac:dyDescent="0.25">
      <c r="A286" s="10" t="s">
        <v>2162</v>
      </c>
      <c r="B286" s="5">
        <v>3320</v>
      </c>
    </row>
    <row r="287" spans="1:2" x14ac:dyDescent="0.25">
      <c r="A287" s="10" t="s">
        <v>2270</v>
      </c>
      <c r="B287" s="5">
        <v>82458.399999999994</v>
      </c>
    </row>
    <row r="288" spans="1:2" x14ac:dyDescent="0.25">
      <c r="A288" s="10" t="s">
        <v>2178</v>
      </c>
      <c r="B288" s="5">
        <v>92828.160000000003</v>
      </c>
    </row>
    <row r="289" spans="1:2" x14ac:dyDescent="0.25">
      <c r="A289" s="10" t="s">
        <v>2283</v>
      </c>
      <c r="B289" s="5">
        <v>162976.07999999999</v>
      </c>
    </row>
    <row r="290" spans="1:2" x14ac:dyDescent="0.25">
      <c r="A290" s="10" t="s">
        <v>2160</v>
      </c>
      <c r="B290" s="5">
        <v>48972.41</v>
      </c>
    </row>
    <row r="291" spans="1:2" x14ac:dyDescent="0.25">
      <c r="A291" s="10" t="s">
        <v>2228</v>
      </c>
      <c r="B291" s="5">
        <v>70408</v>
      </c>
    </row>
    <row r="292" spans="1:2" x14ac:dyDescent="0.25">
      <c r="A292" s="10" t="s">
        <v>2292</v>
      </c>
      <c r="B292" s="5">
        <v>89040</v>
      </c>
    </row>
    <row r="293" spans="1:2" x14ac:dyDescent="0.25">
      <c r="A293" s="10" t="s">
        <v>2321</v>
      </c>
      <c r="B293" s="5">
        <v>750</v>
      </c>
    </row>
    <row r="294" spans="1:2" x14ac:dyDescent="0.25">
      <c r="A294" s="10" t="s">
        <v>2203</v>
      </c>
      <c r="B294" s="5">
        <v>53275.6</v>
      </c>
    </row>
    <row r="295" spans="1:2" x14ac:dyDescent="0.25">
      <c r="A295" s="10" t="s">
        <v>2135</v>
      </c>
      <c r="B295" s="5">
        <v>28574.48</v>
      </c>
    </row>
    <row r="296" spans="1:2" x14ac:dyDescent="0.25">
      <c r="A296" s="10" t="s">
        <v>2191</v>
      </c>
      <c r="B296" s="5">
        <v>98416.8</v>
      </c>
    </row>
    <row r="297" spans="1:2" x14ac:dyDescent="0.25">
      <c r="A297" s="10" t="s">
        <v>2207</v>
      </c>
      <c r="B297" s="5">
        <v>548400</v>
      </c>
    </row>
    <row r="298" spans="1:2" x14ac:dyDescent="0.25">
      <c r="A298" s="10" t="s">
        <v>2220</v>
      </c>
      <c r="B298" s="5">
        <v>1198631.2</v>
      </c>
    </row>
    <row r="299" spans="1:2" x14ac:dyDescent="0.25">
      <c r="A299" s="10" t="s">
        <v>2217</v>
      </c>
      <c r="B299" s="5">
        <v>38463.599999999999</v>
      </c>
    </row>
    <row r="300" spans="1:2" x14ac:dyDescent="0.25">
      <c r="A300" s="10" t="s">
        <v>2281</v>
      </c>
      <c r="B300" s="5">
        <v>10880000</v>
      </c>
    </row>
    <row r="301" spans="1:2" x14ac:dyDescent="0.25">
      <c r="A301" s="10" t="s">
        <v>2306</v>
      </c>
      <c r="B301" s="5">
        <v>45722.559999999998</v>
      </c>
    </row>
    <row r="302" spans="1:2" x14ac:dyDescent="0.25">
      <c r="A302" s="10" t="s">
        <v>2325</v>
      </c>
      <c r="B302" s="5">
        <v>2008231.32</v>
      </c>
    </row>
    <row r="303" spans="1:2" x14ac:dyDescent="0.25">
      <c r="A303" s="10" t="s">
        <v>1940</v>
      </c>
      <c r="B303" s="5">
        <v>20000</v>
      </c>
    </row>
    <row r="304" spans="1:2" x14ac:dyDescent="0.25">
      <c r="A304" s="10" t="s">
        <v>825</v>
      </c>
      <c r="B304" s="5">
        <v>2909714.16</v>
      </c>
    </row>
    <row r="305" spans="1:2" x14ac:dyDescent="0.25">
      <c r="A305" s="10" t="s">
        <v>2078</v>
      </c>
      <c r="B305" s="5">
        <v>13440</v>
      </c>
    </row>
    <row r="306" spans="1:2" x14ac:dyDescent="0.25">
      <c r="A306" s="10" t="s">
        <v>2163</v>
      </c>
      <c r="B306" s="5">
        <v>350</v>
      </c>
    </row>
    <row r="307" spans="1:2" x14ac:dyDescent="0.25">
      <c r="A307" s="10" t="s">
        <v>2177</v>
      </c>
      <c r="B307" s="5">
        <v>400</v>
      </c>
    </row>
    <row r="308" spans="1:2" x14ac:dyDescent="0.25">
      <c r="A308" s="10" t="s">
        <v>2304</v>
      </c>
      <c r="B308" s="5">
        <v>1200</v>
      </c>
    </row>
    <row r="309" spans="1:2" x14ac:dyDescent="0.25">
      <c r="A309" s="10" t="s">
        <v>2279</v>
      </c>
      <c r="B309" s="5">
        <v>1200</v>
      </c>
    </row>
    <row r="310" spans="1:2" x14ac:dyDescent="0.25">
      <c r="A310" s="10" t="s">
        <v>2226</v>
      </c>
      <c r="B310" s="5">
        <v>1200</v>
      </c>
    </row>
    <row r="311" spans="1:2" x14ac:dyDescent="0.25">
      <c r="A311" s="10" t="s">
        <v>2192</v>
      </c>
      <c r="B311" s="5">
        <v>1200</v>
      </c>
    </row>
    <row r="312" spans="1:2" x14ac:dyDescent="0.25">
      <c r="A312" s="10" t="s">
        <v>2322</v>
      </c>
      <c r="B312" s="5">
        <v>1200</v>
      </c>
    </row>
    <row r="313" spans="1:2" x14ac:dyDescent="0.25">
      <c r="A313" s="10" t="s">
        <v>2136</v>
      </c>
      <c r="B313" s="5">
        <v>1200</v>
      </c>
    </row>
    <row r="314" spans="1:2" x14ac:dyDescent="0.25">
      <c r="A314" s="10" t="s">
        <v>2286</v>
      </c>
      <c r="B314" s="5">
        <v>1200</v>
      </c>
    </row>
    <row r="315" spans="1:2" x14ac:dyDescent="0.25">
      <c r="A315" s="10" t="s">
        <v>2215</v>
      </c>
      <c r="B315" s="5">
        <v>396000</v>
      </c>
    </row>
    <row r="316" spans="1:2" x14ac:dyDescent="0.25">
      <c r="A316" s="10" t="s">
        <v>2313</v>
      </c>
      <c r="B316" s="5">
        <v>685000</v>
      </c>
    </row>
    <row r="317" spans="1:2" x14ac:dyDescent="0.25">
      <c r="A317" s="10" t="s">
        <v>2214</v>
      </c>
      <c r="B317" s="5">
        <v>997082.96</v>
      </c>
    </row>
    <row r="318" spans="1:2" x14ac:dyDescent="0.25">
      <c r="A318" s="10" t="s">
        <v>2259</v>
      </c>
      <c r="B318" s="5">
        <v>3261393.76</v>
      </c>
    </row>
    <row r="319" spans="1:2" x14ac:dyDescent="0.25">
      <c r="A319" s="10" t="s">
        <v>2206</v>
      </c>
      <c r="B319" s="5">
        <v>96932.160000000003</v>
      </c>
    </row>
    <row r="320" spans="1:2" x14ac:dyDescent="0.25">
      <c r="A320" s="10" t="s">
        <v>2261</v>
      </c>
      <c r="B320" s="5">
        <v>624000</v>
      </c>
    </row>
    <row r="321" spans="1:2" x14ac:dyDescent="0.25">
      <c r="A321" s="10" t="s">
        <v>2198</v>
      </c>
      <c r="B321" s="5">
        <v>108901.5</v>
      </c>
    </row>
    <row r="322" spans="1:2" x14ac:dyDescent="0.25">
      <c r="A322" s="9" t="s">
        <v>2127</v>
      </c>
      <c r="B322" s="5">
        <v>4549182</v>
      </c>
    </row>
    <row r="323" spans="1:2" x14ac:dyDescent="0.25">
      <c r="A323" s="10" t="s">
        <v>2179</v>
      </c>
      <c r="B323" s="5">
        <v>4500000</v>
      </c>
    </row>
    <row r="324" spans="1:2" x14ac:dyDescent="0.25">
      <c r="A324" s="10" t="s">
        <v>2196</v>
      </c>
      <c r="B324" s="5">
        <v>250</v>
      </c>
    </row>
    <row r="325" spans="1:2" x14ac:dyDescent="0.25">
      <c r="A325" s="10" t="s">
        <v>2175</v>
      </c>
      <c r="B325" s="5">
        <v>9500</v>
      </c>
    </row>
    <row r="326" spans="1:2" x14ac:dyDescent="0.25">
      <c r="A326" s="10" t="s">
        <v>2128</v>
      </c>
      <c r="B326" s="5">
        <v>1700</v>
      </c>
    </row>
    <row r="327" spans="1:2" x14ac:dyDescent="0.25">
      <c r="A327" s="10" t="s">
        <v>2186</v>
      </c>
      <c r="B327" s="5">
        <v>10032</v>
      </c>
    </row>
    <row r="328" spans="1:2" x14ac:dyDescent="0.25">
      <c r="A328" s="10" t="s">
        <v>2132</v>
      </c>
      <c r="B328" s="5">
        <v>3500</v>
      </c>
    </row>
    <row r="329" spans="1:2" x14ac:dyDescent="0.25">
      <c r="A329" s="10" t="s">
        <v>2189</v>
      </c>
      <c r="B329" s="5">
        <v>3200</v>
      </c>
    </row>
    <row r="330" spans="1:2" x14ac:dyDescent="0.25">
      <c r="A330" s="10" t="s">
        <v>2148</v>
      </c>
      <c r="B330" s="5">
        <v>21000</v>
      </c>
    </row>
    <row r="331" spans="1:2" x14ac:dyDescent="0.25">
      <c r="A331" s="7" t="s">
        <v>2338</v>
      </c>
      <c r="B331" s="5">
        <v>1800000</v>
      </c>
    </row>
    <row r="332" spans="1:2" x14ac:dyDescent="0.25">
      <c r="A332" s="9" t="s">
        <v>2337</v>
      </c>
      <c r="B332" s="5">
        <v>1800000</v>
      </c>
    </row>
    <row r="333" spans="1:2" x14ac:dyDescent="0.25">
      <c r="A333" s="10" t="s">
        <v>2340</v>
      </c>
      <c r="B333" s="5">
        <v>1800000</v>
      </c>
    </row>
    <row r="334" spans="1:2" x14ac:dyDescent="0.25">
      <c r="A334" s="7" t="s">
        <v>2342</v>
      </c>
      <c r="B334" s="5">
        <v>1926476.1600000001</v>
      </c>
    </row>
    <row r="335" spans="1:2" x14ac:dyDescent="0.25">
      <c r="A335" s="9" t="s">
        <v>1900</v>
      </c>
      <c r="B335" s="5">
        <v>49672.6</v>
      </c>
    </row>
    <row r="336" spans="1:2" x14ac:dyDescent="0.25">
      <c r="A336" s="10" t="s">
        <v>2343</v>
      </c>
      <c r="B336" s="5">
        <v>49672.6</v>
      </c>
    </row>
    <row r="337" spans="1:2" x14ac:dyDescent="0.25">
      <c r="A337" s="9" t="s">
        <v>2344</v>
      </c>
      <c r="B337" s="5">
        <v>72329.72</v>
      </c>
    </row>
    <row r="338" spans="1:2" x14ac:dyDescent="0.25">
      <c r="A338" s="10" t="s">
        <v>2351</v>
      </c>
      <c r="B338" s="5">
        <v>2558</v>
      </c>
    </row>
    <row r="339" spans="1:2" x14ac:dyDescent="0.25">
      <c r="A339" s="10" t="s">
        <v>2345</v>
      </c>
      <c r="B339" s="5">
        <v>69771.72</v>
      </c>
    </row>
    <row r="340" spans="1:2" x14ac:dyDescent="0.25">
      <c r="A340" s="9" t="s">
        <v>1890</v>
      </c>
      <c r="B340" s="5">
        <v>1804473.84</v>
      </c>
    </row>
    <row r="341" spans="1:2" x14ac:dyDescent="0.25">
      <c r="A341" s="10" t="s">
        <v>2347</v>
      </c>
      <c r="B341" s="5">
        <v>151911.04000000001</v>
      </c>
    </row>
    <row r="342" spans="1:2" x14ac:dyDescent="0.25">
      <c r="A342" s="10" t="s">
        <v>2348</v>
      </c>
      <c r="B342" s="5">
        <v>1652562.8</v>
      </c>
    </row>
    <row r="343" spans="1:2" x14ac:dyDescent="0.25">
      <c r="A343" s="7" t="s">
        <v>1891</v>
      </c>
      <c r="B343" s="5">
        <v>5515070.4000000004</v>
      </c>
    </row>
    <row r="344" spans="1:2" x14ac:dyDescent="0.25">
      <c r="A344" s="9" t="s">
        <v>1890</v>
      </c>
      <c r="B344" s="5">
        <v>5515070.4000000004</v>
      </c>
    </row>
    <row r="345" spans="1:2" x14ac:dyDescent="0.25">
      <c r="A345" s="10" t="s">
        <v>1897</v>
      </c>
      <c r="B345" s="5">
        <v>529952.24</v>
      </c>
    </row>
    <row r="346" spans="1:2" x14ac:dyDescent="0.25">
      <c r="A346" s="10" t="s">
        <v>1899</v>
      </c>
      <c r="B346" s="5">
        <v>188304.73</v>
      </c>
    </row>
    <row r="347" spans="1:2" x14ac:dyDescent="0.25">
      <c r="A347" s="10" t="s">
        <v>1895</v>
      </c>
      <c r="B347" s="5">
        <v>180594.96</v>
      </c>
    </row>
    <row r="348" spans="1:2" x14ac:dyDescent="0.25">
      <c r="A348" s="10" t="s">
        <v>1898</v>
      </c>
      <c r="B348" s="5">
        <v>506030.4</v>
      </c>
    </row>
    <row r="349" spans="1:2" x14ac:dyDescent="0.25">
      <c r="A349" s="10" t="s">
        <v>1893</v>
      </c>
      <c r="B349" s="5">
        <v>4110188.07</v>
      </c>
    </row>
    <row r="350" spans="1:2" x14ac:dyDescent="0.25">
      <c r="A350" s="7" t="s">
        <v>2354</v>
      </c>
      <c r="B350" s="5">
        <v>150000</v>
      </c>
    </row>
    <row r="351" spans="1:2" x14ac:dyDescent="0.25">
      <c r="A351" s="9" t="s">
        <v>2353</v>
      </c>
      <c r="B351" s="5">
        <v>100000</v>
      </c>
    </row>
    <row r="352" spans="1:2" x14ac:dyDescent="0.25">
      <c r="A352" s="10" t="s">
        <v>2355</v>
      </c>
      <c r="B352" s="5">
        <v>100000</v>
      </c>
    </row>
    <row r="353" spans="1:2" x14ac:dyDescent="0.25">
      <c r="A353" s="9" t="s">
        <v>2356</v>
      </c>
      <c r="B353" s="5">
        <v>50000</v>
      </c>
    </row>
    <row r="354" spans="1:2" x14ac:dyDescent="0.25">
      <c r="A354" s="10" t="s">
        <v>2357</v>
      </c>
      <c r="B354" s="5">
        <v>50000</v>
      </c>
    </row>
    <row r="355" spans="1:2" x14ac:dyDescent="0.25">
      <c r="A355" s="7" t="s">
        <v>2359</v>
      </c>
      <c r="B355" s="5">
        <v>50000</v>
      </c>
    </row>
    <row r="356" spans="1:2" x14ac:dyDescent="0.25">
      <c r="A356" s="9" t="s">
        <v>2358</v>
      </c>
      <c r="B356" s="5">
        <v>50000</v>
      </c>
    </row>
    <row r="357" spans="1:2" x14ac:dyDescent="0.25">
      <c r="A357" s="10" t="s">
        <v>2360</v>
      </c>
      <c r="B357" s="5">
        <v>50000</v>
      </c>
    </row>
    <row r="358" spans="1:2" x14ac:dyDescent="0.25">
      <c r="A358" s="7" t="s">
        <v>2362</v>
      </c>
      <c r="B358" s="5">
        <v>1295950.6399999999</v>
      </c>
    </row>
    <row r="359" spans="1:2" x14ac:dyDescent="0.25">
      <c r="A359" s="9" t="s">
        <v>2376</v>
      </c>
      <c r="B359" s="5">
        <v>105000</v>
      </c>
    </row>
    <row r="360" spans="1:2" x14ac:dyDescent="0.25">
      <c r="A360" s="10" t="s">
        <v>2377</v>
      </c>
      <c r="B360" s="5">
        <v>5000</v>
      </c>
    </row>
    <row r="361" spans="1:2" x14ac:dyDescent="0.25">
      <c r="A361" s="10" t="s">
        <v>2378</v>
      </c>
      <c r="B361" s="5">
        <v>100000</v>
      </c>
    </row>
    <row r="362" spans="1:2" x14ac:dyDescent="0.25">
      <c r="A362" s="9" t="s">
        <v>2361</v>
      </c>
      <c r="B362" s="5">
        <v>983797.16000000015</v>
      </c>
    </row>
    <row r="363" spans="1:2" x14ac:dyDescent="0.25">
      <c r="A363" s="10" t="s">
        <v>2101</v>
      </c>
      <c r="B363" s="5">
        <v>122941.18</v>
      </c>
    </row>
    <row r="364" spans="1:2" x14ac:dyDescent="0.25">
      <c r="A364" s="10" t="s">
        <v>2375</v>
      </c>
      <c r="B364" s="5">
        <v>357134.28</v>
      </c>
    </row>
    <row r="365" spans="1:2" x14ac:dyDescent="0.25">
      <c r="A365" s="10" t="s">
        <v>2363</v>
      </c>
      <c r="B365" s="5">
        <v>237161.88</v>
      </c>
    </row>
    <row r="366" spans="1:2" x14ac:dyDescent="0.25">
      <c r="A366" s="10" t="s">
        <v>2369</v>
      </c>
      <c r="B366" s="5">
        <v>266559.82</v>
      </c>
    </row>
    <row r="367" spans="1:2" x14ac:dyDescent="0.25">
      <c r="A367" s="9" t="s">
        <v>2364</v>
      </c>
      <c r="B367" s="5">
        <v>207153.48</v>
      </c>
    </row>
    <row r="368" spans="1:2" x14ac:dyDescent="0.25">
      <c r="A368" s="10" t="s">
        <v>2373</v>
      </c>
      <c r="B368" s="5">
        <v>7200</v>
      </c>
    </row>
    <row r="369" spans="1:2" x14ac:dyDescent="0.25">
      <c r="A369" s="10" t="s">
        <v>2374</v>
      </c>
      <c r="B369" s="5">
        <v>12000</v>
      </c>
    </row>
    <row r="370" spans="1:2" x14ac:dyDescent="0.25">
      <c r="A370" s="10" t="s">
        <v>2365</v>
      </c>
      <c r="B370" s="5">
        <v>1200</v>
      </c>
    </row>
    <row r="371" spans="1:2" x14ac:dyDescent="0.25">
      <c r="A371" s="10" t="s">
        <v>2366</v>
      </c>
      <c r="B371" s="5">
        <v>785</v>
      </c>
    </row>
    <row r="372" spans="1:2" x14ac:dyDescent="0.25">
      <c r="A372" s="10" t="s">
        <v>2371</v>
      </c>
      <c r="B372" s="5">
        <v>869.04</v>
      </c>
    </row>
    <row r="373" spans="1:2" x14ac:dyDescent="0.25">
      <c r="A373" s="10" t="s">
        <v>2368</v>
      </c>
      <c r="B373" s="5">
        <v>183859.44</v>
      </c>
    </row>
    <row r="374" spans="1:2" x14ac:dyDescent="0.25">
      <c r="A374" s="10" t="s">
        <v>2058</v>
      </c>
      <c r="B374" s="5">
        <v>1240</v>
      </c>
    </row>
    <row r="375" spans="1:2" x14ac:dyDescent="0.25">
      <c r="A375" s="7" t="s">
        <v>2380</v>
      </c>
      <c r="B375" s="5">
        <v>824024.44</v>
      </c>
    </row>
    <row r="376" spans="1:2" x14ac:dyDescent="0.25">
      <c r="A376" s="9" t="s">
        <v>2384</v>
      </c>
      <c r="B376" s="5">
        <v>100000</v>
      </c>
    </row>
    <row r="377" spans="1:2" x14ac:dyDescent="0.25">
      <c r="A377" s="10" t="s">
        <v>2385</v>
      </c>
      <c r="B377" s="5">
        <v>100000</v>
      </c>
    </row>
    <row r="378" spans="1:2" x14ac:dyDescent="0.25">
      <c r="A378" s="9" t="s">
        <v>2382</v>
      </c>
      <c r="B378" s="5">
        <v>357134.28</v>
      </c>
    </row>
    <row r="379" spans="1:2" x14ac:dyDescent="0.25">
      <c r="A379" s="10" t="s">
        <v>2383</v>
      </c>
      <c r="B379" s="5">
        <v>357134.28</v>
      </c>
    </row>
    <row r="380" spans="1:2" x14ac:dyDescent="0.25">
      <c r="A380" s="9" t="s">
        <v>2379</v>
      </c>
      <c r="B380" s="5">
        <v>366890.16</v>
      </c>
    </row>
    <row r="381" spans="1:2" x14ac:dyDescent="0.25">
      <c r="A381" s="10" t="s">
        <v>2381</v>
      </c>
      <c r="B381" s="5">
        <v>366890.16</v>
      </c>
    </row>
    <row r="382" spans="1:2" x14ac:dyDescent="0.25">
      <c r="A382" s="7" t="s">
        <v>2388</v>
      </c>
      <c r="B382" s="5">
        <v>62000</v>
      </c>
    </row>
    <row r="383" spans="1:2" x14ac:dyDescent="0.25">
      <c r="A383" s="9" t="s">
        <v>2387</v>
      </c>
      <c r="B383" s="5">
        <v>12000</v>
      </c>
    </row>
    <row r="384" spans="1:2" x14ac:dyDescent="0.25">
      <c r="A384" s="10" t="s">
        <v>2389</v>
      </c>
      <c r="B384" s="5">
        <v>12000</v>
      </c>
    </row>
    <row r="385" spans="1:2" x14ac:dyDescent="0.25">
      <c r="A385" s="9" t="s">
        <v>2390</v>
      </c>
      <c r="B385" s="5">
        <v>50000</v>
      </c>
    </row>
    <row r="386" spans="1:2" x14ac:dyDescent="0.25">
      <c r="A386" s="10" t="s">
        <v>2391</v>
      </c>
      <c r="B386" s="5">
        <v>50000</v>
      </c>
    </row>
    <row r="387" spans="1:2" x14ac:dyDescent="0.25">
      <c r="A387" s="7" t="s">
        <v>2393</v>
      </c>
      <c r="B387" s="5">
        <v>15719090</v>
      </c>
    </row>
    <row r="388" spans="1:2" x14ac:dyDescent="0.25">
      <c r="A388" s="9" t="s">
        <v>2398</v>
      </c>
      <c r="B388" s="5">
        <v>15000</v>
      </c>
    </row>
    <row r="389" spans="1:2" x14ac:dyDescent="0.25">
      <c r="A389" s="10" t="s">
        <v>2399</v>
      </c>
      <c r="B389" s="5">
        <v>15000</v>
      </c>
    </row>
    <row r="390" spans="1:2" x14ac:dyDescent="0.25">
      <c r="A390" s="9" t="s">
        <v>2392</v>
      </c>
      <c r="B390" s="5">
        <v>14345100</v>
      </c>
    </row>
    <row r="391" spans="1:2" x14ac:dyDescent="0.25">
      <c r="A391" s="10" t="s">
        <v>2394</v>
      </c>
      <c r="B391" s="5">
        <v>14345100</v>
      </c>
    </row>
    <row r="392" spans="1:2" x14ac:dyDescent="0.25">
      <c r="A392" s="9" t="s">
        <v>2403</v>
      </c>
      <c r="B392" s="5">
        <v>100000</v>
      </c>
    </row>
    <row r="393" spans="1:2" x14ac:dyDescent="0.25">
      <c r="A393" s="10" t="s">
        <v>2385</v>
      </c>
      <c r="B393" s="5">
        <v>100000</v>
      </c>
    </row>
    <row r="394" spans="1:2" x14ac:dyDescent="0.25">
      <c r="A394" s="9" t="s">
        <v>2396</v>
      </c>
      <c r="B394" s="5">
        <v>1258990</v>
      </c>
    </row>
    <row r="395" spans="1:2" x14ac:dyDescent="0.25">
      <c r="A395" s="10" t="s">
        <v>2401</v>
      </c>
      <c r="B395" s="5">
        <v>48463.199999999997</v>
      </c>
    </row>
    <row r="396" spans="1:2" x14ac:dyDescent="0.25">
      <c r="A396" s="10" t="s">
        <v>2397</v>
      </c>
      <c r="B396" s="5">
        <v>1210526.8</v>
      </c>
    </row>
    <row r="397" spans="1:2" x14ac:dyDescent="0.25">
      <c r="A397" s="7" t="s">
        <v>2570</v>
      </c>
      <c r="B397" s="5">
        <v>6801346.790000001</v>
      </c>
    </row>
    <row r="398" spans="1:2" x14ac:dyDescent="0.25">
      <c r="A398" s="9" t="s">
        <v>2569</v>
      </c>
      <c r="B398" s="5">
        <v>6801346.790000001</v>
      </c>
    </row>
    <row r="399" spans="1:2" x14ac:dyDescent="0.25">
      <c r="A399" s="10" t="s">
        <v>2572</v>
      </c>
      <c r="B399" s="5">
        <v>1962177.43</v>
      </c>
    </row>
    <row r="400" spans="1:2" x14ac:dyDescent="0.25">
      <c r="A400" s="10" t="s">
        <v>2575</v>
      </c>
      <c r="B400" s="5">
        <v>2419584.6800000002</v>
      </c>
    </row>
    <row r="401" spans="1:2" x14ac:dyDescent="0.25">
      <c r="A401" s="10" t="s">
        <v>2578</v>
      </c>
      <c r="B401" s="5">
        <v>2419584.6800000002</v>
      </c>
    </row>
    <row r="402" spans="1:2" x14ac:dyDescent="0.25">
      <c r="A402" s="7" t="s">
        <v>2405</v>
      </c>
      <c r="B402" s="5">
        <v>162925.78</v>
      </c>
    </row>
    <row r="403" spans="1:2" x14ac:dyDescent="0.25">
      <c r="A403" s="9" t="s">
        <v>1919</v>
      </c>
      <c r="B403" s="5">
        <v>162925.78</v>
      </c>
    </row>
    <row r="404" spans="1:2" x14ac:dyDescent="0.25">
      <c r="A404" s="10" t="s">
        <v>2409</v>
      </c>
      <c r="B404" s="5">
        <v>79200</v>
      </c>
    </row>
    <row r="405" spans="1:2" x14ac:dyDescent="0.25">
      <c r="A405" s="10" t="s">
        <v>2411</v>
      </c>
      <c r="B405" s="5">
        <v>8000</v>
      </c>
    </row>
    <row r="406" spans="1:2" x14ac:dyDescent="0.25">
      <c r="A406" s="10" t="s">
        <v>2407</v>
      </c>
      <c r="B406" s="5">
        <v>67325.78</v>
      </c>
    </row>
    <row r="407" spans="1:2" x14ac:dyDescent="0.25">
      <c r="A407" s="10" t="s">
        <v>2412</v>
      </c>
      <c r="B407" s="5">
        <v>1200</v>
      </c>
    </row>
    <row r="408" spans="1:2" x14ac:dyDescent="0.25">
      <c r="A408" s="10" t="s">
        <v>2410</v>
      </c>
      <c r="B408" s="5">
        <v>7200</v>
      </c>
    </row>
    <row r="409" spans="1:2" x14ac:dyDescent="0.25">
      <c r="A409" s="7" t="s">
        <v>2414</v>
      </c>
      <c r="B409" s="5">
        <v>28027992.560000002</v>
      </c>
    </row>
    <row r="410" spans="1:2" x14ac:dyDescent="0.25">
      <c r="A410" s="9" t="s">
        <v>2426</v>
      </c>
      <c r="B410" s="5">
        <v>714268.56</v>
      </c>
    </row>
    <row r="411" spans="1:2" x14ac:dyDescent="0.25">
      <c r="A411" s="10" t="s">
        <v>1984</v>
      </c>
      <c r="B411" s="5">
        <v>714268.56</v>
      </c>
    </row>
    <row r="412" spans="1:2" x14ac:dyDescent="0.25">
      <c r="A412" s="9" t="s">
        <v>2421</v>
      </c>
      <c r="B412" s="5">
        <v>102000</v>
      </c>
    </row>
    <row r="413" spans="1:2" x14ac:dyDescent="0.25">
      <c r="A413" s="10" t="s">
        <v>2423</v>
      </c>
      <c r="B413" s="5">
        <v>72000</v>
      </c>
    </row>
    <row r="414" spans="1:2" x14ac:dyDescent="0.25">
      <c r="A414" s="10" t="s">
        <v>2424</v>
      </c>
      <c r="B414" s="5">
        <v>30000</v>
      </c>
    </row>
    <row r="415" spans="1:2" x14ac:dyDescent="0.25">
      <c r="A415" s="9" t="s">
        <v>2418</v>
      </c>
      <c r="B415" s="5">
        <v>20000</v>
      </c>
    </row>
    <row r="416" spans="1:2" x14ac:dyDescent="0.25">
      <c r="A416" s="10" t="s">
        <v>2419</v>
      </c>
      <c r="B416" s="5">
        <v>20000</v>
      </c>
    </row>
    <row r="417" spans="1:2" x14ac:dyDescent="0.25">
      <c r="A417" s="9" t="s">
        <v>2413</v>
      </c>
      <c r="B417" s="5">
        <v>27191724</v>
      </c>
    </row>
    <row r="418" spans="1:2" x14ac:dyDescent="0.25">
      <c r="A418" s="10" t="s">
        <v>220</v>
      </c>
      <c r="B418" s="5">
        <v>10374000</v>
      </c>
    </row>
    <row r="419" spans="1:2" x14ac:dyDescent="0.25">
      <c r="A419" s="10" t="s">
        <v>2416</v>
      </c>
      <c r="B419" s="5">
        <v>16817724</v>
      </c>
    </row>
    <row r="420" spans="1:2" x14ac:dyDescent="0.25">
      <c r="A420" s="7" t="s">
        <v>2428</v>
      </c>
      <c r="B420" s="5">
        <v>25136858.279999997</v>
      </c>
    </row>
    <row r="421" spans="1:2" x14ac:dyDescent="0.25">
      <c r="A421" s="9" t="s">
        <v>2446</v>
      </c>
      <c r="B421" s="5">
        <v>29754.6</v>
      </c>
    </row>
    <row r="422" spans="1:2" x14ac:dyDescent="0.25">
      <c r="A422" s="10" t="s">
        <v>2460</v>
      </c>
      <c r="B422" s="5">
        <v>10000</v>
      </c>
    </row>
    <row r="423" spans="1:2" x14ac:dyDescent="0.25">
      <c r="A423" s="10" t="s">
        <v>2448</v>
      </c>
      <c r="B423" s="5">
        <v>15504.6</v>
      </c>
    </row>
    <row r="424" spans="1:2" x14ac:dyDescent="0.25">
      <c r="A424" s="10" t="s">
        <v>2038</v>
      </c>
      <c r="B424" s="5">
        <v>4250</v>
      </c>
    </row>
    <row r="425" spans="1:2" x14ac:dyDescent="0.25">
      <c r="A425" s="9" t="s">
        <v>2433</v>
      </c>
      <c r="B425" s="5">
        <v>1554037.94</v>
      </c>
    </row>
    <row r="426" spans="1:2" x14ac:dyDescent="0.25">
      <c r="A426" s="10" t="s">
        <v>2455</v>
      </c>
      <c r="B426" s="5">
        <v>91685.16</v>
      </c>
    </row>
    <row r="427" spans="1:2" x14ac:dyDescent="0.25">
      <c r="A427" s="10" t="s">
        <v>2434</v>
      </c>
      <c r="B427" s="5">
        <v>1462352.78</v>
      </c>
    </row>
    <row r="428" spans="1:2" x14ac:dyDescent="0.25">
      <c r="A428" s="9" t="s">
        <v>2427</v>
      </c>
      <c r="B428" s="5">
        <v>23401898.479999997</v>
      </c>
    </row>
    <row r="429" spans="1:2" x14ac:dyDescent="0.25">
      <c r="A429" s="10" t="s">
        <v>2453</v>
      </c>
      <c r="B429" s="5">
        <v>240000</v>
      </c>
    </row>
    <row r="430" spans="1:2" x14ac:dyDescent="0.25">
      <c r="A430" s="10" t="s">
        <v>2454</v>
      </c>
      <c r="B430" s="5">
        <v>240000</v>
      </c>
    </row>
    <row r="431" spans="1:2" x14ac:dyDescent="0.25">
      <c r="A431" s="10" t="s">
        <v>2461</v>
      </c>
      <c r="B431" s="5">
        <v>18606900</v>
      </c>
    </row>
    <row r="432" spans="1:2" x14ac:dyDescent="0.25">
      <c r="A432" s="10" t="s">
        <v>2429</v>
      </c>
      <c r="B432" s="5">
        <v>247327.2</v>
      </c>
    </row>
    <row r="433" spans="1:2" x14ac:dyDescent="0.25">
      <c r="A433" s="10" t="s">
        <v>2432</v>
      </c>
      <c r="B433" s="5">
        <v>72000</v>
      </c>
    </row>
    <row r="434" spans="1:2" x14ac:dyDescent="0.25">
      <c r="A434" s="10" t="s">
        <v>2431</v>
      </c>
      <c r="B434" s="5">
        <v>6100</v>
      </c>
    </row>
    <row r="435" spans="1:2" x14ac:dyDescent="0.25">
      <c r="A435" s="10" t="s">
        <v>2442</v>
      </c>
      <c r="B435" s="5">
        <v>869.04</v>
      </c>
    </row>
    <row r="436" spans="1:2" x14ac:dyDescent="0.25">
      <c r="A436" s="10" t="s">
        <v>2444</v>
      </c>
      <c r="B436" s="5">
        <v>118548</v>
      </c>
    </row>
    <row r="437" spans="1:2" x14ac:dyDescent="0.25">
      <c r="A437" s="10" t="s">
        <v>2438</v>
      </c>
      <c r="B437" s="5">
        <v>123304.68</v>
      </c>
    </row>
    <row r="438" spans="1:2" x14ac:dyDescent="0.25">
      <c r="A438" s="10" t="s">
        <v>2440</v>
      </c>
      <c r="B438" s="5">
        <v>5945.52</v>
      </c>
    </row>
    <row r="439" spans="1:2" x14ac:dyDescent="0.25">
      <c r="A439" s="10" t="s">
        <v>2435</v>
      </c>
      <c r="B439" s="5">
        <v>2954565.09</v>
      </c>
    </row>
    <row r="440" spans="1:2" x14ac:dyDescent="0.25">
      <c r="A440" s="10" t="s">
        <v>1963</v>
      </c>
      <c r="B440" s="5">
        <v>47643.58</v>
      </c>
    </row>
    <row r="441" spans="1:2" x14ac:dyDescent="0.25">
      <c r="A441" s="10" t="s">
        <v>2450</v>
      </c>
      <c r="B441" s="5">
        <v>15012</v>
      </c>
    </row>
    <row r="442" spans="1:2" x14ac:dyDescent="0.25">
      <c r="A442" s="10" t="s">
        <v>2452</v>
      </c>
      <c r="B442" s="5">
        <v>697755.07</v>
      </c>
    </row>
    <row r="443" spans="1:2" x14ac:dyDescent="0.25">
      <c r="A443" s="10" t="s">
        <v>2457</v>
      </c>
      <c r="B443" s="5">
        <v>4553.3</v>
      </c>
    </row>
    <row r="444" spans="1:2" x14ac:dyDescent="0.25">
      <c r="A444" s="10" t="s">
        <v>1954</v>
      </c>
      <c r="B444" s="5">
        <v>21375</v>
      </c>
    </row>
    <row r="445" spans="1:2" x14ac:dyDescent="0.25">
      <c r="A445" s="9" t="s">
        <v>2436</v>
      </c>
      <c r="B445" s="5">
        <v>151167.26</v>
      </c>
    </row>
    <row r="446" spans="1:2" x14ac:dyDescent="0.25">
      <c r="A446" s="10" t="s">
        <v>2437</v>
      </c>
      <c r="B446" s="5">
        <v>151167.26</v>
      </c>
    </row>
    <row r="447" spans="1:2" x14ac:dyDescent="0.25">
      <c r="A447" s="7" t="s">
        <v>2473</v>
      </c>
      <c r="B447" s="5">
        <v>265766564.02000001</v>
      </c>
    </row>
  </sheetData>
  <pageMargins left="0.19685039370078741" right="0.19685039370078741" top="0.19685039370078741" bottom="0.19685039370078741" header="0" footer="0"/>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0D5B2-922A-4B6F-9A01-2D8AAE364CEA}">
  <dimension ref="A1:Y354"/>
  <sheetViews>
    <sheetView topLeftCell="A2" workbookViewId="0">
      <selection activeCell="J322" sqref="J322"/>
    </sheetView>
  </sheetViews>
  <sheetFormatPr defaultRowHeight="15" x14ac:dyDescent="0.25"/>
  <cols>
    <col min="4" max="4" width="12.42578125" customWidth="1"/>
    <col min="5" max="5" width="13.7109375" customWidth="1"/>
    <col min="6" max="6" width="26.85546875" customWidth="1"/>
    <col min="7" max="7" width="17.140625" customWidth="1"/>
    <col min="8" max="8" width="13" customWidth="1"/>
    <col min="9" max="9" width="22.140625" customWidth="1"/>
    <col min="10" max="10" width="18.7109375" customWidth="1"/>
    <col min="11" max="11" width="11.42578125" customWidth="1"/>
    <col min="12" max="12" width="20.5703125" customWidth="1"/>
    <col min="13" max="13" width="28.28515625" customWidth="1"/>
    <col min="14" max="14" width="10.7109375" customWidth="1"/>
    <col min="15" max="15" width="12.7109375" customWidth="1"/>
    <col min="16" max="16" width="9.85546875" customWidth="1"/>
    <col min="17" max="18" width="14.42578125" bestFit="1" customWidth="1"/>
    <col min="19" max="19" width="9.28515625" customWidth="1"/>
    <col min="20" max="20" width="14.42578125" bestFit="1" customWidth="1"/>
    <col min="21" max="21" width="10.5703125" customWidth="1"/>
    <col min="22" max="22" width="12.5703125" customWidth="1"/>
    <col min="23" max="23" width="11.85546875" customWidth="1"/>
    <col min="24" max="24" width="13.7109375" customWidth="1"/>
    <col min="25" max="25" width="12.85546875" customWidth="1"/>
  </cols>
  <sheetData>
    <row r="1" spans="1:25" x14ac:dyDescent="0.25">
      <c r="A1" t="s">
        <v>1863</v>
      </c>
      <c r="B1" t="s">
        <v>1864</v>
      </c>
      <c r="C1" t="s">
        <v>1865</v>
      </c>
      <c r="D1" t="s">
        <v>1866</v>
      </c>
      <c r="E1" t="s">
        <v>2469</v>
      </c>
      <c r="F1" t="s">
        <v>1867</v>
      </c>
      <c r="G1" t="s">
        <v>1868</v>
      </c>
      <c r="H1" t="s">
        <v>1869</v>
      </c>
      <c r="I1" t="s">
        <v>1870</v>
      </c>
      <c r="J1" t="s">
        <v>1871</v>
      </c>
      <c r="K1" t="s">
        <v>1872</v>
      </c>
      <c r="L1" t="s">
        <v>1873</v>
      </c>
      <c r="M1" t="s">
        <v>1874</v>
      </c>
      <c r="N1" t="s">
        <v>1875</v>
      </c>
      <c r="O1" t="s">
        <v>1876</v>
      </c>
      <c r="P1" t="s">
        <v>1877</v>
      </c>
      <c r="Q1" t="s">
        <v>1878</v>
      </c>
      <c r="R1" t="s">
        <v>1879</v>
      </c>
      <c r="S1" t="s">
        <v>1880</v>
      </c>
      <c r="T1" t="s">
        <v>1881</v>
      </c>
      <c r="U1" t="s">
        <v>1882</v>
      </c>
      <c r="V1" t="s">
        <v>1883</v>
      </c>
      <c r="W1" t="s">
        <v>1884</v>
      </c>
      <c r="X1" t="s">
        <v>1885</v>
      </c>
      <c r="Y1" t="s">
        <v>1886</v>
      </c>
    </row>
    <row r="2" spans="1:25" x14ac:dyDescent="0.25">
      <c r="A2" t="s">
        <v>1887</v>
      </c>
      <c r="B2" t="s">
        <v>1888</v>
      </c>
      <c r="C2" t="s">
        <v>1889</v>
      </c>
      <c r="D2">
        <v>6074202300035830</v>
      </c>
      <c r="E2" t="s">
        <v>2471</v>
      </c>
      <c r="F2" t="s">
        <v>1890</v>
      </c>
      <c r="G2" t="s">
        <v>1891</v>
      </c>
      <c r="H2" t="s">
        <v>1892</v>
      </c>
      <c r="I2" t="s">
        <v>1893</v>
      </c>
      <c r="J2" t="s">
        <v>1894</v>
      </c>
      <c r="K2" s="3">
        <v>46326</v>
      </c>
      <c r="L2" s="5">
        <v>4110188.07</v>
      </c>
      <c r="M2" s="5">
        <v>331092.96999999997</v>
      </c>
      <c r="N2" s="5">
        <v>291600</v>
      </c>
      <c r="O2" s="5">
        <v>291600</v>
      </c>
      <c r="P2" s="5">
        <v>291600</v>
      </c>
      <c r="Q2" s="5">
        <v>291600</v>
      </c>
      <c r="R2" s="5">
        <v>291600</v>
      </c>
      <c r="S2" s="5">
        <v>291600</v>
      </c>
      <c r="T2" s="5">
        <v>291600</v>
      </c>
      <c r="U2" s="5">
        <v>291600</v>
      </c>
      <c r="V2" s="5">
        <v>291600</v>
      </c>
      <c r="W2" s="5">
        <v>313200</v>
      </c>
      <c r="X2" s="5">
        <v>334800</v>
      </c>
      <c r="Y2" s="5">
        <v>356400</v>
      </c>
    </row>
    <row r="3" spans="1:25" x14ac:dyDescent="0.25">
      <c r="A3" t="s">
        <v>1887</v>
      </c>
      <c r="B3" t="s">
        <v>1888</v>
      </c>
      <c r="C3" t="s">
        <v>1889</v>
      </c>
      <c r="D3">
        <v>6074202300067960</v>
      </c>
      <c r="E3" t="s">
        <v>2471</v>
      </c>
      <c r="F3" t="s">
        <v>1890</v>
      </c>
      <c r="G3" t="s">
        <v>1891</v>
      </c>
      <c r="H3" t="s">
        <v>92</v>
      </c>
      <c r="I3" t="s">
        <v>1895</v>
      </c>
      <c r="J3" t="s">
        <v>1896</v>
      </c>
      <c r="K3" s="3">
        <v>45897</v>
      </c>
      <c r="L3" s="5">
        <v>180594.96</v>
      </c>
      <c r="M3" s="5">
        <v>16128.78</v>
      </c>
      <c r="N3" s="5">
        <v>15049.58</v>
      </c>
      <c r="O3" s="5">
        <v>15049.58</v>
      </c>
      <c r="P3" s="5">
        <v>15049.58</v>
      </c>
      <c r="Q3" s="5">
        <v>15049.58</v>
      </c>
      <c r="R3" s="5">
        <v>15049.58</v>
      </c>
      <c r="S3" s="5">
        <v>15049.58</v>
      </c>
      <c r="T3" s="5">
        <v>15049.58</v>
      </c>
      <c r="U3" s="5">
        <v>15049.58</v>
      </c>
      <c r="V3" s="5">
        <v>15049.58</v>
      </c>
      <c r="W3" s="5">
        <v>15049.58</v>
      </c>
      <c r="X3" s="5">
        <v>15049.58</v>
      </c>
      <c r="Y3" s="5">
        <v>15049.58</v>
      </c>
    </row>
    <row r="4" spans="1:25" x14ac:dyDescent="0.25">
      <c r="A4" t="s">
        <v>1887</v>
      </c>
      <c r="B4" t="s">
        <v>1888</v>
      </c>
      <c r="C4" t="s">
        <v>1889</v>
      </c>
      <c r="D4">
        <v>6074202300090880</v>
      </c>
      <c r="E4" t="s">
        <v>2471</v>
      </c>
      <c r="F4" t="s">
        <v>1890</v>
      </c>
      <c r="G4" t="s">
        <v>1891</v>
      </c>
      <c r="H4" t="s">
        <v>234</v>
      </c>
      <c r="I4" t="s">
        <v>1897</v>
      </c>
      <c r="J4" t="s">
        <v>1894</v>
      </c>
      <c r="K4" s="3">
        <v>46234</v>
      </c>
      <c r="L4" s="5">
        <v>529952.24</v>
      </c>
      <c r="M4" s="5">
        <v>47476.79</v>
      </c>
      <c r="N4" s="5">
        <v>41795.47</v>
      </c>
      <c r="O4" s="5">
        <v>41795.47</v>
      </c>
      <c r="P4" s="5">
        <v>41795.47</v>
      </c>
      <c r="Q4" s="5">
        <v>41795.47</v>
      </c>
      <c r="R4" s="5">
        <v>41795.47</v>
      </c>
      <c r="S4" s="5">
        <v>41795.47</v>
      </c>
      <c r="T4" s="5">
        <v>41795.47</v>
      </c>
      <c r="U4" s="5">
        <v>47476.79</v>
      </c>
      <c r="V4" s="5">
        <v>47476.79</v>
      </c>
      <c r="W4" s="5">
        <v>47476.79</v>
      </c>
      <c r="X4" s="5">
        <v>47476.79</v>
      </c>
      <c r="Y4" s="5">
        <v>47476.79</v>
      </c>
    </row>
    <row r="5" spans="1:25" x14ac:dyDescent="0.25">
      <c r="A5" t="s">
        <v>1887</v>
      </c>
      <c r="B5" t="s">
        <v>1888</v>
      </c>
      <c r="C5" t="s">
        <v>1889</v>
      </c>
      <c r="D5">
        <v>6074202400026510</v>
      </c>
      <c r="E5" t="s">
        <v>2471</v>
      </c>
      <c r="F5" t="s">
        <v>1890</v>
      </c>
      <c r="G5" t="s">
        <v>1891</v>
      </c>
      <c r="H5" t="s">
        <v>194</v>
      </c>
      <c r="I5" t="s">
        <v>1898</v>
      </c>
      <c r="J5" t="s">
        <v>1896</v>
      </c>
      <c r="K5" s="3">
        <v>46235</v>
      </c>
      <c r="L5" s="5">
        <v>506030.4</v>
      </c>
      <c r="M5" s="5">
        <v>21084.6</v>
      </c>
      <c r="N5" s="5">
        <v>21084.6</v>
      </c>
      <c r="O5" s="5">
        <v>21084.6</v>
      </c>
      <c r="P5" s="5">
        <v>21084.6</v>
      </c>
      <c r="Q5" s="5">
        <v>21084.6</v>
      </c>
      <c r="R5" s="5">
        <v>21084.6</v>
      </c>
      <c r="S5" s="5">
        <v>21084.6</v>
      </c>
      <c r="T5" s="5">
        <v>21084.6</v>
      </c>
      <c r="U5" s="5">
        <v>22771.37</v>
      </c>
      <c r="V5" s="5">
        <v>22771.37</v>
      </c>
      <c r="W5" s="5">
        <v>22771.37</v>
      </c>
      <c r="X5" s="5">
        <v>22771.37</v>
      </c>
      <c r="Y5" s="5">
        <v>22771.37</v>
      </c>
    </row>
    <row r="6" spans="1:25" x14ac:dyDescent="0.25">
      <c r="A6" t="s">
        <v>1887</v>
      </c>
      <c r="B6" t="s">
        <v>1888</v>
      </c>
      <c r="C6" t="s">
        <v>1889</v>
      </c>
      <c r="D6">
        <v>6074202400044930</v>
      </c>
      <c r="E6" t="s">
        <v>2471</v>
      </c>
      <c r="F6" t="s">
        <v>1890</v>
      </c>
      <c r="G6" t="s">
        <v>1891</v>
      </c>
      <c r="H6" t="s">
        <v>201</v>
      </c>
      <c r="I6" t="s">
        <v>1899</v>
      </c>
      <c r="J6" t="s">
        <v>1894</v>
      </c>
      <c r="K6" s="3">
        <v>45869</v>
      </c>
      <c r="L6" s="5">
        <v>188304.73</v>
      </c>
      <c r="M6" s="5">
        <v>16349.81</v>
      </c>
      <c r="N6" s="5">
        <v>15222.24</v>
      </c>
      <c r="O6" s="5">
        <v>15222.24</v>
      </c>
      <c r="P6" s="5">
        <v>15222.24</v>
      </c>
      <c r="Q6" s="5">
        <v>15222.24</v>
      </c>
      <c r="R6" s="5">
        <v>15222.24</v>
      </c>
      <c r="S6" s="5">
        <v>15222.24</v>
      </c>
      <c r="T6" s="5">
        <v>15222.24</v>
      </c>
      <c r="U6" s="5">
        <v>16349.81</v>
      </c>
      <c r="V6" s="5">
        <v>16349.81</v>
      </c>
      <c r="W6" s="5">
        <v>16349.81</v>
      </c>
      <c r="X6" s="5">
        <v>16349.81</v>
      </c>
      <c r="Y6" s="5">
        <v>16349.81</v>
      </c>
    </row>
    <row r="7" spans="1:25" x14ac:dyDescent="0.25">
      <c r="A7" t="s">
        <v>1887</v>
      </c>
      <c r="B7" t="s">
        <v>1888</v>
      </c>
      <c r="C7" t="s">
        <v>1889</v>
      </c>
      <c r="D7">
        <v>6074202300008030</v>
      </c>
      <c r="E7" t="s">
        <v>2471</v>
      </c>
      <c r="F7" t="s">
        <v>1900</v>
      </c>
      <c r="G7" t="s">
        <v>1901</v>
      </c>
      <c r="H7" t="s">
        <v>1902</v>
      </c>
      <c r="I7" t="s">
        <v>1903</v>
      </c>
      <c r="J7" t="s">
        <v>1904</v>
      </c>
      <c r="K7" s="3">
        <v>46249</v>
      </c>
      <c r="L7" s="5">
        <v>61635.6</v>
      </c>
      <c r="M7" s="5">
        <v>5136.3</v>
      </c>
      <c r="N7" s="5">
        <v>5136.3</v>
      </c>
      <c r="O7" s="5">
        <v>5136.3</v>
      </c>
      <c r="P7" s="5">
        <v>5136.3</v>
      </c>
      <c r="Q7" s="5">
        <v>5136.3</v>
      </c>
      <c r="R7" s="5">
        <v>5136.3</v>
      </c>
      <c r="S7" s="5">
        <v>5136.3</v>
      </c>
      <c r="T7" s="5">
        <v>5136.3</v>
      </c>
      <c r="U7" s="5">
        <v>5997.2</v>
      </c>
      <c r="V7" s="5">
        <v>5997.2</v>
      </c>
      <c r="W7" s="5">
        <v>5997.2</v>
      </c>
      <c r="X7" s="5">
        <v>5997.2</v>
      </c>
      <c r="Y7" s="5">
        <v>5997.2</v>
      </c>
    </row>
    <row r="8" spans="1:25" x14ac:dyDescent="0.25">
      <c r="A8" t="s">
        <v>1887</v>
      </c>
      <c r="B8" t="s">
        <v>1888</v>
      </c>
      <c r="C8" t="s">
        <v>1889</v>
      </c>
      <c r="D8">
        <v>6074201700000330</v>
      </c>
      <c r="E8" t="s">
        <v>2472</v>
      </c>
      <c r="F8" t="s">
        <v>1900</v>
      </c>
      <c r="G8" t="s">
        <v>1901</v>
      </c>
      <c r="H8" t="s">
        <v>1905</v>
      </c>
      <c r="I8" t="s">
        <v>1906</v>
      </c>
      <c r="J8" t="s">
        <v>1907</v>
      </c>
      <c r="K8" s="3">
        <v>46428</v>
      </c>
      <c r="L8" s="5">
        <v>4500</v>
      </c>
      <c r="M8" s="5"/>
      <c r="N8" s="5" t="s">
        <v>1908</v>
      </c>
      <c r="O8" s="5">
        <v>4500</v>
      </c>
      <c r="P8" s="5" t="s">
        <v>1908</v>
      </c>
      <c r="Q8" s="5" t="s">
        <v>1909</v>
      </c>
      <c r="R8" s="5" t="s">
        <v>1909</v>
      </c>
      <c r="S8" s="5" t="s">
        <v>1909</v>
      </c>
      <c r="T8" s="5" t="s">
        <v>1909</v>
      </c>
      <c r="U8" s="5" t="s">
        <v>1909</v>
      </c>
      <c r="V8" s="5" t="s">
        <v>1909</v>
      </c>
      <c r="W8" s="5" t="s">
        <v>1909</v>
      </c>
      <c r="X8" s="5" t="s">
        <v>1909</v>
      </c>
      <c r="Y8" s="5" t="s">
        <v>1910</v>
      </c>
    </row>
    <row r="9" spans="1:25" x14ac:dyDescent="0.25">
      <c r="A9" t="s">
        <v>1887</v>
      </c>
      <c r="B9" t="s">
        <v>1888</v>
      </c>
      <c r="C9" t="s">
        <v>1889</v>
      </c>
      <c r="D9">
        <v>6074201700000330</v>
      </c>
      <c r="E9" t="s">
        <v>2472</v>
      </c>
      <c r="F9" t="s">
        <v>1911</v>
      </c>
      <c r="G9" t="s">
        <v>1901</v>
      </c>
      <c r="H9" t="s">
        <v>1905</v>
      </c>
      <c r="I9" t="s">
        <v>1912</v>
      </c>
      <c r="J9" t="s">
        <v>1907</v>
      </c>
      <c r="K9" s="3">
        <v>46428</v>
      </c>
      <c r="L9" s="5">
        <v>178220</v>
      </c>
      <c r="M9" s="5" t="s">
        <v>1908</v>
      </c>
      <c r="N9" s="5"/>
      <c r="O9" s="5">
        <v>178220</v>
      </c>
      <c r="P9" s="5" t="s">
        <v>1908</v>
      </c>
      <c r="Q9" s="5" t="s">
        <v>1909</v>
      </c>
      <c r="R9" s="5" t="s">
        <v>1909</v>
      </c>
      <c r="S9" s="5" t="s">
        <v>1909</v>
      </c>
      <c r="T9" s="5" t="s">
        <v>1909</v>
      </c>
      <c r="U9" s="5" t="s">
        <v>1909</v>
      </c>
      <c r="V9" s="5" t="s">
        <v>1909</v>
      </c>
      <c r="W9" s="5" t="s">
        <v>1909</v>
      </c>
      <c r="X9" s="5" t="s">
        <v>1909</v>
      </c>
      <c r="Y9" s="5" t="s">
        <v>1910</v>
      </c>
    </row>
    <row r="10" spans="1:25" x14ac:dyDescent="0.25">
      <c r="A10" t="s">
        <v>1887</v>
      </c>
      <c r="B10" t="s">
        <v>1888</v>
      </c>
      <c r="C10" t="s">
        <v>1889</v>
      </c>
      <c r="D10">
        <v>6074201700000330</v>
      </c>
      <c r="E10" t="s">
        <v>2472</v>
      </c>
      <c r="F10" t="s">
        <v>1900</v>
      </c>
      <c r="G10" t="s">
        <v>1901</v>
      </c>
      <c r="H10" t="s">
        <v>1905</v>
      </c>
      <c r="I10" t="s">
        <v>1913</v>
      </c>
      <c r="J10" t="s">
        <v>1907</v>
      </c>
      <c r="K10" s="3">
        <v>46428</v>
      </c>
      <c r="L10" s="5">
        <v>2286215.62</v>
      </c>
      <c r="M10" s="5">
        <v>191701.31</v>
      </c>
      <c r="N10" s="5">
        <v>177501.21</v>
      </c>
      <c r="O10" s="5">
        <v>191701.31</v>
      </c>
      <c r="P10" s="5">
        <v>191701.31</v>
      </c>
      <c r="Q10" s="5">
        <v>191701.31</v>
      </c>
      <c r="R10" s="5">
        <v>191701.31</v>
      </c>
      <c r="S10" s="5">
        <v>191701.31</v>
      </c>
      <c r="T10" s="5">
        <v>191701.31</v>
      </c>
      <c r="U10" s="5">
        <v>191701.31</v>
      </c>
      <c r="V10" s="5">
        <v>191701.31</v>
      </c>
      <c r="W10" s="5">
        <v>191701.31</v>
      </c>
      <c r="X10" s="5">
        <v>191701.31</v>
      </c>
      <c r="Y10" s="5">
        <v>191701.31</v>
      </c>
    </row>
    <row r="11" spans="1:25" x14ac:dyDescent="0.25">
      <c r="A11" t="s">
        <v>1887</v>
      </c>
      <c r="B11" t="s">
        <v>1888</v>
      </c>
      <c r="C11" t="s">
        <v>1889</v>
      </c>
      <c r="D11">
        <v>6074201900011300</v>
      </c>
      <c r="E11" t="s">
        <v>2471</v>
      </c>
      <c r="F11" t="s">
        <v>1900</v>
      </c>
      <c r="G11" t="s">
        <v>1901</v>
      </c>
      <c r="H11" t="s">
        <v>1914</v>
      </c>
      <c r="I11" t="s">
        <v>1915</v>
      </c>
      <c r="J11" t="s">
        <v>1916</v>
      </c>
      <c r="K11" s="3">
        <v>46179</v>
      </c>
      <c r="L11" s="5">
        <v>19749</v>
      </c>
      <c r="M11" s="5">
        <v>1645.75</v>
      </c>
      <c r="N11" s="5">
        <v>1645.75</v>
      </c>
      <c r="O11" s="5">
        <v>1645.75</v>
      </c>
      <c r="P11" s="5">
        <v>1645.75</v>
      </c>
      <c r="Q11" s="5">
        <v>1645.75</v>
      </c>
      <c r="R11" s="5">
        <v>1645.75</v>
      </c>
      <c r="S11" s="5">
        <v>1645.75</v>
      </c>
      <c r="T11" s="5">
        <v>1645.75</v>
      </c>
      <c r="U11" s="5">
        <v>1645.75</v>
      </c>
      <c r="V11" s="5">
        <v>1645.75</v>
      </c>
      <c r="W11" s="5">
        <v>1645.75</v>
      </c>
      <c r="X11" s="5">
        <v>1645.75</v>
      </c>
      <c r="Y11" s="5">
        <v>1645.75</v>
      </c>
    </row>
    <row r="12" spans="1:25" x14ac:dyDescent="0.25">
      <c r="A12" t="s">
        <v>1887</v>
      </c>
      <c r="B12" t="s">
        <v>1888</v>
      </c>
      <c r="C12" t="s">
        <v>1889</v>
      </c>
      <c r="D12">
        <v>6074202000034310</v>
      </c>
      <c r="E12" t="s">
        <v>2471</v>
      </c>
      <c r="F12" t="s">
        <v>1900</v>
      </c>
      <c r="G12" t="s">
        <v>1901</v>
      </c>
      <c r="H12" t="s">
        <v>507</v>
      </c>
      <c r="I12" t="s">
        <v>1917</v>
      </c>
      <c r="J12" t="s">
        <v>1918</v>
      </c>
      <c r="K12" s="3">
        <v>46349</v>
      </c>
      <c r="L12" s="5">
        <v>248655.5</v>
      </c>
      <c r="M12" s="5">
        <v>23413</v>
      </c>
      <c r="N12" s="5">
        <v>20182.95</v>
      </c>
      <c r="O12" s="5">
        <v>20182.95</v>
      </c>
      <c r="P12" s="5">
        <v>20182.95</v>
      </c>
      <c r="Q12" s="5">
        <v>20182.95</v>
      </c>
      <c r="R12" s="5">
        <v>20182.95</v>
      </c>
      <c r="S12" s="5">
        <v>20182.95</v>
      </c>
      <c r="T12" s="5">
        <v>20182.95</v>
      </c>
      <c r="U12" s="5">
        <v>20182.95</v>
      </c>
      <c r="V12" s="5">
        <v>20182.95</v>
      </c>
      <c r="W12" s="5">
        <v>20182.95</v>
      </c>
      <c r="X12" s="5">
        <v>23413</v>
      </c>
      <c r="Y12" s="5">
        <v>23413</v>
      </c>
    </row>
    <row r="13" spans="1:25" x14ac:dyDescent="0.25">
      <c r="A13" t="s">
        <v>1887</v>
      </c>
      <c r="B13" t="s">
        <v>1888</v>
      </c>
      <c r="C13" t="s">
        <v>1889</v>
      </c>
      <c r="D13">
        <v>6074202100003880</v>
      </c>
      <c r="E13" t="s">
        <v>2471</v>
      </c>
      <c r="F13" t="s">
        <v>1919</v>
      </c>
      <c r="G13" t="s">
        <v>1901</v>
      </c>
      <c r="H13" t="s">
        <v>1920</v>
      </c>
      <c r="I13" t="s">
        <v>1921</v>
      </c>
      <c r="J13" t="s">
        <v>1922</v>
      </c>
      <c r="K13" s="3">
        <v>46349</v>
      </c>
      <c r="L13" s="5">
        <v>19961.400000000001</v>
      </c>
      <c r="M13" s="5">
        <v>1785</v>
      </c>
      <c r="N13" s="5">
        <v>1652.4</v>
      </c>
      <c r="O13" s="5">
        <v>1652.4</v>
      </c>
      <c r="P13" s="5">
        <v>1652.4</v>
      </c>
      <c r="Q13" s="5">
        <v>1652.4</v>
      </c>
      <c r="R13" s="5">
        <v>1652.4</v>
      </c>
      <c r="S13" s="5">
        <v>1652.4</v>
      </c>
      <c r="T13" s="5">
        <v>1652.4</v>
      </c>
      <c r="U13" s="5">
        <v>1652.4</v>
      </c>
      <c r="V13" s="5">
        <v>1652.4</v>
      </c>
      <c r="W13" s="5">
        <v>1652.4</v>
      </c>
      <c r="X13" s="5">
        <v>1652.4</v>
      </c>
      <c r="Y13" s="5">
        <v>1785</v>
      </c>
    </row>
    <row r="14" spans="1:25" x14ac:dyDescent="0.25">
      <c r="A14" t="s">
        <v>1887</v>
      </c>
      <c r="B14" t="s">
        <v>1888</v>
      </c>
      <c r="C14" t="s">
        <v>1889</v>
      </c>
      <c r="D14">
        <v>6074202100023310</v>
      </c>
      <c r="E14" t="s">
        <v>2471</v>
      </c>
      <c r="F14" t="s">
        <v>1900</v>
      </c>
      <c r="G14" t="s">
        <v>1901</v>
      </c>
      <c r="H14" t="s">
        <v>500</v>
      </c>
      <c r="I14" t="s">
        <v>1923</v>
      </c>
      <c r="J14" t="s">
        <v>1924</v>
      </c>
      <c r="K14" s="3">
        <v>46370</v>
      </c>
      <c r="L14" s="5">
        <v>461505.77</v>
      </c>
      <c r="M14" s="5">
        <v>41260.449999999997</v>
      </c>
      <c r="N14" s="5">
        <v>38204.120000000003</v>
      </c>
      <c r="O14" s="5">
        <v>38204.120000000003</v>
      </c>
      <c r="P14" s="5">
        <v>38204.120000000003</v>
      </c>
      <c r="Q14" s="5">
        <v>38204.120000000003</v>
      </c>
      <c r="R14" s="5">
        <v>38204.120000000003</v>
      </c>
      <c r="S14" s="5">
        <v>38204.120000000003</v>
      </c>
      <c r="T14" s="5">
        <v>38204.120000000003</v>
      </c>
      <c r="U14" s="5">
        <v>38204.120000000003</v>
      </c>
      <c r="V14" s="5">
        <v>38204.120000000003</v>
      </c>
      <c r="W14" s="5">
        <v>38204.120000000003</v>
      </c>
      <c r="X14" s="5">
        <v>38204.120000000003</v>
      </c>
      <c r="Y14" s="5">
        <v>41260.449999999997</v>
      </c>
    </row>
    <row r="15" spans="1:25" x14ac:dyDescent="0.25">
      <c r="A15" t="s">
        <v>1887</v>
      </c>
      <c r="B15" t="s">
        <v>1888</v>
      </c>
      <c r="C15" t="s">
        <v>1889</v>
      </c>
      <c r="D15">
        <v>6074202100086750</v>
      </c>
      <c r="E15" t="s">
        <v>2471</v>
      </c>
      <c r="F15" t="s">
        <v>1900</v>
      </c>
      <c r="G15" t="s">
        <v>1901</v>
      </c>
      <c r="H15">
        <v>9912565743</v>
      </c>
      <c r="I15" t="s">
        <v>1925</v>
      </c>
      <c r="J15" t="s">
        <v>1926</v>
      </c>
      <c r="K15" s="3">
        <v>46054</v>
      </c>
      <c r="L15" s="5">
        <v>6000</v>
      </c>
      <c r="M15" s="5">
        <v>500</v>
      </c>
      <c r="N15" s="5">
        <v>500</v>
      </c>
      <c r="O15" s="5">
        <v>500</v>
      </c>
      <c r="P15" s="5">
        <v>500</v>
      </c>
      <c r="Q15" s="5">
        <v>500</v>
      </c>
      <c r="R15" s="5">
        <v>500</v>
      </c>
      <c r="S15" s="5">
        <v>500</v>
      </c>
      <c r="T15" s="5">
        <v>500</v>
      </c>
      <c r="U15" s="5">
        <v>500</v>
      </c>
      <c r="V15" s="5">
        <v>500</v>
      </c>
      <c r="W15" s="5">
        <v>500</v>
      </c>
      <c r="X15" s="5">
        <v>500</v>
      </c>
      <c r="Y15" s="5">
        <v>500</v>
      </c>
    </row>
    <row r="16" spans="1:25" x14ac:dyDescent="0.25">
      <c r="A16" t="s">
        <v>1887</v>
      </c>
      <c r="B16" t="s">
        <v>1888</v>
      </c>
      <c r="C16" t="s">
        <v>1889</v>
      </c>
      <c r="D16">
        <v>6074202200013230</v>
      </c>
      <c r="E16" t="s">
        <v>2471</v>
      </c>
      <c r="F16" t="s">
        <v>1900</v>
      </c>
      <c r="G16" t="s">
        <v>1901</v>
      </c>
      <c r="H16" t="s">
        <v>1927</v>
      </c>
      <c r="I16" t="s">
        <v>1928</v>
      </c>
      <c r="J16" t="s">
        <v>1922</v>
      </c>
      <c r="K16" s="3">
        <v>46231</v>
      </c>
      <c r="L16" s="5">
        <v>175998.65</v>
      </c>
      <c r="M16" s="5">
        <v>15281.3</v>
      </c>
      <c r="N16" s="5">
        <v>14227.45</v>
      </c>
      <c r="O16" s="5">
        <v>14227.45</v>
      </c>
      <c r="P16" s="5">
        <v>14227.45</v>
      </c>
      <c r="Q16" s="5">
        <v>14227.45</v>
      </c>
      <c r="R16" s="5">
        <v>14227.45</v>
      </c>
      <c r="S16" s="5">
        <v>14227.45</v>
      </c>
      <c r="T16" s="5">
        <v>14227.45</v>
      </c>
      <c r="U16" s="5">
        <v>15281.3</v>
      </c>
      <c r="V16" s="5">
        <v>15281.3</v>
      </c>
      <c r="W16" s="5">
        <v>15281.3</v>
      </c>
      <c r="X16" s="5">
        <v>15281.3</v>
      </c>
      <c r="Y16" s="5">
        <v>15281.3</v>
      </c>
    </row>
    <row r="17" spans="1:25" x14ac:dyDescent="0.25">
      <c r="A17" t="s">
        <v>1887</v>
      </c>
      <c r="B17" t="s">
        <v>1888</v>
      </c>
      <c r="C17" t="s">
        <v>1889</v>
      </c>
      <c r="D17">
        <v>6074202200038580</v>
      </c>
      <c r="E17" t="s">
        <v>2471</v>
      </c>
      <c r="F17" t="s">
        <v>1900</v>
      </c>
      <c r="G17" t="s">
        <v>1901</v>
      </c>
      <c r="H17" t="s">
        <v>518</v>
      </c>
      <c r="I17" t="s">
        <v>1929</v>
      </c>
      <c r="J17" t="s">
        <v>1930</v>
      </c>
      <c r="K17" s="3">
        <v>46209</v>
      </c>
      <c r="L17" s="5">
        <v>1705.28</v>
      </c>
      <c r="M17" s="5" t="s">
        <v>1908</v>
      </c>
      <c r="N17" s="5">
        <v>852.64</v>
      </c>
      <c r="O17" s="5" t="s">
        <v>1908</v>
      </c>
      <c r="P17" s="5" t="s">
        <v>1909</v>
      </c>
      <c r="Q17" s="5" t="s">
        <v>1909</v>
      </c>
      <c r="R17" s="5" t="s">
        <v>1909</v>
      </c>
      <c r="S17" s="5">
        <v>852.64</v>
      </c>
      <c r="T17" s="5" t="s">
        <v>1908</v>
      </c>
      <c r="U17" s="5" t="s">
        <v>1909</v>
      </c>
      <c r="V17" s="5" t="s">
        <v>1909</v>
      </c>
      <c r="W17" s="5" t="s">
        <v>1909</v>
      </c>
      <c r="X17" s="5" t="s">
        <v>1909</v>
      </c>
      <c r="Y17" s="5" t="s">
        <v>1910</v>
      </c>
    </row>
    <row r="18" spans="1:25" x14ac:dyDescent="0.25">
      <c r="A18" t="s">
        <v>1887</v>
      </c>
      <c r="B18" t="s">
        <v>1888</v>
      </c>
      <c r="C18" t="s">
        <v>1889</v>
      </c>
      <c r="D18">
        <v>6074202200071840</v>
      </c>
      <c r="E18" t="s">
        <v>2471</v>
      </c>
      <c r="F18" t="s">
        <v>1900</v>
      </c>
      <c r="G18" t="s">
        <v>1901</v>
      </c>
      <c r="H18" t="s">
        <v>1931</v>
      </c>
      <c r="I18" t="s">
        <v>1932</v>
      </c>
      <c r="J18" t="s">
        <v>1933</v>
      </c>
      <c r="K18" s="3">
        <v>45953</v>
      </c>
      <c r="L18" s="5">
        <v>26999.18</v>
      </c>
      <c r="M18" s="5">
        <v>2446.34</v>
      </c>
      <c r="N18" s="5">
        <v>2193.77</v>
      </c>
      <c r="O18" s="5">
        <v>2193.77</v>
      </c>
      <c r="P18" s="5">
        <v>2193.77</v>
      </c>
      <c r="Q18" s="5">
        <v>2193.77</v>
      </c>
      <c r="R18" s="5">
        <v>2193.77</v>
      </c>
      <c r="S18" s="5">
        <v>2193.77</v>
      </c>
      <c r="T18" s="5">
        <v>2193.77</v>
      </c>
      <c r="U18" s="5">
        <v>2193.77</v>
      </c>
      <c r="V18" s="5">
        <v>2193.77</v>
      </c>
      <c r="W18" s="5">
        <v>2362.5700000000002</v>
      </c>
      <c r="X18" s="5">
        <v>2446.34</v>
      </c>
      <c r="Y18" s="5">
        <v>2446.34</v>
      </c>
    </row>
    <row r="19" spans="1:25" x14ac:dyDescent="0.25">
      <c r="A19" t="s">
        <v>1887</v>
      </c>
      <c r="B19" t="s">
        <v>1888</v>
      </c>
      <c r="C19" t="s">
        <v>1889</v>
      </c>
      <c r="D19">
        <v>6074202200079130</v>
      </c>
      <c r="E19" t="s">
        <v>2471</v>
      </c>
      <c r="F19" t="s">
        <v>1900</v>
      </c>
      <c r="G19" t="s">
        <v>1901</v>
      </c>
      <c r="H19" t="s">
        <v>535</v>
      </c>
      <c r="I19" t="s">
        <v>1934</v>
      </c>
      <c r="J19" t="s">
        <v>1935</v>
      </c>
      <c r="K19" s="3">
        <v>46093</v>
      </c>
      <c r="L19" s="5">
        <v>418574.16</v>
      </c>
      <c r="M19" s="5">
        <v>35299.47</v>
      </c>
      <c r="N19" s="5">
        <v>32789.730000000003</v>
      </c>
      <c r="O19" s="5">
        <v>32789.730000000003</v>
      </c>
      <c r="P19" s="5">
        <v>35299.47</v>
      </c>
      <c r="Q19" s="5">
        <v>35299.47</v>
      </c>
      <c r="R19" s="5">
        <v>35299.47</v>
      </c>
      <c r="S19" s="5">
        <v>35299.47</v>
      </c>
      <c r="T19" s="5">
        <v>35299.47</v>
      </c>
      <c r="U19" s="5">
        <v>35299.47</v>
      </c>
      <c r="V19" s="5">
        <v>35299.47</v>
      </c>
      <c r="W19" s="5">
        <v>35299.47</v>
      </c>
      <c r="X19" s="5">
        <v>35299.47</v>
      </c>
      <c r="Y19" s="5">
        <v>35299.47</v>
      </c>
    </row>
    <row r="20" spans="1:25" x14ac:dyDescent="0.25">
      <c r="A20" t="s">
        <v>1887</v>
      </c>
      <c r="B20" t="s">
        <v>1888</v>
      </c>
      <c r="C20" t="s">
        <v>1889</v>
      </c>
      <c r="D20">
        <v>6074202200079920</v>
      </c>
      <c r="E20" t="s">
        <v>2471</v>
      </c>
      <c r="F20" t="s">
        <v>1900</v>
      </c>
      <c r="G20" t="s">
        <v>1901</v>
      </c>
      <c r="H20" t="s">
        <v>580</v>
      </c>
      <c r="I20" t="s">
        <v>1936</v>
      </c>
      <c r="J20" t="s">
        <v>1937</v>
      </c>
      <c r="K20" s="3">
        <v>46379</v>
      </c>
      <c r="L20" s="5">
        <v>182275.44</v>
      </c>
      <c r="M20" s="5">
        <v>16145.74</v>
      </c>
      <c r="N20" s="5">
        <v>15102.7</v>
      </c>
      <c r="O20" s="5">
        <v>15102.7</v>
      </c>
      <c r="P20" s="5">
        <v>15102.7</v>
      </c>
      <c r="Q20" s="5">
        <v>15102.7</v>
      </c>
      <c r="R20" s="5">
        <v>15102.7</v>
      </c>
      <c r="S20" s="5">
        <v>15102.7</v>
      </c>
      <c r="T20" s="5">
        <v>15102.7</v>
      </c>
      <c r="U20" s="5">
        <v>15102.7</v>
      </c>
      <c r="V20" s="5">
        <v>15102.7</v>
      </c>
      <c r="W20" s="5">
        <v>15102.7</v>
      </c>
      <c r="X20" s="5">
        <v>15102.7</v>
      </c>
      <c r="Y20" s="5">
        <v>16145.74</v>
      </c>
    </row>
    <row r="21" spans="1:25" x14ac:dyDescent="0.25">
      <c r="A21" t="s">
        <v>1887</v>
      </c>
      <c r="B21" t="s">
        <v>1888</v>
      </c>
      <c r="C21" t="s">
        <v>1889</v>
      </c>
      <c r="D21">
        <v>6074202300019210</v>
      </c>
      <c r="E21" t="s">
        <v>2471</v>
      </c>
      <c r="F21" t="s">
        <v>1938</v>
      </c>
      <c r="G21" t="s">
        <v>1901</v>
      </c>
      <c r="H21" t="s">
        <v>1939</v>
      </c>
      <c r="I21" t="s">
        <v>1940</v>
      </c>
      <c r="J21" t="s">
        <v>1941</v>
      </c>
      <c r="K21" s="3">
        <v>46108</v>
      </c>
      <c r="L21" s="5">
        <v>100000</v>
      </c>
      <c r="M21" s="5">
        <v>8333.33</v>
      </c>
      <c r="N21" s="5">
        <v>8333.33</v>
      </c>
      <c r="O21" s="5">
        <v>8333.33</v>
      </c>
      <c r="P21" s="5">
        <v>8333.33</v>
      </c>
      <c r="Q21" s="5">
        <v>8333.33</v>
      </c>
      <c r="R21" s="5">
        <v>8333.33</v>
      </c>
      <c r="S21" s="5">
        <v>8333.33</v>
      </c>
      <c r="T21" s="5">
        <v>8333.33</v>
      </c>
      <c r="U21" s="5">
        <v>8333.33</v>
      </c>
      <c r="V21" s="5">
        <v>8333.33</v>
      </c>
      <c r="W21" s="5">
        <v>8333.33</v>
      </c>
      <c r="X21" s="5">
        <v>8333.33</v>
      </c>
      <c r="Y21" s="5">
        <v>8333.3700000000008</v>
      </c>
    </row>
    <row r="22" spans="1:25" x14ac:dyDescent="0.25">
      <c r="A22" t="s">
        <v>1887</v>
      </c>
      <c r="B22" t="s">
        <v>1888</v>
      </c>
      <c r="C22" t="s">
        <v>1889</v>
      </c>
      <c r="D22">
        <v>6074202300020630</v>
      </c>
      <c r="E22" t="s">
        <v>2471</v>
      </c>
      <c r="F22" t="s">
        <v>1900</v>
      </c>
      <c r="G22" t="s">
        <v>1901</v>
      </c>
      <c r="H22" t="s">
        <v>109</v>
      </c>
      <c r="I22" t="s">
        <v>1942</v>
      </c>
      <c r="J22" t="s">
        <v>1943</v>
      </c>
      <c r="K22" s="3">
        <v>46204</v>
      </c>
      <c r="L22" s="5">
        <v>90000</v>
      </c>
      <c r="M22" s="5">
        <v>7500</v>
      </c>
      <c r="N22" s="5">
        <v>7500</v>
      </c>
      <c r="O22" s="5">
        <v>7500</v>
      </c>
      <c r="P22" s="5">
        <v>7500</v>
      </c>
      <c r="Q22" s="5">
        <v>7500</v>
      </c>
      <c r="R22" s="5">
        <v>7500</v>
      </c>
      <c r="S22" s="5">
        <v>7500</v>
      </c>
      <c r="T22" s="5">
        <v>7500</v>
      </c>
      <c r="U22" s="5">
        <v>7500</v>
      </c>
      <c r="V22" s="5">
        <v>7500</v>
      </c>
      <c r="W22" s="5">
        <v>7500</v>
      </c>
      <c r="X22" s="5">
        <v>7500</v>
      </c>
      <c r="Y22" s="5">
        <v>7500</v>
      </c>
    </row>
    <row r="23" spans="1:25" x14ac:dyDescent="0.25">
      <c r="A23" t="s">
        <v>1887</v>
      </c>
      <c r="B23" t="s">
        <v>1888</v>
      </c>
      <c r="C23" t="s">
        <v>1889</v>
      </c>
      <c r="D23">
        <v>6074202300026080</v>
      </c>
      <c r="E23" t="s">
        <v>2471</v>
      </c>
      <c r="F23" t="s">
        <v>1900</v>
      </c>
      <c r="G23" t="s">
        <v>1901</v>
      </c>
      <c r="H23" t="s">
        <v>646</v>
      </c>
      <c r="I23" t="s">
        <v>1944</v>
      </c>
      <c r="J23" t="s">
        <v>1945</v>
      </c>
      <c r="K23" s="3">
        <v>46154</v>
      </c>
      <c r="L23" s="5">
        <v>2928800</v>
      </c>
      <c r="M23" s="5">
        <v>250000</v>
      </c>
      <c r="N23" s="5">
        <v>232200</v>
      </c>
      <c r="O23" s="5">
        <v>232200</v>
      </c>
      <c r="P23" s="5">
        <v>232200</v>
      </c>
      <c r="Q23" s="5">
        <v>232200</v>
      </c>
      <c r="R23" s="5">
        <v>250000</v>
      </c>
      <c r="S23" s="5">
        <v>250000</v>
      </c>
      <c r="T23" s="5">
        <v>250000</v>
      </c>
      <c r="U23" s="5">
        <v>250000</v>
      </c>
      <c r="V23" s="5">
        <v>250000</v>
      </c>
      <c r="W23" s="5">
        <v>250000</v>
      </c>
      <c r="X23" s="5">
        <v>250000</v>
      </c>
      <c r="Y23" s="5">
        <v>250000</v>
      </c>
    </row>
    <row r="24" spans="1:25" x14ac:dyDescent="0.25">
      <c r="A24" t="s">
        <v>1887</v>
      </c>
      <c r="B24" t="s">
        <v>1888</v>
      </c>
      <c r="C24" t="s">
        <v>1889</v>
      </c>
      <c r="D24">
        <v>6074202300027630</v>
      </c>
      <c r="E24" t="s">
        <v>2471</v>
      </c>
      <c r="F24" t="s">
        <v>1900</v>
      </c>
      <c r="G24" t="s">
        <v>1901</v>
      </c>
      <c r="H24" t="s">
        <v>384</v>
      </c>
      <c r="I24" t="s">
        <v>1946</v>
      </c>
      <c r="J24" t="s">
        <v>1947</v>
      </c>
      <c r="K24" s="3">
        <v>46317</v>
      </c>
      <c r="L24" s="5">
        <v>455716.5</v>
      </c>
      <c r="M24" s="5">
        <v>49189.05</v>
      </c>
      <c r="N24" s="5">
        <v>37533.839999999997</v>
      </c>
      <c r="O24" s="5">
        <v>37533.839999999997</v>
      </c>
      <c r="P24" s="5">
        <v>37533.839999999997</v>
      </c>
      <c r="Q24" s="5">
        <v>37533.839999999997</v>
      </c>
      <c r="R24" s="5">
        <v>37533.839999999997</v>
      </c>
      <c r="S24" s="5">
        <v>37533.839999999997</v>
      </c>
      <c r="T24" s="5">
        <v>37533.839999999997</v>
      </c>
      <c r="U24" s="5">
        <v>37533.839999999997</v>
      </c>
      <c r="V24" s="5">
        <v>37533.839999999997</v>
      </c>
      <c r="W24" s="5">
        <v>37533.839999999997</v>
      </c>
      <c r="X24" s="5">
        <v>40189.050000000003</v>
      </c>
      <c r="Y24" s="5">
        <v>40189.050000000003</v>
      </c>
    </row>
    <row r="25" spans="1:25" x14ac:dyDescent="0.25">
      <c r="A25" t="s">
        <v>1887</v>
      </c>
      <c r="B25" t="s">
        <v>1888</v>
      </c>
      <c r="C25" t="s">
        <v>1889</v>
      </c>
      <c r="D25">
        <v>6074202300065530</v>
      </c>
      <c r="E25" t="s">
        <v>2471</v>
      </c>
      <c r="F25" t="s">
        <v>1900</v>
      </c>
      <c r="G25" t="s">
        <v>1901</v>
      </c>
      <c r="H25" t="s">
        <v>857</v>
      </c>
      <c r="I25" t="s">
        <v>1948</v>
      </c>
      <c r="J25" t="s">
        <v>1949</v>
      </c>
      <c r="K25" s="3">
        <v>46281</v>
      </c>
      <c r="L25" s="5">
        <v>1304861.3999999999</v>
      </c>
      <c r="M25" s="5">
        <v>108738.45</v>
      </c>
      <c r="N25" s="5">
        <v>108738.45</v>
      </c>
      <c r="O25" s="5">
        <v>108738.45</v>
      </c>
      <c r="P25" s="5">
        <v>108738.45</v>
      </c>
      <c r="Q25" s="5">
        <v>108738.45</v>
      </c>
      <c r="R25" s="5">
        <v>108738.45</v>
      </c>
      <c r="S25" s="5">
        <v>108738.45</v>
      </c>
      <c r="T25" s="5">
        <v>108738.45</v>
      </c>
      <c r="U25" s="5">
        <v>108738.45</v>
      </c>
      <c r="V25" s="5">
        <v>108738.45</v>
      </c>
      <c r="W25" s="5">
        <v>108738.45</v>
      </c>
      <c r="X25" s="5">
        <v>108738.45</v>
      </c>
      <c r="Y25" s="5">
        <v>108738.45</v>
      </c>
    </row>
    <row r="26" spans="1:25" x14ac:dyDescent="0.25">
      <c r="A26" t="s">
        <v>1887</v>
      </c>
      <c r="B26" t="s">
        <v>1888</v>
      </c>
      <c r="C26" t="s">
        <v>1889</v>
      </c>
      <c r="D26">
        <v>6074202300072300</v>
      </c>
      <c r="E26" t="s">
        <v>2471</v>
      </c>
      <c r="F26" t="s">
        <v>1900</v>
      </c>
      <c r="G26" t="s">
        <v>1901</v>
      </c>
      <c r="H26" t="s">
        <v>567</v>
      </c>
      <c r="I26" t="s">
        <v>1950</v>
      </c>
      <c r="J26" t="s">
        <v>1951</v>
      </c>
      <c r="K26" s="3">
        <v>46295</v>
      </c>
      <c r="L26" s="5">
        <v>8255.8799999999992</v>
      </c>
      <c r="M26" s="5">
        <v>724.47</v>
      </c>
      <c r="N26" s="5">
        <v>675.83</v>
      </c>
      <c r="O26" s="5">
        <v>675.83</v>
      </c>
      <c r="P26" s="5">
        <v>675.83</v>
      </c>
      <c r="Q26" s="5">
        <v>675.83</v>
      </c>
      <c r="R26" s="5">
        <v>675.83</v>
      </c>
      <c r="S26" s="5">
        <v>675.83</v>
      </c>
      <c r="T26" s="5">
        <v>675.83</v>
      </c>
      <c r="U26" s="5">
        <v>675.83</v>
      </c>
      <c r="V26" s="5">
        <v>675.83</v>
      </c>
      <c r="W26" s="5">
        <v>724.47</v>
      </c>
      <c r="X26" s="5">
        <v>724.47</v>
      </c>
      <c r="Y26" s="5">
        <v>724.47</v>
      </c>
    </row>
    <row r="27" spans="1:25" x14ac:dyDescent="0.25">
      <c r="A27" t="s">
        <v>1887</v>
      </c>
      <c r="B27" t="s">
        <v>1888</v>
      </c>
      <c r="C27" t="s">
        <v>1889</v>
      </c>
      <c r="D27">
        <v>6074202400004070</v>
      </c>
      <c r="E27" t="s">
        <v>2471</v>
      </c>
      <c r="F27" t="s">
        <v>1900</v>
      </c>
      <c r="G27" t="s">
        <v>1901</v>
      </c>
      <c r="H27" t="s">
        <v>709</v>
      </c>
      <c r="I27" t="s">
        <v>1952</v>
      </c>
      <c r="J27" t="s">
        <v>1953</v>
      </c>
      <c r="K27" s="3">
        <v>46094</v>
      </c>
      <c r="L27" s="5">
        <v>36000</v>
      </c>
      <c r="M27" s="5">
        <v>3000</v>
      </c>
      <c r="N27" s="5">
        <v>3000</v>
      </c>
      <c r="O27" s="5">
        <v>3000</v>
      </c>
      <c r="P27" s="5">
        <v>3000</v>
      </c>
      <c r="Q27" s="5">
        <v>3000</v>
      </c>
      <c r="R27" s="5">
        <v>3000</v>
      </c>
      <c r="S27" s="5">
        <v>3000</v>
      </c>
      <c r="T27" s="5">
        <v>3000</v>
      </c>
      <c r="U27" s="5">
        <v>3000</v>
      </c>
      <c r="V27" s="5">
        <v>3000</v>
      </c>
      <c r="W27" s="5">
        <v>3000</v>
      </c>
      <c r="X27" s="5">
        <v>3000</v>
      </c>
      <c r="Y27" s="5">
        <v>3000</v>
      </c>
    </row>
    <row r="28" spans="1:25" x14ac:dyDescent="0.25">
      <c r="A28" t="s">
        <v>1887</v>
      </c>
      <c r="B28" t="s">
        <v>1888</v>
      </c>
      <c r="C28" t="s">
        <v>1889</v>
      </c>
      <c r="D28">
        <v>6074202400020500</v>
      </c>
      <c r="E28" t="s">
        <v>2471</v>
      </c>
      <c r="F28" t="s">
        <v>1900</v>
      </c>
      <c r="G28" t="s">
        <v>1901</v>
      </c>
      <c r="H28" t="s">
        <v>839</v>
      </c>
      <c r="I28" t="s">
        <v>1954</v>
      </c>
      <c r="J28" t="s">
        <v>1955</v>
      </c>
      <c r="K28" s="3">
        <v>46055</v>
      </c>
      <c r="L28" s="5">
        <v>42750</v>
      </c>
      <c r="M28" s="5">
        <v>3562.5</v>
      </c>
      <c r="N28" s="5">
        <v>3562.5</v>
      </c>
      <c r="O28" s="5">
        <v>3562.5</v>
      </c>
      <c r="P28" s="5">
        <v>3562.5</v>
      </c>
      <c r="Q28" s="5">
        <v>3562.5</v>
      </c>
      <c r="R28" s="5">
        <v>3562.5</v>
      </c>
      <c r="S28" s="5">
        <v>3562.5</v>
      </c>
      <c r="T28" s="5">
        <v>3562.5</v>
      </c>
      <c r="U28" s="5">
        <v>3562.5</v>
      </c>
      <c r="V28" s="5">
        <v>3562.5</v>
      </c>
      <c r="W28" s="5">
        <v>3562.5</v>
      </c>
      <c r="X28" s="5">
        <v>3562.5</v>
      </c>
      <c r="Y28" s="5">
        <v>3562.5</v>
      </c>
    </row>
    <row r="29" spans="1:25" x14ac:dyDescent="0.25">
      <c r="A29" t="s">
        <v>1887</v>
      </c>
      <c r="B29" t="s">
        <v>1888</v>
      </c>
      <c r="C29" t="s">
        <v>1889</v>
      </c>
      <c r="D29">
        <v>6074202400026080</v>
      </c>
      <c r="E29" t="s">
        <v>2471</v>
      </c>
      <c r="F29" t="s">
        <v>1900</v>
      </c>
      <c r="G29" t="s">
        <v>1901</v>
      </c>
      <c r="H29" t="s">
        <v>1956</v>
      </c>
      <c r="I29" t="s">
        <v>1957</v>
      </c>
      <c r="J29" t="s">
        <v>1958</v>
      </c>
      <c r="K29" s="3"/>
      <c r="L29" s="5">
        <v>36580.879999999997</v>
      </c>
      <c r="M29" s="5">
        <v>3058.6</v>
      </c>
      <c r="N29" s="5">
        <v>3303.29</v>
      </c>
      <c r="O29" s="5">
        <v>3303.29</v>
      </c>
      <c r="P29" s="5">
        <v>3303.29</v>
      </c>
      <c r="Q29" s="5">
        <v>3303.29</v>
      </c>
      <c r="R29" s="5">
        <v>3303.29</v>
      </c>
      <c r="S29" s="5">
        <v>3303.29</v>
      </c>
      <c r="T29" s="5">
        <v>3303.29</v>
      </c>
      <c r="U29" s="5">
        <v>3303.29</v>
      </c>
      <c r="V29" s="5">
        <v>3303.29</v>
      </c>
      <c r="W29" s="5">
        <v>3303.29</v>
      </c>
      <c r="X29" s="5">
        <v>3303.29</v>
      </c>
      <c r="Y29" s="5">
        <v>3547.98</v>
      </c>
    </row>
    <row r="30" spans="1:25" x14ac:dyDescent="0.25">
      <c r="A30" t="s">
        <v>1887</v>
      </c>
      <c r="B30" t="s">
        <v>1888</v>
      </c>
      <c r="C30" t="s">
        <v>1889</v>
      </c>
      <c r="D30">
        <v>6074202400039430</v>
      </c>
      <c r="E30" t="s">
        <v>2471</v>
      </c>
      <c r="F30" t="s">
        <v>1959</v>
      </c>
      <c r="G30" t="s">
        <v>1901</v>
      </c>
      <c r="H30" t="s">
        <v>1960</v>
      </c>
      <c r="I30" t="s">
        <v>1961</v>
      </c>
      <c r="J30" t="s">
        <v>1962</v>
      </c>
      <c r="K30" s="3">
        <v>46259</v>
      </c>
      <c r="L30" s="5">
        <v>60000</v>
      </c>
      <c r="M30" s="5">
        <v>5000</v>
      </c>
      <c r="N30" s="5">
        <v>5000</v>
      </c>
      <c r="O30" s="5">
        <v>5000</v>
      </c>
      <c r="P30" s="5">
        <v>5000</v>
      </c>
      <c r="Q30" s="5">
        <v>5000</v>
      </c>
      <c r="R30" s="5">
        <v>5000</v>
      </c>
      <c r="S30" s="5">
        <v>5000</v>
      </c>
      <c r="T30" s="5">
        <v>5000</v>
      </c>
      <c r="U30" s="5">
        <v>5000</v>
      </c>
      <c r="V30" s="5">
        <v>5000</v>
      </c>
      <c r="W30" s="5">
        <v>5000</v>
      </c>
      <c r="X30" s="5">
        <v>5000</v>
      </c>
      <c r="Y30" s="5">
        <v>5000</v>
      </c>
    </row>
    <row r="31" spans="1:25" x14ac:dyDescent="0.25">
      <c r="A31" t="s">
        <v>1887</v>
      </c>
      <c r="B31" t="s">
        <v>1888</v>
      </c>
      <c r="C31" t="s">
        <v>1889</v>
      </c>
      <c r="D31">
        <v>6074202400061680</v>
      </c>
      <c r="E31" t="s">
        <v>2471</v>
      </c>
      <c r="F31" t="s">
        <v>1900</v>
      </c>
      <c r="G31" t="s">
        <v>1901</v>
      </c>
      <c r="H31" t="s">
        <v>723</v>
      </c>
      <c r="I31" t="s">
        <v>1963</v>
      </c>
      <c r="J31" t="s">
        <v>1964</v>
      </c>
      <c r="K31" s="3">
        <v>46350</v>
      </c>
      <c r="L31" s="5">
        <v>95380.12</v>
      </c>
      <c r="M31" s="5">
        <v>8471.26</v>
      </c>
      <c r="N31" s="5">
        <v>7843.76</v>
      </c>
      <c r="O31" s="5">
        <v>7843.76</v>
      </c>
      <c r="P31" s="5">
        <v>7843.76</v>
      </c>
      <c r="Q31" s="5">
        <v>7843.76</v>
      </c>
      <c r="R31" s="5">
        <v>7843.76</v>
      </c>
      <c r="S31" s="5">
        <v>7843.76</v>
      </c>
      <c r="T31" s="5">
        <v>7843.76</v>
      </c>
      <c r="U31" s="5">
        <v>7843.76</v>
      </c>
      <c r="V31" s="5">
        <v>7843.76</v>
      </c>
      <c r="W31" s="5">
        <v>7843.76</v>
      </c>
      <c r="X31" s="5">
        <v>8471.26</v>
      </c>
      <c r="Y31" s="5">
        <v>8471.26</v>
      </c>
    </row>
    <row r="32" spans="1:25" x14ac:dyDescent="0.25">
      <c r="A32" t="s">
        <v>1887</v>
      </c>
      <c r="B32" t="s">
        <v>1888</v>
      </c>
      <c r="C32" t="s">
        <v>1889</v>
      </c>
      <c r="D32">
        <v>6074202400065410</v>
      </c>
      <c r="E32" t="s">
        <v>2471</v>
      </c>
      <c r="F32" t="s">
        <v>1900</v>
      </c>
      <c r="G32" t="s">
        <v>1901</v>
      </c>
      <c r="H32" t="s">
        <v>370</v>
      </c>
      <c r="I32" t="s">
        <v>1965</v>
      </c>
      <c r="J32" t="s">
        <v>1967</v>
      </c>
      <c r="K32" s="3">
        <v>46359</v>
      </c>
      <c r="L32" s="5">
        <v>1240</v>
      </c>
      <c r="M32" s="5" t="s">
        <v>1908</v>
      </c>
      <c r="N32" s="5">
        <v>580</v>
      </c>
      <c r="O32" s="5" t="s">
        <v>1908</v>
      </c>
      <c r="P32" s="5" t="s">
        <v>1909</v>
      </c>
      <c r="Q32" s="5" t="s">
        <v>1909</v>
      </c>
      <c r="R32" s="5" t="s">
        <v>1909</v>
      </c>
      <c r="S32" s="5" t="s">
        <v>1909</v>
      </c>
      <c r="T32" s="5" t="s">
        <v>1909</v>
      </c>
      <c r="U32" s="5" t="s">
        <v>1909</v>
      </c>
      <c r="V32" s="5" t="s">
        <v>1909</v>
      </c>
      <c r="W32" s="5">
        <v>660</v>
      </c>
      <c r="X32" s="5" t="s">
        <v>1908</v>
      </c>
      <c r="Y32" s="5" t="s">
        <v>1910</v>
      </c>
    </row>
    <row r="33" spans="1:25" x14ac:dyDescent="0.25">
      <c r="A33" t="s">
        <v>1887</v>
      </c>
      <c r="B33" t="s">
        <v>1888</v>
      </c>
      <c r="C33" t="s">
        <v>1889</v>
      </c>
      <c r="D33">
        <v>6074202400089380</v>
      </c>
      <c r="E33" t="s">
        <v>2471</v>
      </c>
      <c r="F33" t="s">
        <v>1900</v>
      </c>
      <c r="G33" t="s">
        <v>1901</v>
      </c>
      <c r="H33" t="s">
        <v>1133</v>
      </c>
      <c r="I33" t="s">
        <v>1968</v>
      </c>
      <c r="J33" t="s">
        <v>1969</v>
      </c>
      <c r="K33" s="3">
        <v>46094</v>
      </c>
      <c r="L33" s="5">
        <v>111996</v>
      </c>
      <c r="M33" s="5">
        <v>9333</v>
      </c>
      <c r="N33" s="5">
        <v>9333</v>
      </c>
      <c r="O33" s="5">
        <v>9333</v>
      </c>
      <c r="P33" s="5">
        <v>9333</v>
      </c>
      <c r="Q33" s="5">
        <v>9333</v>
      </c>
      <c r="R33" s="5">
        <v>9333</v>
      </c>
      <c r="S33" s="5">
        <v>9333</v>
      </c>
      <c r="T33" s="5">
        <v>9333</v>
      </c>
      <c r="U33" s="5">
        <v>9333</v>
      </c>
      <c r="V33" s="5">
        <v>9333</v>
      </c>
      <c r="W33" s="5">
        <v>9333</v>
      </c>
      <c r="X33" s="5">
        <v>9333</v>
      </c>
      <c r="Y33" s="5">
        <v>9333</v>
      </c>
    </row>
    <row r="34" spans="1:25" x14ac:dyDescent="0.25">
      <c r="A34" t="s">
        <v>1887</v>
      </c>
      <c r="B34" t="s">
        <v>1888</v>
      </c>
      <c r="C34" t="s">
        <v>1889</v>
      </c>
      <c r="D34">
        <v>6074202400099120</v>
      </c>
      <c r="E34" t="s">
        <v>2471</v>
      </c>
      <c r="F34" t="s">
        <v>1900</v>
      </c>
      <c r="G34" t="s">
        <v>1901</v>
      </c>
      <c r="H34" t="s">
        <v>1970</v>
      </c>
      <c r="I34" t="s">
        <v>1971</v>
      </c>
      <c r="J34" t="s">
        <v>1972</v>
      </c>
      <c r="K34" s="3">
        <v>46387</v>
      </c>
      <c r="L34" s="5">
        <v>204000</v>
      </c>
      <c r="M34" s="5">
        <v>17000</v>
      </c>
      <c r="N34" s="5">
        <v>17000</v>
      </c>
      <c r="O34" s="5">
        <v>17000</v>
      </c>
      <c r="P34" s="5">
        <v>17000</v>
      </c>
      <c r="Q34" s="5">
        <v>17000</v>
      </c>
      <c r="R34" s="5">
        <v>17000</v>
      </c>
      <c r="S34" s="5">
        <v>17000</v>
      </c>
      <c r="T34" s="5">
        <v>17000</v>
      </c>
      <c r="U34" s="5">
        <v>17000</v>
      </c>
      <c r="V34" s="5">
        <v>17000</v>
      </c>
      <c r="W34" s="5">
        <v>17000</v>
      </c>
      <c r="X34" s="5">
        <v>17000</v>
      </c>
      <c r="Y34" s="5">
        <v>17000</v>
      </c>
    </row>
    <row r="35" spans="1:25" x14ac:dyDescent="0.25">
      <c r="A35" t="s">
        <v>1887</v>
      </c>
      <c r="B35" t="s">
        <v>1888</v>
      </c>
      <c r="C35" t="s">
        <v>1889</v>
      </c>
      <c r="D35">
        <v>6074202400099130</v>
      </c>
      <c r="E35" t="s">
        <v>2471</v>
      </c>
      <c r="F35" t="s">
        <v>1900</v>
      </c>
      <c r="G35" t="s">
        <v>1901</v>
      </c>
      <c r="H35" t="s">
        <v>1970</v>
      </c>
      <c r="I35" t="s">
        <v>1973</v>
      </c>
      <c r="J35" t="s">
        <v>1974</v>
      </c>
      <c r="K35" s="3">
        <v>46387</v>
      </c>
      <c r="L35" s="5">
        <v>7200</v>
      </c>
      <c r="M35" s="5">
        <v>600</v>
      </c>
      <c r="N35" s="5">
        <v>600</v>
      </c>
      <c r="O35" s="5">
        <v>600</v>
      </c>
      <c r="P35" s="5">
        <v>600</v>
      </c>
      <c r="Q35" s="5">
        <v>600</v>
      </c>
      <c r="R35" s="5">
        <v>600</v>
      </c>
      <c r="S35" s="5">
        <v>600</v>
      </c>
      <c r="T35" s="5">
        <v>600</v>
      </c>
      <c r="U35" s="5">
        <v>600</v>
      </c>
      <c r="V35" s="5">
        <v>600</v>
      </c>
      <c r="W35" s="5">
        <v>600</v>
      </c>
      <c r="X35" s="5">
        <v>600</v>
      </c>
      <c r="Y35" s="5">
        <v>600</v>
      </c>
    </row>
    <row r="36" spans="1:25" x14ac:dyDescent="0.25">
      <c r="A36" t="s">
        <v>1887</v>
      </c>
      <c r="B36" t="s">
        <v>1888</v>
      </c>
      <c r="C36" t="s">
        <v>1889</v>
      </c>
      <c r="D36">
        <v>6074202400099150</v>
      </c>
      <c r="E36" t="s">
        <v>2471</v>
      </c>
      <c r="F36" t="s">
        <v>1900</v>
      </c>
      <c r="G36" t="s">
        <v>1901</v>
      </c>
      <c r="H36" t="s">
        <v>1970</v>
      </c>
      <c r="I36" t="s">
        <v>1975</v>
      </c>
      <c r="J36" t="s">
        <v>1976</v>
      </c>
      <c r="K36" s="3">
        <v>46387</v>
      </c>
      <c r="L36" s="5">
        <v>240000</v>
      </c>
      <c r="M36" s="5">
        <v>20000</v>
      </c>
      <c r="N36" s="5">
        <v>20000</v>
      </c>
      <c r="O36" s="5">
        <v>20000</v>
      </c>
      <c r="P36" s="5">
        <v>20000</v>
      </c>
      <c r="Q36" s="5">
        <v>20000</v>
      </c>
      <c r="R36" s="5">
        <v>20000</v>
      </c>
      <c r="S36" s="5">
        <v>20000</v>
      </c>
      <c r="T36" s="5">
        <v>20000</v>
      </c>
      <c r="U36" s="5">
        <v>20000</v>
      </c>
      <c r="V36" s="5">
        <v>20000</v>
      </c>
      <c r="W36" s="5">
        <v>20000</v>
      </c>
      <c r="X36" s="5">
        <v>20000</v>
      </c>
      <c r="Y36" s="5">
        <v>20000</v>
      </c>
    </row>
    <row r="37" spans="1:25" x14ac:dyDescent="0.25">
      <c r="A37" t="s">
        <v>1887</v>
      </c>
      <c r="B37" t="s">
        <v>1888</v>
      </c>
      <c r="C37" t="s">
        <v>1889</v>
      </c>
      <c r="D37">
        <v>6074202500001940</v>
      </c>
      <c r="E37" t="s">
        <v>2471</v>
      </c>
      <c r="F37" t="s">
        <v>1977</v>
      </c>
      <c r="G37" t="s">
        <v>1901</v>
      </c>
      <c r="H37" t="s">
        <v>493</v>
      </c>
      <c r="I37" t="s">
        <v>1978</v>
      </c>
      <c r="J37" t="s">
        <v>1979</v>
      </c>
      <c r="K37" s="3">
        <v>46387</v>
      </c>
      <c r="L37" s="5">
        <v>7500</v>
      </c>
      <c r="M37" s="5"/>
      <c r="N37" s="5"/>
      <c r="O37" s="5">
        <v>7500</v>
      </c>
      <c r="P37" s="5"/>
      <c r="Q37" s="5"/>
      <c r="R37" s="5"/>
      <c r="S37" s="5"/>
      <c r="T37" s="5"/>
      <c r="U37" s="5"/>
      <c r="V37" s="5"/>
      <c r="W37" s="5"/>
      <c r="X37" s="5"/>
      <c r="Y37" s="5"/>
    </row>
    <row r="38" spans="1:25" x14ac:dyDescent="0.25">
      <c r="A38" t="s">
        <v>1887</v>
      </c>
      <c r="B38" t="s">
        <v>1888</v>
      </c>
      <c r="C38" t="s">
        <v>1889</v>
      </c>
      <c r="D38">
        <v>6074202500012870</v>
      </c>
      <c r="E38" t="s">
        <v>2471</v>
      </c>
      <c r="F38" t="s">
        <v>1900</v>
      </c>
      <c r="G38" t="s">
        <v>1901</v>
      </c>
      <c r="I38" t="s">
        <v>1980</v>
      </c>
      <c r="J38" t="s">
        <v>1981</v>
      </c>
      <c r="K38" s="3"/>
      <c r="L38" s="5">
        <v>15000</v>
      </c>
      <c r="M38" s="5"/>
      <c r="N38" s="5"/>
      <c r="O38" s="5"/>
      <c r="P38" s="5">
        <v>15000</v>
      </c>
      <c r="Q38" s="5"/>
      <c r="R38" s="5"/>
      <c r="S38" s="5"/>
      <c r="T38" s="5"/>
      <c r="U38" s="5"/>
      <c r="V38" s="5"/>
      <c r="W38" s="5"/>
      <c r="X38" s="5"/>
      <c r="Y38" s="5"/>
    </row>
    <row r="39" spans="1:25" x14ac:dyDescent="0.25">
      <c r="A39" t="s">
        <v>1887</v>
      </c>
      <c r="B39" t="s">
        <v>1888</v>
      </c>
      <c r="C39" t="s">
        <v>1889</v>
      </c>
      <c r="D39">
        <v>6074202500013480</v>
      </c>
      <c r="E39" t="s">
        <v>2472</v>
      </c>
      <c r="F39" t="s">
        <v>1982</v>
      </c>
      <c r="G39" t="s">
        <v>1901</v>
      </c>
      <c r="H39" t="s">
        <v>1983</v>
      </c>
      <c r="I39" t="s">
        <v>1984</v>
      </c>
      <c r="J39" t="s">
        <v>1985</v>
      </c>
      <c r="K39" s="3">
        <v>46236</v>
      </c>
      <c r="L39" s="5">
        <v>540504.6</v>
      </c>
      <c r="M39" s="5">
        <v>45042.05</v>
      </c>
      <c r="N39" s="5">
        <v>45042.05</v>
      </c>
      <c r="O39" s="5">
        <v>45042.05</v>
      </c>
      <c r="P39" s="5">
        <v>45042.05</v>
      </c>
      <c r="Q39" s="5">
        <v>45042.05</v>
      </c>
      <c r="R39" s="5">
        <v>45042.05</v>
      </c>
      <c r="S39" s="5">
        <v>45042.05</v>
      </c>
      <c r="T39" s="5">
        <v>45042.05</v>
      </c>
      <c r="U39" s="5">
        <v>45042.05</v>
      </c>
      <c r="V39" s="5">
        <v>45042.05</v>
      </c>
      <c r="W39" s="5">
        <v>45042.05</v>
      </c>
      <c r="X39" s="5">
        <v>45042.05</v>
      </c>
      <c r="Y39" s="5">
        <v>45042.05</v>
      </c>
    </row>
    <row r="40" spans="1:25" x14ac:dyDescent="0.25">
      <c r="A40" t="s">
        <v>1887</v>
      </c>
      <c r="B40" t="s">
        <v>1888</v>
      </c>
      <c r="C40" t="s">
        <v>1889</v>
      </c>
      <c r="D40">
        <v>6074202500013490</v>
      </c>
      <c r="E40" t="s">
        <v>2472</v>
      </c>
      <c r="F40" t="s">
        <v>1900</v>
      </c>
      <c r="G40" t="s">
        <v>1901</v>
      </c>
      <c r="H40" t="s">
        <v>1986</v>
      </c>
      <c r="I40" t="s">
        <v>1987</v>
      </c>
      <c r="J40" t="s">
        <v>1988</v>
      </c>
      <c r="K40" s="3" t="s">
        <v>1989</v>
      </c>
      <c r="L40" s="5">
        <v>1239383.04</v>
      </c>
      <c r="M40" s="5">
        <v>103281.92</v>
      </c>
      <c r="N40" s="5">
        <v>103281.92</v>
      </c>
      <c r="O40" s="5">
        <v>103281.92</v>
      </c>
      <c r="P40" s="5">
        <v>103281.92</v>
      </c>
      <c r="Q40" s="5">
        <v>103281.92</v>
      </c>
      <c r="R40" s="5">
        <v>103281.92</v>
      </c>
      <c r="S40" s="5">
        <v>103281.92</v>
      </c>
      <c r="T40" s="5">
        <v>103281.92</v>
      </c>
      <c r="U40" s="5">
        <v>103281.92</v>
      </c>
      <c r="V40" s="5">
        <v>103281.92</v>
      </c>
      <c r="W40" s="5">
        <v>103281.92</v>
      </c>
      <c r="X40" s="5">
        <v>103281.92</v>
      </c>
      <c r="Y40" s="5">
        <v>103281.92</v>
      </c>
    </row>
    <row r="41" spans="1:25" x14ac:dyDescent="0.25">
      <c r="A41" t="s">
        <v>1887</v>
      </c>
      <c r="B41" t="s">
        <v>1888</v>
      </c>
      <c r="C41" t="s">
        <v>1889</v>
      </c>
      <c r="D41">
        <v>6074202500013490</v>
      </c>
      <c r="E41" t="s">
        <v>2472</v>
      </c>
      <c r="F41" t="s">
        <v>1977</v>
      </c>
      <c r="G41" t="s">
        <v>1901</v>
      </c>
      <c r="H41" t="s">
        <v>1986</v>
      </c>
      <c r="I41" t="s">
        <v>1990</v>
      </c>
      <c r="J41" t="s">
        <v>1988</v>
      </c>
      <c r="K41" s="3" t="s">
        <v>1989</v>
      </c>
      <c r="L41" s="5">
        <v>309845.76000000001</v>
      </c>
      <c r="M41" s="5">
        <v>25820.48</v>
      </c>
      <c r="N41" s="5">
        <v>25820.48</v>
      </c>
      <c r="O41" s="5">
        <v>25820.48</v>
      </c>
      <c r="P41" s="5">
        <v>25820.48</v>
      </c>
      <c r="Q41" s="5">
        <v>25820.48</v>
      </c>
      <c r="R41" s="5">
        <v>25820.48</v>
      </c>
      <c r="S41" s="5">
        <v>25820.48</v>
      </c>
      <c r="T41" s="5">
        <v>25820.48</v>
      </c>
      <c r="U41" s="5">
        <v>25820.48</v>
      </c>
      <c r="V41" s="5">
        <v>25820.48</v>
      </c>
      <c r="W41" s="5">
        <v>25820.48</v>
      </c>
      <c r="X41" s="5">
        <v>25820.48</v>
      </c>
      <c r="Y41" s="5">
        <v>25820.48</v>
      </c>
    </row>
    <row r="42" spans="1:25" x14ac:dyDescent="0.25">
      <c r="A42" t="s">
        <v>1887</v>
      </c>
      <c r="B42" t="s">
        <v>1888</v>
      </c>
      <c r="C42" t="s">
        <v>1889</v>
      </c>
      <c r="D42">
        <v>6074202500013490</v>
      </c>
      <c r="E42" t="s">
        <v>2472</v>
      </c>
      <c r="F42" t="s">
        <v>1977</v>
      </c>
      <c r="G42" t="s">
        <v>1901</v>
      </c>
      <c r="H42" t="s">
        <v>1986</v>
      </c>
      <c r="I42" t="s">
        <v>1991</v>
      </c>
      <c r="J42" t="s">
        <v>1992</v>
      </c>
      <c r="K42" s="3" t="s">
        <v>1989</v>
      </c>
      <c r="L42" s="5">
        <v>113336</v>
      </c>
      <c r="M42" s="5">
        <v>9444.67</v>
      </c>
      <c r="N42" s="5">
        <v>9140</v>
      </c>
      <c r="O42" s="5">
        <v>9140</v>
      </c>
      <c r="P42" s="5">
        <v>9140</v>
      </c>
      <c r="Q42" s="5">
        <v>9140</v>
      </c>
      <c r="R42" s="5">
        <v>9140</v>
      </c>
      <c r="S42" s="5">
        <v>9140</v>
      </c>
      <c r="T42" s="5">
        <v>9140</v>
      </c>
      <c r="U42" s="5">
        <v>9871.2000000000007</v>
      </c>
      <c r="V42" s="5">
        <v>9871.2000000000007</v>
      </c>
      <c r="W42" s="5">
        <v>9871.2000000000007</v>
      </c>
      <c r="X42" s="5">
        <v>9871.2000000000007</v>
      </c>
      <c r="Y42" s="5">
        <v>9871.2000000000007</v>
      </c>
    </row>
    <row r="43" spans="1:25" x14ac:dyDescent="0.25">
      <c r="A43" t="s">
        <v>1887</v>
      </c>
      <c r="B43" t="s">
        <v>1888</v>
      </c>
      <c r="C43" t="s">
        <v>1889</v>
      </c>
      <c r="D43">
        <v>6074202500046380</v>
      </c>
      <c r="E43" t="s">
        <v>2472</v>
      </c>
      <c r="F43" t="s">
        <v>1900</v>
      </c>
      <c r="G43" t="s">
        <v>1901</v>
      </c>
      <c r="H43" t="s">
        <v>1993</v>
      </c>
      <c r="I43" t="s">
        <v>1994</v>
      </c>
      <c r="J43" t="s">
        <v>1995</v>
      </c>
      <c r="K43" s="3">
        <v>46238</v>
      </c>
      <c r="L43" s="5">
        <v>94649.52</v>
      </c>
      <c r="M43" s="5">
        <v>9140</v>
      </c>
      <c r="N43" s="5">
        <v>9140</v>
      </c>
      <c r="O43" s="5">
        <v>9140</v>
      </c>
      <c r="P43" s="5">
        <v>9140</v>
      </c>
      <c r="Q43" s="5">
        <v>9140</v>
      </c>
      <c r="R43" s="5">
        <v>9140</v>
      </c>
      <c r="S43" s="5">
        <v>9140</v>
      </c>
      <c r="T43" s="5">
        <v>9140</v>
      </c>
      <c r="U43" s="5">
        <v>9871.2000000000007</v>
      </c>
      <c r="V43" s="5">
        <v>9871.2000000000007</v>
      </c>
      <c r="W43" s="5">
        <v>9871.2000000000007</v>
      </c>
      <c r="X43" s="5">
        <v>9871.2000000000007</v>
      </c>
      <c r="Y43" s="5">
        <v>9871.2000000000007</v>
      </c>
    </row>
    <row r="44" spans="1:25" x14ac:dyDescent="0.25">
      <c r="A44" t="s">
        <v>1887</v>
      </c>
      <c r="B44" t="s">
        <v>1888</v>
      </c>
      <c r="C44" t="s">
        <v>1889</v>
      </c>
      <c r="D44">
        <v>6074202500047180</v>
      </c>
      <c r="E44" t="s">
        <v>2472</v>
      </c>
      <c r="F44" t="s">
        <v>1900</v>
      </c>
      <c r="G44" t="s">
        <v>1901</v>
      </c>
      <c r="H44" t="s">
        <v>1986</v>
      </c>
      <c r="I44" t="s">
        <v>1996</v>
      </c>
      <c r="J44" t="s">
        <v>1997</v>
      </c>
      <c r="K44" s="3" t="s">
        <v>1989</v>
      </c>
      <c r="L44" s="5">
        <v>113336</v>
      </c>
      <c r="M44" s="5">
        <v>9444.67</v>
      </c>
      <c r="N44" s="5">
        <v>9140</v>
      </c>
      <c r="O44" s="5">
        <v>9140</v>
      </c>
      <c r="P44" s="5">
        <v>9140</v>
      </c>
      <c r="Q44" s="5">
        <v>9140</v>
      </c>
      <c r="R44" s="5">
        <v>9140</v>
      </c>
      <c r="S44" s="5">
        <v>9140</v>
      </c>
      <c r="T44" s="5">
        <v>9140</v>
      </c>
      <c r="U44" s="5">
        <v>9871.2000000000007</v>
      </c>
      <c r="V44" s="5">
        <v>9871.2000000000007</v>
      </c>
      <c r="W44" s="5">
        <v>9871.2000000000007</v>
      </c>
      <c r="X44" s="5">
        <v>9871.2000000000007</v>
      </c>
      <c r="Y44" s="5">
        <v>9871.2000000000007</v>
      </c>
    </row>
    <row r="45" spans="1:25" x14ac:dyDescent="0.25">
      <c r="A45" t="s">
        <v>1887</v>
      </c>
      <c r="B45" t="s">
        <v>1888</v>
      </c>
      <c r="C45" t="s">
        <v>1889</v>
      </c>
      <c r="D45" t="s">
        <v>2463</v>
      </c>
      <c r="E45" t="s">
        <v>2472</v>
      </c>
      <c r="F45" t="s">
        <v>1977</v>
      </c>
      <c r="G45" t="s">
        <v>1901</v>
      </c>
      <c r="H45" t="s">
        <v>1986</v>
      </c>
      <c r="I45" t="s">
        <v>1998</v>
      </c>
      <c r="J45" t="s">
        <v>1999</v>
      </c>
      <c r="K45" s="3" t="s">
        <v>1989</v>
      </c>
      <c r="L45" s="5">
        <v>200000</v>
      </c>
      <c r="M45" s="5">
        <v>200000</v>
      </c>
      <c r="N45" s="5"/>
      <c r="O45" s="5">
        <v>200000</v>
      </c>
      <c r="P45" s="5"/>
      <c r="Q45" s="5"/>
      <c r="R45" s="5"/>
      <c r="S45" s="5"/>
      <c r="T45" s="5"/>
      <c r="U45" s="5"/>
      <c r="V45" s="5"/>
      <c r="W45" s="5"/>
      <c r="X45" s="5"/>
      <c r="Y45" s="5"/>
    </row>
    <row r="46" spans="1:25" x14ac:dyDescent="0.25">
      <c r="A46" t="s">
        <v>1887</v>
      </c>
      <c r="B46" t="s">
        <v>1888</v>
      </c>
      <c r="C46" t="s">
        <v>1889</v>
      </c>
      <c r="D46" t="s">
        <v>2463</v>
      </c>
      <c r="E46" t="s">
        <v>2472</v>
      </c>
      <c r="F46" t="s">
        <v>1977</v>
      </c>
      <c r="G46" t="s">
        <v>1901</v>
      </c>
      <c r="H46" t="s">
        <v>1986</v>
      </c>
      <c r="I46" t="s">
        <v>2000</v>
      </c>
      <c r="J46" t="s">
        <v>1999</v>
      </c>
      <c r="K46" s="3" t="s">
        <v>1989</v>
      </c>
      <c r="L46" s="5">
        <v>30000</v>
      </c>
      <c r="M46" s="5">
        <v>65000</v>
      </c>
      <c r="N46" s="5"/>
      <c r="O46" s="5">
        <v>65000</v>
      </c>
      <c r="P46" s="5"/>
      <c r="Q46" s="5"/>
      <c r="R46" s="5"/>
      <c r="S46" s="5"/>
      <c r="T46" s="5"/>
      <c r="U46" s="5"/>
      <c r="V46" s="5"/>
      <c r="W46" s="5"/>
      <c r="X46" s="5"/>
      <c r="Y46" s="5"/>
    </row>
    <row r="47" spans="1:25" x14ac:dyDescent="0.25">
      <c r="A47" t="s">
        <v>1887</v>
      </c>
      <c r="B47" t="s">
        <v>1888</v>
      </c>
      <c r="C47" t="s">
        <v>1889</v>
      </c>
      <c r="D47" t="s">
        <v>2463</v>
      </c>
      <c r="E47" t="s">
        <v>2472</v>
      </c>
      <c r="F47" t="s">
        <v>1977</v>
      </c>
      <c r="G47" t="s">
        <v>1901</v>
      </c>
      <c r="H47" t="s">
        <v>1986</v>
      </c>
      <c r="I47" t="s">
        <v>2001</v>
      </c>
      <c r="J47" t="s">
        <v>1999</v>
      </c>
      <c r="K47" s="3" t="s">
        <v>1989</v>
      </c>
      <c r="L47" s="5">
        <v>30000</v>
      </c>
      <c r="M47" s="5">
        <v>30000</v>
      </c>
      <c r="N47" s="5"/>
      <c r="O47" s="5">
        <v>30000</v>
      </c>
      <c r="P47" s="5"/>
      <c r="Q47" s="5"/>
      <c r="R47" s="5"/>
      <c r="S47" s="5"/>
      <c r="T47" s="5"/>
      <c r="U47" s="5"/>
      <c r="V47" s="5"/>
      <c r="W47" s="5"/>
      <c r="X47" s="5"/>
      <c r="Y47" s="5"/>
    </row>
    <row r="48" spans="1:25" x14ac:dyDescent="0.25">
      <c r="A48" t="s">
        <v>1887</v>
      </c>
      <c r="B48" t="s">
        <v>1888</v>
      </c>
      <c r="C48" t="s">
        <v>1889</v>
      </c>
      <c r="D48" t="s">
        <v>2463</v>
      </c>
      <c r="E48" t="s">
        <v>2472</v>
      </c>
      <c r="F48" t="s">
        <v>1977</v>
      </c>
      <c r="G48" t="s">
        <v>1901</v>
      </c>
      <c r="H48" t="s">
        <v>1986</v>
      </c>
      <c r="I48" t="s">
        <v>2002</v>
      </c>
      <c r="J48" t="s">
        <v>1999</v>
      </c>
      <c r="K48" s="3" t="s">
        <v>1989</v>
      </c>
      <c r="L48" s="5">
        <v>20000</v>
      </c>
      <c r="M48" s="5">
        <v>20000</v>
      </c>
      <c r="N48" s="5"/>
      <c r="O48" s="5">
        <v>30000</v>
      </c>
      <c r="P48" s="5"/>
      <c r="Q48" s="5"/>
      <c r="R48" s="5"/>
      <c r="S48" s="5"/>
      <c r="T48" s="5"/>
      <c r="U48" s="5"/>
      <c r="V48" s="5"/>
      <c r="W48" s="5"/>
      <c r="X48" s="5"/>
      <c r="Y48" s="5"/>
    </row>
    <row r="49" spans="1:25" x14ac:dyDescent="0.25">
      <c r="A49" t="s">
        <v>1887</v>
      </c>
      <c r="B49" t="s">
        <v>1888</v>
      </c>
      <c r="C49" t="s">
        <v>1889</v>
      </c>
      <c r="D49" t="s">
        <v>2463</v>
      </c>
      <c r="E49" t="s">
        <v>2472</v>
      </c>
      <c r="F49" t="s">
        <v>1977</v>
      </c>
      <c r="G49" t="s">
        <v>1901</v>
      </c>
      <c r="H49" t="s">
        <v>1986</v>
      </c>
      <c r="I49" t="s">
        <v>2003</v>
      </c>
      <c r="J49" t="s">
        <v>1999</v>
      </c>
      <c r="K49" s="3" t="s">
        <v>1989</v>
      </c>
      <c r="L49" s="5">
        <v>10000</v>
      </c>
      <c r="M49" s="5">
        <v>10000</v>
      </c>
      <c r="N49" s="5"/>
      <c r="O49" s="5"/>
      <c r="P49" s="5"/>
      <c r="Q49" s="5"/>
      <c r="R49" s="5"/>
      <c r="S49" s="5"/>
      <c r="T49" s="5"/>
      <c r="U49" s="5"/>
      <c r="V49" s="5"/>
      <c r="W49" s="5"/>
      <c r="X49" s="5"/>
      <c r="Y49" s="5"/>
    </row>
    <row r="50" spans="1:25" x14ac:dyDescent="0.25">
      <c r="A50" t="s">
        <v>1887</v>
      </c>
      <c r="B50" t="s">
        <v>1888</v>
      </c>
      <c r="C50" t="s">
        <v>1889</v>
      </c>
      <c r="D50" t="s">
        <v>2463</v>
      </c>
      <c r="E50" t="s">
        <v>2472</v>
      </c>
      <c r="F50" t="s">
        <v>1977</v>
      </c>
      <c r="G50" t="s">
        <v>1901</v>
      </c>
      <c r="H50" t="s">
        <v>1986</v>
      </c>
      <c r="I50" t="s">
        <v>2004</v>
      </c>
      <c r="J50" t="s">
        <v>1999</v>
      </c>
      <c r="K50" s="3" t="s">
        <v>1989</v>
      </c>
      <c r="L50" s="5">
        <v>100000</v>
      </c>
      <c r="M50" s="5">
        <v>100000</v>
      </c>
      <c r="N50" s="5"/>
      <c r="O50" s="5">
        <v>30000</v>
      </c>
      <c r="P50" s="5"/>
      <c r="Q50" s="5"/>
      <c r="R50" s="5">
        <v>30000</v>
      </c>
      <c r="S50" s="5"/>
      <c r="T50" s="5"/>
      <c r="U50" s="5"/>
      <c r="V50" s="5">
        <v>40000</v>
      </c>
      <c r="W50" s="5"/>
      <c r="X50" s="5"/>
      <c r="Y50" s="5"/>
    </row>
    <row r="51" spans="1:25" x14ac:dyDescent="0.25">
      <c r="A51" t="s">
        <v>1887</v>
      </c>
      <c r="B51" t="s">
        <v>1888</v>
      </c>
      <c r="C51" t="s">
        <v>1889</v>
      </c>
      <c r="D51" t="s">
        <v>2463</v>
      </c>
      <c r="E51" t="s">
        <v>2472</v>
      </c>
      <c r="F51" t="s">
        <v>1977</v>
      </c>
      <c r="G51" t="s">
        <v>1901</v>
      </c>
      <c r="H51" t="s">
        <v>1986</v>
      </c>
      <c r="I51" t="s">
        <v>2005</v>
      </c>
      <c r="J51" t="s">
        <v>1999</v>
      </c>
      <c r="K51" s="3" t="s">
        <v>1989</v>
      </c>
      <c r="L51" s="5">
        <v>10000</v>
      </c>
      <c r="M51" s="5">
        <v>10000</v>
      </c>
      <c r="N51" s="5"/>
      <c r="O51" s="5"/>
      <c r="P51" s="5"/>
      <c r="Q51" s="5">
        <v>10000</v>
      </c>
      <c r="R51" s="5"/>
      <c r="S51" s="5"/>
      <c r="T51" s="5"/>
      <c r="U51" s="5"/>
      <c r="V51" s="5"/>
      <c r="W51" s="5"/>
      <c r="X51" s="5"/>
      <c r="Y51" s="5"/>
    </row>
    <row r="52" spans="1:25" x14ac:dyDescent="0.25">
      <c r="A52" t="s">
        <v>1887</v>
      </c>
      <c r="B52" t="s">
        <v>1888</v>
      </c>
      <c r="C52" t="s">
        <v>1889</v>
      </c>
      <c r="D52" t="s">
        <v>2006</v>
      </c>
      <c r="E52" t="s">
        <v>2472</v>
      </c>
      <c r="F52" t="s">
        <v>2007</v>
      </c>
      <c r="G52" t="s">
        <v>1901</v>
      </c>
      <c r="H52" t="s">
        <v>2006</v>
      </c>
      <c r="I52" t="s">
        <v>2006</v>
      </c>
      <c r="J52" t="s">
        <v>2006</v>
      </c>
      <c r="K52" s="3">
        <v>46387</v>
      </c>
      <c r="L52" s="5">
        <v>252000</v>
      </c>
      <c r="M52" s="5">
        <v>21000</v>
      </c>
      <c r="N52" s="5">
        <v>21000</v>
      </c>
      <c r="O52" s="5">
        <v>21000</v>
      </c>
      <c r="P52" s="5">
        <v>21000</v>
      </c>
      <c r="Q52" s="5">
        <v>21000</v>
      </c>
      <c r="R52" s="5">
        <v>21000</v>
      </c>
      <c r="S52" s="5">
        <v>21000</v>
      </c>
      <c r="T52" s="5">
        <v>21000</v>
      </c>
      <c r="U52" s="5">
        <v>21000</v>
      </c>
      <c r="V52" s="5">
        <v>21000</v>
      </c>
      <c r="W52" s="5">
        <v>21000</v>
      </c>
      <c r="X52" s="5">
        <v>21000</v>
      </c>
      <c r="Y52" s="5">
        <v>21000</v>
      </c>
    </row>
    <row r="53" spans="1:25" x14ac:dyDescent="0.25">
      <c r="A53" t="s">
        <v>1887</v>
      </c>
      <c r="B53" t="s">
        <v>1888</v>
      </c>
      <c r="C53" t="s">
        <v>1889</v>
      </c>
      <c r="D53">
        <v>6074202300008030</v>
      </c>
      <c r="E53" t="s">
        <v>2471</v>
      </c>
      <c r="F53" t="s">
        <v>2008</v>
      </c>
      <c r="G53" t="s">
        <v>2009</v>
      </c>
      <c r="H53" t="s">
        <v>1902</v>
      </c>
      <c r="I53" t="s">
        <v>2010</v>
      </c>
      <c r="J53" t="s">
        <v>1904</v>
      </c>
      <c r="K53" s="3">
        <v>46249</v>
      </c>
      <c r="L53" s="5">
        <v>319964.28000000003</v>
      </c>
      <c r="M53" s="5">
        <v>26663.69</v>
      </c>
      <c r="N53" s="5">
        <v>26663.69</v>
      </c>
      <c r="O53" s="5">
        <v>26663.69</v>
      </c>
      <c r="P53" s="5">
        <v>26663.69</v>
      </c>
      <c r="Q53" s="5">
        <v>26663.69</v>
      </c>
      <c r="R53" s="5">
        <v>26663.69</v>
      </c>
      <c r="S53" s="5">
        <v>28691.94</v>
      </c>
      <c r="T53" s="5">
        <v>28691.94</v>
      </c>
      <c r="U53" s="5">
        <v>32310.92</v>
      </c>
      <c r="V53" s="5">
        <v>32310.92</v>
      </c>
      <c r="W53" s="5">
        <v>32310.92</v>
      </c>
      <c r="X53" s="5">
        <v>32310.92</v>
      </c>
      <c r="Y53" s="5">
        <v>32310.92</v>
      </c>
    </row>
    <row r="54" spans="1:25" x14ac:dyDescent="0.25">
      <c r="A54" t="s">
        <v>1887</v>
      </c>
      <c r="B54" t="s">
        <v>1888</v>
      </c>
      <c r="C54" t="s">
        <v>1889</v>
      </c>
      <c r="D54">
        <v>6074201800009400</v>
      </c>
      <c r="E54" t="s">
        <v>2471</v>
      </c>
      <c r="F54" t="s">
        <v>2008</v>
      </c>
      <c r="G54" t="s">
        <v>2009</v>
      </c>
      <c r="H54" t="s">
        <v>677</v>
      </c>
      <c r="I54" t="s">
        <v>2011</v>
      </c>
      <c r="J54" t="s">
        <v>2012</v>
      </c>
      <c r="K54" s="3">
        <v>46066</v>
      </c>
      <c r="L54" s="5">
        <v>15254.96</v>
      </c>
      <c r="M54" s="5">
        <v>1278.25</v>
      </c>
      <c r="N54" s="5">
        <v>1194.21</v>
      </c>
      <c r="O54" s="5">
        <v>1278.25</v>
      </c>
      <c r="P54" s="5">
        <v>1278.25</v>
      </c>
      <c r="Q54" s="5">
        <v>1278.25</v>
      </c>
      <c r="R54" s="5">
        <v>1278.25</v>
      </c>
      <c r="S54" s="5">
        <v>1278.25</v>
      </c>
      <c r="T54" s="5">
        <v>1278.25</v>
      </c>
      <c r="U54" s="5">
        <v>1278.25</v>
      </c>
      <c r="V54" s="5">
        <v>1278.25</v>
      </c>
      <c r="W54" s="5">
        <v>1278.25</v>
      </c>
      <c r="X54" s="5">
        <v>1278.25</v>
      </c>
      <c r="Y54" s="5">
        <v>1278.25</v>
      </c>
    </row>
    <row r="55" spans="1:25" x14ac:dyDescent="0.25">
      <c r="A55" t="s">
        <v>1887</v>
      </c>
      <c r="B55" t="s">
        <v>1888</v>
      </c>
      <c r="C55" t="s">
        <v>1889</v>
      </c>
      <c r="D55">
        <v>6074202000023030</v>
      </c>
      <c r="E55" t="s">
        <v>2471</v>
      </c>
      <c r="F55" t="s">
        <v>2008</v>
      </c>
      <c r="G55" t="s">
        <v>2009</v>
      </c>
      <c r="H55" t="s">
        <v>793</v>
      </c>
      <c r="I55" t="s">
        <v>2013</v>
      </c>
      <c r="J55" t="s">
        <v>2014</v>
      </c>
      <c r="K55" s="3">
        <v>46274</v>
      </c>
      <c r="L55" s="5">
        <v>256216.44</v>
      </c>
      <c r="M55" s="5">
        <v>22180.41</v>
      </c>
      <c r="N55" s="5">
        <v>20936.849999999999</v>
      </c>
      <c r="O55" s="5">
        <v>20936.849999999999</v>
      </c>
      <c r="P55" s="5">
        <v>20936.849999999999</v>
      </c>
      <c r="Q55" s="5">
        <v>20936.849999999999</v>
      </c>
      <c r="R55" s="5">
        <v>20936.849999999999</v>
      </c>
      <c r="S55" s="5">
        <v>20936.849999999999</v>
      </c>
      <c r="T55" s="5">
        <v>20936.849999999999</v>
      </c>
      <c r="U55" s="5">
        <v>20936.849999999999</v>
      </c>
      <c r="V55" s="5">
        <v>22180.41</v>
      </c>
      <c r="W55" s="5">
        <v>22180.41</v>
      </c>
      <c r="X55" s="5">
        <v>22180.41</v>
      </c>
      <c r="Y55" s="5">
        <v>22180.41</v>
      </c>
    </row>
    <row r="56" spans="1:25" x14ac:dyDescent="0.25">
      <c r="A56" t="s">
        <v>1887</v>
      </c>
      <c r="B56" t="s">
        <v>1888</v>
      </c>
      <c r="C56" t="s">
        <v>1889</v>
      </c>
      <c r="D56">
        <v>6074202000029570</v>
      </c>
      <c r="E56" t="s">
        <v>2471</v>
      </c>
      <c r="F56" t="s">
        <v>2008</v>
      </c>
      <c r="G56" t="s">
        <v>2009</v>
      </c>
      <c r="H56" t="s">
        <v>810</v>
      </c>
      <c r="I56" t="s">
        <v>2015</v>
      </c>
      <c r="J56" t="s">
        <v>2016</v>
      </c>
      <c r="K56" s="3">
        <v>46296</v>
      </c>
      <c r="L56" s="5">
        <v>211664.52</v>
      </c>
      <c r="M56" s="5">
        <v>18418.71</v>
      </c>
      <c r="N56" s="5">
        <v>17378.71</v>
      </c>
      <c r="O56" s="5">
        <v>17378.71</v>
      </c>
      <c r="P56" s="5">
        <v>17378.71</v>
      </c>
      <c r="Q56" s="5">
        <v>17378.71</v>
      </c>
      <c r="R56" s="5">
        <v>17378.71</v>
      </c>
      <c r="S56" s="5">
        <v>17378.71</v>
      </c>
      <c r="T56" s="5">
        <v>17378.71</v>
      </c>
      <c r="U56" s="5">
        <v>17378.71</v>
      </c>
      <c r="V56" s="5">
        <v>17378.71</v>
      </c>
      <c r="W56" s="5">
        <v>18418.71</v>
      </c>
      <c r="X56" s="5">
        <v>18418.71</v>
      </c>
      <c r="Y56" s="5">
        <v>18418.71</v>
      </c>
    </row>
    <row r="57" spans="1:25" x14ac:dyDescent="0.25">
      <c r="A57" t="s">
        <v>1887</v>
      </c>
      <c r="B57" t="s">
        <v>1888</v>
      </c>
      <c r="C57" t="s">
        <v>1889</v>
      </c>
      <c r="D57">
        <v>6074202000030460</v>
      </c>
      <c r="E57" t="s">
        <v>2471</v>
      </c>
      <c r="F57" t="s">
        <v>2008</v>
      </c>
      <c r="G57" t="s">
        <v>2009</v>
      </c>
      <c r="H57" t="s">
        <v>750</v>
      </c>
      <c r="I57" t="s">
        <v>2017</v>
      </c>
      <c r="J57" t="s">
        <v>2018</v>
      </c>
      <c r="K57" s="3">
        <v>46247</v>
      </c>
      <c r="L57" s="5">
        <v>11414.4</v>
      </c>
      <c r="M57" s="5">
        <v>1582.88</v>
      </c>
      <c r="N57" s="5">
        <v>500</v>
      </c>
      <c r="O57" s="5">
        <v>500</v>
      </c>
      <c r="P57" s="5">
        <v>500</v>
      </c>
      <c r="Q57" s="5">
        <v>500</v>
      </c>
      <c r="R57" s="5">
        <v>500</v>
      </c>
      <c r="S57" s="5">
        <v>500</v>
      </c>
      <c r="T57" s="5">
        <v>500</v>
      </c>
      <c r="U57" s="5">
        <v>1582.88</v>
      </c>
      <c r="V57" s="5">
        <v>1582.88</v>
      </c>
      <c r="W57" s="5">
        <v>1582.88</v>
      </c>
      <c r="X57" s="5">
        <v>1582.88</v>
      </c>
      <c r="Y57" s="5">
        <v>1582.88</v>
      </c>
    </row>
    <row r="58" spans="1:25" x14ac:dyDescent="0.25">
      <c r="A58" t="s">
        <v>1887</v>
      </c>
      <c r="B58" t="s">
        <v>1888</v>
      </c>
      <c r="C58" t="s">
        <v>1889</v>
      </c>
      <c r="D58">
        <v>6074202300013730</v>
      </c>
      <c r="E58" t="s">
        <v>2471</v>
      </c>
      <c r="F58" t="s">
        <v>2008</v>
      </c>
      <c r="G58" t="s">
        <v>2009</v>
      </c>
      <c r="H58" t="s">
        <v>2019</v>
      </c>
      <c r="I58" t="s">
        <v>2020</v>
      </c>
      <c r="J58" t="s">
        <v>1930</v>
      </c>
      <c r="K58" s="3">
        <v>46149</v>
      </c>
      <c r="L58" s="5">
        <v>691.2</v>
      </c>
      <c r="M58" s="5" t="s">
        <v>1908</v>
      </c>
      <c r="N58" s="5"/>
      <c r="O58" s="5">
        <v>345.6</v>
      </c>
      <c r="P58" s="5" t="s">
        <v>1908</v>
      </c>
      <c r="Q58" s="5" t="s">
        <v>1909</v>
      </c>
      <c r="R58" s="5" t="s">
        <v>1909</v>
      </c>
      <c r="S58" s="5" t="s">
        <v>1909</v>
      </c>
      <c r="T58" s="5">
        <v>691.2</v>
      </c>
      <c r="U58" s="5" t="s">
        <v>1908</v>
      </c>
      <c r="V58" s="5" t="s">
        <v>1909</v>
      </c>
      <c r="W58" s="5" t="s">
        <v>1909</v>
      </c>
      <c r="X58" s="5" t="s">
        <v>1909</v>
      </c>
      <c r="Y58" s="5" t="s">
        <v>1910</v>
      </c>
    </row>
    <row r="59" spans="1:25" x14ac:dyDescent="0.25">
      <c r="A59" t="s">
        <v>1887</v>
      </c>
      <c r="B59" t="s">
        <v>1888</v>
      </c>
      <c r="C59" t="s">
        <v>1889</v>
      </c>
      <c r="D59">
        <v>6074202300066920</v>
      </c>
      <c r="E59" t="s">
        <v>2471</v>
      </c>
      <c r="F59" t="s">
        <v>2021</v>
      </c>
      <c r="G59" t="s">
        <v>2009</v>
      </c>
      <c r="H59" t="s">
        <v>2022</v>
      </c>
      <c r="I59" t="s">
        <v>2023</v>
      </c>
      <c r="J59" t="s">
        <v>2024</v>
      </c>
      <c r="K59" s="3"/>
      <c r="L59" s="5">
        <v>1083009.8400000001</v>
      </c>
      <c r="M59" s="5">
        <v>95753.919999999998</v>
      </c>
      <c r="N59" s="5">
        <v>89150.2</v>
      </c>
      <c r="O59" s="5">
        <v>89150.2</v>
      </c>
      <c r="P59" s="5">
        <v>89150.2</v>
      </c>
      <c r="Q59" s="5">
        <v>89150.2</v>
      </c>
      <c r="R59" s="5">
        <v>89150.2</v>
      </c>
      <c r="S59" s="5">
        <v>89150.2</v>
      </c>
      <c r="T59" s="5">
        <v>89150.2</v>
      </c>
      <c r="U59" s="5">
        <v>89150.2</v>
      </c>
      <c r="V59" s="5">
        <v>89150.2</v>
      </c>
      <c r="W59" s="5">
        <v>89150.2</v>
      </c>
      <c r="X59" s="5">
        <v>95753.919999999998</v>
      </c>
      <c r="Y59" s="5">
        <v>95753.919999999998</v>
      </c>
    </row>
    <row r="60" spans="1:25" x14ac:dyDescent="0.25">
      <c r="A60" t="s">
        <v>1887</v>
      </c>
      <c r="B60" t="s">
        <v>1888</v>
      </c>
      <c r="C60" t="s">
        <v>1889</v>
      </c>
      <c r="D60">
        <v>6074202400020500</v>
      </c>
      <c r="E60" t="s">
        <v>2471</v>
      </c>
      <c r="F60" t="s">
        <v>2008</v>
      </c>
      <c r="G60" t="s">
        <v>2009</v>
      </c>
      <c r="H60" t="s">
        <v>839</v>
      </c>
      <c r="I60" t="s">
        <v>1954</v>
      </c>
      <c r="J60" t="s">
        <v>1955</v>
      </c>
      <c r="K60" s="3">
        <v>46055</v>
      </c>
      <c r="L60" s="5">
        <v>21375</v>
      </c>
      <c r="M60" s="5">
        <v>1781.25</v>
      </c>
      <c r="N60" s="5">
        <v>1781.25</v>
      </c>
      <c r="O60" s="5">
        <v>1781.25</v>
      </c>
      <c r="P60" s="5">
        <v>1781.25</v>
      </c>
      <c r="Q60" s="5">
        <v>1781.25</v>
      </c>
      <c r="R60" s="5">
        <v>1781.25</v>
      </c>
      <c r="S60" s="5">
        <v>1781.25</v>
      </c>
      <c r="T60" s="5">
        <v>1781.25</v>
      </c>
      <c r="U60" s="5">
        <v>1781.25</v>
      </c>
      <c r="V60" s="5">
        <v>1781.25</v>
      </c>
      <c r="W60" s="5">
        <v>1781.25</v>
      </c>
      <c r="X60" s="5">
        <v>1781.25</v>
      </c>
      <c r="Y60" s="5">
        <v>1781.25</v>
      </c>
    </row>
    <row r="61" spans="1:25" x14ac:dyDescent="0.25">
      <c r="A61" t="s">
        <v>1887</v>
      </c>
      <c r="B61" t="s">
        <v>1888</v>
      </c>
      <c r="C61" t="s">
        <v>1889</v>
      </c>
      <c r="D61">
        <v>6074202400026080</v>
      </c>
      <c r="E61" t="s">
        <v>2471</v>
      </c>
      <c r="F61" t="s">
        <v>2008</v>
      </c>
      <c r="G61" t="s">
        <v>2009</v>
      </c>
      <c r="H61" t="s">
        <v>1956</v>
      </c>
      <c r="I61" t="s">
        <v>1957</v>
      </c>
      <c r="J61" t="s">
        <v>1958</v>
      </c>
      <c r="K61" s="3">
        <v>46367</v>
      </c>
      <c r="L61" s="5">
        <v>12471.43</v>
      </c>
      <c r="M61" s="5">
        <v>1109.42</v>
      </c>
      <c r="N61" s="5">
        <v>1032.9100000000001</v>
      </c>
      <c r="O61" s="5">
        <v>1032.9100000000001</v>
      </c>
      <c r="P61" s="5">
        <v>1032.9100000000001</v>
      </c>
      <c r="Q61" s="5">
        <v>1032.9100000000001</v>
      </c>
      <c r="R61" s="5">
        <v>1032.9100000000001</v>
      </c>
      <c r="S61" s="5">
        <v>1032.9100000000001</v>
      </c>
      <c r="T61" s="5">
        <v>1032.9100000000001</v>
      </c>
      <c r="U61" s="5">
        <v>1032.9100000000001</v>
      </c>
      <c r="V61" s="5">
        <v>1032.9100000000001</v>
      </c>
      <c r="W61" s="5">
        <v>1032.9100000000001</v>
      </c>
      <c r="X61" s="5">
        <v>1032.9100000000001</v>
      </c>
      <c r="Y61" s="5">
        <v>1109.42</v>
      </c>
    </row>
    <row r="62" spans="1:25" x14ac:dyDescent="0.25">
      <c r="A62" t="s">
        <v>1887</v>
      </c>
      <c r="B62" t="s">
        <v>1888</v>
      </c>
      <c r="C62" t="s">
        <v>1889</v>
      </c>
      <c r="D62">
        <v>6074202400056480</v>
      </c>
      <c r="E62" t="s">
        <v>2471</v>
      </c>
      <c r="F62" t="s">
        <v>2008</v>
      </c>
      <c r="G62" t="s">
        <v>2009</v>
      </c>
      <c r="H62" t="s">
        <v>817</v>
      </c>
      <c r="I62" t="s">
        <v>2025</v>
      </c>
      <c r="J62" t="s">
        <v>2026</v>
      </c>
      <c r="K62" s="3">
        <v>46367</v>
      </c>
      <c r="L62" s="5">
        <v>1486890</v>
      </c>
      <c r="M62" s="5">
        <v>132570</v>
      </c>
      <c r="N62" s="5">
        <v>123120</v>
      </c>
      <c r="O62" s="5">
        <v>123120</v>
      </c>
      <c r="P62" s="5">
        <v>123120</v>
      </c>
      <c r="Q62" s="5">
        <v>123120</v>
      </c>
      <c r="R62" s="5">
        <v>123120</v>
      </c>
      <c r="S62" s="5">
        <v>123120</v>
      </c>
      <c r="T62" s="5">
        <v>123120</v>
      </c>
      <c r="U62" s="5">
        <v>123120</v>
      </c>
      <c r="V62" s="5">
        <v>123120</v>
      </c>
      <c r="W62" s="5">
        <v>123120</v>
      </c>
      <c r="X62" s="5">
        <v>123120</v>
      </c>
      <c r="Y62" s="5">
        <v>132570</v>
      </c>
    </row>
    <row r="63" spans="1:25" x14ac:dyDescent="0.25">
      <c r="A63" t="s">
        <v>1887</v>
      </c>
      <c r="B63" t="s">
        <v>1888</v>
      </c>
      <c r="C63" t="s">
        <v>1889</v>
      </c>
      <c r="D63">
        <v>6074202400073430</v>
      </c>
      <c r="E63" t="s">
        <v>2471</v>
      </c>
      <c r="F63" t="s">
        <v>2008</v>
      </c>
      <c r="G63" t="s">
        <v>2009</v>
      </c>
      <c r="H63" t="s">
        <v>912</v>
      </c>
      <c r="I63" t="s">
        <v>2027</v>
      </c>
      <c r="J63" t="s">
        <v>2028</v>
      </c>
      <c r="K63" s="3">
        <v>46357</v>
      </c>
      <c r="L63" s="5">
        <v>564797.17000000004</v>
      </c>
      <c r="M63" s="5">
        <v>50242.69</v>
      </c>
      <c r="N63" s="5">
        <v>46777.68</v>
      </c>
      <c r="O63" s="5">
        <v>46777.68</v>
      </c>
      <c r="P63" s="5">
        <v>46777.68</v>
      </c>
      <c r="Q63" s="5">
        <v>46777.68</v>
      </c>
      <c r="R63" s="5">
        <v>46777.68</v>
      </c>
      <c r="S63" s="5">
        <v>46777.68</v>
      </c>
      <c r="T63" s="5">
        <v>46777.68</v>
      </c>
      <c r="U63" s="5">
        <v>46777.68</v>
      </c>
      <c r="V63" s="5">
        <v>46777.68</v>
      </c>
      <c r="W63" s="5">
        <v>46777.68</v>
      </c>
      <c r="X63" s="5">
        <v>46777.68</v>
      </c>
      <c r="Y63" s="5">
        <v>50242.69</v>
      </c>
    </row>
    <row r="64" spans="1:25" x14ac:dyDescent="0.25">
      <c r="A64" t="s">
        <v>1887</v>
      </c>
      <c r="B64" t="s">
        <v>1888</v>
      </c>
      <c r="C64" t="s">
        <v>1889</v>
      </c>
      <c r="D64">
        <v>6074202500009730</v>
      </c>
      <c r="E64" t="s">
        <v>2471</v>
      </c>
      <c r="F64" t="s">
        <v>2008</v>
      </c>
      <c r="G64" t="s">
        <v>2009</v>
      </c>
      <c r="H64" t="s">
        <v>1970</v>
      </c>
      <c r="I64" t="s">
        <v>2029</v>
      </c>
      <c r="J64" t="s">
        <v>1972</v>
      </c>
      <c r="K64" s="3">
        <v>46387</v>
      </c>
      <c r="L64" s="5">
        <v>360000</v>
      </c>
      <c r="M64" s="5">
        <v>30000</v>
      </c>
      <c r="N64" s="5">
        <v>30000</v>
      </c>
      <c r="O64" s="5">
        <v>30000</v>
      </c>
      <c r="P64" s="5">
        <v>30000</v>
      </c>
      <c r="Q64" s="5">
        <v>30000</v>
      </c>
      <c r="R64" s="5">
        <v>30000</v>
      </c>
      <c r="S64" s="5">
        <v>30000</v>
      </c>
      <c r="T64" s="5">
        <v>30000</v>
      </c>
      <c r="U64" s="5">
        <v>30000</v>
      </c>
      <c r="V64" s="5">
        <v>30000</v>
      </c>
      <c r="W64" s="5">
        <v>30000</v>
      </c>
      <c r="X64" s="5">
        <v>30000</v>
      </c>
      <c r="Y64" s="5">
        <v>30000</v>
      </c>
    </row>
    <row r="65" spans="1:25" x14ac:dyDescent="0.25">
      <c r="A65" t="s">
        <v>1887</v>
      </c>
      <c r="B65" t="s">
        <v>1888</v>
      </c>
      <c r="C65" t="s">
        <v>1889</v>
      </c>
      <c r="D65">
        <v>6074202500013490</v>
      </c>
      <c r="E65" t="s">
        <v>2472</v>
      </c>
      <c r="F65" t="s">
        <v>2008</v>
      </c>
      <c r="G65" t="s">
        <v>2009</v>
      </c>
      <c r="H65" t="s">
        <v>1986</v>
      </c>
      <c r="I65" t="s">
        <v>2030</v>
      </c>
      <c r="J65" t="s">
        <v>1988</v>
      </c>
      <c r="K65" s="3" t="s">
        <v>1989</v>
      </c>
      <c r="L65" s="5">
        <v>425464.8</v>
      </c>
      <c r="M65" s="5">
        <v>35455.4</v>
      </c>
      <c r="N65" s="5">
        <v>35455.4</v>
      </c>
      <c r="O65" s="5">
        <v>35455.4</v>
      </c>
      <c r="P65" s="5">
        <v>35455.4</v>
      </c>
      <c r="Q65" s="5">
        <v>35455.4</v>
      </c>
      <c r="R65" s="5">
        <v>35455.4</v>
      </c>
      <c r="S65" s="5">
        <v>35455.4</v>
      </c>
      <c r="T65" s="5">
        <v>35455.4</v>
      </c>
      <c r="U65" s="5">
        <v>35455.4</v>
      </c>
      <c r="V65" s="5">
        <v>35455.4</v>
      </c>
      <c r="W65" s="5">
        <v>35455.4</v>
      </c>
      <c r="X65" s="5">
        <v>35455.4</v>
      </c>
      <c r="Y65" s="5">
        <v>35455.4</v>
      </c>
    </row>
    <row r="66" spans="1:25" x14ac:dyDescent="0.25">
      <c r="A66" t="s">
        <v>1887</v>
      </c>
      <c r="B66" t="s">
        <v>1888</v>
      </c>
      <c r="C66" t="s">
        <v>1889</v>
      </c>
      <c r="D66">
        <v>6074202500013490</v>
      </c>
      <c r="E66" t="s">
        <v>2472</v>
      </c>
      <c r="F66" t="s">
        <v>2031</v>
      </c>
      <c r="G66" t="s">
        <v>2009</v>
      </c>
      <c r="H66" t="s">
        <v>1986</v>
      </c>
      <c r="I66" t="s">
        <v>2032</v>
      </c>
      <c r="J66" t="s">
        <v>1988</v>
      </c>
      <c r="K66" s="3" t="s">
        <v>1989</v>
      </c>
      <c r="L66" s="5">
        <v>106366.2</v>
      </c>
      <c r="M66" s="5">
        <v>8863.85</v>
      </c>
      <c r="N66" s="5">
        <v>8863.85</v>
      </c>
      <c r="O66" s="5">
        <v>8863.85</v>
      </c>
      <c r="P66" s="5">
        <v>8863.85</v>
      </c>
      <c r="Q66" s="5">
        <v>8863.85</v>
      </c>
      <c r="R66" s="5">
        <v>8863.85</v>
      </c>
      <c r="S66" s="5">
        <v>8863.85</v>
      </c>
      <c r="T66" s="5">
        <v>8863.85</v>
      </c>
      <c r="U66" s="5">
        <v>8863.85</v>
      </c>
      <c r="V66" s="5">
        <v>8863.85</v>
      </c>
      <c r="W66" s="5">
        <v>8863.85</v>
      </c>
      <c r="X66" s="5">
        <v>8863.85</v>
      </c>
      <c r="Y66" s="5">
        <v>8863.85</v>
      </c>
    </row>
    <row r="67" spans="1:25" x14ac:dyDescent="0.25">
      <c r="A67" t="s">
        <v>1887</v>
      </c>
      <c r="B67" t="s">
        <v>1888</v>
      </c>
      <c r="C67" t="s">
        <v>1889</v>
      </c>
      <c r="D67">
        <v>6074202500014380</v>
      </c>
      <c r="E67" t="s">
        <v>2471</v>
      </c>
      <c r="F67" t="s">
        <v>2008</v>
      </c>
      <c r="G67" t="s">
        <v>2009</v>
      </c>
      <c r="H67" t="s">
        <v>1970</v>
      </c>
      <c r="I67" t="s">
        <v>2033</v>
      </c>
      <c r="J67" t="s">
        <v>1976</v>
      </c>
      <c r="K67" s="3">
        <v>46387</v>
      </c>
      <c r="L67" s="5">
        <v>240000</v>
      </c>
      <c r="M67" s="5">
        <v>20000</v>
      </c>
      <c r="N67" s="5">
        <v>20000</v>
      </c>
      <c r="O67" s="5">
        <v>20000</v>
      </c>
      <c r="P67" s="5">
        <v>20000</v>
      </c>
      <c r="Q67" s="5">
        <v>20000</v>
      </c>
      <c r="R67" s="5">
        <v>20000</v>
      </c>
      <c r="S67" s="5">
        <v>20000</v>
      </c>
      <c r="T67" s="5">
        <v>20000</v>
      </c>
      <c r="U67" s="5">
        <v>20000</v>
      </c>
      <c r="V67" s="5">
        <v>20000</v>
      </c>
      <c r="W67" s="5">
        <v>20000</v>
      </c>
      <c r="X67" s="5">
        <v>20000</v>
      </c>
      <c r="Y67" s="5">
        <v>20000</v>
      </c>
    </row>
    <row r="68" spans="1:25" x14ac:dyDescent="0.25">
      <c r="A68" t="s">
        <v>1887</v>
      </c>
      <c r="B68" t="s">
        <v>1888</v>
      </c>
      <c r="C68" t="s">
        <v>1889</v>
      </c>
      <c r="D68">
        <v>6074202500021280</v>
      </c>
      <c r="E68" t="s">
        <v>2471</v>
      </c>
      <c r="F68" t="s">
        <v>2008</v>
      </c>
      <c r="G68" t="s">
        <v>2009</v>
      </c>
      <c r="H68" t="s">
        <v>2034</v>
      </c>
      <c r="I68" t="s">
        <v>2035</v>
      </c>
      <c r="J68" t="s">
        <v>2036</v>
      </c>
      <c r="K68" s="3">
        <v>46168</v>
      </c>
      <c r="L68" s="5">
        <v>1498.5</v>
      </c>
      <c r="M68" s="5">
        <v>1498.5</v>
      </c>
      <c r="N68" s="5"/>
      <c r="O68" s="5"/>
      <c r="P68" s="5"/>
      <c r="Q68" s="5"/>
      <c r="R68" s="5">
        <v>749.25</v>
      </c>
      <c r="S68" s="5"/>
      <c r="T68" s="5"/>
      <c r="U68" s="5"/>
      <c r="V68" s="5"/>
      <c r="W68" s="5"/>
      <c r="X68" s="5"/>
      <c r="Y68" s="5">
        <v>749.25</v>
      </c>
    </row>
    <row r="69" spans="1:25" x14ac:dyDescent="0.25">
      <c r="A69" t="s">
        <v>1887</v>
      </c>
      <c r="B69" t="s">
        <v>1888</v>
      </c>
      <c r="C69" t="s">
        <v>1889</v>
      </c>
      <c r="D69">
        <v>6074202500025000</v>
      </c>
      <c r="E69" t="s">
        <v>2471</v>
      </c>
      <c r="F69" t="s">
        <v>2031</v>
      </c>
      <c r="G69" t="s">
        <v>2009</v>
      </c>
      <c r="H69" t="s">
        <v>2037</v>
      </c>
      <c r="I69" t="s">
        <v>2038</v>
      </c>
      <c r="J69" t="s">
        <v>2039</v>
      </c>
      <c r="K69" s="3">
        <v>46387</v>
      </c>
      <c r="L69" s="5">
        <v>11336</v>
      </c>
      <c r="M69" s="5"/>
      <c r="N69" s="5"/>
      <c r="O69" s="5"/>
      <c r="P69" s="5"/>
      <c r="Q69" s="5"/>
      <c r="R69" s="5"/>
      <c r="S69" s="5"/>
      <c r="T69" s="5"/>
      <c r="U69" s="5"/>
      <c r="V69" s="5"/>
      <c r="W69" s="5"/>
      <c r="X69" s="5"/>
      <c r="Y69" s="5">
        <v>11336</v>
      </c>
    </row>
    <row r="70" spans="1:25" x14ac:dyDescent="0.25">
      <c r="A70" t="s">
        <v>1887</v>
      </c>
      <c r="B70" t="s">
        <v>1888</v>
      </c>
      <c r="C70" t="s">
        <v>1889</v>
      </c>
      <c r="D70" t="s">
        <v>2464</v>
      </c>
      <c r="E70" t="s">
        <v>2472</v>
      </c>
      <c r="F70" t="s">
        <v>2031</v>
      </c>
      <c r="G70" t="s">
        <v>2009</v>
      </c>
      <c r="H70" t="s">
        <v>1986</v>
      </c>
      <c r="I70" t="s">
        <v>2040</v>
      </c>
      <c r="J70" t="s">
        <v>1988</v>
      </c>
      <c r="K70" s="3" t="s">
        <v>1989</v>
      </c>
      <c r="L70" s="5">
        <v>200000</v>
      </c>
      <c r="M70" s="5">
        <v>0</v>
      </c>
      <c r="N70" s="5"/>
      <c r="O70" s="5">
        <v>100000</v>
      </c>
      <c r="P70" s="5"/>
      <c r="Q70" s="5"/>
      <c r="R70" s="5"/>
      <c r="S70" s="5">
        <v>100000</v>
      </c>
      <c r="T70" s="5"/>
      <c r="U70" s="5"/>
      <c r="V70" s="5"/>
      <c r="W70" s="5"/>
      <c r="X70" s="5"/>
      <c r="Y70" s="5"/>
    </row>
    <row r="71" spans="1:25" x14ac:dyDescent="0.25">
      <c r="A71" t="s">
        <v>1887</v>
      </c>
      <c r="B71" t="s">
        <v>1888</v>
      </c>
      <c r="C71" t="s">
        <v>1889</v>
      </c>
      <c r="D71">
        <v>6074202500006200</v>
      </c>
      <c r="E71" t="s">
        <v>2471</v>
      </c>
      <c r="F71" t="s">
        <v>2041</v>
      </c>
      <c r="G71" t="s">
        <v>2042</v>
      </c>
      <c r="H71" t="s">
        <v>1970</v>
      </c>
      <c r="I71" t="s">
        <v>2043</v>
      </c>
      <c r="J71" t="s">
        <v>2044</v>
      </c>
      <c r="K71" s="3">
        <v>46387</v>
      </c>
      <c r="L71" s="5">
        <v>9600000</v>
      </c>
      <c r="M71" s="5">
        <v>800000</v>
      </c>
      <c r="N71" s="5">
        <v>800000</v>
      </c>
      <c r="O71" s="5">
        <v>800000</v>
      </c>
      <c r="P71" s="5">
        <v>800000</v>
      </c>
      <c r="Q71" s="5">
        <v>800000</v>
      </c>
      <c r="R71" s="5">
        <v>800000</v>
      </c>
      <c r="S71" s="5">
        <v>800000</v>
      </c>
      <c r="T71" s="5">
        <v>800000</v>
      </c>
      <c r="U71" s="5">
        <v>800000</v>
      </c>
      <c r="V71" s="5">
        <v>800000</v>
      </c>
      <c r="W71" s="5">
        <v>800000</v>
      </c>
      <c r="X71" s="5">
        <v>800000</v>
      </c>
      <c r="Y71" s="5">
        <v>800000</v>
      </c>
    </row>
    <row r="72" spans="1:25" x14ac:dyDescent="0.25">
      <c r="A72" t="s">
        <v>1887</v>
      </c>
      <c r="B72" t="s">
        <v>1888</v>
      </c>
      <c r="C72" t="s">
        <v>1889</v>
      </c>
      <c r="D72" t="s">
        <v>2465</v>
      </c>
      <c r="E72" t="s">
        <v>2472</v>
      </c>
      <c r="F72" t="s">
        <v>2045</v>
      </c>
      <c r="G72" t="s">
        <v>2042</v>
      </c>
      <c r="H72" t="s">
        <v>2046</v>
      </c>
      <c r="I72" t="s">
        <v>2047</v>
      </c>
      <c r="J72" t="s">
        <v>2048</v>
      </c>
      <c r="K72" s="3">
        <v>46387</v>
      </c>
      <c r="L72" s="5">
        <v>200000</v>
      </c>
      <c r="M72" s="5">
        <v>200000</v>
      </c>
      <c r="N72" s="5"/>
      <c r="O72" s="5"/>
      <c r="P72" s="5"/>
      <c r="Q72" s="5">
        <v>200000</v>
      </c>
      <c r="R72" s="5"/>
      <c r="S72" s="5"/>
      <c r="T72" s="5"/>
      <c r="U72" s="5"/>
      <c r="V72" s="5"/>
      <c r="W72" s="5"/>
      <c r="X72" s="5"/>
      <c r="Y72" s="5"/>
    </row>
    <row r="73" spans="1:25" x14ac:dyDescent="0.25">
      <c r="A73" t="s">
        <v>1887</v>
      </c>
      <c r="B73" t="s">
        <v>1888</v>
      </c>
      <c r="C73" t="s">
        <v>1889</v>
      </c>
      <c r="D73">
        <v>6074202200022450</v>
      </c>
      <c r="E73" t="s">
        <v>2471</v>
      </c>
      <c r="F73" t="s">
        <v>2049</v>
      </c>
      <c r="G73" t="s">
        <v>2050</v>
      </c>
      <c r="H73" t="s">
        <v>2051</v>
      </c>
      <c r="I73" t="s">
        <v>2052</v>
      </c>
      <c r="J73" t="s">
        <v>2018</v>
      </c>
      <c r="K73" s="3">
        <v>46138</v>
      </c>
      <c r="L73" s="5">
        <v>1200</v>
      </c>
      <c r="M73" s="5">
        <v>100</v>
      </c>
      <c r="N73" s="5">
        <v>100</v>
      </c>
      <c r="O73" s="5">
        <v>100</v>
      </c>
      <c r="P73" s="5">
        <v>100</v>
      </c>
      <c r="Q73" s="5">
        <v>100</v>
      </c>
      <c r="R73" s="5">
        <v>100</v>
      </c>
      <c r="S73" s="5">
        <v>100</v>
      </c>
      <c r="T73" s="5">
        <v>100</v>
      </c>
      <c r="U73" s="5">
        <v>100</v>
      </c>
      <c r="V73" s="5">
        <v>100</v>
      </c>
      <c r="W73" s="5">
        <v>100</v>
      </c>
      <c r="X73" s="5">
        <v>100</v>
      </c>
      <c r="Y73" s="5">
        <v>100</v>
      </c>
    </row>
    <row r="74" spans="1:25" x14ac:dyDescent="0.25">
      <c r="A74" t="s">
        <v>1887</v>
      </c>
      <c r="B74" t="s">
        <v>1888</v>
      </c>
      <c r="C74" t="s">
        <v>1889</v>
      </c>
      <c r="D74">
        <v>6074202200022450</v>
      </c>
      <c r="E74" t="s">
        <v>2471</v>
      </c>
      <c r="F74" t="s">
        <v>2049</v>
      </c>
      <c r="G74" t="s">
        <v>2050</v>
      </c>
      <c r="H74" t="s">
        <v>1970</v>
      </c>
      <c r="I74" t="s">
        <v>1973</v>
      </c>
      <c r="J74" t="s">
        <v>1974</v>
      </c>
      <c r="K74" s="3">
        <v>46387</v>
      </c>
      <c r="L74" s="5">
        <v>24000</v>
      </c>
      <c r="M74" s="5">
        <v>2000</v>
      </c>
      <c r="N74" s="5">
        <v>2000</v>
      </c>
      <c r="O74" s="5">
        <v>2000</v>
      </c>
      <c r="P74" s="5">
        <v>2000</v>
      </c>
      <c r="Q74" s="5">
        <v>2000</v>
      </c>
      <c r="R74" s="5">
        <v>2000</v>
      </c>
      <c r="S74" s="5">
        <v>2000</v>
      </c>
      <c r="T74" s="5">
        <v>2000</v>
      </c>
      <c r="U74" s="5">
        <v>2000</v>
      </c>
      <c r="V74" s="5">
        <v>2000</v>
      </c>
      <c r="W74" s="5">
        <v>2000</v>
      </c>
      <c r="X74" s="5">
        <v>2000</v>
      </c>
      <c r="Y74" s="5">
        <v>2000</v>
      </c>
    </row>
    <row r="75" spans="1:25" x14ac:dyDescent="0.25">
      <c r="A75" t="s">
        <v>1887</v>
      </c>
      <c r="B75" t="s">
        <v>1888</v>
      </c>
      <c r="C75" t="s">
        <v>1889</v>
      </c>
      <c r="D75">
        <v>6074202200022450</v>
      </c>
      <c r="E75" t="s">
        <v>2471</v>
      </c>
      <c r="F75" t="s">
        <v>2049</v>
      </c>
      <c r="G75" t="s">
        <v>2050</v>
      </c>
      <c r="H75" t="s">
        <v>1970</v>
      </c>
      <c r="I75" t="s">
        <v>2053</v>
      </c>
      <c r="J75" t="s">
        <v>1976</v>
      </c>
      <c r="K75" s="3">
        <v>46387</v>
      </c>
      <c r="L75" s="5">
        <v>84000</v>
      </c>
      <c r="M75" s="5">
        <v>7000</v>
      </c>
      <c r="N75" s="5">
        <v>7000</v>
      </c>
      <c r="O75" s="5">
        <v>7000</v>
      </c>
      <c r="P75" s="5">
        <v>7000</v>
      </c>
      <c r="Q75" s="5">
        <v>7000</v>
      </c>
      <c r="R75" s="5">
        <v>7000</v>
      </c>
      <c r="S75" s="5">
        <v>7000</v>
      </c>
      <c r="T75" s="5">
        <v>7000</v>
      </c>
      <c r="U75" s="5">
        <v>7000</v>
      </c>
      <c r="V75" s="5">
        <v>7000</v>
      </c>
      <c r="W75" s="5">
        <v>7000</v>
      </c>
      <c r="X75" s="5">
        <v>7000</v>
      </c>
      <c r="Y75" s="5">
        <v>7000</v>
      </c>
    </row>
    <row r="76" spans="1:25" x14ac:dyDescent="0.25">
      <c r="A76" t="s">
        <v>1887</v>
      </c>
      <c r="B76" t="s">
        <v>1888</v>
      </c>
      <c r="C76" t="s">
        <v>1889</v>
      </c>
      <c r="D76">
        <v>6074202300013730</v>
      </c>
      <c r="E76" t="s">
        <v>2471</v>
      </c>
      <c r="F76" t="s">
        <v>2049</v>
      </c>
      <c r="G76" t="s">
        <v>2050</v>
      </c>
      <c r="H76" t="s">
        <v>2019</v>
      </c>
      <c r="I76" t="s">
        <v>2054</v>
      </c>
      <c r="J76" t="s">
        <v>1930</v>
      </c>
      <c r="K76" s="3">
        <v>46149</v>
      </c>
      <c r="L76" s="5">
        <v>1000</v>
      </c>
      <c r="M76" s="5">
        <v>0</v>
      </c>
      <c r="N76" s="5">
        <v>0</v>
      </c>
      <c r="O76" s="5">
        <v>500</v>
      </c>
      <c r="P76" s="5">
        <v>0</v>
      </c>
      <c r="Q76" s="5">
        <v>0</v>
      </c>
      <c r="R76" s="5">
        <v>0</v>
      </c>
      <c r="S76" s="5">
        <v>0</v>
      </c>
      <c r="T76" s="5">
        <v>500</v>
      </c>
      <c r="U76" s="5">
        <v>0</v>
      </c>
      <c r="V76" s="5">
        <v>0</v>
      </c>
      <c r="W76" s="5">
        <v>0</v>
      </c>
      <c r="X76" s="5">
        <v>0</v>
      </c>
      <c r="Y76" s="5">
        <v>0</v>
      </c>
    </row>
    <row r="77" spans="1:25" x14ac:dyDescent="0.25">
      <c r="A77" t="s">
        <v>1887</v>
      </c>
      <c r="B77" t="s">
        <v>1888</v>
      </c>
      <c r="C77" t="s">
        <v>1889</v>
      </c>
      <c r="D77">
        <v>6074202300065530</v>
      </c>
      <c r="E77" t="s">
        <v>2471</v>
      </c>
      <c r="F77" t="s">
        <v>2049</v>
      </c>
      <c r="G77" t="s">
        <v>2050</v>
      </c>
      <c r="H77" t="s">
        <v>857</v>
      </c>
      <c r="I77" t="s">
        <v>2055</v>
      </c>
      <c r="J77" t="s">
        <v>2056</v>
      </c>
      <c r="K77" s="3">
        <v>46281</v>
      </c>
      <c r="L77" s="5">
        <v>371213.04</v>
      </c>
      <c r="M77" s="5">
        <v>30934.42</v>
      </c>
      <c r="N77" s="5">
        <v>30934.42</v>
      </c>
      <c r="O77" s="5">
        <v>30934.42</v>
      </c>
      <c r="P77" s="5">
        <v>30934.42</v>
      </c>
      <c r="Q77" s="5">
        <v>30934.42</v>
      </c>
      <c r="R77" s="5">
        <v>30934.42</v>
      </c>
      <c r="S77" s="5">
        <v>30934.42</v>
      </c>
      <c r="T77" s="5">
        <v>30934.42</v>
      </c>
      <c r="U77" s="5">
        <v>30934.42</v>
      </c>
      <c r="V77" s="5">
        <v>30934.42</v>
      </c>
      <c r="W77" s="5">
        <v>30934.42</v>
      </c>
      <c r="X77" s="5">
        <v>30934.42</v>
      </c>
      <c r="Y77" s="5">
        <v>30934.42</v>
      </c>
    </row>
    <row r="78" spans="1:25" x14ac:dyDescent="0.25">
      <c r="A78" t="s">
        <v>1887</v>
      </c>
      <c r="B78" t="s">
        <v>1888</v>
      </c>
      <c r="C78" t="s">
        <v>1889</v>
      </c>
      <c r="D78">
        <v>6074202300072300</v>
      </c>
      <c r="E78" t="s">
        <v>2471</v>
      </c>
      <c r="F78" t="s">
        <v>2049</v>
      </c>
      <c r="G78" t="s">
        <v>2050</v>
      </c>
      <c r="H78" t="s">
        <v>567</v>
      </c>
      <c r="I78" t="s">
        <v>2057</v>
      </c>
      <c r="J78" t="s">
        <v>1951</v>
      </c>
      <c r="K78" s="3">
        <v>46295</v>
      </c>
      <c r="L78" s="5">
        <v>871.6</v>
      </c>
      <c r="M78" s="5">
        <v>64</v>
      </c>
      <c r="N78" s="5">
        <v>66.02</v>
      </c>
      <c r="O78" s="5">
        <v>66.02</v>
      </c>
      <c r="P78" s="5">
        <v>66.02</v>
      </c>
      <c r="Q78" s="5">
        <v>66.02</v>
      </c>
      <c r="R78" s="5">
        <v>66.02</v>
      </c>
      <c r="S78" s="5">
        <v>66.02</v>
      </c>
      <c r="T78" s="5">
        <v>66.02</v>
      </c>
      <c r="U78" s="5">
        <v>66.02</v>
      </c>
      <c r="V78" s="5">
        <v>66.02</v>
      </c>
      <c r="W78" s="5">
        <v>71.14</v>
      </c>
      <c r="X78" s="5">
        <v>71.14</v>
      </c>
      <c r="Y78" s="5">
        <v>71.14</v>
      </c>
    </row>
    <row r="79" spans="1:25" x14ac:dyDescent="0.25">
      <c r="A79" t="s">
        <v>1887</v>
      </c>
      <c r="B79" t="s">
        <v>1888</v>
      </c>
      <c r="C79" t="s">
        <v>1889</v>
      </c>
      <c r="D79">
        <v>6074202400065410</v>
      </c>
      <c r="E79" t="s">
        <v>2471</v>
      </c>
      <c r="F79" t="s">
        <v>2049</v>
      </c>
      <c r="G79" t="s">
        <v>2050</v>
      </c>
      <c r="H79" t="s">
        <v>370</v>
      </c>
      <c r="I79" t="s">
        <v>2058</v>
      </c>
      <c r="J79" t="s">
        <v>1967</v>
      </c>
      <c r="K79" s="3">
        <v>46359</v>
      </c>
      <c r="L79" s="5">
        <v>620</v>
      </c>
      <c r="M79" s="5" t="s">
        <v>1908</v>
      </c>
      <c r="N79" s="5">
        <v>290</v>
      </c>
      <c r="O79" s="5" t="s">
        <v>1908</v>
      </c>
      <c r="P79" s="5" t="s">
        <v>1909</v>
      </c>
      <c r="Q79" s="5" t="s">
        <v>1909</v>
      </c>
      <c r="R79" s="5" t="s">
        <v>1909</v>
      </c>
      <c r="S79" s="5" t="s">
        <v>1909</v>
      </c>
      <c r="T79" s="5" t="s">
        <v>1909</v>
      </c>
      <c r="U79" s="5" t="s">
        <v>1909</v>
      </c>
      <c r="V79" s="5" t="s">
        <v>1909</v>
      </c>
      <c r="W79" s="5">
        <v>330</v>
      </c>
      <c r="X79" s="5" t="s">
        <v>1908</v>
      </c>
      <c r="Y79" s="5" t="s">
        <v>1910</v>
      </c>
    </row>
    <row r="80" spans="1:25" x14ac:dyDescent="0.25">
      <c r="A80" t="s">
        <v>1887</v>
      </c>
      <c r="B80" t="s">
        <v>1888</v>
      </c>
      <c r="C80" t="s">
        <v>1889</v>
      </c>
      <c r="D80">
        <v>6074202400091860</v>
      </c>
      <c r="E80" t="s">
        <v>2471</v>
      </c>
      <c r="F80" t="s">
        <v>2049</v>
      </c>
      <c r="G80" t="s">
        <v>2050</v>
      </c>
      <c r="H80" t="s">
        <v>587</v>
      </c>
      <c r="I80" t="s">
        <v>1957</v>
      </c>
      <c r="J80" t="s">
        <v>2060</v>
      </c>
      <c r="K80" s="3">
        <v>46083</v>
      </c>
      <c r="L80" s="5">
        <v>13559.46</v>
      </c>
      <c r="M80" s="5">
        <v>1144.08</v>
      </c>
      <c r="N80" s="5">
        <v>1059.33</v>
      </c>
      <c r="O80" s="5">
        <v>1059.33</v>
      </c>
      <c r="P80" s="5">
        <v>1144.08</v>
      </c>
      <c r="Q80" s="5">
        <v>1144.08</v>
      </c>
      <c r="R80" s="5">
        <v>1144.08</v>
      </c>
      <c r="S80" s="5">
        <v>1144.08</v>
      </c>
      <c r="T80" s="5">
        <v>1144.08</v>
      </c>
      <c r="U80" s="5">
        <v>1144.08</v>
      </c>
      <c r="V80" s="5">
        <v>1144.08</v>
      </c>
      <c r="W80" s="5">
        <v>1144.08</v>
      </c>
      <c r="X80" s="5">
        <v>1144.08</v>
      </c>
      <c r="Y80" s="5">
        <v>1144.08</v>
      </c>
    </row>
    <row r="81" spans="1:25" x14ac:dyDescent="0.25">
      <c r="A81" t="s">
        <v>1887</v>
      </c>
      <c r="B81" t="s">
        <v>1888</v>
      </c>
      <c r="C81" t="s">
        <v>1889</v>
      </c>
      <c r="D81">
        <v>6074202500013480</v>
      </c>
      <c r="E81" t="s">
        <v>2472</v>
      </c>
      <c r="F81" t="s">
        <v>2061</v>
      </c>
      <c r="G81" t="s">
        <v>2050</v>
      </c>
      <c r="H81" t="s">
        <v>1983</v>
      </c>
      <c r="I81" t="s">
        <v>2062</v>
      </c>
      <c r="J81" t="s">
        <v>1985</v>
      </c>
      <c r="K81" s="3">
        <v>46236</v>
      </c>
      <c r="L81" s="5">
        <v>714268.56</v>
      </c>
      <c r="M81" s="5">
        <v>59522.38</v>
      </c>
      <c r="N81" s="5">
        <v>59522.38</v>
      </c>
      <c r="O81" s="5">
        <v>59522.38</v>
      </c>
      <c r="P81" s="5">
        <v>59522.38</v>
      </c>
      <c r="Q81" s="5">
        <v>59522.38</v>
      </c>
      <c r="R81" s="5">
        <v>59522.38</v>
      </c>
      <c r="S81" s="5">
        <v>59522.38</v>
      </c>
      <c r="T81" s="5">
        <v>59522.38</v>
      </c>
      <c r="U81" s="5">
        <v>59522.38</v>
      </c>
      <c r="V81" s="5">
        <v>59522.38</v>
      </c>
      <c r="W81" s="5">
        <v>59522.38</v>
      </c>
      <c r="X81" s="5">
        <v>59522.38</v>
      </c>
      <c r="Y81" s="5">
        <v>59522.38</v>
      </c>
    </row>
    <row r="82" spans="1:25" x14ac:dyDescent="0.25">
      <c r="A82" t="s">
        <v>1887</v>
      </c>
      <c r="B82" t="s">
        <v>1888</v>
      </c>
      <c r="C82" t="s">
        <v>1889</v>
      </c>
      <c r="D82" t="s">
        <v>2463</v>
      </c>
      <c r="E82" t="s">
        <v>2472</v>
      </c>
      <c r="F82" t="s">
        <v>2049</v>
      </c>
      <c r="G82" t="s">
        <v>2050</v>
      </c>
      <c r="H82" t="s">
        <v>1986</v>
      </c>
      <c r="I82" t="s">
        <v>2063</v>
      </c>
      <c r="J82" t="s">
        <v>1999</v>
      </c>
      <c r="K82" s="3" t="s">
        <v>1989</v>
      </c>
      <c r="L82" s="5">
        <v>4000</v>
      </c>
      <c r="M82" s="5">
        <v>4000</v>
      </c>
      <c r="N82" s="5"/>
      <c r="O82" s="5">
        <v>4000</v>
      </c>
      <c r="P82" s="5"/>
      <c r="Q82" s="5"/>
      <c r="R82" s="5"/>
      <c r="S82" s="5"/>
      <c r="T82" s="5"/>
      <c r="U82" s="5"/>
      <c r="V82" s="5"/>
      <c r="W82" s="5"/>
      <c r="X82" s="5"/>
      <c r="Y82" s="5"/>
    </row>
    <row r="83" spans="1:25" x14ac:dyDescent="0.25">
      <c r="A83" t="s">
        <v>1887</v>
      </c>
      <c r="B83" t="s">
        <v>1888</v>
      </c>
      <c r="C83" t="s">
        <v>1889</v>
      </c>
      <c r="D83" t="s">
        <v>2463</v>
      </c>
      <c r="E83" t="s">
        <v>2472</v>
      </c>
      <c r="F83" t="s">
        <v>2049</v>
      </c>
      <c r="G83" t="s">
        <v>2050</v>
      </c>
      <c r="H83" t="s">
        <v>1986</v>
      </c>
      <c r="I83" t="s">
        <v>2064</v>
      </c>
      <c r="J83" t="s">
        <v>1999</v>
      </c>
      <c r="K83" s="3" t="s">
        <v>1989</v>
      </c>
      <c r="L83" s="5">
        <v>5000</v>
      </c>
      <c r="M83" s="5">
        <v>5000</v>
      </c>
      <c r="N83" s="5"/>
      <c r="O83" s="5">
        <v>5000</v>
      </c>
      <c r="P83" s="5"/>
      <c r="Q83" s="5"/>
      <c r="R83" s="5"/>
      <c r="S83" s="5"/>
      <c r="T83" s="5"/>
      <c r="U83" s="5"/>
      <c r="V83" s="5"/>
      <c r="W83" s="5"/>
      <c r="X83" s="5"/>
      <c r="Y83" s="5"/>
    </row>
    <row r="84" spans="1:25" x14ac:dyDescent="0.25">
      <c r="A84" t="s">
        <v>1887</v>
      </c>
      <c r="B84" t="s">
        <v>1888</v>
      </c>
      <c r="C84" t="s">
        <v>1889</v>
      </c>
      <c r="D84" t="s">
        <v>2463</v>
      </c>
      <c r="E84" t="s">
        <v>2472</v>
      </c>
      <c r="F84" t="s">
        <v>2049</v>
      </c>
      <c r="G84" t="s">
        <v>2050</v>
      </c>
      <c r="H84" t="s">
        <v>1986</v>
      </c>
      <c r="I84" t="s">
        <v>2063</v>
      </c>
      <c r="J84" t="s">
        <v>1999</v>
      </c>
      <c r="K84" s="3" t="s">
        <v>1989</v>
      </c>
      <c r="L84" s="5">
        <v>4000</v>
      </c>
      <c r="M84" s="5">
        <v>4000</v>
      </c>
      <c r="N84" s="5"/>
      <c r="O84" s="5">
        <v>4000</v>
      </c>
      <c r="P84" s="5"/>
      <c r="Q84" s="5"/>
      <c r="R84" s="5"/>
      <c r="S84" s="5"/>
      <c r="T84" s="5"/>
      <c r="U84" s="5"/>
      <c r="V84" s="5"/>
      <c r="W84" s="5"/>
      <c r="X84" s="5"/>
      <c r="Y84" s="5"/>
    </row>
    <row r="85" spans="1:25" x14ac:dyDescent="0.25">
      <c r="A85" t="s">
        <v>1887</v>
      </c>
      <c r="B85" t="s">
        <v>1888</v>
      </c>
      <c r="C85" t="s">
        <v>1889</v>
      </c>
      <c r="D85" t="s">
        <v>2463</v>
      </c>
      <c r="E85" t="s">
        <v>2472</v>
      </c>
      <c r="F85" t="s">
        <v>2049</v>
      </c>
      <c r="G85" t="s">
        <v>2050</v>
      </c>
      <c r="H85" t="s">
        <v>1986</v>
      </c>
      <c r="I85" t="s">
        <v>2064</v>
      </c>
      <c r="J85" t="s">
        <v>1999</v>
      </c>
      <c r="K85" s="3" t="s">
        <v>1989</v>
      </c>
      <c r="L85" s="5">
        <v>5000</v>
      </c>
      <c r="M85" s="5">
        <v>5000</v>
      </c>
      <c r="N85" s="5"/>
      <c r="O85" s="5">
        <v>5000</v>
      </c>
      <c r="P85" s="5"/>
      <c r="Q85" s="5"/>
      <c r="R85" s="5"/>
      <c r="S85" s="5"/>
      <c r="T85" s="5"/>
      <c r="U85" s="5"/>
      <c r="V85" s="5"/>
      <c r="W85" s="5"/>
      <c r="X85" s="5"/>
      <c r="Y85" s="5"/>
    </row>
    <row r="86" spans="1:25" x14ac:dyDescent="0.25">
      <c r="A86" t="s">
        <v>1887</v>
      </c>
      <c r="B86" t="s">
        <v>1888</v>
      </c>
      <c r="C86" t="s">
        <v>1889</v>
      </c>
      <c r="D86">
        <v>6074202200022450</v>
      </c>
      <c r="E86" t="s">
        <v>2471</v>
      </c>
      <c r="F86" t="s">
        <v>2065</v>
      </c>
      <c r="G86" t="s">
        <v>2066</v>
      </c>
      <c r="H86" t="s">
        <v>2051</v>
      </c>
      <c r="I86" t="s">
        <v>2067</v>
      </c>
      <c r="J86" t="s">
        <v>2018</v>
      </c>
      <c r="K86" s="3">
        <v>46138</v>
      </c>
      <c r="L86" s="5">
        <v>1200</v>
      </c>
      <c r="M86" s="5">
        <v>100</v>
      </c>
      <c r="N86" s="5">
        <v>100</v>
      </c>
      <c r="O86" s="5">
        <v>100</v>
      </c>
      <c r="P86" s="5">
        <v>100</v>
      </c>
      <c r="Q86" s="5">
        <v>100</v>
      </c>
      <c r="R86" s="5">
        <v>100</v>
      </c>
      <c r="S86" s="5">
        <v>100</v>
      </c>
      <c r="T86" s="5">
        <v>100</v>
      </c>
      <c r="U86" s="5">
        <v>100</v>
      </c>
      <c r="V86" s="5">
        <v>100</v>
      </c>
      <c r="W86" s="5">
        <v>100</v>
      </c>
      <c r="X86" s="5">
        <v>100</v>
      </c>
      <c r="Y86" s="5">
        <v>100</v>
      </c>
    </row>
    <row r="87" spans="1:25" x14ac:dyDescent="0.25">
      <c r="A87" t="s">
        <v>1887</v>
      </c>
      <c r="B87" t="s">
        <v>1888</v>
      </c>
      <c r="C87" t="s">
        <v>1889</v>
      </c>
      <c r="D87">
        <v>6074202200032010</v>
      </c>
      <c r="E87" t="s">
        <v>2471</v>
      </c>
      <c r="F87" t="s">
        <v>2065</v>
      </c>
      <c r="G87" t="s">
        <v>2066</v>
      </c>
      <c r="H87" t="s">
        <v>362</v>
      </c>
      <c r="I87" t="s">
        <v>2068</v>
      </c>
      <c r="J87" t="s">
        <v>2069</v>
      </c>
      <c r="K87" s="3">
        <v>46062</v>
      </c>
      <c r="L87" s="5">
        <v>472242.17</v>
      </c>
      <c r="M87" s="5">
        <v>39598</v>
      </c>
      <c r="N87" s="5">
        <v>36664.17</v>
      </c>
      <c r="O87" s="5">
        <v>39598</v>
      </c>
      <c r="P87" s="5">
        <v>39598</v>
      </c>
      <c r="Q87" s="5">
        <v>39598</v>
      </c>
      <c r="R87" s="5">
        <v>39598</v>
      </c>
      <c r="S87" s="5">
        <v>39598</v>
      </c>
      <c r="T87" s="5">
        <v>39598</v>
      </c>
      <c r="U87" s="5">
        <v>39598</v>
      </c>
      <c r="V87" s="5">
        <v>39598</v>
      </c>
      <c r="W87" s="5">
        <v>39598</v>
      </c>
      <c r="X87" s="5">
        <v>39598</v>
      </c>
      <c r="Y87" s="5">
        <v>39598</v>
      </c>
    </row>
    <row r="88" spans="1:25" x14ac:dyDescent="0.25">
      <c r="A88" t="s">
        <v>1887</v>
      </c>
      <c r="B88" t="s">
        <v>1888</v>
      </c>
      <c r="C88" t="s">
        <v>1889</v>
      </c>
      <c r="D88">
        <v>6074202200032030</v>
      </c>
      <c r="E88" t="s">
        <v>2471</v>
      </c>
      <c r="F88" t="s">
        <v>2065</v>
      </c>
      <c r="G88" t="s">
        <v>2066</v>
      </c>
      <c r="H88" t="s">
        <v>1012</v>
      </c>
      <c r="I88" t="s">
        <v>2070</v>
      </c>
      <c r="J88" t="s">
        <v>2071</v>
      </c>
      <c r="K88" s="3">
        <v>46350</v>
      </c>
      <c r="L88" s="5">
        <v>2500</v>
      </c>
      <c r="M88" s="5">
        <v>2500</v>
      </c>
      <c r="N88" s="5"/>
      <c r="O88" s="5" t="s">
        <v>1908</v>
      </c>
      <c r="P88" s="5" t="s">
        <v>1909</v>
      </c>
      <c r="Q88" s="5" t="s">
        <v>1909</v>
      </c>
      <c r="R88" s="5" t="s">
        <v>1909</v>
      </c>
      <c r="S88" s="5" t="s">
        <v>1909</v>
      </c>
      <c r="T88" s="5" t="s">
        <v>1909</v>
      </c>
      <c r="U88" s="5" t="s">
        <v>1909</v>
      </c>
      <c r="V88" s="5" t="s">
        <v>1909</v>
      </c>
      <c r="W88" s="5">
        <v>2500</v>
      </c>
      <c r="X88" s="5" t="s">
        <v>1908</v>
      </c>
      <c r="Y88" s="5" t="s">
        <v>1910</v>
      </c>
    </row>
    <row r="89" spans="1:25" x14ac:dyDescent="0.25">
      <c r="A89" t="s">
        <v>1887</v>
      </c>
      <c r="B89" t="s">
        <v>1888</v>
      </c>
      <c r="C89" t="s">
        <v>1889</v>
      </c>
      <c r="D89">
        <v>6074202200034160</v>
      </c>
      <c r="E89" t="s">
        <v>2471</v>
      </c>
      <c r="F89" t="s">
        <v>2065</v>
      </c>
      <c r="G89" t="s">
        <v>2066</v>
      </c>
      <c r="H89" t="s">
        <v>444</v>
      </c>
      <c r="I89" t="s">
        <v>2072</v>
      </c>
      <c r="J89" t="s">
        <v>2073</v>
      </c>
      <c r="K89" s="3">
        <v>46343</v>
      </c>
      <c r="L89" s="5">
        <v>85657.32</v>
      </c>
      <c r="M89" s="5">
        <v>7558.11</v>
      </c>
      <c r="N89" s="5">
        <v>7054.11</v>
      </c>
      <c r="O89" s="5">
        <v>7054.11</v>
      </c>
      <c r="P89" s="5">
        <v>7054.11</v>
      </c>
      <c r="Q89" s="5">
        <v>7054.11</v>
      </c>
      <c r="R89" s="5">
        <v>7054.11</v>
      </c>
      <c r="S89" s="5">
        <v>7054.11</v>
      </c>
      <c r="T89" s="5">
        <v>7054.11</v>
      </c>
      <c r="U89" s="5">
        <v>7054.11</v>
      </c>
      <c r="V89" s="5">
        <v>7054.11</v>
      </c>
      <c r="W89" s="5">
        <v>7054.11</v>
      </c>
      <c r="X89" s="5">
        <v>7558.11</v>
      </c>
      <c r="Y89" s="5">
        <v>7558.11</v>
      </c>
    </row>
    <row r="90" spans="1:25" x14ac:dyDescent="0.25">
      <c r="A90" t="s">
        <v>1887</v>
      </c>
      <c r="B90" t="s">
        <v>1888</v>
      </c>
      <c r="C90" t="s">
        <v>1889</v>
      </c>
      <c r="D90">
        <v>6074202200034170</v>
      </c>
      <c r="E90" t="s">
        <v>2471</v>
      </c>
      <c r="F90" t="s">
        <v>2065</v>
      </c>
      <c r="G90" t="s">
        <v>2066</v>
      </c>
      <c r="H90" t="s">
        <v>951</v>
      </c>
      <c r="I90" t="s">
        <v>2074</v>
      </c>
      <c r="J90" t="s">
        <v>2075</v>
      </c>
      <c r="K90" s="3">
        <v>46259</v>
      </c>
      <c r="L90" s="5">
        <v>2400.7399999999998</v>
      </c>
      <c r="M90" s="5">
        <v>204.45</v>
      </c>
      <c r="N90" s="5">
        <v>194.07</v>
      </c>
      <c r="O90" s="5">
        <v>194.07</v>
      </c>
      <c r="P90" s="5">
        <v>194.07</v>
      </c>
      <c r="Q90" s="5">
        <v>194.07</v>
      </c>
      <c r="R90" s="5">
        <v>194.07</v>
      </c>
      <c r="S90" s="5">
        <v>194.07</v>
      </c>
      <c r="T90" s="5">
        <v>194.07</v>
      </c>
      <c r="U90" s="5">
        <v>208.45</v>
      </c>
      <c r="V90" s="5">
        <v>208.45</v>
      </c>
      <c r="W90" s="5">
        <v>208.45</v>
      </c>
      <c r="X90" s="5">
        <v>208.45</v>
      </c>
      <c r="Y90" s="5">
        <v>208.45</v>
      </c>
    </row>
    <row r="91" spans="1:25" x14ac:dyDescent="0.25">
      <c r="A91" t="s">
        <v>1887</v>
      </c>
      <c r="B91" t="s">
        <v>1888</v>
      </c>
      <c r="C91" t="s">
        <v>1889</v>
      </c>
      <c r="D91">
        <v>6074202300072300</v>
      </c>
      <c r="E91" t="s">
        <v>2471</v>
      </c>
      <c r="F91" t="s">
        <v>2065</v>
      </c>
      <c r="G91" t="s">
        <v>2066</v>
      </c>
      <c r="H91" t="s">
        <v>567</v>
      </c>
      <c r="I91" t="s">
        <v>2076</v>
      </c>
      <c r="J91" t="s">
        <v>1951</v>
      </c>
      <c r="K91" s="3">
        <v>46295</v>
      </c>
      <c r="L91" s="5">
        <v>396.12</v>
      </c>
      <c r="M91" s="5">
        <v>32</v>
      </c>
      <c r="N91" s="5">
        <v>33.01</v>
      </c>
      <c r="O91" s="5">
        <v>33.01</v>
      </c>
      <c r="P91" s="5">
        <v>33.01</v>
      </c>
      <c r="Q91" s="5">
        <v>33.01</v>
      </c>
      <c r="R91" s="5">
        <v>33.01</v>
      </c>
      <c r="S91" s="5">
        <v>33.01</v>
      </c>
      <c r="T91" s="5">
        <v>33.01</v>
      </c>
      <c r="U91" s="5">
        <v>33.01</v>
      </c>
      <c r="V91" s="5">
        <v>33.01</v>
      </c>
      <c r="W91" s="5">
        <v>38.130000000000003</v>
      </c>
      <c r="X91" s="5">
        <v>38.130000000000003</v>
      </c>
      <c r="Y91" s="5">
        <v>38.130000000000003</v>
      </c>
    </row>
    <row r="92" spans="1:25" x14ac:dyDescent="0.25">
      <c r="A92" t="s">
        <v>1887</v>
      </c>
      <c r="B92" t="s">
        <v>1888</v>
      </c>
      <c r="C92" t="s">
        <v>1889</v>
      </c>
      <c r="D92">
        <v>6074202400008350</v>
      </c>
      <c r="E92" t="s">
        <v>2471</v>
      </c>
      <c r="F92" t="s">
        <v>2065</v>
      </c>
      <c r="G92" t="s">
        <v>2066</v>
      </c>
      <c r="H92" t="s">
        <v>2077</v>
      </c>
      <c r="I92" t="s">
        <v>2078</v>
      </c>
      <c r="J92" t="s">
        <v>2079</v>
      </c>
      <c r="K92" s="3">
        <v>46251</v>
      </c>
      <c r="L92" s="5">
        <v>560</v>
      </c>
      <c r="M92" s="5" t="s">
        <v>1908</v>
      </c>
      <c r="N92" s="5" t="s">
        <v>1909</v>
      </c>
      <c r="O92" s="5">
        <v>280</v>
      </c>
      <c r="P92" s="5" t="s">
        <v>1908</v>
      </c>
      <c r="Q92" s="5"/>
      <c r="R92" s="5" t="s">
        <v>1909</v>
      </c>
      <c r="S92" s="5" t="s">
        <v>1909</v>
      </c>
      <c r="T92" s="5" t="s">
        <v>1909</v>
      </c>
      <c r="U92" s="5">
        <v>280</v>
      </c>
      <c r="V92" s="5" t="s">
        <v>1908</v>
      </c>
      <c r="W92" s="5" t="s">
        <v>1909</v>
      </c>
      <c r="X92" s="5" t="s">
        <v>1909</v>
      </c>
      <c r="Y92" s="5" t="s">
        <v>1910</v>
      </c>
    </row>
    <row r="93" spans="1:25" x14ac:dyDescent="0.25">
      <c r="A93" t="s">
        <v>1887</v>
      </c>
      <c r="B93" t="s">
        <v>1888</v>
      </c>
      <c r="C93" t="s">
        <v>1889</v>
      </c>
      <c r="D93" t="s">
        <v>2463</v>
      </c>
      <c r="E93" t="s">
        <v>2472</v>
      </c>
      <c r="F93" t="s">
        <v>2080</v>
      </c>
      <c r="G93" t="s">
        <v>2066</v>
      </c>
      <c r="H93" t="s">
        <v>1986</v>
      </c>
      <c r="I93" t="s">
        <v>2081</v>
      </c>
      <c r="J93" t="s">
        <v>1999</v>
      </c>
      <c r="K93" s="3" t="s">
        <v>1989</v>
      </c>
      <c r="L93" s="5">
        <v>10000</v>
      </c>
      <c r="M93" s="5">
        <v>10000</v>
      </c>
      <c r="N93" s="5"/>
      <c r="O93" s="5"/>
      <c r="P93" s="5"/>
      <c r="Q93" s="5">
        <v>10000</v>
      </c>
      <c r="R93" s="5"/>
      <c r="S93" s="5"/>
      <c r="T93" s="5"/>
      <c r="U93" s="5"/>
      <c r="V93" s="5"/>
      <c r="W93" s="5"/>
      <c r="X93" s="5"/>
      <c r="Y93" s="5"/>
    </row>
    <row r="94" spans="1:25" x14ac:dyDescent="0.25">
      <c r="A94" t="s">
        <v>1887</v>
      </c>
      <c r="B94" t="s">
        <v>1888</v>
      </c>
      <c r="C94" t="s">
        <v>1889</v>
      </c>
      <c r="D94">
        <v>6064202300002770</v>
      </c>
      <c r="E94" t="s">
        <v>2471</v>
      </c>
      <c r="F94" t="s">
        <v>2082</v>
      </c>
      <c r="G94" t="s">
        <v>2083</v>
      </c>
      <c r="H94" t="s">
        <v>2084</v>
      </c>
      <c r="I94" t="s">
        <v>2085</v>
      </c>
      <c r="J94" t="s">
        <v>2086</v>
      </c>
      <c r="K94" s="3">
        <v>46081</v>
      </c>
      <c r="L94" s="5">
        <v>364438.34</v>
      </c>
      <c r="M94" s="5">
        <v>30722.39</v>
      </c>
      <c r="N94" s="5">
        <v>28607.22</v>
      </c>
      <c r="O94" s="5">
        <v>28607.22</v>
      </c>
      <c r="P94" s="5">
        <v>30722.39</v>
      </c>
      <c r="Q94" s="5">
        <v>30722.39</v>
      </c>
      <c r="R94" s="5">
        <v>30722.39</v>
      </c>
      <c r="S94" s="5">
        <v>30722.39</v>
      </c>
      <c r="T94" s="5">
        <v>30722.39</v>
      </c>
      <c r="U94" s="5">
        <v>30722.39</v>
      </c>
      <c r="V94" s="5">
        <v>30722.39</v>
      </c>
      <c r="W94" s="5">
        <v>30722.39</v>
      </c>
      <c r="X94" s="5">
        <v>30722.39</v>
      </c>
      <c r="Y94" s="5">
        <v>30722.39</v>
      </c>
    </row>
    <row r="95" spans="1:25" x14ac:dyDescent="0.25">
      <c r="A95" t="s">
        <v>1887</v>
      </c>
      <c r="B95" t="s">
        <v>1888</v>
      </c>
      <c r="C95" t="s">
        <v>1889</v>
      </c>
      <c r="D95">
        <v>6074201700002600</v>
      </c>
      <c r="E95" t="s">
        <v>2472</v>
      </c>
      <c r="F95" t="s">
        <v>2087</v>
      </c>
      <c r="G95" t="s">
        <v>2083</v>
      </c>
      <c r="H95" t="s">
        <v>2088</v>
      </c>
      <c r="I95" t="s">
        <v>2089</v>
      </c>
      <c r="J95" t="s">
        <v>2090</v>
      </c>
      <c r="K95" s="3">
        <v>46263</v>
      </c>
      <c r="L95" s="5">
        <v>128707.2</v>
      </c>
      <c r="M95" s="5">
        <v>11365.6</v>
      </c>
      <c r="N95" s="5">
        <v>11365.6</v>
      </c>
      <c r="O95" s="5">
        <v>11365.6</v>
      </c>
      <c r="P95" s="5">
        <v>11365.6</v>
      </c>
      <c r="Q95" s="5">
        <v>11365.6</v>
      </c>
      <c r="R95" s="5">
        <v>11365.6</v>
      </c>
      <c r="S95" s="5">
        <v>11365.6</v>
      </c>
      <c r="T95" s="5">
        <v>11365.6</v>
      </c>
      <c r="U95" s="5">
        <v>12005.6</v>
      </c>
      <c r="V95" s="5">
        <v>12005.6</v>
      </c>
      <c r="W95" s="5">
        <v>12005.6</v>
      </c>
      <c r="X95" s="5">
        <v>12005.6</v>
      </c>
      <c r="Y95" s="5">
        <v>12005.6</v>
      </c>
    </row>
    <row r="96" spans="1:25" x14ac:dyDescent="0.25">
      <c r="A96" t="s">
        <v>1887</v>
      </c>
      <c r="B96" t="s">
        <v>1888</v>
      </c>
      <c r="C96" t="s">
        <v>1889</v>
      </c>
      <c r="D96">
        <v>6074201700002600</v>
      </c>
      <c r="E96" t="s">
        <v>2472</v>
      </c>
      <c r="F96" t="s">
        <v>2087</v>
      </c>
      <c r="G96" t="s">
        <v>2083</v>
      </c>
      <c r="H96" t="s">
        <v>2088</v>
      </c>
      <c r="I96" t="s">
        <v>2091</v>
      </c>
      <c r="J96" t="s">
        <v>2090</v>
      </c>
      <c r="K96" s="3">
        <v>46263</v>
      </c>
      <c r="L96" s="5">
        <v>2000</v>
      </c>
      <c r="M96" s="5">
        <v>2000</v>
      </c>
      <c r="N96" s="5" t="s">
        <v>1908</v>
      </c>
      <c r="O96" s="5">
        <v>0</v>
      </c>
      <c r="P96" s="5">
        <v>0</v>
      </c>
      <c r="Q96" s="5">
        <v>0</v>
      </c>
      <c r="R96" s="5">
        <v>0</v>
      </c>
      <c r="S96" s="5">
        <v>0</v>
      </c>
      <c r="T96" s="5">
        <v>0</v>
      </c>
      <c r="U96" s="5">
        <v>2000</v>
      </c>
      <c r="V96" s="5">
        <v>0</v>
      </c>
      <c r="W96" s="5">
        <v>0</v>
      </c>
      <c r="X96" s="5">
        <v>0</v>
      </c>
      <c r="Y96" s="5" t="s">
        <v>2092</v>
      </c>
    </row>
    <row r="97" spans="1:25" x14ac:dyDescent="0.25">
      <c r="A97" t="s">
        <v>1887</v>
      </c>
      <c r="B97" t="s">
        <v>1888</v>
      </c>
      <c r="C97" t="s">
        <v>1889</v>
      </c>
      <c r="D97">
        <v>6074201700002600</v>
      </c>
      <c r="E97" t="s">
        <v>2472</v>
      </c>
      <c r="F97" t="s">
        <v>2093</v>
      </c>
      <c r="G97" t="s">
        <v>2083</v>
      </c>
      <c r="H97" t="s">
        <v>2088</v>
      </c>
      <c r="I97" t="s">
        <v>2094</v>
      </c>
      <c r="J97" t="s">
        <v>2090</v>
      </c>
      <c r="K97" s="3">
        <v>46263</v>
      </c>
      <c r="L97" s="5">
        <v>20000</v>
      </c>
      <c r="M97" s="5">
        <v>2000</v>
      </c>
      <c r="N97" s="5" t="s">
        <v>1908</v>
      </c>
      <c r="O97" s="5">
        <v>2000</v>
      </c>
      <c r="P97" s="5">
        <v>2000</v>
      </c>
      <c r="Q97" s="5">
        <v>2000</v>
      </c>
      <c r="R97" s="5">
        <v>2000</v>
      </c>
      <c r="S97" s="5">
        <v>2000</v>
      </c>
      <c r="T97" s="5">
        <v>2000</v>
      </c>
      <c r="U97" s="5">
        <v>2000</v>
      </c>
      <c r="V97" s="5">
        <v>2000</v>
      </c>
      <c r="W97" s="5">
        <v>2000</v>
      </c>
      <c r="X97" s="5">
        <v>2000</v>
      </c>
      <c r="Y97" s="5" t="s">
        <v>2092</v>
      </c>
    </row>
    <row r="98" spans="1:25" x14ac:dyDescent="0.25">
      <c r="A98" t="s">
        <v>1887</v>
      </c>
      <c r="B98" t="s">
        <v>1888</v>
      </c>
      <c r="C98" t="s">
        <v>1889</v>
      </c>
      <c r="D98">
        <v>6074202000023340</v>
      </c>
      <c r="E98" t="s">
        <v>2471</v>
      </c>
      <c r="F98" t="s">
        <v>2095</v>
      </c>
      <c r="G98" t="s">
        <v>2083</v>
      </c>
      <c r="H98" t="s">
        <v>844</v>
      </c>
      <c r="I98" t="s">
        <v>2096</v>
      </c>
      <c r="J98" t="s">
        <v>2097</v>
      </c>
      <c r="K98" s="3">
        <v>46211</v>
      </c>
      <c r="L98" s="5">
        <v>48189.599999999999</v>
      </c>
      <c r="M98" s="5">
        <v>4300</v>
      </c>
      <c r="N98" s="5">
        <v>4300</v>
      </c>
      <c r="O98" s="5">
        <v>4300</v>
      </c>
      <c r="P98" s="5">
        <v>4300</v>
      </c>
      <c r="Q98" s="5">
        <v>4300</v>
      </c>
      <c r="R98" s="5">
        <v>4300</v>
      </c>
      <c r="S98" s="5">
        <v>4300</v>
      </c>
      <c r="T98" s="5">
        <v>4300</v>
      </c>
      <c r="U98" s="5">
        <v>4300</v>
      </c>
      <c r="V98" s="5">
        <v>4300</v>
      </c>
      <c r="W98" s="5">
        <v>4300</v>
      </c>
      <c r="X98" s="5">
        <v>4300</v>
      </c>
      <c r="Y98" s="5">
        <v>4300</v>
      </c>
    </row>
    <row r="99" spans="1:25" x14ac:dyDescent="0.25">
      <c r="A99" t="s">
        <v>1887</v>
      </c>
      <c r="B99" t="s">
        <v>1888</v>
      </c>
      <c r="C99" t="s">
        <v>1889</v>
      </c>
      <c r="D99">
        <v>6074202100055800</v>
      </c>
      <c r="E99" t="s">
        <v>2471</v>
      </c>
      <c r="F99" t="s">
        <v>2095</v>
      </c>
      <c r="G99" t="s">
        <v>2083</v>
      </c>
      <c r="H99" t="s">
        <v>964</v>
      </c>
      <c r="I99" t="s">
        <v>2098</v>
      </c>
      <c r="J99" t="s">
        <v>2099</v>
      </c>
      <c r="K99" s="3">
        <v>46277</v>
      </c>
      <c r="L99" s="5">
        <v>253994.28</v>
      </c>
      <c r="M99" s="5">
        <v>19185.59</v>
      </c>
      <c r="N99" s="5">
        <v>20671.04</v>
      </c>
      <c r="O99" s="5">
        <v>20671.04</v>
      </c>
      <c r="P99" s="5">
        <v>20671.04</v>
      </c>
      <c r="Q99" s="5">
        <v>20671.04</v>
      </c>
      <c r="R99" s="5">
        <v>20671.04</v>
      </c>
      <c r="S99" s="5">
        <v>20671.04</v>
      </c>
      <c r="T99" s="5">
        <v>20671.04</v>
      </c>
      <c r="U99" s="5">
        <v>20671.04</v>
      </c>
      <c r="V99" s="5">
        <v>22156.49</v>
      </c>
      <c r="W99" s="5">
        <v>22156.49</v>
      </c>
      <c r="X99" s="5">
        <v>22156.49</v>
      </c>
      <c r="Y99" s="5">
        <v>22156.49</v>
      </c>
    </row>
    <row r="100" spans="1:25" x14ac:dyDescent="0.25">
      <c r="A100" t="s">
        <v>1887</v>
      </c>
      <c r="B100" t="s">
        <v>1888</v>
      </c>
      <c r="C100" t="s">
        <v>1889</v>
      </c>
      <c r="D100">
        <v>6074202100065360</v>
      </c>
      <c r="E100" t="s">
        <v>2471</v>
      </c>
      <c r="F100" t="s">
        <v>2095</v>
      </c>
      <c r="G100" t="s">
        <v>2083</v>
      </c>
      <c r="H100" t="s">
        <v>1019</v>
      </c>
      <c r="I100" t="s">
        <v>2100</v>
      </c>
      <c r="J100" t="s">
        <v>2018</v>
      </c>
      <c r="K100" s="3">
        <v>45863</v>
      </c>
      <c r="L100" s="5">
        <v>0</v>
      </c>
      <c r="M100" s="5">
        <v>0</v>
      </c>
      <c r="N100" s="5">
        <v>100</v>
      </c>
      <c r="O100" s="5">
        <v>100</v>
      </c>
      <c r="P100" s="5">
        <v>100</v>
      </c>
      <c r="Q100" s="5">
        <v>100</v>
      </c>
      <c r="R100" s="5">
        <v>100</v>
      </c>
      <c r="S100" s="5">
        <v>100</v>
      </c>
      <c r="T100" s="5">
        <v>100</v>
      </c>
      <c r="U100" s="5">
        <v>100</v>
      </c>
      <c r="V100" s="5">
        <v>100</v>
      </c>
      <c r="W100" s="5">
        <v>100</v>
      </c>
      <c r="X100" s="5">
        <v>100</v>
      </c>
      <c r="Y100" s="5">
        <v>100</v>
      </c>
    </row>
    <row r="101" spans="1:25" x14ac:dyDescent="0.25">
      <c r="A101" t="s">
        <v>1887</v>
      </c>
      <c r="B101" t="s">
        <v>1888</v>
      </c>
      <c r="C101" t="s">
        <v>1889</v>
      </c>
      <c r="D101">
        <v>6074202200031730</v>
      </c>
      <c r="E101" t="s">
        <v>2471</v>
      </c>
      <c r="F101" t="s">
        <v>2082</v>
      </c>
      <c r="G101" t="s">
        <v>2083</v>
      </c>
      <c r="H101" t="s">
        <v>421</v>
      </c>
      <c r="I101" t="s">
        <v>2101</v>
      </c>
      <c r="J101" t="s">
        <v>2102</v>
      </c>
      <c r="K101" s="3">
        <v>46362</v>
      </c>
      <c r="L101" s="5">
        <v>122941.18</v>
      </c>
      <c r="M101" s="5">
        <v>10892.87</v>
      </c>
      <c r="N101" s="5">
        <v>10186.209999999999</v>
      </c>
      <c r="O101" s="5">
        <v>10186.209999999999</v>
      </c>
      <c r="P101" s="5">
        <v>10186.209999999999</v>
      </c>
      <c r="Q101" s="5">
        <v>10186.209999999999</v>
      </c>
      <c r="R101" s="5">
        <v>10186.209999999999</v>
      </c>
      <c r="S101" s="5">
        <v>10186.209999999999</v>
      </c>
      <c r="T101" s="5">
        <v>10186.209999999999</v>
      </c>
      <c r="U101" s="5">
        <v>10186.209999999999</v>
      </c>
      <c r="V101" s="5">
        <v>10186.209999999999</v>
      </c>
      <c r="W101" s="5">
        <v>10186.209999999999</v>
      </c>
      <c r="X101" s="5">
        <v>10186.209999999999</v>
      </c>
      <c r="Y101" s="5">
        <v>10892.87</v>
      </c>
    </row>
    <row r="102" spans="1:25" x14ac:dyDescent="0.25">
      <c r="A102" t="s">
        <v>1887</v>
      </c>
      <c r="B102" t="s">
        <v>1888</v>
      </c>
      <c r="C102" t="s">
        <v>1889</v>
      </c>
      <c r="D102">
        <v>6074202200032010</v>
      </c>
      <c r="E102" t="s">
        <v>2471</v>
      </c>
      <c r="F102" t="s">
        <v>2095</v>
      </c>
      <c r="G102" t="s">
        <v>2083</v>
      </c>
      <c r="H102" t="s">
        <v>362</v>
      </c>
      <c r="I102" t="s">
        <v>2103</v>
      </c>
      <c r="J102" t="s">
        <v>2069</v>
      </c>
      <c r="K102" s="3">
        <v>46062</v>
      </c>
      <c r="L102" s="5">
        <v>344814.06</v>
      </c>
      <c r="M102" s="5">
        <v>28913</v>
      </c>
      <c r="N102" s="5">
        <v>26771.06</v>
      </c>
      <c r="O102" s="5">
        <v>28913</v>
      </c>
      <c r="P102" s="5">
        <v>28913</v>
      </c>
      <c r="Q102" s="5">
        <v>28913</v>
      </c>
      <c r="R102" s="5">
        <v>28913</v>
      </c>
      <c r="S102" s="5">
        <v>28913</v>
      </c>
      <c r="T102" s="5">
        <v>28913</v>
      </c>
      <c r="U102" s="5">
        <v>28913</v>
      </c>
      <c r="V102" s="5">
        <v>28913</v>
      </c>
      <c r="W102" s="5">
        <v>28913</v>
      </c>
      <c r="X102" s="5">
        <v>28913</v>
      </c>
      <c r="Y102" s="5">
        <v>28913</v>
      </c>
    </row>
    <row r="103" spans="1:25" x14ac:dyDescent="0.25">
      <c r="A103" t="s">
        <v>1887</v>
      </c>
      <c r="B103" t="s">
        <v>1888</v>
      </c>
      <c r="C103" t="s">
        <v>1889</v>
      </c>
      <c r="D103">
        <v>6074202200032030</v>
      </c>
      <c r="E103" t="s">
        <v>2471</v>
      </c>
      <c r="F103" t="s">
        <v>2095</v>
      </c>
      <c r="G103" t="s">
        <v>2083</v>
      </c>
      <c r="H103" t="s">
        <v>1012</v>
      </c>
      <c r="I103" t="s">
        <v>2104</v>
      </c>
      <c r="J103" t="s">
        <v>2071</v>
      </c>
      <c r="K103" s="3">
        <v>46350</v>
      </c>
      <c r="L103" s="5">
        <v>1600</v>
      </c>
      <c r="M103" s="5">
        <v>1600</v>
      </c>
      <c r="N103" s="5"/>
      <c r="O103" s="5" t="s">
        <v>1908</v>
      </c>
      <c r="P103" s="5" t="s">
        <v>1909</v>
      </c>
      <c r="Q103" s="5" t="s">
        <v>1909</v>
      </c>
      <c r="R103" s="5" t="s">
        <v>1909</v>
      </c>
      <c r="S103" s="5" t="s">
        <v>1909</v>
      </c>
      <c r="T103" s="5" t="s">
        <v>1909</v>
      </c>
      <c r="U103" s="5" t="s">
        <v>1909</v>
      </c>
      <c r="V103" s="5" t="s">
        <v>1909</v>
      </c>
      <c r="W103" s="5">
        <v>1600</v>
      </c>
      <c r="X103" s="5" t="s">
        <v>1908</v>
      </c>
      <c r="Y103" s="5" t="s">
        <v>1910</v>
      </c>
    </row>
    <row r="104" spans="1:25" x14ac:dyDescent="0.25">
      <c r="A104" t="s">
        <v>1887</v>
      </c>
      <c r="B104" t="s">
        <v>1888</v>
      </c>
      <c r="C104" t="s">
        <v>1889</v>
      </c>
      <c r="D104">
        <v>6074202200034160</v>
      </c>
      <c r="E104" t="s">
        <v>2471</v>
      </c>
      <c r="F104" t="s">
        <v>2095</v>
      </c>
      <c r="G104" t="s">
        <v>2083</v>
      </c>
      <c r="H104" t="s">
        <v>444</v>
      </c>
      <c r="I104" t="s">
        <v>2072</v>
      </c>
      <c r="J104" t="s">
        <v>2073</v>
      </c>
      <c r="K104" s="3">
        <v>46343</v>
      </c>
      <c r="L104" s="5">
        <v>42831.9</v>
      </c>
      <c r="M104" s="5">
        <v>3780</v>
      </c>
      <c r="N104" s="5">
        <v>3527.19</v>
      </c>
      <c r="O104" s="5">
        <v>3527.19</v>
      </c>
      <c r="P104" s="5">
        <v>3527.19</v>
      </c>
      <c r="Q104" s="5">
        <v>3527.19</v>
      </c>
      <c r="R104" s="5">
        <v>3527.19</v>
      </c>
      <c r="S104" s="5">
        <v>3527.19</v>
      </c>
      <c r="T104" s="5">
        <v>3527.19</v>
      </c>
      <c r="U104" s="5">
        <v>3527.19</v>
      </c>
      <c r="V104" s="5">
        <v>3527.19</v>
      </c>
      <c r="W104" s="5">
        <v>3527.19</v>
      </c>
      <c r="X104" s="5">
        <v>3780</v>
      </c>
      <c r="Y104" s="5">
        <v>3780</v>
      </c>
    </row>
    <row r="105" spans="1:25" x14ac:dyDescent="0.25">
      <c r="A105" t="s">
        <v>1887</v>
      </c>
      <c r="B105" t="s">
        <v>1888</v>
      </c>
      <c r="C105" t="s">
        <v>1889</v>
      </c>
      <c r="D105">
        <v>6074202200034170</v>
      </c>
      <c r="E105" t="s">
        <v>2471</v>
      </c>
      <c r="F105" t="s">
        <v>2095</v>
      </c>
      <c r="G105" t="s">
        <v>2083</v>
      </c>
      <c r="H105" t="s">
        <v>951</v>
      </c>
      <c r="I105" t="s">
        <v>2074</v>
      </c>
      <c r="J105" t="s">
        <v>2075</v>
      </c>
      <c r="K105" s="3">
        <v>46259</v>
      </c>
      <c r="L105" s="5">
        <v>1600.46</v>
      </c>
      <c r="M105" s="5">
        <v>138.96</v>
      </c>
      <c r="N105" s="5">
        <v>129.38</v>
      </c>
      <c r="O105" s="5">
        <v>129.38</v>
      </c>
      <c r="P105" s="5">
        <v>129.38</v>
      </c>
      <c r="Q105" s="5">
        <v>129.38</v>
      </c>
      <c r="R105" s="5">
        <v>129.38</v>
      </c>
      <c r="S105" s="5">
        <v>129.38</v>
      </c>
      <c r="T105" s="5">
        <v>129.38</v>
      </c>
      <c r="U105" s="5">
        <v>138.96</v>
      </c>
      <c r="V105" s="5">
        <v>138.96</v>
      </c>
      <c r="W105" s="5">
        <v>138.96</v>
      </c>
      <c r="X105" s="5">
        <v>138.96</v>
      </c>
      <c r="Y105" s="5">
        <v>138.96</v>
      </c>
    </row>
    <row r="106" spans="1:25" x14ac:dyDescent="0.25">
      <c r="A106" t="s">
        <v>1887</v>
      </c>
      <c r="B106" t="s">
        <v>1888</v>
      </c>
      <c r="C106" t="s">
        <v>1889</v>
      </c>
      <c r="D106">
        <v>6074202200064630</v>
      </c>
      <c r="E106" t="s">
        <v>2471</v>
      </c>
      <c r="F106" t="s">
        <v>2095</v>
      </c>
      <c r="G106" t="s">
        <v>2083</v>
      </c>
      <c r="H106" t="s">
        <v>2105</v>
      </c>
      <c r="I106" t="s">
        <v>2106</v>
      </c>
      <c r="J106" t="s">
        <v>2107</v>
      </c>
      <c r="K106" s="3">
        <v>46341</v>
      </c>
      <c r="L106" s="5">
        <v>333200</v>
      </c>
      <c r="M106" s="5">
        <v>29400</v>
      </c>
      <c r="N106" s="5">
        <v>27440</v>
      </c>
      <c r="O106" s="5">
        <v>27440</v>
      </c>
      <c r="P106" s="5">
        <v>27440</v>
      </c>
      <c r="Q106" s="5">
        <v>27440</v>
      </c>
      <c r="R106" s="5">
        <v>27440</v>
      </c>
      <c r="S106" s="5">
        <v>27440</v>
      </c>
      <c r="T106" s="5">
        <v>27440</v>
      </c>
      <c r="U106" s="5">
        <v>27440</v>
      </c>
      <c r="V106" s="5">
        <v>27440</v>
      </c>
      <c r="W106" s="5">
        <v>27440</v>
      </c>
      <c r="X106" s="5">
        <v>29400</v>
      </c>
      <c r="Y106" s="5">
        <v>29400</v>
      </c>
    </row>
    <row r="107" spans="1:25" x14ac:dyDescent="0.25">
      <c r="A107" t="s">
        <v>1887</v>
      </c>
      <c r="B107" t="s">
        <v>1888</v>
      </c>
      <c r="C107" t="s">
        <v>1889</v>
      </c>
      <c r="D107">
        <v>6074202300072300</v>
      </c>
      <c r="E107" t="s">
        <v>2471</v>
      </c>
      <c r="F107" t="s">
        <v>2095</v>
      </c>
      <c r="G107" t="s">
        <v>2083</v>
      </c>
      <c r="H107" t="s">
        <v>567</v>
      </c>
      <c r="I107" t="s">
        <v>2108</v>
      </c>
      <c r="J107" t="s">
        <v>1951</v>
      </c>
      <c r="K107" s="3">
        <v>46295</v>
      </c>
      <c r="L107" s="5">
        <v>869.04</v>
      </c>
      <c r="M107" s="5">
        <v>76.260000000000005</v>
      </c>
      <c r="N107" s="5">
        <v>71.14</v>
      </c>
      <c r="O107" s="5">
        <v>71.14</v>
      </c>
      <c r="P107" s="5">
        <v>71.14</v>
      </c>
      <c r="Q107" s="5">
        <v>71.14</v>
      </c>
      <c r="R107" s="5">
        <v>71.14</v>
      </c>
      <c r="S107" s="5">
        <v>71.14</v>
      </c>
      <c r="T107" s="5">
        <v>71.14</v>
      </c>
      <c r="U107" s="5">
        <v>71.14</v>
      </c>
      <c r="V107" s="5">
        <v>71.14</v>
      </c>
      <c r="W107" s="5">
        <v>76.260000000000005</v>
      </c>
      <c r="X107" s="5">
        <v>76.260000000000005</v>
      </c>
      <c r="Y107" s="5">
        <v>76.260000000000005</v>
      </c>
    </row>
    <row r="108" spans="1:25" x14ac:dyDescent="0.25">
      <c r="A108" t="s">
        <v>1887</v>
      </c>
      <c r="B108" t="s">
        <v>1888</v>
      </c>
      <c r="C108" t="s">
        <v>1889</v>
      </c>
      <c r="D108">
        <v>6074202300102770</v>
      </c>
      <c r="E108" t="s">
        <v>2471</v>
      </c>
      <c r="F108" t="s">
        <v>2095</v>
      </c>
      <c r="G108" t="s">
        <v>2083</v>
      </c>
      <c r="H108" t="s">
        <v>75</v>
      </c>
      <c r="I108" t="s">
        <v>2109</v>
      </c>
      <c r="J108" t="s">
        <v>2110</v>
      </c>
      <c r="K108" s="3">
        <v>46072</v>
      </c>
      <c r="L108" s="5">
        <v>20271</v>
      </c>
      <c r="M108" s="5">
        <v>1700</v>
      </c>
      <c r="N108" s="5">
        <v>1571</v>
      </c>
      <c r="O108" s="5">
        <v>1700</v>
      </c>
      <c r="P108" s="5">
        <v>1700</v>
      </c>
      <c r="Q108" s="5">
        <v>1700</v>
      </c>
      <c r="R108" s="5">
        <v>1700</v>
      </c>
      <c r="S108" s="5">
        <v>1700</v>
      </c>
      <c r="T108" s="5">
        <v>1700</v>
      </c>
      <c r="U108" s="5">
        <v>1700</v>
      </c>
      <c r="V108" s="5">
        <v>1700</v>
      </c>
      <c r="W108" s="5">
        <v>1700</v>
      </c>
      <c r="X108" s="5">
        <v>1700</v>
      </c>
      <c r="Y108" s="5">
        <v>1700</v>
      </c>
    </row>
    <row r="109" spans="1:25" x14ac:dyDescent="0.25">
      <c r="A109" t="s">
        <v>1887</v>
      </c>
      <c r="B109" t="s">
        <v>1888</v>
      </c>
      <c r="C109" t="s">
        <v>1889</v>
      </c>
      <c r="D109">
        <v>6074202400065410</v>
      </c>
      <c r="E109" t="s">
        <v>2471</v>
      </c>
      <c r="F109" t="s">
        <v>2095</v>
      </c>
      <c r="G109" t="s">
        <v>2083</v>
      </c>
      <c r="H109" t="s">
        <v>370</v>
      </c>
      <c r="I109" t="s">
        <v>2058</v>
      </c>
      <c r="J109" t="s">
        <v>1967</v>
      </c>
      <c r="K109" s="3">
        <v>46359</v>
      </c>
      <c r="L109" s="5">
        <v>620</v>
      </c>
      <c r="M109" s="5" t="s">
        <v>1908</v>
      </c>
      <c r="N109" s="5">
        <v>290</v>
      </c>
      <c r="O109" s="5" t="s">
        <v>1908</v>
      </c>
      <c r="P109" s="5" t="s">
        <v>1909</v>
      </c>
      <c r="Q109" s="5" t="s">
        <v>1909</v>
      </c>
      <c r="R109" s="5" t="s">
        <v>1909</v>
      </c>
      <c r="S109" s="5" t="s">
        <v>1909</v>
      </c>
      <c r="T109" s="5" t="s">
        <v>1909</v>
      </c>
      <c r="U109" s="5" t="s">
        <v>1909</v>
      </c>
      <c r="V109" s="5" t="s">
        <v>1909</v>
      </c>
      <c r="W109" s="5">
        <v>330</v>
      </c>
      <c r="X109" s="5" t="s">
        <v>1908</v>
      </c>
      <c r="Y109" s="5" t="s">
        <v>1910</v>
      </c>
    </row>
    <row r="110" spans="1:25" x14ac:dyDescent="0.25">
      <c r="A110" t="s">
        <v>1887</v>
      </c>
      <c r="B110" t="s">
        <v>1888</v>
      </c>
      <c r="C110" t="s">
        <v>1889</v>
      </c>
      <c r="D110">
        <v>6074202400087020</v>
      </c>
      <c r="E110" t="s">
        <v>2471</v>
      </c>
      <c r="F110" t="s">
        <v>2095</v>
      </c>
      <c r="G110" t="s">
        <v>2083</v>
      </c>
      <c r="H110" t="s">
        <v>2112</v>
      </c>
      <c r="I110" t="s">
        <v>2113</v>
      </c>
      <c r="J110" t="s">
        <v>2099</v>
      </c>
      <c r="K110" s="3">
        <v>46036</v>
      </c>
      <c r="L110" s="5">
        <v>370440</v>
      </c>
      <c r="M110" s="5">
        <v>30870</v>
      </c>
      <c r="N110" s="5">
        <v>30870</v>
      </c>
      <c r="O110" s="5">
        <v>30870</v>
      </c>
      <c r="P110" s="5">
        <v>30870</v>
      </c>
      <c r="Q110" s="5">
        <v>30870</v>
      </c>
      <c r="R110" s="5">
        <v>30870</v>
      </c>
      <c r="S110" s="5">
        <v>30870</v>
      </c>
      <c r="T110" s="5">
        <v>30870</v>
      </c>
      <c r="U110" s="5">
        <v>30870</v>
      </c>
      <c r="V110" s="5">
        <v>30870</v>
      </c>
      <c r="W110" s="5">
        <v>30870</v>
      </c>
      <c r="X110" s="5">
        <v>30870</v>
      </c>
      <c r="Y110" s="5">
        <v>30870</v>
      </c>
    </row>
    <row r="111" spans="1:25" x14ac:dyDescent="0.25">
      <c r="A111" t="s">
        <v>1887</v>
      </c>
      <c r="B111" t="s">
        <v>1888</v>
      </c>
      <c r="C111" t="s">
        <v>1889</v>
      </c>
      <c r="D111">
        <v>6074202400099120</v>
      </c>
      <c r="E111" t="s">
        <v>2471</v>
      </c>
      <c r="F111" t="s">
        <v>2095</v>
      </c>
      <c r="G111" t="s">
        <v>2083</v>
      </c>
      <c r="H111" t="s">
        <v>1970</v>
      </c>
      <c r="I111" t="s">
        <v>2114</v>
      </c>
      <c r="J111" t="s">
        <v>1972</v>
      </c>
      <c r="K111" s="3">
        <v>46387</v>
      </c>
      <c r="L111" s="5">
        <v>72000</v>
      </c>
      <c r="M111" s="5">
        <v>6000</v>
      </c>
      <c r="N111" s="5">
        <v>6000</v>
      </c>
      <c r="O111" s="5">
        <v>6000</v>
      </c>
      <c r="P111" s="5">
        <v>6000</v>
      </c>
      <c r="Q111" s="5">
        <v>6000</v>
      </c>
      <c r="R111" s="5">
        <v>6000</v>
      </c>
      <c r="S111" s="5">
        <v>6000</v>
      </c>
      <c r="T111" s="5">
        <v>6000</v>
      </c>
      <c r="U111" s="5">
        <v>6000</v>
      </c>
      <c r="V111" s="5">
        <v>6000</v>
      </c>
      <c r="W111" s="5">
        <v>6000</v>
      </c>
      <c r="X111" s="5">
        <v>6000</v>
      </c>
      <c r="Y111" s="5">
        <v>6000</v>
      </c>
    </row>
    <row r="112" spans="1:25" x14ac:dyDescent="0.25">
      <c r="A112" t="s">
        <v>1887</v>
      </c>
      <c r="B112" t="s">
        <v>1888</v>
      </c>
      <c r="C112" t="s">
        <v>1889</v>
      </c>
      <c r="D112">
        <v>6074202500006200</v>
      </c>
      <c r="E112" t="s">
        <v>2471</v>
      </c>
      <c r="F112" t="s">
        <v>2115</v>
      </c>
      <c r="G112" t="s">
        <v>2083</v>
      </c>
      <c r="H112" t="s">
        <v>1970</v>
      </c>
      <c r="I112" t="s">
        <v>2116</v>
      </c>
      <c r="J112" t="s">
        <v>2044</v>
      </c>
      <c r="K112" s="3">
        <v>46387</v>
      </c>
      <c r="L112" s="5">
        <v>9000000</v>
      </c>
      <c r="M112" s="5">
        <v>750000</v>
      </c>
      <c r="N112" s="5">
        <v>750000</v>
      </c>
      <c r="O112" s="5">
        <v>750000</v>
      </c>
      <c r="P112" s="5">
        <v>750000</v>
      </c>
      <c r="Q112" s="5">
        <v>750000</v>
      </c>
      <c r="R112" s="5">
        <v>750000</v>
      </c>
      <c r="S112" s="5">
        <v>750000</v>
      </c>
      <c r="T112" s="5">
        <v>750000</v>
      </c>
      <c r="U112" s="5">
        <v>750000</v>
      </c>
      <c r="V112" s="5">
        <v>750000</v>
      </c>
      <c r="W112" s="5">
        <v>750000</v>
      </c>
      <c r="X112" s="5">
        <v>750000</v>
      </c>
      <c r="Y112" s="5">
        <v>750000</v>
      </c>
    </row>
    <row r="113" spans="1:25" x14ac:dyDescent="0.25">
      <c r="A113" t="s">
        <v>1887</v>
      </c>
      <c r="B113" t="s">
        <v>1888</v>
      </c>
      <c r="C113" t="s">
        <v>1889</v>
      </c>
      <c r="D113">
        <v>6074202500010240</v>
      </c>
      <c r="E113" t="s">
        <v>2471</v>
      </c>
      <c r="F113" t="s">
        <v>2095</v>
      </c>
      <c r="G113" t="s">
        <v>2083</v>
      </c>
      <c r="H113" t="s">
        <v>1970</v>
      </c>
      <c r="I113" t="s">
        <v>2117</v>
      </c>
      <c r="J113" t="s">
        <v>1972</v>
      </c>
      <c r="K113" s="3">
        <v>46387</v>
      </c>
      <c r="L113" s="5">
        <v>216000</v>
      </c>
      <c r="M113" s="5">
        <v>18000</v>
      </c>
      <c r="N113" s="5">
        <v>18000</v>
      </c>
      <c r="O113" s="5">
        <v>18000</v>
      </c>
      <c r="P113" s="5">
        <v>18000</v>
      </c>
      <c r="Q113" s="5">
        <v>18000</v>
      </c>
      <c r="R113" s="5">
        <v>18000</v>
      </c>
      <c r="S113" s="5">
        <v>18000</v>
      </c>
      <c r="T113" s="5">
        <v>18000</v>
      </c>
      <c r="U113" s="5">
        <v>18000</v>
      </c>
      <c r="V113" s="5">
        <v>18000</v>
      </c>
      <c r="W113" s="5">
        <v>18000</v>
      </c>
      <c r="X113" s="5">
        <v>18000</v>
      </c>
      <c r="Y113" s="5">
        <v>18000</v>
      </c>
    </row>
    <row r="114" spans="1:25" x14ac:dyDescent="0.25">
      <c r="A114" t="s">
        <v>1887</v>
      </c>
      <c r="B114" t="s">
        <v>1888</v>
      </c>
      <c r="C114" t="s">
        <v>1889</v>
      </c>
      <c r="D114">
        <v>6074202500013480</v>
      </c>
      <c r="E114" t="s">
        <v>2472</v>
      </c>
      <c r="F114" t="s">
        <v>2082</v>
      </c>
      <c r="G114" t="s">
        <v>2083</v>
      </c>
      <c r="H114" t="s">
        <v>1983</v>
      </c>
      <c r="I114" t="s">
        <v>1984</v>
      </c>
      <c r="J114" t="s">
        <v>1985</v>
      </c>
      <c r="K114" s="3">
        <v>46236</v>
      </c>
      <c r="L114" s="5">
        <v>9642625.5600000005</v>
      </c>
      <c r="M114" s="5">
        <v>803552.13</v>
      </c>
      <c r="N114" s="5">
        <v>803552.13</v>
      </c>
      <c r="O114" s="5">
        <v>803552.13</v>
      </c>
      <c r="P114" s="5">
        <v>803552.13</v>
      </c>
      <c r="Q114" s="5">
        <v>803552.13</v>
      </c>
      <c r="R114" s="5">
        <v>803552.13</v>
      </c>
      <c r="S114" s="5">
        <v>803552.13</v>
      </c>
      <c r="T114" s="5">
        <v>803552.13</v>
      </c>
      <c r="U114" s="5">
        <v>803552.13</v>
      </c>
      <c r="V114" s="5">
        <v>803552.13</v>
      </c>
      <c r="W114" s="5">
        <v>803552.13</v>
      </c>
      <c r="X114" s="5">
        <v>803552.13</v>
      </c>
      <c r="Y114" s="5">
        <v>803552.13</v>
      </c>
    </row>
    <row r="115" spans="1:25" x14ac:dyDescent="0.25">
      <c r="A115" t="s">
        <v>1887</v>
      </c>
      <c r="B115" t="s">
        <v>1888</v>
      </c>
      <c r="C115" t="s">
        <v>1889</v>
      </c>
      <c r="D115">
        <v>6074202500014470</v>
      </c>
      <c r="E115" t="s">
        <v>2471</v>
      </c>
      <c r="F115" t="s">
        <v>2095</v>
      </c>
      <c r="G115" t="s">
        <v>2083</v>
      </c>
      <c r="H115" t="s">
        <v>1970</v>
      </c>
      <c r="I115" t="s">
        <v>2118</v>
      </c>
      <c r="J115" t="s">
        <v>1976</v>
      </c>
      <c r="K115" s="3">
        <v>46387</v>
      </c>
      <c r="L115" s="5">
        <v>60000</v>
      </c>
      <c r="M115" s="5">
        <v>5000</v>
      </c>
      <c r="N115" s="5">
        <v>5000</v>
      </c>
      <c r="O115" s="5">
        <v>5000</v>
      </c>
      <c r="P115" s="5">
        <v>5000</v>
      </c>
      <c r="Q115" s="5">
        <v>5000</v>
      </c>
      <c r="R115" s="5">
        <v>5000</v>
      </c>
      <c r="S115" s="5">
        <v>5000</v>
      </c>
      <c r="T115" s="5">
        <v>5000</v>
      </c>
      <c r="U115" s="5">
        <v>5000</v>
      </c>
      <c r="V115" s="5">
        <v>5000</v>
      </c>
      <c r="W115" s="5">
        <v>5000</v>
      </c>
      <c r="X115" s="5">
        <v>5000</v>
      </c>
      <c r="Y115" s="5">
        <v>5000</v>
      </c>
    </row>
    <row r="116" spans="1:25" x14ac:dyDescent="0.25">
      <c r="A116" t="s">
        <v>1887</v>
      </c>
      <c r="B116" t="s">
        <v>1888</v>
      </c>
      <c r="C116" t="s">
        <v>1889</v>
      </c>
      <c r="D116" t="s">
        <v>2463</v>
      </c>
      <c r="E116" t="s">
        <v>2472</v>
      </c>
      <c r="F116" t="s">
        <v>2119</v>
      </c>
      <c r="G116" t="s">
        <v>2083</v>
      </c>
      <c r="H116" t="s">
        <v>1986</v>
      </c>
      <c r="I116" t="s">
        <v>2120</v>
      </c>
      <c r="J116" t="s">
        <v>1999</v>
      </c>
      <c r="K116" s="3" t="s">
        <v>1989</v>
      </c>
      <c r="L116" s="5">
        <v>15000</v>
      </c>
      <c r="M116" s="5">
        <v>15000</v>
      </c>
      <c r="N116" s="5"/>
      <c r="O116" s="5">
        <v>15000</v>
      </c>
      <c r="P116" s="5"/>
      <c r="Q116" s="5"/>
      <c r="R116" s="5"/>
      <c r="S116" s="5"/>
      <c r="T116" s="5"/>
      <c r="U116" s="5"/>
      <c r="V116" s="5"/>
      <c r="W116" s="5"/>
      <c r="X116" s="5"/>
      <c r="Y116" s="5"/>
    </row>
    <row r="117" spans="1:25" x14ac:dyDescent="0.25">
      <c r="A117" t="s">
        <v>1887</v>
      </c>
      <c r="B117" t="s">
        <v>1888</v>
      </c>
      <c r="C117" t="s">
        <v>1889</v>
      </c>
      <c r="D117" t="s">
        <v>2463</v>
      </c>
      <c r="E117" t="s">
        <v>2472</v>
      </c>
      <c r="F117" t="s">
        <v>2119</v>
      </c>
      <c r="G117" t="s">
        <v>2083</v>
      </c>
      <c r="H117" t="s">
        <v>1986</v>
      </c>
      <c r="I117" t="s">
        <v>2121</v>
      </c>
      <c r="J117" t="s">
        <v>1999</v>
      </c>
      <c r="K117" s="3" t="s">
        <v>1989</v>
      </c>
      <c r="L117" s="5">
        <v>100000</v>
      </c>
      <c r="M117" s="5">
        <v>100000</v>
      </c>
      <c r="N117" s="5"/>
      <c r="O117" s="5">
        <v>100000</v>
      </c>
      <c r="P117" s="5"/>
      <c r="Q117" s="5"/>
      <c r="R117" s="5"/>
      <c r="S117" s="5"/>
      <c r="T117" s="5"/>
      <c r="U117" s="5"/>
      <c r="V117" s="5"/>
      <c r="W117" s="5"/>
      <c r="X117" s="5"/>
      <c r="Y117" s="5"/>
    </row>
    <row r="118" spans="1:25" x14ac:dyDescent="0.25">
      <c r="A118" t="s">
        <v>1887</v>
      </c>
      <c r="B118" t="s">
        <v>1888</v>
      </c>
      <c r="C118" t="s">
        <v>1889</v>
      </c>
      <c r="D118">
        <v>6045201900013360</v>
      </c>
      <c r="E118" t="s">
        <v>2472</v>
      </c>
      <c r="F118" t="s">
        <v>2122</v>
      </c>
      <c r="G118" t="s">
        <v>2123</v>
      </c>
      <c r="H118" t="s">
        <v>2124</v>
      </c>
      <c r="I118" t="s">
        <v>2125</v>
      </c>
      <c r="J118" t="s">
        <v>2126</v>
      </c>
      <c r="K118" s="3">
        <v>46275</v>
      </c>
      <c r="L118" s="5">
        <v>43004.32</v>
      </c>
      <c r="M118" s="5">
        <v>3750.36</v>
      </c>
      <c r="N118" s="5">
        <v>3500.36</v>
      </c>
      <c r="O118" s="5">
        <v>3500.36</v>
      </c>
      <c r="P118" s="5">
        <v>3500.36</v>
      </c>
      <c r="Q118" s="5">
        <v>3500.36</v>
      </c>
      <c r="R118" s="5">
        <v>3500.36</v>
      </c>
      <c r="S118" s="5">
        <v>3500.36</v>
      </c>
      <c r="T118" s="5">
        <v>3500.36</v>
      </c>
      <c r="U118" s="5">
        <v>3500.36</v>
      </c>
      <c r="V118" s="5">
        <v>3750.36</v>
      </c>
      <c r="W118" s="5">
        <v>3750.36</v>
      </c>
      <c r="X118" s="5">
        <v>3750.36</v>
      </c>
      <c r="Y118" s="5">
        <v>3750.36</v>
      </c>
    </row>
    <row r="119" spans="1:25" x14ac:dyDescent="0.25">
      <c r="A119" t="s">
        <v>1887</v>
      </c>
      <c r="B119" t="s">
        <v>1888</v>
      </c>
      <c r="C119" t="s">
        <v>1889</v>
      </c>
      <c r="D119">
        <v>6045201900013360</v>
      </c>
      <c r="E119" t="s">
        <v>2472</v>
      </c>
      <c r="F119" t="s">
        <v>2127</v>
      </c>
      <c r="G119" t="s">
        <v>2123</v>
      </c>
      <c r="H119" t="s">
        <v>2124</v>
      </c>
      <c r="I119" t="s">
        <v>2128</v>
      </c>
      <c r="J119" t="s">
        <v>2129</v>
      </c>
      <c r="K119" s="3">
        <v>46275</v>
      </c>
      <c r="L119" s="5">
        <v>1700</v>
      </c>
      <c r="M119" s="5">
        <v>170</v>
      </c>
      <c r="N119" s="5">
        <v>0</v>
      </c>
      <c r="O119" s="5">
        <v>170</v>
      </c>
      <c r="P119" s="5">
        <v>170</v>
      </c>
      <c r="Q119" s="5">
        <v>170</v>
      </c>
      <c r="R119" s="5">
        <v>170</v>
      </c>
      <c r="S119" s="5">
        <v>170</v>
      </c>
      <c r="T119" s="5">
        <v>170</v>
      </c>
      <c r="U119" s="5">
        <v>170</v>
      </c>
      <c r="V119" s="5">
        <v>170</v>
      </c>
      <c r="W119" s="5">
        <v>170</v>
      </c>
      <c r="X119" s="5">
        <v>170</v>
      </c>
      <c r="Y119" s="5">
        <v>0</v>
      </c>
    </row>
    <row r="120" spans="1:25" x14ac:dyDescent="0.25">
      <c r="A120" t="s">
        <v>1887</v>
      </c>
      <c r="B120" t="s">
        <v>1888</v>
      </c>
      <c r="C120" t="s">
        <v>1889</v>
      </c>
      <c r="D120">
        <v>6045201900013360</v>
      </c>
      <c r="E120" t="s">
        <v>2472</v>
      </c>
      <c r="F120" t="s">
        <v>2122</v>
      </c>
      <c r="G120" t="s">
        <v>2123</v>
      </c>
      <c r="H120" t="s">
        <v>2124</v>
      </c>
      <c r="I120" t="s">
        <v>2130</v>
      </c>
      <c r="J120" t="s">
        <v>2129</v>
      </c>
      <c r="K120" s="3">
        <v>46275</v>
      </c>
      <c r="L120" s="5">
        <v>350</v>
      </c>
      <c r="M120" s="5">
        <v>350</v>
      </c>
      <c r="N120" s="5"/>
      <c r="O120" s="5">
        <v>0</v>
      </c>
      <c r="P120" s="5">
        <v>350</v>
      </c>
      <c r="Q120" s="5">
        <v>0</v>
      </c>
      <c r="R120" s="5">
        <v>0</v>
      </c>
      <c r="S120" s="5">
        <v>0</v>
      </c>
      <c r="T120" s="5">
        <v>0</v>
      </c>
      <c r="U120" s="5">
        <v>0</v>
      </c>
      <c r="V120" s="5">
        <v>0</v>
      </c>
      <c r="W120" s="5">
        <v>0</v>
      </c>
      <c r="X120" s="5">
        <v>0</v>
      </c>
      <c r="Y120" s="5">
        <v>0</v>
      </c>
    </row>
    <row r="121" spans="1:25" x14ac:dyDescent="0.25">
      <c r="A121" t="s">
        <v>1887</v>
      </c>
      <c r="B121" t="s">
        <v>1888</v>
      </c>
      <c r="C121" t="s">
        <v>1889</v>
      </c>
      <c r="D121">
        <v>6031201700000350</v>
      </c>
      <c r="E121" t="s">
        <v>2472</v>
      </c>
      <c r="F121" t="s">
        <v>2127</v>
      </c>
      <c r="G121" t="s">
        <v>2123</v>
      </c>
      <c r="H121" t="s">
        <v>2131</v>
      </c>
      <c r="I121" t="s">
        <v>2132</v>
      </c>
      <c r="J121" t="s">
        <v>2133</v>
      </c>
      <c r="K121" s="3">
        <v>46374</v>
      </c>
      <c r="L121" s="5">
        <v>3500</v>
      </c>
      <c r="M121" s="5">
        <v>350</v>
      </c>
      <c r="N121" s="5"/>
      <c r="O121" s="5">
        <v>350</v>
      </c>
      <c r="P121" s="5">
        <v>350</v>
      </c>
      <c r="Q121" s="5">
        <v>350</v>
      </c>
      <c r="R121" s="5">
        <v>350</v>
      </c>
      <c r="S121" s="5">
        <v>350</v>
      </c>
      <c r="T121" s="5">
        <v>350</v>
      </c>
      <c r="U121" s="5">
        <v>350</v>
      </c>
      <c r="V121" s="5">
        <v>350</v>
      </c>
      <c r="W121" s="5">
        <v>350</v>
      </c>
      <c r="X121" s="5">
        <v>350</v>
      </c>
      <c r="Y121" s="5"/>
    </row>
    <row r="122" spans="1:25" x14ac:dyDescent="0.25">
      <c r="A122" t="s">
        <v>1887</v>
      </c>
      <c r="B122" t="s">
        <v>1888</v>
      </c>
      <c r="C122" t="s">
        <v>1889</v>
      </c>
      <c r="D122">
        <v>6031201700000350</v>
      </c>
      <c r="E122" t="s">
        <v>2472</v>
      </c>
      <c r="F122" t="s">
        <v>2134</v>
      </c>
      <c r="G122" t="s">
        <v>2123</v>
      </c>
      <c r="H122" t="s">
        <v>2131</v>
      </c>
      <c r="I122" t="s">
        <v>2135</v>
      </c>
      <c r="J122" t="s">
        <v>2133</v>
      </c>
      <c r="K122" s="3">
        <v>46374</v>
      </c>
      <c r="L122" s="5">
        <v>28574.48</v>
      </c>
      <c r="M122" s="5">
        <v>2478.7399999999998</v>
      </c>
      <c r="N122" s="5">
        <v>2372.34</v>
      </c>
      <c r="O122" s="5">
        <v>2372.34</v>
      </c>
      <c r="P122" s="5">
        <v>2372.34</v>
      </c>
      <c r="Q122" s="5">
        <v>2372.34</v>
      </c>
      <c r="R122" s="5">
        <v>2372.34</v>
      </c>
      <c r="S122" s="5">
        <v>2372.34</v>
      </c>
      <c r="T122" s="5">
        <v>2372.34</v>
      </c>
      <c r="U122" s="5">
        <v>2372.34</v>
      </c>
      <c r="V122" s="5">
        <v>2372.34</v>
      </c>
      <c r="W122" s="5">
        <v>2372.34</v>
      </c>
      <c r="X122" s="5">
        <v>2372.34</v>
      </c>
      <c r="Y122" s="5">
        <v>2478.7399999999998</v>
      </c>
    </row>
    <row r="123" spans="1:25" x14ac:dyDescent="0.25">
      <c r="A123" t="s">
        <v>1887</v>
      </c>
      <c r="B123" t="s">
        <v>1888</v>
      </c>
      <c r="C123" t="s">
        <v>1889</v>
      </c>
      <c r="D123">
        <v>6031201700000350</v>
      </c>
      <c r="E123" t="s">
        <v>2472</v>
      </c>
      <c r="F123" t="s">
        <v>2134</v>
      </c>
      <c r="G123" t="s">
        <v>2123</v>
      </c>
      <c r="H123" t="s">
        <v>2131</v>
      </c>
      <c r="I123" t="s">
        <v>2136</v>
      </c>
      <c r="J123" t="s">
        <v>2133</v>
      </c>
      <c r="K123" s="3">
        <v>46374</v>
      </c>
      <c r="L123" s="5">
        <v>1200</v>
      </c>
      <c r="M123" s="5">
        <v>100</v>
      </c>
      <c r="N123" s="5">
        <v>0</v>
      </c>
      <c r="O123" s="5">
        <v>250</v>
      </c>
      <c r="P123" s="5">
        <v>0</v>
      </c>
      <c r="Q123" s="5">
        <v>0</v>
      </c>
      <c r="R123" s="5">
        <v>0</v>
      </c>
      <c r="S123" s="5">
        <v>0</v>
      </c>
      <c r="T123" s="5">
        <v>0</v>
      </c>
      <c r="U123" s="5">
        <v>0</v>
      </c>
      <c r="V123" s="5">
        <v>0</v>
      </c>
      <c r="W123" s="5">
        <v>0</v>
      </c>
      <c r="X123" s="5">
        <v>2372.34</v>
      </c>
      <c r="Y123" s="5">
        <v>0</v>
      </c>
    </row>
    <row r="124" spans="1:25" x14ac:dyDescent="0.25">
      <c r="A124" t="s">
        <v>1887</v>
      </c>
      <c r="B124" t="s">
        <v>1888</v>
      </c>
      <c r="C124" t="s">
        <v>1889</v>
      </c>
      <c r="D124">
        <v>6034201700000360</v>
      </c>
      <c r="E124" t="s">
        <v>2472</v>
      </c>
      <c r="F124" t="s">
        <v>2122</v>
      </c>
      <c r="G124" t="s">
        <v>2123</v>
      </c>
      <c r="H124" t="s">
        <v>2137</v>
      </c>
      <c r="I124" t="s">
        <v>2138</v>
      </c>
      <c r="J124" t="s">
        <v>2139</v>
      </c>
      <c r="K124" s="3">
        <v>46349</v>
      </c>
      <c r="L124" s="5">
        <v>45928</v>
      </c>
      <c r="M124" s="5">
        <v>4078.45</v>
      </c>
      <c r="N124" s="5">
        <v>3777.11</v>
      </c>
      <c r="O124" s="5">
        <v>3777.11</v>
      </c>
      <c r="P124" s="5">
        <v>3777.11</v>
      </c>
      <c r="Q124" s="5">
        <v>3777.11</v>
      </c>
      <c r="R124" s="5">
        <v>3777.11</v>
      </c>
      <c r="S124" s="5">
        <v>3777.11</v>
      </c>
      <c r="T124" s="5">
        <v>3777.11</v>
      </c>
      <c r="U124" s="5">
        <v>3777.11</v>
      </c>
      <c r="V124" s="5">
        <v>3777.11</v>
      </c>
      <c r="W124" s="5">
        <v>3777.11</v>
      </c>
      <c r="X124" s="5">
        <v>4078.45</v>
      </c>
      <c r="Y124" s="5">
        <v>4078.45</v>
      </c>
    </row>
    <row r="125" spans="1:25" x14ac:dyDescent="0.25">
      <c r="A125" t="s">
        <v>1887</v>
      </c>
      <c r="B125" t="s">
        <v>1888</v>
      </c>
      <c r="C125" t="s">
        <v>1889</v>
      </c>
      <c r="D125">
        <v>6034201700000360</v>
      </c>
      <c r="E125" t="s">
        <v>2472</v>
      </c>
      <c r="F125" t="s">
        <v>2122</v>
      </c>
      <c r="G125" t="s">
        <v>2123</v>
      </c>
      <c r="H125" t="s">
        <v>2137</v>
      </c>
      <c r="I125" t="s">
        <v>2140</v>
      </c>
      <c r="J125" t="s">
        <v>2139</v>
      </c>
      <c r="K125" s="3">
        <v>46349</v>
      </c>
      <c r="L125" s="5">
        <v>121</v>
      </c>
      <c r="M125" s="5">
        <v>121</v>
      </c>
      <c r="N125" s="5"/>
      <c r="O125" s="5">
        <v>60.5</v>
      </c>
      <c r="P125" s="5">
        <v>60.5</v>
      </c>
      <c r="Q125" s="5" t="s">
        <v>1908</v>
      </c>
      <c r="R125" s="5" t="s">
        <v>1909</v>
      </c>
      <c r="S125" s="5" t="s">
        <v>1909</v>
      </c>
      <c r="T125" s="5" t="s">
        <v>1909</v>
      </c>
      <c r="U125" s="5" t="s">
        <v>1909</v>
      </c>
      <c r="V125" s="5" t="s">
        <v>1909</v>
      </c>
      <c r="W125" s="5" t="s">
        <v>1909</v>
      </c>
      <c r="X125" s="5" t="s">
        <v>1909</v>
      </c>
      <c r="Y125" s="5" t="s">
        <v>1909</v>
      </c>
    </row>
    <row r="126" spans="1:25" x14ac:dyDescent="0.25">
      <c r="A126" t="s">
        <v>1887</v>
      </c>
      <c r="B126" t="s">
        <v>1888</v>
      </c>
      <c r="C126" t="s">
        <v>1889</v>
      </c>
      <c r="D126">
        <v>6037201800001300</v>
      </c>
      <c r="E126" t="s">
        <v>2472</v>
      </c>
      <c r="F126" t="s">
        <v>2122</v>
      </c>
      <c r="G126" t="s">
        <v>2123</v>
      </c>
      <c r="H126" t="s">
        <v>2141</v>
      </c>
      <c r="I126" t="s">
        <v>2142</v>
      </c>
      <c r="J126" t="s">
        <v>2143</v>
      </c>
      <c r="K126" s="3">
        <v>46174</v>
      </c>
      <c r="L126" s="5">
        <v>2510</v>
      </c>
      <c r="M126" s="5">
        <v>251</v>
      </c>
      <c r="N126" s="5">
        <v>0</v>
      </c>
      <c r="O126" s="5">
        <v>251</v>
      </c>
      <c r="P126" s="5">
        <v>251</v>
      </c>
      <c r="Q126" s="5">
        <v>251</v>
      </c>
      <c r="R126" s="5">
        <v>251</v>
      </c>
      <c r="S126" s="5">
        <v>251</v>
      </c>
      <c r="T126" s="5">
        <v>251</v>
      </c>
      <c r="U126" s="5">
        <v>251</v>
      </c>
      <c r="V126" s="5">
        <v>251</v>
      </c>
      <c r="W126" s="5">
        <v>251</v>
      </c>
      <c r="X126" s="5">
        <v>251</v>
      </c>
      <c r="Y126" s="5"/>
    </row>
    <row r="127" spans="1:25" x14ac:dyDescent="0.25">
      <c r="A127" t="s">
        <v>1887</v>
      </c>
      <c r="B127" t="s">
        <v>1888</v>
      </c>
      <c r="C127" t="s">
        <v>1889</v>
      </c>
      <c r="D127">
        <v>6037201800001300</v>
      </c>
      <c r="E127" t="s">
        <v>2472</v>
      </c>
      <c r="F127" t="s">
        <v>2122</v>
      </c>
      <c r="G127" t="s">
        <v>2123</v>
      </c>
      <c r="H127" t="s">
        <v>2141</v>
      </c>
      <c r="I127" t="s">
        <v>2144</v>
      </c>
      <c r="J127" t="s">
        <v>2143</v>
      </c>
      <c r="K127" s="3">
        <v>46174</v>
      </c>
      <c r="L127" s="5">
        <v>35932.61</v>
      </c>
      <c r="M127" s="5">
        <v>2904.3</v>
      </c>
      <c r="N127" s="5">
        <v>2904.3</v>
      </c>
      <c r="O127" s="5">
        <v>2904.3</v>
      </c>
      <c r="P127" s="5">
        <v>2904.3</v>
      </c>
      <c r="Q127" s="5">
        <v>2904.3</v>
      </c>
      <c r="R127" s="5">
        <v>2904.3</v>
      </c>
      <c r="S127" s="5">
        <v>3058.73</v>
      </c>
      <c r="T127" s="5">
        <v>3058.73</v>
      </c>
      <c r="U127" s="5">
        <v>3058.73</v>
      </c>
      <c r="V127" s="5">
        <v>3058.73</v>
      </c>
      <c r="W127" s="5">
        <v>3058.73</v>
      </c>
      <c r="X127" s="5">
        <v>3058.73</v>
      </c>
      <c r="Y127" s="5">
        <v>3058.73</v>
      </c>
    </row>
    <row r="128" spans="1:25" x14ac:dyDescent="0.25">
      <c r="A128" t="s">
        <v>1887</v>
      </c>
      <c r="B128" t="s">
        <v>1888</v>
      </c>
      <c r="C128" t="s">
        <v>1889</v>
      </c>
      <c r="D128">
        <v>6039201600000700</v>
      </c>
      <c r="E128" t="s">
        <v>2472</v>
      </c>
      <c r="F128" t="s">
        <v>2122</v>
      </c>
      <c r="G128" t="s">
        <v>2123</v>
      </c>
      <c r="H128" t="s">
        <v>2145</v>
      </c>
      <c r="I128" t="s">
        <v>2146</v>
      </c>
      <c r="J128" t="s">
        <v>2147</v>
      </c>
      <c r="K128" s="3">
        <v>46062</v>
      </c>
      <c r="L128" s="5">
        <v>49455.28</v>
      </c>
      <c r="M128" s="5">
        <v>4275.9399999999996</v>
      </c>
      <c r="N128" s="5">
        <v>4043.94</v>
      </c>
      <c r="O128" s="5">
        <v>4043.94</v>
      </c>
      <c r="P128" s="5">
        <v>4043.94</v>
      </c>
      <c r="Q128" s="5">
        <v>4043.94</v>
      </c>
      <c r="R128" s="5">
        <v>4043.94</v>
      </c>
      <c r="S128" s="5">
        <v>4043.94</v>
      </c>
      <c r="T128" s="5">
        <v>4043.94</v>
      </c>
      <c r="U128" s="5">
        <v>4043.94</v>
      </c>
      <c r="V128" s="5">
        <v>4275.9399999999996</v>
      </c>
      <c r="W128" s="5">
        <v>4275.9399999999996</v>
      </c>
      <c r="X128" s="5">
        <v>4275.9399999999996</v>
      </c>
      <c r="Y128" s="5">
        <v>4275.9399999999996</v>
      </c>
    </row>
    <row r="129" spans="1:25" x14ac:dyDescent="0.25">
      <c r="A129" t="s">
        <v>1887</v>
      </c>
      <c r="B129" t="s">
        <v>1888</v>
      </c>
      <c r="C129" t="s">
        <v>1889</v>
      </c>
      <c r="D129">
        <v>6039201600000700</v>
      </c>
      <c r="E129" t="s">
        <v>2472</v>
      </c>
      <c r="F129" t="s">
        <v>2127</v>
      </c>
      <c r="G129" t="s">
        <v>2123</v>
      </c>
      <c r="H129" t="s">
        <v>2145</v>
      </c>
      <c r="I129" t="s">
        <v>2148</v>
      </c>
      <c r="J129" t="s">
        <v>2149</v>
      </c>
      <c r="K129" s="3">
        <v>46062</v>
      </c>
      <c r="L129" s="5">
        <v>21000</v>
      </c>
      <c r="M129" s="5"/>
      <c r="N129" s="5"/>
      <c r="O129" s="5">
        <v>2100</v>
      </c>
      <c r="P129" s="5">
        <v>2100</v>
      </c>
      <c r="Q129" s="5">
        <v>2100</v>
      </c>
      <c r="R129" s="5">
        <v>2100</v>
      </c>
      <c r="S129" s="5">
        <v>2100</v>
      </c>
      <c r="T129" s="5">
        <v>2100</v>
      </c>
      <c r="U129" s="5">
        <v>2100</v>
      </c>
      <c r="V129" s="5">
        <v>2100</v>
      </c>
      <c r="W129" s="5">
        <v>2100</v>
      </c>
      <c r="X129" s="5">
        <v>2100</v>
      </c>
      <c r="Y129" s="5"/>
    </row>
    <row r="130" spans="1:25" x14ac:dyDescent="0.25">
      <c r="A130" t="s">
        <v>1887</v>
      </c>
      <c r="B130" t="s">
        <v>1888</v>
      </c>
      <c r="C130" t="s">
        <v>1889</v>
      </c>
      <c r="D130">
        <v>6040201700000390</v>
      </c>
      <c r="E130" t="s">
        <v>2472</v>
      </c>
      <c r="F130" t="s">
        <v>2122</v>
      </c>
      <c r="G130" t="s">
        <v>2123</v>
      </c>
      <c r="H130" t="s">
        <v>2150</v>
      </c>
      <c r="I130" t="s">
        <v>2151</v>
      </c>
      <c r="J130" t="s">
        <v>2152</v>
      </c>
      <c r="K130" s="3">
        <v>46234</v>
      </c>
      <c r="L130" s="5">
        <v>41497.4</v>
      </c>
      <c r="M130" s="5">
        <v>2401</v>
      </c>
      <c r="N130" s="5">
        <v>3377.7</v>
      </c>
      <c r="O130" s="5">
        <v>3377.7</v>
      </c>
      <c r="P130" s="5">
        <v>3377.7</v>
      </c>
      <c r="Q130" s="5">
        <v>3377.7</v>
      </c>
      <c r="R130" s="5">
        <v>3377.7</v>
      </c>
      <c r="S130" s="5">
        <v>3377.7</v>
      </c>
      <c r="T130" s="5">
        <v>3377.7</v>
      </c>
      <c r="U130" s="5">
        <v>3570.7</v>
      </c>
      <c r="V130" s="5">
        <v>3570.7</v>
      </c>
      <c r="W130" s="5">
        <v>3570.7</v>
      </c>
      <c r="X130" s="5">
        <v>3570.7</v>
      </c>
      <c r="Y130" s="5">
        <v>3570.7</v>
      </c>
    </row>
    <row r="131" spans="1:25" x14ac:dyDescent="0.25">
      <c r="A131" t="s">
        <v>1887</v>
      </c>
      <c r="B131" t="s">
        <v>1888</v>
      </c>
      <c r="C131" t="s">
        <v>1889</v>
      </c>
      <c r="D131">
        <v>6040201700000390</v>
      </c>
      <c r="E131" t="s">
        <v>2472</v>
      </c>
      <c r="F131" t="s">
        <v>2122</v>
      </c>
      <c r="G131" t="s">
        <v>2123</v>
      </c>
      <c r="H131" t="s">
        <v>2150</v>
      </c>
      <c r="I131" t="s">
        <v>2153</v>
      </c>
      <c r="J131" t="s">
        <v>2152</v>
      </c>
      <c r="K131" s="3">
        <v>46234</v>
      </c>
      <c r="L131" s="5">
        <v>5200</v>
      </c>
      <c r="M131" s="5">
        <v>0</v>
      </c>
      <c r="N131" s="5">
        <v>0</v>
      </c>
      <c r="O131" s="5">
        <v>520</v>
      </c>
      <c r="P131" s="5">
        <v>520</v>
      </c>
      <c r="Q131" s="5">
        <v>520</v>
      </c>
      <c r="R131" s="5">
        <v>520</v>
      </c>
      <c r="S131" s="5">
        <v>520</v>
      </c>
      <c r="T131" s="5">
        <v>520</v>
      </c>
      <c r="U131" s="5">
        <v>520</v>
      </c>
      <c r="V131" s="5">
        <v>520</v>
      </c>
      <c r="W131" s="5">
        <v>520</v>
      </c>
      <c r="X131" s="5">
        <v>520</v>
      </c>
      <c r="Y131" s="5">
        <v>0</v>
      </c>
    </row>
    <row r="132" spans="1:25" x14ac:dyDescent="0.25">
      <c r="A132" t="s">
        <v>1887</v>
      </c>
      <c r="B132" t="s">
        <v>1888</v>
      </c>
      <c r="C132" t="s">
        <v>1889</v>
      </c>
      <c r="D132">
        <v>6040201700000390</v>
      </c>
      <c r="E132" t="s">
        <v>2472</v>
      </c>
      <c r="F132" t="s">
        <v>2122</v>
      </c>
      <c r="G132" t="s">
        <v>2123</v>
      </c>
      <c r="H132" t="s">
        <v>2150</v>
      </c>
      <c r="I132" t="s">
        <v>2154</v>
      </c>
      <c r="J132" t="s">
        <v>2152</v>
      </c>
      <c r="K132" s="3">
        <v>46234</v>
      </c>
      <c r="L132" s="5">
        <v>1200</v>
      </c>
      <c r="M132" s="5">
        <v>100</v>
      </c>
      <c r="N132" s="5">
        <v>0</v>
      </c>
      <c r="O132" s="5">
        <v>0</v>
      </c>
      <c r="P132" s="5">
        <v>0</v>
      </c>
      <c r="Q132" s="5">
        <v>650</v>
      </c>
      <c r="R132" s="5">
        <v>0</v>
      </c>
      <c r="S132" s="5">
        <v>0</v>
      </c>
      <c r="T132" s="5">
        <v>0</v>
      </c>
      <c r="U132" s="5">
        <v>0</v>
      </c>
      <c r="V132" s="5">
        <v>0</v>
      </c>
      <c r="W132" s="5">
        <v>0</v>
      </c>
      <c r="X132" s="5">
        <v>0</v>
      </c>
      <c r="Y132" s="5">
        <v>0</v>
      </c>
    </row>
    <row r="133" spans="1:25" x14ac:dyDescent="0.25">
      <c r="A133" t="s">
        <v>1887</v>
      </c>
      <c r="B133" t="s">
        <v>1888</v>
      </c>
      <c r="C133" t="s">
        <v>1889</v>
      </c>
      <c r="D133">
        <v>6045201700000370</v>
      </c>
      <c r="E133" t="s">
        <v>2472</v>
      </c>
      <c r="F133" t="s">
        <v>2122</v>
      </c>
      <c r="G133" t="s">
        <v>2123</v>
      </c>
      <c r="H133" t="s">
        <v>2155</v>
      </c>
      <c r="I133" t="s">
        <v>2156</v>
      </c>
      <c r="J133" t="s">
        <v>2157</v>
      </c>
      <c r="K133" s="3">
        <v>46310</v>
      </c>
      <c r="L133" s="5">
        <v>45593.760000000002</v>
      </c>
      <c r="M133" s="5">
        <v>2300</v>
      </c>
      <c r="N133" s="5">
        <v>3753.48</v>
      </c>
      <c r="O133" s="5">
        <v>3753.48</v>
      </c>
      <c r="P133" s="5">
        <v>3753.48</v>
      </c>
      <c r="Q133" s="5">
        <v>3753.48</v>
      </c>
      <c r="R133" s="5">
        <v>3753.48</v>
      </c>
      <c r="S133" s="5">
        <v>3753.48</v>
      </c>
      <c r="T133" s="5">
        <v>3753.48</v>
      </c>
      <c r="U133" s="5">
        <v>3753.48</v>
      </c>
      <c r="V133" s="5">
        <v>3753.48</v>
      </c>
      <c r="W133" s="5">
        <v>3937.48</v>
      </c>
      <c r="X133" s="5">
        <v>3937.48</v>
      </c>
      <c r="Y133" s="5">
        <v>3937.48</v>
      </c>
    </row>
    <row r="134" spans="1:25" x14ac:dyDescent="0.25">
      <c r="A134" t="s">
        <v>1887</v>
      </c>
      <c r="B134" t="s">
        <v>1888</v>
      </c>
      <c r="C134" t="s">
        <v>1889</v>
      </c>
      <c r="D134">
        <v>6045201700000370</v>
      </c>
      <c r="E134" t="s">
        <v>2472</v>
      </c>
      <c r="F134" t="s">
        <v>2122</v>
      </c>
      <c r="G134" t="s">
        <v>2123</v>
      </c>
      <c r="H134" t="s">
        <v>2155</v>
      </c>
      <c r="I134" t="s">
        <v>2158</v>
      </c>
      <c r="J134" t="s">
        <v>2157</v>
      </c>
      <c r="K134" s="3">
        <v>46310</v>
      </c>
      <c r="L134" s="5">
        <v>2700</v>
      </c>
      <c r="M134" s="5">
        <v>270</v>
      </c>
      <c r="N134" s="5"/>
      <c r="O134" s="5">
        <v>270</v>
      </c>
      <c r="P134" s="5">
        <v>270</v>
      </c>
      <c r="Q134" s="5">
        <v>270</v>
      </c>
      <c r="R134" s="5">
        <v>270</v>
      </c>
      <c r="S134" s="5">
        <v>270</v>
      </c>
      <c r="T134" s="5">
        <v>270</v>
      </c>
      <c r="U134" s="5">
        <v>270</v>
      </c>
      <c r="V134" s="5">
        <v>270</v>
      </c>
      <c r="W134" s="5">
        <v>270</v>
      </c>
      <c r="X134" s="5">
        <v>270</v>
      </c>
      <c r="Y134" s="5"/>
    </row>
    <row r="135" spans="1:25" x14ac:dyDescent="0.25">
      <c r="A135" t="s">
        <v>1887</v>
      </c>
      <c r="B135" t="s">
        <v>1888</v>
      </c>
      <c r="C135" t="s">
        <v>1889</v>
      </c>
      <c r="D135">
        <v>6048201700000220</v>
      </c>
      <c r="E135" t="s">
        <v>2472</v>
      </c>
      <c r="F135" t="s">
        <v>2134</v>
      </c>
      <c r="G135" t="s">
        <v>2123</v>
      </c>
      <c r="H135" t="s">
        <v>2159</v>
      </c>
      <c r="I135" t="s">
        <v>2160</v>
      </c>
      <c r="J135" t="s">
        <v>2161</v>
      </c>
      <c r="K135" s="3">
        <v>46185</v>
      </c>
      <c r="L135" s="5">
        <v>48972.41</v>
      </c>
      <c r="M135" s="5">
        <v>2843.08</v>
      </c>
      <c r="N135" s="5">
        <v>4062.08</v>
      </c>
      <c r="O135" s="5">
        <v>4062.08</v>
      </c>
      <c r="P135" s="5">
        <v>4062.08</v>
      </c>
      <c r="Q135" s="5">
        <v>4062.08</v>
      </c>
      <c r="R135" s="5">
        <v>4062.08</v>
      </c>
      <c r="S135" s="5">
        <v>4062.08</v>
      </c>
      <c r="T135" s="5">
        <v>4062.08</v>
      </c>
      <c r="U135" s="5">
        <v>4062.08</v>
      </c>
      <c r="V135" s="5">
        <v>4062.08</v>
      </c>
      <c r="W135" s="5">
        <v>4062.08</v>
      </c>
      <c r="X135" s="5">
        <v>4062.08</v>
      </c>
      <c r="Y135" s="5">
        <v>4289.53</v>
      </c>
    </row>
    <row r="136" spans="1:25" x14ac:dyDescent="0.25">
      <c r="A136" t="s">
        <v>1887</v>
      </c>
      <c r="B136" t="s">
        <v>1888</v>
      </c>
      <c r="C136" t="s">
        <v>1889</v>
      </c>
      <c r="D136">
        <v>6048201700000220</v>
      </c>
      <c r="E136" t="s">
        <v>2472</v>
      </c>
      <c r="F136" t="s">
        <v>2134</v>
      </c>
      <c r="G136" t="s">
        <v>2123</v>
      </c>
      <c r="H136" t="s">
        <v>2159</v>
      </c>
      <c r="I136" t="s">
        <v>2162</v>
      </c>
      <c r="J136" t="s">
        <v>2161</v>
      </c>
      <c r="K136" s="3">
        <v>46185</v>
      </c>
      <c r="L136" s="5">
        <v>3320</v>
      </c>
      <c r="M136" s="5" t="s">
        <v>1908</v>
      </c>
      <c r="N136" s="5" t="s">
        <v>1909</v>
      </c>
      <c r="O136" s="5">
        <v>332</v>
      </c>
      <c r="P136" s="5">
        <v>332</v>
      </c>
      <c r="Q136" s="5">
        <v>332</v>
      </c>
      <c r="R136" s="5">
        <v>332</v>
      </c>
      <c r="S136" s="5">
        <v>332</v>
      </c>
      <c r="T136" s="5">
        <v>332</v>
      </c>
      <c r="U136" s="5">
        <v>332</v>
      </c>
      <c r="V136" s="5">
        <v>332</v>
      </c>
      <c r="W136" s="5">
        <v>332</v>
      </c>
      <c r="X136" s="5">
        <v>332</v>
      </c>
      <c r="Y136" s="5" t="s">
        <v>2092</v>
      </c>
    </row>
    <row r="137" spans="1:25" x14ac:dyDescent="0.25">
      <c r="A137" t="s">
        <v>1887</v>
      </c>
      <c r="B137" t="s">
        <v>1888</v>
      </c>
      <c r="C137" t="s">
        <v>1889</v>
      </c>
      <c r="D137">
        <v>6048201700000220</v>
      </c>
      <c r="E137" t="s">
        <v>2472</v>
      </c>
      <c r="F137" t="s">
        <v>2134</v>
      </c>
      <c r="G137" t="s">
        <v>2123</v>
      </c>
      <c r="H137" t="s">
        <v>2159</v>
      </c>
      <c r="I137" t="s">
        <v>2163</v>
      </c>
      <c r="J137" t="s">
        <v>2161</v>
      </c>
      <c r="K137" s="3">
        <v>46185</v>
      </c>
      <c r="L137" s="5">
        <v>350</v>
      </c>
      <c r="M137" s="5">
        <v>350</v>
      </c>
      <c r="N137" s="5" t="s">
        <v>1908</v>
      </c>
      <c r="O137" s="5">
        <v>350</v>
      </c>
      <c r="P137" s="5">
        <v>0</v>
      </c>
      <c r="Q137" s="5">
        <v>0</v>
      </c>
      <c r="R137" s="5">
        <v>0</v>
      </c>
      <c r="S137" s="5">
        <v>0</v>
      </c>
      <c r="T137" s="5">
        <v>0</v>
      </c>
      <c r="U137" s="5">
        <v>0</v>
      </c>
      <c r="V137" s="5">
        <v>0</v>
      </c>
      <c r="W137" s="5">
        <v>0</v>
      </c>
      <c r="X137" s="5">
        <v>0</v>
      </c>
      <c r="Y137" s="5" t="s">
        <v>2092</v>
      </c>
    </row>
    <row r="138" spans="1:25" x14ac:dyDescent="0.25">
      <c r="A138" t="s">
        <v>1887</v>
      </c>
      <c r="B138" t="s">
        <v>1888</v>
      </c>
      <c r="C138" t="s">
        <v>1889</v>
      </c>
      <c r="D138">
        <v>6049201600000240</v>
      </c>
      <c r="E138" t="s">
        <v>2472</v>
      </c>
      <c r="F138" t="s">
        <v>2122</v>
      </c>
      <c r="G138" t="s">
        <v>2123</v>
      </c>
      <c r="H138" t="s">
        <v>2164</v>
      </c>
      <c r="I138" t="s">
        <v>2165</v>
      </c>
      <c r="J138" t="s">
        <v>2166</v>
      </c>
      <c r="K138" s="3">
        <v>46268</v>
      </c>
      <c r="L138" s="5">
        <v>57500.28</v>
      </c>
      <c r="M138" s="5">
        <v>4959.6899999999996</v>
      </c>
      <c r="N138" s="5">
        <v>4707.6899999999996</v>
      </c>
      <c r="O138" s="5">
        <v>4707.6899999999996</v>
      </c>
      <c r="P138" s="5">
        <v>4707.6899999999996</v>
      </c>
      <c r="Q138" s="5">
        <v>4707.6899999999996</v>
      </c>
      <c r="R138" s="5">
        <v>4707.6899999999996</v>
      </c>
      <c r="S138" s="5">
        <v>4707.6899999999996</v>
      </c>
      <c r="T138" s="5">
        <v>4707.6899999999996</v>
      </c>
      <c r="U138" s="5">
        <v>4707.6899999999996</v>
      </c>
      <c r="V138" s="5">
        <v>4959.6899999999996</v>
      </c>
      <c r="W138" s="5">
        <v>4959.6899999999996</v>
      </c>
      <c r="X138" s="5">
        <v>4959.6899999999996</v>
      </c>
      <c r="Y138" s="5">
        <v>4959.6899999999996</v>
      </c>
    </row>
    <row r="139" spans="1:25" x14ac:dyDescent="0.25">
      <c r="A139" t="s">
        <v>1887</v>
      </c>
      <c r="B139" t="s">
        <v>1888</v>
      </c>
      <c r="C139" t="s">
        <v>1889</v>
      </c>
      <c r="D139">
        <v>6049201600000240</v>
      </c>
      <c r="E139" t="s">
        <v>2472</v>
      </c>
      <c r="F139" t="s">
        <v>2122</v>
      </c>
      <c r="G139" t="s">
        <v>2123</v>
      </c>
      <c r="H139" t="s">
        <v>2164</v>
      </c>
      <c r="I139" t="s">
        <v>2167</v>
      </c>
      <c r="J139" t="s">
        <v>2166</v>
      </c>
      <c r="K139" s="3">
        <v>46268</v>
      </c>
      <c r="L139" s="5">
        <v>1500</v>
      </c>
      <c r="M139" s="5">
        <v>150</v>
      </c>
      <c r="N139" s="5"/>
      <c r="O139" s="5">
        <v>150</v>
      </c>
      <c r="P139" s="5">
        <v>150</v>
      </c>
      <c r="Q139" s="5">
        <v>150</v>
      </c>
      <c r="R139" s="5">
        <v>150</v>
      </c>
      <c r="S139" s="5">
        <v>150</v>
      </c>
      <c r="T139" s="5">
        <v>150</v>
      </c>
      <c r="U139" s="5">
        <v>150</v>
      </c>
      <c r="V139" s="5">
        <v>150</v>
      </c>
      <c r="W139" s="5">
        <v>150</v>
      </c>
      <c r="X139" s="5">
        <v>150</v>
      </c>
      <c r="Y139" s="5"/>
    </row>
    <row r="140" spans="1:25" x14ac:dyDescent="0.25">
      <c r="A140" t="s">
        <v>1887</v>
      </c>
      <c r="B140" t="s">
        <v>1888</v>
      </c>
      <c r="C140" t="s">
        <v>1889</v>
      </c>
      <c r="D140">
        <v>6049201600000240</v>
      </c>
      <c r="E140" t="s">
        <v>2472</v>
      </c>
      <c r="F140" t="s">
        <v>2122</v>
      </c>
      <c r="G140" t="s">
        <v>2123</v>
      </c>
      <c r="H140" t="s">
        <v>2164</v>
      </c>
      <c r="I140" t="s">
        <v>2168</v>
      </c>
      <c r="J140" t="s">
        <v>2166</v>
      </c>
      <c r="K140" s="3">
        <v>46268</v>
      </c>
      <c r="L140" s="5">
        <v>1200</v>
      </c>
      <c r="M140" s="5">
        <v>100</v>
      </c>
      <c r="N140" s="5"/>
      <c r="O140" s="5">
        <v>0</v>
      </c>
      <c r="P140" s="5">
        <v>700</v>
      </c>
      <c r="Q140" s="5">
        <v>0</v>
      </c>
      <c r="R140" s="5">
        <v>0</v>
      </c>
      <c r="S140" s="5">
        <v>0</v>
      </c>
      <c r="T140" s="5">
        <v>0</v>
      </c>
      <c r="U140" s="5">
        <v>0</v>
      </c>
      <c r="V140" s="5">
        <v>0</v>
      </c>
      <c r="W140" s="5">
        <v>123.74</v>
      </c>
      <c r="X140" s="5">
        <v>0</v>
      </c>
      <c r="Y140" s="5">
        <v>0</v>
      </c>
    </row>
    <row r="141" spans="1:25" x14ac:dyDescent="0.25">
      <c r="A141" t="s">
        <v>1887</v>
      </c>
      <c r="B141" t="s">
        <v>1888</v>
      </c>
      <c r="C141" t="s">
        <v>1889</v>
      </c>
      <c r="D141">
        <v>6055201700004390</v>
      </c>
      <c r="E141" t="s">
        <v>2472</v>
      </c>
      <c r="F141" t="s">
        <v>2122</v>
      </c>
      <c r="G141" t="s">
        <v>2123</v>
      </c>
      <c r="H141" t="s">
        <v>2169</v>
      </c>
      <c r="I141" t="s">
        <v>2170</v>
      </c>
      <c r="J141" t="s">
        <v>2171</v>
      </c>
      <c r="K141" s="3">
        <v>46326</v>
      </c>
      <c r="L141" s="5">
        <v>100</v>
      </c>
      <c r="M141" s="5">
        <v>100</v>
      </c>
      <c r="N141" s="5">
        <v>0</v>
      </c>
      <c r="O141" s="5">
        <v>100</v>
      </c>
      <c r="P141" s="5">
        <v>0</v>
      </c>
      <c r="Q141" s="5">
        <v>0</v>
      </c>
      <c r="R141" s="5">
        <v>0</v>
      </c>
      <c r="S141" s="5">
        <v>0</v>
      </c>
      <c r="T141" s="5">
        <v>0</v>
      </c>
      <c r="U141" s="5">
        <v>0</v>
      </c>
      <c r="V141" s="5">
        <v>0</v>
      </c>
      <c r="W141" s="5">
        <v>0</v>
      </c>
      <c r="X141" s="5">
        <v>0</v>
      </c>
      <c r="Y141" s="5">
        <v>0</v>
      </c>
    </row>
    <row r="142" spans="1:25" x14ac:dyDescent="0.25">
      <c r="A142" t="s">
        <v>1887</v>
      </c>
      <c r="B142" t="s">
        <v>1888</v>
      </c>
      <c r="C142" t="s">
        <v>1889</v>
      </c>
      <c r="D142">
        <v>6055201700004390</v>
      </c>
      <c r="E142" t="s">
        <v>2472</v>
      </c>
      <c r="F142" t="s">
        <v>2122</v>
      </c>
      <c r="G142" t="s">
        <v>2123</v>
      </c>
      <c r="H142" t="s">
        <v>2169</v>
      </c>
      <c r="I142" t="s">
        <v>2172</v>
      </c>
      <c r="J142" t="s">
        <v>2171</v>
      </c>
      <c r="K142" s="3">
        <v>46326</v>
      </c>
      <c r="L142" s="5">
        <v>42454.86</v>
      </c>
      <c r="M142" s="5">
        <v>3705.11</v>
      </c>
      <c r="N142" s="5">
        <v>3482.17</v>
      </c>
      <c r="O142" s="5">
        <v>3482.17</v>
      </c>
      <c r="P142" s="5">
        <v>3482.17</v>
      </c>
      <c r="Q142" s="5">
        <v>3482.17</v>
      </c>
      <c r="R142" s="5">
        <v>3482.17</v>
      </c>
      <c r="S142" s="5">
        <v>3482.17</v>
      </c>
      <c r="T142" s="5">
        <v>3482.17</v>
      </c>
      <c r="U142" s="5">
        <v>3482.17</v>
      </c>
      <c r="V142" s="5">
        <v>3482.17</v>
      </c>
      <c r="W142" s="5">
        <v>3705.11</v>
      </c>
      <c r="X142" s="5">
        <v>3705.11</v>
      </c>
      <c r="Y142" s="5">
        <v>3705.11</v>
      </c>
    </row>
    <row r="143" spans="1:25" x14ac:dyDescent="0.25">
      <c r="A143" t="s">
        <v>1887</v>
      </c>
      <c r="B143" t="s">
        <v>1888</v>
      </c>
      <c r="C143" t="s">
        <v>1889</v>
      </c>
      <c r="D143">
        <v>6055201700004390</v>
      </c>
      <c r="E143" t="s">
        <v>2472</v>
      </c>
      <c r="F143" t="s">
        <v>2122</v>
      </c>
      <c r="G143" t="s">
        <v>2123</v>
      </c>
      <c r="H143" t="s">
        <v>2169</v>
      </c>
      <c r="I143" t="s">
        <v>2173</v>
      </c>
      <c r="J143" t="s">
        <v>2171</v>
      </c>
      <c r="K143" s="3">
        <v>46326</v>
      </c>
      <c r="L143" s="5">
        <v>1200</v>
      </c>
      <c r="M143" s="5">
        <v>100</v>
      </c>
      <c r="N143" s="5">
        <v>0</v>
      </c>
      <c r="O143" s="5">
        <v>0</v>
      </c>
      <c r="P143" s="5">
        <v>0</v>
      </c>
      <c r="Q143" s="5">
        <v>0</v>
      </c>
      <c r="R143" s="5">
        <v>0</v>
      </c>
      <c r="S143" s="5">
        <v>0</v>
      </c>
      <c r="T143" s="5">
        <v>0</v>
      </c>
      <c r="U143" s="5">
        <v>0</v>
      </c>
      <c r="V143" s="5">
        <v>0</v>
      </c>
      <c r="W143" s="5">
        <v>0</v>
      </c>
      <c r="X143" s="5">
        <v>500</v>
      </c>
      <c r="Y143" s="5">
        <v>0</v>
      </c>
    </row>
    <row r="144" spans="1:25" x14ac:dyDescent="0.25">
      <c r="A144" t="s">
        <v>1887</v>
      </c>
      <c r="B144" t="s">
        <v>1888</v>
      </c>
      <c r="C144" t="s">
        <v>1889</v>
      </c>
      <c r="D144">
        <v>6060201900024200</v>
      </c>
      <c r="E144" t="s">
        <v>2472</v>
      </c>
      <c r="F144" t="s">
        <v>2127</v>
      </c>
      <c r="G144" t="s">
        <v>2123</v>
      </c>
      <c r="H144" t="s">
        <v>2174</v>
      </c>
      <c r="I144" t="s">
        <v>2175</v>
      </c>
      <c r="J144" t="s">
        <v>2176</v>
      </c>
      <c r="K144" s="3">
        <v>46309</v>
      </c>
      <c r="L144" s="5">
        <v>9500</v>
      </c>
      <c r="M144" s="5"/>
      <c r="N144" s="5"/>
      <c r="O144" s="5">
        <v>950</v>
      </c>
      <c r="P144" s="5">
        <v>950</v>
      </c>
      <c r="Q144" s="5">
        <v>950</v>
      </c>
      <c r="R144" s="5">
        <v>950</v>
      </c>
      <c r="S144" s="5">
        <v>950</v>
      </c>
      <c r="T144" s="5">
        <v>950</v>
      </c>
      <c r="U144" s="5">
        <v>950</v>
      </c>
      <c r="V144" s="5">
        <v>950</v>
      </c>
      <c r="W144" s="5">
        <v>950</v>
      </c>
      <c r="X144" s="5">
        <v>950</v>
      </c>
      <c r="Y144" s="5"/>
    </row>
    <row r="145" spans="1:25" x14ac:dyDescent="0.25">
      <c r="A145" t="s">
        <v>1887</v>
      </c>
      <c r="B145" t="s">
        <v>1888</v>
      </c>
      <c r="C145" t="s">
        <v>1889</v>
      </c>
      <c r="D145">
        <v>6060201900024200</v>
      </c>
      <c r="E145" t="s">
        <v>2472</v>
      </c>
      <c r="F145" t="s">
        <v>2134</v>
      </c>
      <c r="G145" t="s">
        <v>2123</v>
      </c>
      <c r="H145" t="s">
        <v>2174</v>
      </c>
      <c r="I145" t="s">
        <v>2177</v>
      </c>
      <c r="J145" t="s">
        <v>2176</v>
      </c>
      <c r="K145" s="3">
        <v>46309</v>
      </c>
      <c r="L145" s="5">
        <v>400</v>
      </c>
      <c r="M145" s="5"/>
      <c r="N145" s="5"/>
      <c r="O145" s="5"/>
      <c r="P145" s="5"/>
      <c r="Q145" s="5"/>
      <c r="R145" s="5"/>
      <c r="S145" s="5">
        <v>500</v>
      </c>
      <c r="T145" s="5"/>
      <c r="U145" s="5"/>
      <c r="V145" s="5"/>
      <c r="W145" s="5"/>
      <c r="X145" s="5">
        <v>400</v>
      </c>
      <c r="Y145" s="5"/>
    </row>
    <row r="146" spans="1:25" x14ac:dyDescent="0.25">
      <c r="A146" t="s">
        <v>1887</v>
      </c>
      <c r="B146" t="s">
        <v>1888</v>
      </c>
      <c r="C146" t="s">
        <v>1889</v>
      </c>
      <c r="D146">
        <v>6060201900024200</v>
      </c>
      <c r="E146" t="s">
        <v>2472</v>
      </c>
      <c r="F146" t="s">
        <v>2134</v>
      </c>
      <c r="G146" t="s">
        <v>2123</v>
      </c>
      <c r="H146" t="s">
        <v>2174</v>
      </c>
      <c r="I146" t="s">
        <v>2178</v>
      </c>
      <c r="J146" t="s">
        <v>2176</v>
      </c>
      <c r="K146" s="3">
        <v>46309</v>
      </c>
      <c r="L146" s="5">
        <v>92828.160000000003</v>
      </c>
      <c r="M146" s="5">
        <v>8065.68</v>
      </c>
      <c r="N146" s="5">
        <v>7625.68</v>
      </c>
      <c r="O146" s="5">
        <v>7625.68</v>
      </c>
      <c r="P146" s="5">
        <v>7625.68</v>
      </c>
      <c r="Q146" s="5">
        <v>7625.68</v>
      </c>
      <c r="R146" s="5">
        <v>7625.68</v>
      </c>
      <c r="S146" s="5">
        <v>7625.68</v>
      </c>
      <c r="T146" s="5">
        <v>7625.68</v>
      </c>
      <c r="U146" s="5">
        <v>7625.68</v>
      </c>
      <c r="V146" s="5">
        <v>7625.68</v>
      </c>
      <c r="W146" s="5">
        <v>8065.68</v>
      </c>
      <c r="X146" s="5">
        <v>8065.68</v>
      </c>
      <c r="Y146" s="5">
        <v>8065.68</v>
      </c>
    </row>
    <row r="147" spans="1:25" x14ac:dyDescent="0.25">
      <c r="A147" t="s">
        <v>1887</v>
      </c>
      <c r="B147" t="s">
        <v>1888</v>
      </c>
      <c r="C147" t="s">
        <v>1889</v>
      </c>
      <c r="D147" t="s">
        <v>2466</v>
      </c>
      <c r="E147" t="s">
        <v>2472</v>
      </c>
      <c r="F147" t="s">
        <v>2127</v>
      </c>
      <c r="G147" t="s">
        <v>2123</v>
      </c>
      <c r="H147" t="s">
        <v>1970</v>
      </c>
      <c r="I147" t="s">
        <v>2179</v>
      </c>
      <c r="J147" t="s">
        <v>2180</v>
      </c>
      <c r="K147" s="3">
        <v>46387</v>
      </c>
      <c r="L147" s="5">
        <v>4500000</v>
      </c>
      <c r="M147" s="5">
        <v>375000</v>
      </c>
      <c r="N147" s="5">
        <v>375000</v>
      </c>
      <c r="O147" s="5">
        <v>375000</v>
      </c>
      <c r="P147" s="5">
        <v>375000</v>
      </c>
      <c r="Q147" s="5">
        <v>375000</v>
      </c>
      <c r="R147" s="5">
        <v>375000</v>
      </c>
      <c r="S147" s="5">
        <v>375000</v>
      </c>
      <c r="T147" s="5">
        <v>375000</v>
      </c>
      <c r="U147" s="5">
        <v>375000</v>
      </c>
      <c r="V147" s="5">
        <v>375000</v>
      </c>
      <c r="W147" s="5">
        <v>375000</v>
      </c>
      <c r="X147" s="5">
        <v>375000</v>
      </c>
      <c r="Y147" s="5">
        <v>375000</v>
      </c>
    </row>
    <row r="148" spans="1:25" x14ac:dyDescent="0.25">
      <c r="A148" t="s">
        <v>1887</v>
      </c>
      <c r="B148" t="s">
        <v>1888</v>
      </c>
      <c r="C148" t="s">
        <v>1889</v>
      </c>
      <c r="D148">
        <v>6074202000015330</v>
      </c>
      <c r="E148" t="s">
        <v>2471</v>
      </c>
      <c r="F148" t="s">
        <v>2134</v>
      </c>
      <c r="G148" t="s">
        <v>2123</v>
      </c>
      <c r="H148" t="s">
        <v>2077</v>
      </c>
      <c r="I148" t="s">
        <v>2181</v>
      </c>
      <c r="J148" t="s">
        <v>2182</v>
      </c>
      <c r="K148" s="3">
        <v>46211</v>
      </c>
      <c r="L148" s="5">
        <v>145540.14000000001</v>
      </c>
      <c r="M148" s="5">
        <v>12561.5</v>
      </c>
      <c r="N148" s="5">
        <v>11695.19</v>
      </c>
      <c r="O148" s="5">
        <v>11695.19</v>
      </c>
      <c r="P148" s="5">
        <v>11695.19</v>
      </c>
      <c r="Q148" s="5">
        <v>11695.19</v>
      </c>
      <c r="R148" s="5">
        <v>11695.19</v>
      </c>
      <c r="S148" s="5">
        <v>11695.19</v>
      </c>
      <c r="T148" s="5">
        <v>12561.5</v>
      </c>
      <c r="U148" s="5">
        <v>12561.5</v>
      </c>
      <c r="V148" s="5">
        <v>12561.5</v>
      </c>
      <c r="W148" s="5">
        <v>12561.5</v>
      </c>
      <c r="X148" s="5">
        <v>12561.5</v>
      </c>
      <c r="Y148" s="5">
        <v>12561.5</v>
      </c>
    </row>
    <row r="149" spans="1:25" x14ac:dyDescent="0.25">
      <c r="A149" t="s">
        <v>1887</v>
      </c>
      <c r="B149" t="s">
        <v>1888</v>
      </c>
      <c r="C149" t="s">
        <v>1889</v>
      </c>
      <c r="D149">
        <v>6074202000026790</v>
      </c>
      <c r="E149" t="s">
        <v>2472</v>
      </c>
      <c r="F149" t="s">
        <v>2122</v>
      </c>
      <c r="G149" t="s">
        <v>2123</v>
      </c>
      <c r="H149" t="s">
        <v>2183</v>
      </c>
      <c r="I149" t="s">
        <v>2184</v>
      </c>
      <c r="J149" t="s">
        <v>2185</v>
      </c>
      <c r="K149" s="3">
        <v>46370</v>
      </c>
      <c r="L149" s="5">
        <v>128665.60000000001</v>
      </c>
      <c r="M149" s="5">
        <v>8000</v>
      </c>
      <c r="N149" s="5">
        <v>10668.8</v>
      </c>
      <c r="O149" s="5">
        <v>10668.8</v>
      </c>
      <c r="P149" s="5">
        <v>10668.8</v>
      </c>
      <c r="Q149" s="5">
        <v>10668.8</v>
      </c>
      <c r="R149" s="5">
        <v>10668.8</v>
      </c>
      <c r="S149" s="5">
        <v>10668.8</v>
      </c>
      <c r="T149" s="5">
        <v>10668.8</v>
      </c>
      <c r="U149" s="5">
        <v>10668.8</v>
      </c>
      <c r="V149" s="5">
        <v>10668.8</v>
      </c>
      <c r="W149" s="5">
        <v>10668.8</v>
      </c>
      <c r="X149" s="5">
        <v>10668.8</v>
      </c>
      <c r="Y149" s="5">
        <v>11308.8</v>
      </c>
    </row>
    <row r="150" spans="1:25" x14ac:dyDescent="0.25">
      <c r="A150" t="s">
        <v>1887</v>
      </c>
      <c r="B150" t="s">
        <v>1888</v>
      </c>
      <c r="C150" t="s">
        <v>1889</v>
      </c>
      <c r="D150">
        <v>6074202000026790</v>
      </c>
      <c r="E150" t="s">
        <v>2472</v>
      </c>
      <c r="F150" t="s">
        <v>2127</v>
      </c>
      <c r="G150" t="s">
        <v>2123</v>
      </c>
      <c r="H150" t="s">
        <v>2183</v>
      </c>
      <c r="I150" t="s">
        <v>2186</v>
      </c>
      <c r="J150" t="s">
        <v>2185</v>
      </c>
      <c r="K150" s="3">
        <v>46370</v>
      </c>
      <c r="L150" s="5">
        <v>10032</v>
      </c>
      <c r="M150" s="5">
        <v>1003.2</v>
      </c>
      <c r="N150" s="5">
        <v>0</v>
      </c>
      <c r="O150" s="5">
        <v>1003.2</v>
      </c>
      <c r="P150" s="5">
        <v>1003.2</v>
      </c>
      <c r="Q150" s="5">
        <v>1003.2</v>
      </c>
      <c r="R150" s="5">
        <v>1003.2</v>
      </c>
      <c r="S150" s="5">
        <v>1003.2</v>
      </c>
      <c r="T150" s="5">
        <v>1003.2</v>
      </c>
      <c r="U150" s="5">
        <v>1003.2</v>
      </c>
      <c r="V150" s="5">
        <v>1003.2</v>
      </c>
      <c r="W150" s="5">
        <v>1003.2</v>
      </c>
      <c r="X150" s="5">
        <v>1003.2</v>
      </c>
      <c r="Y150" s="5"/>
    </row>
    <row r="151" spans="1:25" x14ac:dyDescent="0.25">
      <c r="A151" t="s">
        <v>1887</v>
      </c>
      <c r="B151" t="s">
        <v>1888</v>
      </c>
      <c r="C151" t="s">
        <v>1889</v>
      </c>
      <c r="D151">
        <v>6074202000026790</v>
      </c>
      <c r="E151" t="s">
        <v>2472</v>
      </c>
      <c r="F151" t="s">
        <v>2122</v>
      </c>
      <c r="G151" t="s">
        <v>2123</v>
      </c>
      <c r="H151" t="s">
        <v>2183</v>
      </c>
      <c r="I151" t="s">
        <v>2187</v>
      </c>
      <c r="J151" t="s">
        <v>2185</v>
      </c>
      <c r="K151" s="3">
        <v>46370</v>
      </c>
      <c r="L151" s="5">
        <v>1200</v>
      </c>
      <c r="M151" s="5">
        <v>100</v>
      </c>
      <c r="N151" s="5">
        <v>0</v>
      </c>
      <c r="O151" s="5">
        <v>0</v>
      </c>
      <c r="P151" s="5">
        <v>0</v>
      </c>
      <c r="Q151" s="5">
        <v>0</v>
      </c>
      <c r="R151" s="5">
        <v>0</v>
      </c>
      <c r="S151" s="5">
        <v>0</v>
      </c>
      <c r="T151" s="5">
        <v>0</v>
      </c>
      <c r="U151" s="5">
        <v>0</v>
      </c>
      <c r="V151" s="5">
        <v>0</v>
      </c>
      <c r="W151" s="5">
        <v>0</v>
      </c>
      <c r="X151" s="5">
        <v>0</v>
      </c>
      <c r="Y151" s="5">
        <v>600</v>
      </c>
    </row>
    <row r="152" spans="1:25" x14ac:dyDescent="0.25">
      <c r="A152" t="s">
        <v>1887</v>
      </c>
      <c r="B152" t="s">
        <v>1888</v>
      </c>
      <c r="C152" t="s">
        <v>1889</v>
      </c>
      <c r="D152">
        <v>6074202000030040</v>
      </c>
      <c r="E152" t="s">
        <v>2472</v>
      </c>
      <c r="F152" t="s">
        <v>2127</v>
      </c>
      <c r="G152" t="s">
        <v>2123</v>
      </c>
      <c r="H152" t="s">
        <v>2188</v>
      </c>
      <c r="I152" t="s">
        <v>2189</v>
      </c>
      <c r="J152" t="s">
        <v>2190</v>
      </c>
      <c r="K152" s="3">
        <v>46374</v>
      </c>
      <c r="L152" s="5">
        <v>3200</v>
      </c>
      <c r="M152" s="5"/>
      <c r="N152" s="5">
        <v>0</v>
      </c>
      <c r="O152" s="5">
        <v>320</v>
      </c>
      <c r="P152" s="5">
        <v>320</v>
      </c>
      <c r="Q152" s="5">
        <v>320</v>
      </c>
      <c r="R152" s="5">
        <v>320</v>
      </c>
      <c r="S152" s="5">
        <v>320</v>
      </c>
      <c r="T152" s="5">
        <v>320</v>
      </c>
      <c r="U152" s="5">
        <v>320</v>
      </c>
      <c r="V152" s="5">
        <v>320</v>
      </c>
      <c r="W152" s="5">
        <v>320</v>
      </c>
      <c r="X152" s="5">
        <v>320</v>
      </c>
      <c r="Y152" s="5">
        <v>0</v>
      </c>
    </row>
    <row r="153" spans="1:25" x14ac:dyDescent="0.25">
      <c r="A153" t="s">
        <v>1887</v>
      </c>
      <c r="B153" t="s">
        <v>1888</v>
      </c>
      <c r="C153" t="s">
        <v>1889</v>
      </c>
      <c r="D153">
        <v>6074202000030040</v>
      </c>
      <c r="E153" t="s">
        <v>2472</v>
      </c>
      <c r="F153" t="s">
        <v>2134</v>
      </c>
      <c r="G153" t="s">
        <v>2123</v>
      </c>
      <c r="H153" t="s">
        <v>2188</v>
      </c>
      <c r="I153" t="s">
        <v>2191</v>
      </c>
      <c r="J153" t="s">
        <v>2190</v>
      </c>
      <c r="K153" s="3">
        <v>46374</v>
      </c>
      <c r="L153" s="5">
        <v>98416.8</v>
      </c>
      <c r="M153" s="5">
        <v>8561.4</v>
      </c>
      <c r="N153" s="5">
        <v>8081.4</v>
      </c>
      <c r="O153" s="5">
        <v>8081.4</v>
      </c>
      <c r="P153" s="5">
        <v>8081.4</v>
      </c>
      <c r="Q153" s="5">
        <v>8081.4</v>
      </c>
      <c r="R153" s="5">
        <v>8081.4</v>
      </c>
      <c r="S153" s="5">
        <v>8081.4</v>
      </c>
      <c r="T153" s="5">
        <v>8081.4</v>
      </c>
      <c r="U153" s="5">
        <v>8081.4</v>
      </c>
      <c r="V153" s="5">
        <v>8081.4</v>
      </c>
      <c r="W153" s="5">
        <v>8561.4</v>
      </c>
      <c r="X153" s="5">
        <v>8561.4</v>
      </c>
      <c r="Y153" s="5">
        <v>8561.4</v>
      </c>
    </row>
    <row r="154" spans="1:25" x14ac:dyDescent="0.25">
      <c r="A154" t="s">
        <v>1887</v>
      </c>
      <c r="B154" t="s">
        <v>1888</v>
      </c>
      <c r="C154" t="s">
        <v>1889</v>
      </c>
      <c r="D154">
        <v>6074202000030040</v>
      </c>
      <c r="E154" t="s">
        <v>2472</v>
      </c>
      <c r="F154" t="s">
        <v>2134</v>
      </c>
      <c r="G154" t="s">
        <v>2123</v>
      </c>
      <c r="H154" t="s">
        <v>2188</v>
      </c>
      <c r="I154" t="s">
        <v>2192</v>
      </c>
      <c r="J154" t="s">
        <v>2190</v>
      </c>
      <c r="K154" s="3">
        <v>46374</v>
      </c>
      <c r="L154" s="5">
        <v>1200</v>
      </c>
      <c r="M154" s="5">
        <v>100</v>
      </c>
      <c r="N154" s="5">
        <v>0</v>
      </c>
      <c r="O154" s="5">
        <v>0</v>
      </c>
      <c r="P154" s="5">
        <v>0</v>
      </c>
      <c r="Q154" s="5">
        <v>0</v>
      </c>
      <c r="R154" s="5">
        <v>600</v>
      </c>
      <c r="S154" s="5">
        <v>0</v>
      </c>
      <c r="T154" s="5">
        <v>0</v>
      </c>
      <c r="U154" s="5">
        <v>0</v>
      </c>
      <c r="V154" s="5">
        <v>0</v>
      </c>
      <c r="W154" s="5">
        <v>0</v>
      </c>
      <c r="X154" s="5">
        <v>320</v>
      </c>
      <c r="Y154" s="5">
        <v>0</v>
      </c>
    </row>
    <row r="155" spans="1:25" x14ac:dyDescent="0.25">
      <c r="A155" t="s">
        <v>1887</v>
      </c>
      <c r="B155" t="s">
        <v>1888</v>
      </c>
      <c r="C155" t="s">
        <v>1889</v>
      </c>
      <c r="D155">
        <v>6074202000031710</v>
      </c>
      <c r="E155" t="s">
        <v>2472</v>
      </c>
      <c r="F155" t="s">
        <v>2122</v>
      </c>
      <c r="G155" t="s">
        <v>2123</v>
      </c>
      <c r="H155" t="s">
        <v>2193</v>
      </c>
      <c r="I155" t="s">
        <v>2194</v>
      </c>
      <c r="J155" t="s">
        <v>2195</v>
      </c>
      <c r="K155" s="3">
        <v>46139</v>
      </c>
      <c r="L155" s="5">
        <v>77336</v>
      </c>
      <c r="M155" s="5">
        <v>5000</v>
      </c>
      <c r="N155" s="5">
        <v>6278</v>
      </c>
      <c r="O155" s="5">
        <v>6278</v>
      </c>
      <c r="P155" s="5">
        <v>6278</v>
      </c>
      <c r="Q155" s="5">
        <v>6278</v>
      </c>
      <c r="R155" s="5">
        <v>6278</v>
      </c>
      <c r="S155" s="5">
        <v>6278</v>
      </c>
      <c r="T155" s="5">
        <v>6278</v>
      </c>
      <c r="U155" s="5">
        <v>6678</v>
      </c>
      <c r="V155" s="5">
        <v>6678</v>
      </c>
      <c r="W155" s="5">
        <v>6678</v>
      </c>
      <c r="X155" s="5">
        <v>6678</v>
      </c>
      <c r="Y155" s="5">
        <v>6678</v>
      </c>
    </row>
    <row r="156" spans="1:25" x14ac:dyDescent="0.25">
      <c r="A156" t="s">
        <v>1887</v>
      </c>
      <c r="B156" t="s">
        <v>1888</v>
      </c>
      <c r="C156" t="s">
        <v>1889</v>
      </c>
      <c r="D156">
        <v>6074202000031710</v>
      </c>
      <c r="E156" t="s">
        <v>2472</v>
      </c>
      <c r="F156" t="s">
        <v>2127</v>
      </c>
      <c r="G156" t="s">
        <v>2123</v>
      </c>
      <c r="H156" t="s">
        <v>2193</v>
      </c>
      <c r="I156" t="s">
        <v>2196</v>
      </c>
      <c r="J156" t="s">
        <v>2195</v>
      </c>
      <c r="K156" s="3">
        <v>46139</v>
      </c>
      <c r="L156" s="5">
        <v>250</v>
      </c>
      <c r="M156" s="5"/>
      <c r="N156" s="5"/>
      <c r="O156" s="5">
        <v>83.33</v>
      </c>
      <c r="P156" s="5">
        <v>83.33</v>
      </c>
      <c r="Q156" s="5">
        <v>83.34</v>
      </c>
      <c r="R156" s="5"/>
      <c r="S156" s="5"/>
      <c r="T156" s="5"/>
      <c r="U156" s="5"/>
      <c r="V156" s="5"/>
      <c r="W156" s="5"/>
      <c r="X156" s="5"/>
      <c r="Y156" s="5"/>
    </row>
    <row r="157" spans="1:25" x14ac:dyDescent="0.25">
      <c r="A157" t="s">
        <v>1887</v>
      </c>
      <c r="B157" t="s">
        <v>1888</v>
      </c>
      <c r="C157" t="s">
        <v>1889</v>
      </c>
      <c r="D157">
        <v>6074202000031710</v>
      </c>
      <c r="E157" t="s">
        <v>2472</v>
      </c>
      <c r="F157" t="s">
        <v>2122</v>
      </c>
      <c r="G157" t="s">
        <v>2123</v>
      </c>
      <c r="H157" t="s">
        <v>2193</v>
      </c>
      <c r="I157" t="s">
        <v>2197</v>
      </c>
      <c r="J157" t="s">
        <v>2195</v>
      </c>
      <c r="K157" s="3">
        <v>46139</v>
      </c>
      <c r="L157" s="5">
        <v>1200</v>
      </c>
      <c r="M157" s="5">
        <v>100</v>
      </c>
      <c r="N157" s="5"/>
      <c r="O157" s="5"/>
      <c r="P157" s="5"/>
      <c r="Q157" s="5"/>
      <c r="R157" s="5"/>
      <c r="S157" s="5">
        <v>350</v>
      </c>
      <c r="T157" s="5"/>
      <c r="U157" s="5"/>
      <c r="V157" s="5"/>
      <c r="W157" s="5"/>
      <c r="X157" s="5"/>
      <c r="Y157" s="5"/>
    </row>
    <row r="158" spans="1:25" x14ac:dyDescent="0.25">
      <c r="A158" t="s">
        <v>1887</v>
      </c>
      <c r="B158" t="s">
        <v>1888</v>
      </c>
      <c r="C158" t="s">
        <v>1889</v>
      </c>
      <c r="D158">
        <v>6074202000035720</v>
      </c>
      <c r="E158" t="s">
        <v>2471</v>
      </c>
      <c r="F158" t="s">
        <v>2134</v>
      </c>
      <c r="G158" t="s">
        <v>2123</v>
      </c>
      <c r="H158" t="s">
        <v>2077</v>
      </c>
      <c r="I158" t="s">
        <v>2198</v>
      </c>
      <c r="J158" t="s">
        <v>2018</v>
      </c>
      <c r="K158" s="3">
        <v>46321</v>
      </c>
      <c r="L158" s="5">
        <v>108901.5</v>
      </c>
      <c r="M158" s="5">
        <v>9075.1299999999992</v>
      </c>
      <c r="N158" s="5">
        <v>9075.1299999999992</v>
      </c>
      <c r="O158" s="5">
        <v>9075.1299999999992</v>
      </c>
      <c r="P158" s="5">
        <v>9075.1299999999992</v>
      </c>
      <c r="Q158" s="5">
        <v>9075.1299999999992</v>
      </c>
      <c r="R158" s="5">
        <v>9075.1299999999992</v>
      </c>
      <c r="S158" s="5">
        <v>9075.1299999999992</v>
      </c>
      <c r="T158" s="5">
        <v>9075.1299999999992</v>
      </c>
      <c r="U158" s="5">
        <v>9075.1299999999992</v>
      </c>
      <c r="V158" s="5">
        <v>9075.1299999999992</v>
      </c>
      <c r="W158" s="5">
        <v>9075.1299999999992</v>
      </c>
      <c r="X158" s="5">
        <v>9075.1299999999992</v>
      </c>
      <c r="Y158" s="5">
        <v>9075.1299999999992</v>
      </c>
    </row>
    <row r="159" spans="1:25" x14ac:dyDescent="0.25">
      <c r="A159" t="s">
        <v>1887</v>
      </c>
      <c r="B159" t="s">
        <v>1888</v>
      </c>
      <c r="C159" t="s">
        <v>1889</v>
      </c>
      <c r="D159">
        <v>6074202000035890</v>
      </c>
      <c r="E159" t="s">
        <v>2471</v>
      </c>
      <c r="F159" t="s">
        <v>2199</v>
      </c>
      <c r="G159" t="s">
        <v>2123</v>
      </c>
      <c r="H159" t="s">
        <v>2077</v>
      </c>
      <c r="I159" t="s">
        <v>2200</v>
      </c>
      <c r="J159" t="s">
        <v>2201</v>
      </c>
      <c r="K159" s="3">
        <v>46323</v>
      </c>
      <c r="L159" s="5">
        <v>277973.28000000003</v>
      </c>
      <c r="M159" s="5">
        <v>26123.86</v>
      </c>
      <c r="N159" s="5">
        <v>24644.15</v>
      </c>
      <c r="O159" s="5">
        <v>24644.15</v>
      </c>
      <c r="P159" s="5">
        <v>24644.15</v>
      </c>
      <c r="Q159" s="5">
        <v>24644.15</v>
      </c>
      <c r="R159" s="5">
        <v>24644.15</v>
      </c>
      <c r="S159" s="5">
        <v>24644.15</v>
      </c>
      <c r="T159" s="5">
        <v>24644.15</v>
      </c>
      <c r="U159" s="5">
        <v>24644.15</v>
      </c>
      <c r="V159" s="5">
        <v>24644.15</v>
      </c>
      <c r="W159" s="5">
        <v>24644.15</v>
      </c>
      <c r="X159" s="5">
        <v>26123.86</v>
      </c>
      <c r="Y159" s="5">
        <v>26123.86</v>
      </c>
    </row>
    <row r="160" spans="1:25" x14ac:dyDescent="0.25">
      <c r="A160" t="s">
        <v>1887</v>
      </c>
      <c r="B160" t="s">
        <v>1888</v>
      </c>
      <c r="C160" t="s">
        <v>1889</v>
      </c>
      <c r="D160">
        <v>6074202000037450</v>
      </c>
      <c r="E160" t="s">
        <v>2472</v>
      </c>
      <c r="F160" t="s">
        <v>2134</v>
      </c>
      <c r="G160" t="s">
        <v>2123</v>
      </c>
      <c r="H160" t="s">
        <v>2202</v>
      </c>
      <c r="I160" t="s">
        <v>2203</v>
      </c>
      <c r="J160" t="s">
        <v>2204</v>
      </c>
      <c r="K160" s="3">
        <v>46292</v>
      </c>
      <c r="L160" s="5">
        <v>53275.6</v>
      </c>
      <c r="M160" s="5">
        <v>4626.3</v>
      </c>
      <c r="N160" s="5">
        <v>4346.3</v>
      </c>
      <c r="O160" s="5">
        <v>4346.3</v>
      </c>
      <c r="P160" s="5">
        <v>4346.3</v>
      </c>
      <c r="Q160" s="5">
        <v>4346.3</v>
      </c>
      <c r="R160" s="5">
        <v>4346.3</v>
      </c>
      <c r="S160" s="5">
        <v>4346.3</v>
      </c>
      <c r="T160" s="5">
        <v>4346.3</v>
      </c>
      <c r="U160" s="5">
        <v>4346.3</v>
      </c>
      <c r="V160" s="5">
        <v>4626.3</v>
      </c>
      <c r="W160" s="5">
        <v>4626.3</v>
      </c>
      <c r="X160" s="5">
        <v>4626.3</v>
      </c>
      <c r="Y160" s="5">
        <v>4626.3</v>
      </c>
    </row>
    <row r="161" spans="1:25" x14ac:dyDescent="0.25">
      <c r="A161" t="s">
        <v>1887</v>
      </c>
      <c r="B161" t="s">
        <v>1888</v>
      </c>
      <c r="C161" t="s">
        <v>1889</v>
      </c>
      <c r="D161">
        <v>6074202000037450</v>
      </c>
      <c r="E161" t="s">
        <v>2472</v>
      </c>
      <c r="F161" t="s">
        <v>2134</v>
      </c>
      <c r="G161" t="s">
        <v>2123</v>
      </c>
      <c r="H161" t="s">
        <v>2202</v>
      </c>
      <c r="I161" t="s">
        <v>2205</v>
      </c>
      <c r="J161" t="s">
        <v>2204</v>
      </c>
      <c r="K161" s="3">
        <v>46292</v>
      </c>
      <c r="L161" s="5">
        <v>23200</v>
      </c>
      <c r="M161" s="5"/>
      <c r="N161" s="5"/>
      <c r="O161" s="5">
        <v>2320</v>
      </c>
      <c r="P161" s="5">
        <v>2320</v>
      </c>
      <c r="Q161" s="5">
        <v>2320</v>
      </c>
      <c r="R161" s="5">
        <v>2320</v>
      </c>
      <c r="S161" s="5">
        <v>2320</v>
      </c>
      <c r="T161" s="5">
        <v>2320</v>
      </c>
      <c r="U161" s="5">
        <v>2320</v>
      </c>
      <c r="V161" s="5">
        <v>2320</v>
      </c>
      <c r="W161" s="5">
        <v>2320</v>
      </c>
      <c r="X161" s="5">
        <v>2320</v>
      </c>
      <c r="Y161" s="5"/>
    </row>
    <row r="162" spans="1:25" x14ac:dyDescent="0.25">
      <c r="A162" t="s">
        <v>1887</v>
      </c>
      <c r="B162" t="s">
        <v>1888</v>
      </c>
      <c r="C162" t="s">
        <v>1889</v>
      </c>
      <c r="D162">
        <v>6074202000039610</v>
      </c>
      <c r="E162" t="s">
        <v>2471</v>
      </c>
      <c r="F162" t="s">
        <v>2134</v>
      </c>
      <c r="G162" t="s">
        <v>2123</v>
      </c>
      <c r="H162" t="s">
        <v>2077</v>
      </c>
      <c r="I162" t="s">
        <v>2206</v>
      </c>
      <c r="J162" t="s">
        <v>2060</v>
      </c>
      <c r="K162" s="3">
        <v>46328</v>
      </c>
      <c r="L162" s="5">
        <v>96932.160000000003</v>
      </c>
      <c r="M162" s="5">
        <v>6448.52</v>
      </c>
      <c r="N162" s="5">
        <v>8609.56</v>
      </c>
      <c r="O162" s="5">
        <v>8609.56</v>
      </c>
      <c r="P162" s="5">
        <v>8609.56</v>
      </c>
      <c r="Q162" s="5">
        <v>8609.56</v>
      </c>
      <c r="R162" s="5">
        <v>8609.56</v>
      </c>
      <c r="S162" s="5">
        <v>8609.56</v>
      </c>
      <c r="T162" s="5">
        <v>8609.56</v>
      </c>
      <c r="U162" s="5">
        <v>8609.56</v>
      </c>
      <c r="V162" s="5">
        <v>8609.56</v>
      </c>
      <c r="W162" s="5">
        <v>8609.56</v>
      </c>
      <c r="X162" s="5">
        <v>9125.44</v>
      </c>
      <c r="Y162" s="5">
        <v>9125.44</v>
      </c>
    </row>
    <row r="163" spans="1:25" x14ac:dyDescent="0.25">
      <c r="A163" t="s">
        <v>1887</v>
      </c>
      <c r="B163" t="s">
        <v>1888</v>
      </c>
      <c r="C163" t="s">
        <v>1889</v>
      </c>
      <c r="D163">
        <v>6074202100003880</v>
      </c>
      <c r="E163" t="s">
        <v>2471</v>
      </c>
      <c r="F163" t="s">
        <v>2134</v>
      </c>
      <c r="G163" t="s">
        <v>2123</v>
      </c>
      <c r="H163" t="s">
        <v>1920</v>
      </c>
      <c r="I163" t="s">
        <v>2207</v>
      </c>
      <c r="J163" t="s">
        <v>1922</v>
      </c>
      <c r="K163" s="3">
        <v>46349</v>
      </c>
      <c r="L163" s="5">
        <v>65200</v>
      </c>
      <c r="M163" s="5">
        <v>5800</v>
      </c>
      <c r="N163" s="5">
        <v>5400</v>
      </c>
      <c r="O163" s="5">
        <v>5400</v>
      </c>
      <c r="P163" s="5">
        <v>5400</v>
      </c>
      <c r="Q163" s="5">
        <v>5400</v>
      </c>
      <c r="R163" s="5">
        <v>5400</v>
      </c>
      <c r="S163" s="5">
        <v>5400</v>
      </c>
      <c r="T163" s="5">
        <v>5400</v>
      </c>
      <c r="U163" s="5">
        <v>5400</v>
      </c>
      <c r="V163" s="5">
        <v>5400</v>
      </c>
      <c r="W163" s="5">
        <v>5400</v>
      </c>
      <c r="X163" s="5">
        <v>5400</v>
      </c>
      <c r="Y163" s="5">
        <v>5800</v>
      </c>
    </row>
    <row r="164" spans="1:25" x14ac:dyDescent="0.25">
      <c r="A164" t="s">
        <v>1887</v>
      </c>
      <c r="B164" t="s">
        <v>1888</v>
      </c>
      <c r="C164" t="s">
        <v>1889</v>
      </c>
      <c r="D164">
        <v>6074202100003880</v>
      </c>
      <c r="E164" t="s">
        <v>2471</v>
      </c>
      <c r="F164" t="s">
        <v>2134</v>
      </c>
      <c r="G164" t="s">
        <v>2123</v>
      </c>
      <c r="H164" t="s">
        <v>722</v>
      </c>
      <c r="I164" t="s">
        <v>2207</v>
      </c>
      <c r="J164" t="s">
        <v>2208</v>
      </c>
      <c r="K164" s="3">
        <v>46349</v>
      </c>
      <c r="L164" s="5">
        <v>483200</v>
      </c>
      <c r="M164" s="5">
        <v>43200</v>
      </c>
      <c r="N164" s="5">
        <v>40000</v>
      </c>
      <c r="O164" s="5">
        <v>40000</v>
      </c>
      <c r="P164" s="5">
        <v>40000</v>
      </c>
      <c r="Q164" s="5">
        <v>40000</v>
      </c>
      <c r="R164" s="5">
        <v>40000</v>
      </c>
      <c r="S164" s="5">
        <v>40000</v>
      </c>
      <c r="T164" s="5">
        <v>40000</v>
      </c>
      <c r="U164" s="5">
        <v>40000</v>
      </c>
      <c r="V164" s="5">
        <v>40000</v>
      </c>
      <c r="W164" s="5">
        <v>40000</v>
      </c>
      <c r="X164" s="5">
        <v>40000</v>
      </c>
      <c r="Y164" s="5">
        <v>43200</v>
      </c>
    </row>
    <row r="165" spans="1:25" x14ac:dyDescent="0.25">
      <c r="A165" t="s">
        <v>1887</v>
      </c>
      <c r="B165" t="s">
        <v>1888</v>
      </c>
      <c r="C165" t="s">
        <v>1889</v>
      </c>
      <c r="D165">
        <v>6074202100014100</v>
      </c>
      <c r="E165" t="s">
        <v>2472</v>
      </c>
      <c r="F165" t="s">
        <v>2122</v>
      </c>
      <c r="G165" t="s">
        <v>2123</v>
      </c>
      <c r="H165" t="s">
        <v>2209</v>
      </c>
      <c r="I165" t="s">
        <v>2210</v>
      </c>
      <c r="J165" t="s">
        <v>2211</v>
      </c>
      <c r="K165" s="3">
        <v>46153</v>
      </c>
      <c r="L165" s="5">
        <v>63863.24</v>
      </c>
      <c r="M165" s="5">
        <v>4100</v>
      </c>
      <c r="N165" s="5">
        <v>5103.2700000000004</v>
      </c>
      <c r="O165" s="5">
        <v>5103.2700000000004</v>
      </c>
      <c r="P165" s="5">
        <v>5103.2700000000004</v>
      </c>
      <c r="Q165" s="5">
        <v>5103.2700000000004</v>
      </c>
      <c r="R165" s="5">
        <v>5431.27</v>
      </c>
      <c r="S165" s="5">
        <v>5431.27</v>
      </c>
      <c r="T165" s="5">
        <v>5431.27</v>
      </c>
      <c r="U165" s="5">
        <v>5431.27</v>
      </c>
      <c r="V165" s="5">
        <v>5431.27</v>
      </c>
      <c r="W165" s="5">
        <v>5431.27</v>
      </c>
      <c r="X165" s="5">
        <v>5431.27</v>
      </c>
      <c r="Y165" s="5">
        <v>5431.27</v>
      </c>
    </row>
    <row r="166" spans="1:25" x14ac:dyDescent="0.25">
      <c r="A166" t="s">
        <v>1887</v>
      </c>
      <c r="B166" t="s">
        <v>1888</v>
      </c>
      <c r="C166" t="s">
        <v>1889</v>
      </c>
      <c r="D166">
        <v>6074202100014100</v>
      </c>
      <c r="E166" t="s">
        <v>2472</v>
      </c>
      <c r="F166" t="s">
        <v>2122</v>
      </c>
      <c r="G166" t="s">
        <v>2123</v>
      </c>
      <c r="H166" t="s">
        <v>2209</v>
      </c>
      <c r="I166" t="s">
        <v>2212</v>
      </c>
      <c r="J166" t="s">
        <v>2211</v>
      </c>
      <c r="K166" s="3">
        <v>46153</v>
      </c>
      <c r="L166" s="5">
        <v>1700</v>
      </c>
      <c r="M166" s="5">
        <v>1700</v>
      </c>
      <c r="N166" s="5">
        <v>0</v>
      </c>
      <c r="O166" s="5">
        <v>170</v>
      </c>
      <c r="P166" s="5">
        <v>170</v>
      </c>
      <c r="Q166" s="5">
        <v>170</v>
      </c>
      <c r="R166" s="5">
        <v>170</v>
      </c>
      <c r="S166" s="5">
        <v>170</v>
      </c>
      <c r="T166" s="5">
        <v>170</v>
      </c>
      <c r="U166" s="5">
        <v>170</v>
      </c>
      <c r="V166" s="5">
        <v>170</v>
      </c>
      <c r="W166" s="5">
        <v>170</v>
      </c>
      <c r="X166" s="5">
        <v>170</v>
      </c>
      <c r="Y166" s="5">
        <v>0</v>
      </c>
    </row>
    <row r="167" spans="1:25" x14ac:dyDescent="0.25">
      <c r="A167" t="s">
        <v>1887</v>
      </c>
      <c r="B167" t="s">
        <v>1888</v>
      </c>
      <c r="C167" t="s">
        <v>1889</v>
      </c>
      <c r="D167">
        <v>6074202100014100</v>
      </c>
      <c r="E167" t="s">
        <v>2472</v>
      </c>
      <c r="F167" t="s">
        <v>2122</v>
      </c>
      <c r="G167" t="s">
        <v>2123</v>
      </c>
      <c r="H167" t="s">
        <v>2209</v>
      </c>
      <c r="I167" t="s">
        <v>2213</v>
      </c>
      <c r="J167" t="s">
        <v>2211</v>
      </c>
      <c r="K167" s="3">
        <v>46153</v>
      </c>
      <c r="L167" s="5">
        <v>1200</v>
      </c>
      <c r="M167" s="5">
        <v>100</v>
      </c>
      <c r="N167" s="5">
        <v>0</v>
      </c>
      <c r="O167" s="5">
        <v>0</v>
      </c>
      <c r="P167" s="5">
        <v>350</v>
      </c>
      <c r="Q167" s="5">
        <v>0</v>
      </c>
      <c r="R167" s="5">
        <v>0</v>
      </c>
      <c r="S167" s="5">
        <v>0</v>
      </c>
      <c r="T167" s="5">
        <v>0</v>
      </c>
      <c r="U167" s="5">
        <v>0</v>
      </c>
      <c r="V167" s="5">
        <v>0</v>
      </c>
      <c r="W167" s="5">
        <v>0</v>
      </c>
      <c r="X167" s="5">
        <v>0</v>
      </c>
      <c r="Y167" s="5">
        <v>0</v>
      </c>
    </row>
    <row r="168" spans="1:25" x14ac:dyDescent="0.25">
      <c r="A168" t="s">
        <v>1887</v>
      </c>
      <c r="B168" t="s">
        <v>1888</v>
      </c>
      <c r="C168" t="s">
        <v>1889</v>
      </c>
      <c r="D168">
        <v>6074202100023310</v>
      </c>
      <c r="E168" t="s">
        <v>2471</v>
      </c>
      <c r="F168" t="s">
        <v>2134</v>
      </c>
      <c r="G168" t="s">
        <v>2123</v>
      </c>
      <c r="H168" t="s">
        <v>2077</v>
      </c>
      <c r="I168" t="s">
        <v>2214</v>
      </c>
      <c r="J168" t="s">
        <v>1924</v>
      </c>
      <c r="K168" s="3">
        <v>46370</v>
      </c>
      <c r="L168" s="5">
        <v>997082.96</v>
      </c>
      <c r="M168" s="5">
        <v>89143.18</v>
      </c>
      <c r="N168" s="5">
        <v>82539.98</v>
      </c>
      <c r="O168" s="5">
        <v>82539.98</v>
      </c>
      <c r="P168" s="5">
        <v>82539.98</v>
      </c>
      <c r="Q168" s="5">
        <v>82539.98</v>
      </c>
      <c r="R168" s="5">
        <v>82539.98</v>
      </c>
      <c r="S168" s="5">
        <v>82539.98</v>
      </c>
      <c r="T168" s="5">
        <v>82539.98</v>
      </c>
      <c r="U168" s="5">
        <v>82539.98</v>
      </c>
      <c r="V168" s="5">
        <v>82539.98</v>
      </c>
      <c r="W168" s="5">
        <v>82539.98</v>
      </c>
      <c r="X168" s="5">
        <v>82539.98</v>
      </c>
      <c r="Y168" s="5">
        <v>89143.18</v>
      </c>
    </row>
    <row r="169" spans="1:25" x14ac:dyDescent="0.25">
      <c r="A169" t="s">
        <v>1887</v>
      </c>
      <c r="B169" t="s">
        <v>1888</v>
      </c>
      <c r="C169" t="s">
        <v>1889</v>
      </c>
      <c r="D169">
        <v>6074202100030840</v>
      </c>
      <c r="E169" t="s">
        <v>2471</v>
      </c>
      <c r="F169" t="s">
        <v>2134</v>
      </c>
      <c r="G169" t="s">
        <v>2123</v>
      </c>
      <c r="H169" t="s">
        <v>2077</v>
      </c>
      <c r="I169" t="s">
        <v>2215</v>
      </c>
      <c r="J169" t="s">
        <v>2216</v>
      </c>
      <c r="K169" s="3">
        <v>46235</v>
      </c>
      <c r="L169" s="5">
        <v>396000</v>
      </c>
      <c r="M169" s="5">
        <v>33000</v>
      </c>
      <c r="N169" s="5">
        <v>33000</v>
      </c>
      <c r="O169" s="5">
        <v>33000</v>
      </c>
      <c r="P169" s="5">
        <v>33000</v>
      </c>
      <c r="Q169" s="5">
        <v>33000</v>
      </c>
      <c r="R169" s="5">
        <v>33000</v>
      </c>
      <c r="S169" s="5">
        <v>33000</v>
      </c>
      <c r="T169" s="5">
        <v>33000</v>
      </c>
      <c r="U169" s="5">
        <v>33000</v>
      </c>
      <c r="V169" s="5">
        <v>33000</v>
      </c>
      <c r="W169" s="5">
        <v>33000</v>
      </c>
      <c r="X169" s="5">
        <v>33000</v>
      </c>
      <c r="Y169" s="5">
        <v>33000</v>
      </c>
    </row>
    <row r="170" spans="1:25" x14ac:dyDescent="0.25">
      <c r="A170" t="s">
        <v>1887</v>
      </c>
      <c r="B170" t="s">
        <v>1888</v>
      </c>
      <c r="C170" t="s">
        <v>1889</v>
      </c>
      <c r="D170">
        <v>6074202100037760</v>
      </c>
      <c r="E170" t="s">
        <v>2471</v>
      </c>
      <c r="F170" t="s">
        <v>2134</v>
      </c>
      <c r="G170" t="s">
        <v>2123</v>
      </c>
      <c r="H170" t="s">
        <v>377</v>
      </c>
      <c r="I170" t="s">
        <v>2217</v>
      </c>
      <c r="J170" t="s">
        <v>2218</v>
      </c>
      <c r="K170" s="3">
        <v>46253</v>
      </c>
      <c r="L170" s="5">
        <v>38463.599999999999</v>
      </c>
      <c r="M170" s="5">
        <v>5517.8</v>
      </c>
      <c r="N170" s="5">
        <v>6410.6</v>
      </c>
      <c r="O170" s="5">
        <v>6852.02</v>
      </c>
      <c r="P170" s="5">
        <v>6852.02</v>
      </c>
      <c r="Q170" s="5">
        <v>6852.02</v>
      </c>
      <c r="R170" s="5">
        <v>6852.02</v>
      </c>
      <c r="S170" s="5">
        <v>6852.02</v>
      </c>
      <c r="T170" s="5">
        <v>6852.02</v>
      </c>
      <c r="U170" s="5">
        <v>7839.92</v>
      </c>
      <c r="V170" s="5">
        <v>7839.92</v>
      </c>
      <c r="W170" s="5">
        <v>7839.92</v>
      </c>
      <c r="X170" s="5">
        <v>7839.92</v>
      </c>
      <c r="Y170" s="5">
        <v>7839.92</v>
      </c>
    </row>
    <row r="171" spans="1:25" x14ac:dyDescent="0.25">
      <c r="A171" t="s">
        <v>1887</v>
      </c>
      <c r="B171" t="s">
        <v>1888</v>
      </c>
      <c r="C171" t="s">
        <v>1889</v>
      </c>
      <c r="D171">
        <v>6074202100041150</v>
      </c>
      <c r="E171" t="s">
        <v>2471</v>
      </c>
      <c r="F171" t="s">
        <v>2134</v>
      </c>
      <c r="G171" t="s">
        <v>2123</v>
      </c>
      <c r="H171" t="s">
        <v>2219</v>
      </c>
      <c r="I171" t="s">
        <v>2220</v>
      </c>
      <c r="J171" t="s">
        <v>2221</v>
      </c>
      <c r="K171" s="3">
        <v>46343</v>
      </c>
      <c r="L171" s="5">
        <v>1198631.2</v>
      </c>
      <c r="M171" s="5">
        <v>105224.6</v>
      </c>
      <c r="N171" s="5">
        <v>98818.2</v>
      </c>
      <c r="O171" s="5">
        <v>98818.2</v>
      </c>
      <c r="P171" s="5">
        <v>98818.2</v>
      </c>
      <c r="Q171" s="5">
        <v>98818.2</v>
      </c>
      <c r="R171" s="5">
        <v>98818.2</v>
      </c>
      <c r="S171" s="5">
        <v>98818.2</v>
      </c>
      <c r="T171" s="5">
        <v>98818.2</v>
      </c>
      <c r="U171" s="5">
        <v>98818.2</v>
      </c>
      <c r="V171" s="5">
        <v>98818.2</v>
      </c>
      <c r="W171" s="5">
        <v>98818.2</v>
      </c>
      <c r="X171" s="5">
        <v>105224.6</v>
      </c>
      <c r="Y171" s="5">
        <v>105224.6</v>
      </c>
    </row>
    <row r="172" spans="1:25" x14ac:dyDescent="0.25">
      <c r="A172" t="s">
        <v>1887</v>
      </c>
      <c r="B172" t="s">
        <v>1888</v>
      </c>
      <c r="C172" t="s">
        <v>1889</v>
      </c>
      <c r="D172">
        <v>6074202100043010</v>
      </c>
      <c r="E172" t="s">
        <v>2472</v>
      </c>
      <c r="F172" t="s">
        <v>2122</v>
      </c>
      <c r="G172" t="s">
        <v>2123</v>
      </c>
      <c r="H172" t="s">
        <v>2222</v>
      </c>
      <c r="I172" t="s">
        <v>2223</v>
      </c>
      <c r="J172" t="s">
        <v>2224</v>
      </c>
      <c r="K172" s="3">
        <v>46288</v>
      </c>
      <c r="L172" s="5">
        <v>8500</v>
      </c>
      <c r="M172" s="5">
        <v>850</v>
      </c>
      <c r="N172" s="5"/>
      <c r="O172" s="5">
        <v>850</v>
      </c>
      <c r="P172" s="5">
        <v>850</v>
      </c>
      <c r="Q172" s="5">
        <v>850</v>
      </c>
      <c r="R172" s="5">
        <v>850</v>
      </c>
      <c r="S172" s="5">
        <v>850</v>
      </c>
      <c r="T172" s="5">
        <v>850</v>
      </c>
      <c r="U172" s="5">
        <v>850</v>
      </c>
      <c r="V172" s="5">
        <v>850</v>
      </c>
      <c r="W172" s="5">
        <v>850</v>
      </c>
      <c r="X172" s="5">
        <v>850</v>
      </c>
      <c r="Y172" s="5"/>
    </row>
    <row r="173" spans="1:25" x14ac:dyDescent="0.25">
      <c r="A173" t="s">
        <v>1887</v>
      </c>
      <c r="B173" t="s">
        <v>1888</v>
      </c>
      <c r="C173" t="s">
        <v>1889</v>
      </c>
      <c r="D173">
        <v>6074202100043010</v>
      </c>
      <c r="E173" t="s">
        <v>2472</v>
      </c>
      <c r="F173" t="s">
        <v>2122</v>
      </c>
      <c r="G173" t="s">
        <v>2123</v>
      </c>
      <c r="H173" t="s">
        <v>2222</v>
      </c>
      <c r="I173" t="s">
        <v>2225</v>
      </c>
      <c r="J173" t="s">
        <v>2224</v>
      </c>
      <c r="K173" s="3">
        <v>46288</v>
      </c>
      <c r="L173" s="5">
        <v>75495.759999999995</v>
      </c>
      <c r="M173" s="5">
        <v>6557.98</v>
      </c>
      <c r="N173" s="5">
        <v>6157.98</v>
      </c>
      <c r="O173" s="5">
        <v>6157.98</v>
      </c>
      <c r="P173" s="5">
        <v>6157.98</v>
      </c>
      <c r="Q173" s="5">
        <v>6157.98</v>
      </c>
      <c r="R173" s="5">
        <v>6157.98</v>
      </c>
      <c r="S173" s="5">
        <v>6157.98</v>
      </c>
      <c r="T173" s="5">
        <v>6157.98</v>
      </c>
      <c r="U173" s="5">
        <v>6157.98</v>
      </c>
      <c r="V173" s="5">
        <v>6557.98</v>
      </c>
      <c r="W173" s="5">
        <v>6557.98</v>
      </c>
      <c r="X173" s="5">
        <v>6557.98</v>
      </c>
      <c r="Y173" s="5">
        <v>6557.98</v>
      </c>
    </row>
    <row r="174" spans="1:25" x14ac:dyDescent="0.25">
      <c r="A174" t="s">
        <v>1887</v>
      </c>
      <c r="B174" t="s">
        <v>1888</v>
      </c>
      <c r="C174" t="s">
        <v>1889</v>
      </c>
      <c r="D174">
        <v>6074202100043010</v>
      </c>
      <c r="E174" t="s">
        <v>2472</v>
      </c>
      <c r="F174" t="s">
        <v>2134</v>
      </c>
      <c r="G174" t="s">
        <v>2123</v>
      </c>
      <c r="H174" t="s">
        <v>2222</v>
      </c>
      <c r="I174" t="s">
        <v>2226</v>
      </c>
      <c r="J174" t="s">
        <v>2224</v>
      </c>
      <c r="K174" s="3">
        <v>46288</v>
      </c>
      <c r="L174" s="5">
        <v>1200</v>
      </c>
      <c r="M174" s="5">
        <v>100</v>
      </c>
      <c r="N174" s="5"/>
      <c r="O174" s="5">
        <v>700</v>
      </c>
      <c r="P174" s="5">
        <v>0</v>
      </c>
      <c r="Q174" s="5">
        <v>0</v>
      </c>
      <c r="R174" s="5">
        <v>0</v>
      </c>
      <c r="S174" s="5">
        <v>0</v>
      </c>
      <c r="T174" s="5">
        <v>0</v>
      </c>
      <c r="U174" s="5">
        <v>0</v>
      </c>
      <c r="V174" s="5">
        <v>850</v>
      </c>
      <c r="W174" s="5">
        <v>850</v>
      </c>
      <c r="X174" s="5">
        <v>0</v>
      </c>
      <c r="Y174" s="5"/>
    </row>
    <row r="175" spans="1:25" x14ac:dyDescent="0.25">
      <c r="A175" t="s">
        <v>1887</v>
      </c>
      <c r="B175" t="s">
        <v>1888</v>
      </c>
      <c r="C175" t="s">
        <v>1889</v>
      </c>
      <c r="D175">
        <v>6074202100043970</v>
      </c>
      <c r="E175" t="s">
        <v>2472</v>
      </c>
      <c r="F175" t="s">
        <v>2134</v>
      </c>
      <c r="G175" t="s">
        <v>2123</v>
      </c>
      <c r="H175" t="s">
        <v>2227</v>
      </c>
      <c r="I175" t="s">
        <v>2228</v>
      </c>
      <c r="J175" t="s">
        <v>2229</v>
      </c>
      <c r="K175" s="3">
        <v>46237</v>
      </c>
      <c r="L175" s="5">
        <v>70408</v>
      </c>
      <c r="M175" s="5">
        <v>5364.5</v>
      </c>
      <c r="N175" s="5">
        <v>5364.5</v>
      </c>
      <c r="O175" s="5">
        <v>5364.5</v>
      </c>
      <c r="P175" s="5">
        <v>5364.5</v>
      </c>
      <c r="Q175" s="5">
        <v>5364.5</v>
      </c>
      <c r="R175" s="5">
        <v>5364.5</v>
      </c>
      <c r="S175" s="5">
        <v>6226.5</v>
      </c>
      <c r="T175" s="5">
        <v>6226.5</v>
      </c>
      <c r="U175" s="5">
        <v>6226.5</v>
      </c>
      <c r="V175" s="5">
        <v>6226.5</v>
      </c>
      <c r="W175" s="5">
        <v>6226.5</v>
      </c>
      <c r="X175" s="5">
        <v>6226.5</v>
      </c>
      <c r="Y175" s="5">
        <v>6226.5</v>
      </c>
    </row>
    <row r="176" spans="1:25" x14ac:dyDescent="0.25">
      <c r="A176" t="s">
        <v>1887</v>
      </c>
      <c r="B176" t="s">
        <v>1888</v>
      </c>
      <c r="C176" t="s">
        <v>1889</v>
      </c>
      <c r="D176">
        <v>6074202100043970</v>
      </c>
      <c r="E176" t="s">
        <v>2472</v>
      </c>
      <c r="F176" t="s">
        <v>2134</v>
      </c>
      <c r="G176" t="s">
        <v>2123</v>
      </c>
      <c r="H176" t="s">
        <v>2227</v>
      </c>
      <c r="I176" t="s">
        <v>2230</v>
      </c>
      <c r="J176" t="s">
        <v>2229</v>
      </c>
      <c r="K176" s="3">
        <v>46237</v>
      </c>
      <c r="L176" s="5">
        <v>3850</v>
      </c>
      <c r="M176" s="5">
        <v>385</v>
      </c>
      <c r="N176" s="5"/>
      <c r="O176" s="5">
        <v>385</v>
      </c>
      <c r="P176" s="5">
        <v>385</v>
      </c>
      <c r="Q176" s="5">
        <v>385</v>
      </c>
      <c r="R176" s="5">
        <v>385</v>
      </c>
      <c r="S176" s="5">
        <v>385</v>
      </c>
      <c r="T176" s="5">
        <v>385</v>
      </c>
      <c r="U176" s="5">
        <v>385</v>
      </c>
      <c r="V176" s="5">
        <v>385</v>
      </c>
      <c r="W176" s="5">
        <v>385</v>
      </c>
      <c r="X176" s="5">
        <v>385</v>
      </c>
      <c r="Y176" s="5"/>
    </row>
    <row r="177" spans="1:25" x14ac:dyDescent="0.25">
      <c r="A177" t="s">
        <v>1887</v>
      </c>
      <c r="B177" t="s">
        <v>1888</v>
      </c>
      <c r="C177" t="s">
        <v>1889</v>
      </c>
      <c r="D177">
        <v>6074202100053370</v>
      </c>
      <c r="E177" t="s">
        <v>2472</v>
      </c>
      <c r="F177" t="s">
        <v>2122</v>
      </c>
      <c r="G177" t="s">
        <v>2123</v>
      </c>
      <c r="H177" t="s">
        <v>2231</v>
      </c>
      <c r="I177" t="s">
        <v>2232</v>
      </c>
      <c r="J177" t="s">
        <v>2233</v>
      </c>
      <c r="K177" s="3">
        <v>46130</v>
      </c>
      <c r="L177" s="5">
        <v>72194.34</v>
      </c>
      <c r="M177" s="5">
        <v>5293.33</v>
      </c>
      <c r="N177" s="5">
        <v>5698.57</v>
      </c>
      <c r="O177" s="5">
        <v>5698.57</v>
      </c>
      <c r="P177" s="5">
        <v>5698.57</v>
      </c>
      <c r="Q177" s="5">
        <v>6122.07</v>
      </c>
      <c r="R177" s="5">
        <v>6122.07</v>
      </c>
      <c r="S177" s="5">
        <v>6122.07</v>
      </c>
      <c r="T177" s="5">
        <v>6122.07</v>
      </c>
      <c r="U177" s="5">
        <v>6122.07</v>
      </c>
      <c r="V177" s="5">
        <v>6122.07</v>
      </c>
      <c r="W177" s="5">
        <v>6122.07</v>
      </c>
      <c r="X177" s="5">
        <v>6122.07</v>
      </c>
      <c r="Y177" s="5">
        <v>6122.07</v>
      </c>
    </row>
    <row r="178" spans="1:25" x14ac:dyDescent="0.25">
      <c r="A178" t="s">
        <v>1887</v>
      </c>
      <c r="B178" t="s">
        <v>1888</v>
      </c>
      <c r="C178" t="s">
        <v>1889</v>
      </c>
      <c r="D178">
        <v>6074202100053370</v>
      </c>
      <c r="E178" t="s">
        <v>2472</v>
      </c>
      <c r="F178" t="s">
        <v>2122</v>
      </c>
      <c r="G178" t="s">
        <v>2123</v>
      </c>
      <c r="H178" t="s">
        <v>2231</v>
      </c>
      <c r="I178" t="s">
        <v>2234</v>
      </c>
      <c r="J178" t="s">
        <v>2233</v>
      </c>
      <c r="K178" s="3">
        <v>46130</v>
      </c>
      <c r="L178" s="5">
        <v>3000</v>
      </c>
      <c r="M178" s="5">
        <v>300</v>
      </c>
      <c r="N178" s="5"/>
      <c r="O178" s="5">
        <v>300</v>
      </c>
      <c r="P178" s="5">
        <v>300</v>
      </c>
      <c r="Q178" s="5">
        <v>300</v>
      </c>
      <c r="R178" s="5">
        <v>300</v>
      </c>
      <c r="S178" s="5">
        <v>300</v>
      </c>
      <c r="T178" s="5">
        <v>300</v>
      </c>
      <c r="U178" s="5">
        <v>300</v>
      </c>
      <c r="V178" s="5">
        <v>300</v>
      </c>
      <c r="W178" s="5">
        <v>300</v>
      </c>
      <c r="X178" s="5">
        <v>300</v>
      </c>
      <c r="Y178" s="5"/>
    </row>
    <row r="179" spans="1:25" x14ac:dyDescent="0.25">
      <c r="A179" t="s">
        <v>1887</v>
      </c>
      <c r="B179" t="s">
        <v>1888</v>
      </c>
      <c r="C179" t="s">
        <v>1889</v>
      </c>
      <c r="D179">
        <v>6074202100053370</v>
      </c>
      <c r="E179" t="s">
        <v>2472</v>
      </c>
      <c r="F179" t="s">
        <v>2122</v>
      </c>
      <c r="G179" t="s">
        <v>2123</v>
      </c>
      <c r="H179" t="s">
        <v>2231</v>
      </c>
      <c r="I179" t="s">
        <v>2235</v>
      </c>
      <c r="J179" t="s">
        <v>2233</v>
      </c>
      <c r="K179" s="3">
        <v>46130</v>
      </c>
      <c r="L179" s="5">
        <v>1200</v>
      </c>
      <c r="M179" s="5">
        <v>100</v>
      </c>
      <c r="N179" s="5"/>
      <c r="O179" s="5"/>
      <c r="P179" s="5"/>
      <c r="Q179" s="5"/>
      <c r="R179" s="5"/>
      <c r="S179" s="5">
        <v>350</v>
      </c>
      <c r="T179" s="5"/>
      <c r="U179" s="5"/>
      <c r="V179" s="5"/>
      <c r="W179" s="5"/>
      <c r="X179" s="5"/>
      <c r="Y179" s="5"/>
    </row>
    <row r="180" spans="1:25" x14ac:dyDescent="0.25">
      <c r="A180" t="s">
        <v>1887</v>
      </c>
      <c r="B180" t="s">
        <v>1888</v>
      </c>
      <c r="C180" t="s">
        <v>1889</v>
      </c>
      <c r="D180">
        <v>6074202100058360</v>
      </c>
      <c r="E180" t="s">
        <v>2472</v>
      </c>
      <c r="F180" t="s">
        <v>2122</v>
      </c>
      <c r="G180" t="s">
        <v>2123</v>
      </c>
      <c r="H180" t="s">
        <v>2236</v>
      </c>
      <c r="I180" t="s">
        <v>2237</v>
      </c>
      <c r="J180" t="s">
        <v>2238</v>
      </c>
      <c r="K180" s="3">
        <v>46309</v>
      </c>
      <c r="L180" s="5">
        <v>1100</v>
      </c>
      <c r="M180" s="5"/>
      <c r="N180" s="5"/>
      <c r="O180" s="5">
        <v>110</v>
      </c>
      <c r="P180" s="5">
        <v>110</v>
      </c>
      <c r="Q180" s="5">
        <v>110</v>
      </c>
      <c r="R180" s="5">
        <v>110</v>
      </c>
      <c r="S180" s="5">
        <v>110</v>
      </c>
      <c r="T180" s="5">
        <v>110</v>
      </c>
      <c r="U180" s="5">
        <v>110</v>
      </c>
      <c r="V180" s="5">
        <v>110</v>
      </c>
      <c r="W180" s="5">
        <v>110</v>
      </c>
      <c r="X180" s="5">
        <v>110</v>
      </c>
      <c r="Y180" s="5">
        <v>0</v>
      </c>
    </row>
    <row r="181" spans="1:25" x14ac:dyDescent="0.25">
      <c r="A181" t="s">
        <v>1887</v>
      </c>
      <c r="B181" t="s">
        <v>1888</v>
      </c>
      <c r="C181" t="s">
        <v>1889</v>
      </c>
      <c r="D181">
        <v>6074202100058360</v>
      </c>
      <c r="E181" t="s">
        <v>2472</v>
      </c>
      <c r="F181" t="s">
        <v>2122</v>
      </c>
      <c r="G181" t="s">
        <v>2123</v>
      </c>
      <c r="H181" t="s">
        <v>2236</v>
      </c>
      <c r="I181" t="s">
        <v>2239</v>
      </c>
      <c r="J181" t="s">
        <v>2238</v>
      </c>
      <c r="K181" s="3">
        <v>46309</v>
      </c>
      <c r="L181" s="5">
        <v>54012.480000000003</v>
      </c>
      <c r="M181" s="5">
        <v>4723.04</v>
      </c>
      <c r="N181" s="5">
        <v>4427.04</v>
      </c>
      <c r="O181" s="5">
        <v>4427.04</v>
      </c>
      <c r="P181" s="5">
        <v>4427.04</v>
      </c>
      <c r="Q181" s="5">
        <v>4427.04</v>
      </c>
      <c r="R181" s="5">
        <v>4427.04</v>
      </c>
      <c r="S181" s="5">
        <v>4427.04</v>
      </c>
      <c r="T181" s="5">
        <v>4427.04</v>
      </c>
      <c r="U181" s="5">
        <v>4427.04</v>
      </c>
      <c r="V181" s="5">
        <v>4427.04</v>
      </c>
      <c r="W181" s="5">
        <v>4723.04</v>
      </c>
      <c r="X181" s="5">
        <v>4723.04</v>
      </c>
      <c r="Y181" s="5">
        <v>4723.04</v>
      </c>
    </row>
    <row r="182" spans="1:25" x14ac:dyDescent="0.25">
      <c r="A182" t="s">
        <v>1887</v>
      </c>
      <c r="B182" t="s">
        <v>1888</v>
      </c>
      <c r="C182" t="s">
        <v>1889</v>
      </c>
      <c r="D182">
        <v>6074202100058360</v>
      </c>
      <c r="E182" t="s">
        <v>2472</v>
      </c>
      <c r="F182" t="s">
        <v>2122</v>
      </c>
      <c r="G182" t="s">
        <v>2123</v>
      </c>
      <c r="H182" t="s">
        <v>2236</v>
      </c>
      <c r="I182" t="s">
        <v>2240</v>
      </c>
      <c r="J182" t="s">
        <v>2238</v>
      </c>
      <c r="K182" s="3">
        <v>46309</v>
      </c>
      <c r="L182" s="5">
        <v>1200</v>
      </c>
      <c r="M182" s="5">
        <v>100</v>
      </c>
      <c r="N182" s="5">
        <v>0</v>
      </c>
      <c r="O182" s="5">
        <v>350</v>
      </c>
      <c r="P182" s="5">
        <v>0</v>
      </c>
      <c r="Q182" s="5">
        <v>0</v>
      </c>
      <c r="R182" s="5">
        <v>0</v>
      </c>
      <c r="S182" s="5">
        <v>0</v>
      </c>
      <c r="T182" s="5">
        <v>0</v>
      </c>
      <c r="U182" s="5">
        <v>0</v>
      </c>
      <c r="V182" s="5">
        <v>0</v>
      </c>
      <c r="W182" s="5">
        <v>0</v>
      </c>
      <c r="X182" s="5">
        <v>0</v>
      </c>
      <c r="Y182" s="5">
        <v>0</v>
      </c>
    </row>
    <row r="183" spans="1:25" x14ac:dyDescent="0.25">
      <c r="A183" t="s">
        <v>1887</v>
      </c>
      <c r="B183" t="s">
        <v>1888</v>
      </c>
      <c r="C183" t="s">
        <v>1889</v>
      </c>
      <c r="D183">
        <v>6074202100065480</v>
      </c>
      <c r="E183" t="s">
        <v>2472</v>
      </c>
      <c r="F183" t="s">
        <v>2122</v>
      </c>
      <c r="G183" t="s">
        <v>2123</v>
      </c>
      <c r="H183" t="s">
        <v>2241</v>
      </c>
      <c r="I183" t="s">
        <v>2242</v>
      </c>
      <c r="J183" t="s">
        <v>2243</v>
      </c>
      <c r="K183" s="3">
        <v>46054</v>
      </c>
      <c r="L183" s="5">
        <v>66141</v>
      </c>
      <c r="M183" s="5">
        <v>4500</v>
      </c>
      <c r="N183" s="5">
        <v>5181.75</v>
      </c>
      <c r="O183" s="5">
        <v>5541.75</v>
      </c>
      <c r="P183" s="5">
        <v>5541.75</v>
      </c>
      <c r="Q183" s="5">
        <v>5541.75</v>
      </c>
      <c r="R183" s="5">
        <v>5541.75</v>
      </c>
      <c r="S183" s="5">
        <v>5541.75</v>
      </c>
      <c r="T183" s="5">
        <v>5541.75</v>
      </c>
      <c r="U183" s="5">
        <v>5541.75</v>
      </c>
      <c r="V183" s="5">
        <v>5541.75</v>
      </c>
      <c r="W183" s="5">
        <v>5541.75</v>
      </c>
      <c r="X183" s="5">
        <v>5541.75</v>
      </c>
      <c r="Y183" s="5">
        <v>5541.75</v>
      </c>
    </row>
    <row r="184" spans="1:25" x14ac:dyDescent="0.25">
      <c r="A184" t="s">
        <v>1887</v>
      </c>
      <c r="B184" t="s">
        <v>1888</v>
      </c>
      <c r="C184" t="s">
        <v>1889</v>
      </c>
      <c r="D184">
        <v>6074202100065480</v>
      </c>
      <c r="E184" t="s">
        <v>2472</v>
      </c>
      <c r="F184" t="s">
        <v>2122</v>
      </c>
      <c r="G184" t="s">
        <v>2123</v>
      </c>
      <c r="H184" t="s">
        <v>2241</v>
      </c>
      <c r="I184" t="s">
        <v>2244</v>
      </c>
      <c r="J184" t="s">
        <v>2243</v>
      </c>
      <c r="K184" s="3">
        <v>46054</v>
      </c>
      <c r="L184" s="5">
        <v>5005</v>
      </c>
      <c r="M184" s="5"/>
      <c r="N184" s="5"/>
      <c r="O184" s="5">
        <v>500.5</v>
      </c>
      <c r="P184" s="5">
        <v>500.5</v>
      </c>
      <c r="Q184" s="5">
        <v>500.5</v>
      </c>
      <c r="R184" s="5">
        <v>500.5</v>
      </c>
      <c r="S184" s="5">
        <v>500.5</v>
      </c>
      <c r="T184" s="5">
        <v>500.5</v>
      </c>
      <c r="U184" s="5">
        <v>500.5</v>
      </c>
      <c r="V184" s="5">
        <v>500.5</v>
      </c>
      <c r="W184" s="5">
        <v>500.5</v>
      </c>
      <c r="X184" s="5">
        <v>500.5</v>
      </c>
      <c r="Y184" s="5"/>
    </row>
    <row r="185" spans="1:25" x14ac:dyDescent="0.25">
      <c r="A185" t="s">
        <v>1887</v>
      </c>
      <c r="B185" t="s">
        <v>1888</v>
      </c>
      <c r="C185" t="s">
        <v>1889</v>
      </c>
      <c r="D185">
        <v>6074202100065810</v>
      </c>
      <c r="E185" t="s">
        <v>2472</v>
      </c>
      <c r="F185" t="s">
        <v>2122</v>
      </c>
      <c r="G185" t="s">
        <v>2123</v>
      </c>
      <c r="H185" t="s">
        <v>2245</v>
      </c>
      <c r="I185" t="s">
        <v>2246</v>
      </c>
      <c r="J185" t="s">
        <v>2247</v>
      </c>
      <c r="K185" s="3">
        <v>46381</v>
      </c>
      <c r="L185" s="5">
        <v>150</v>
      </c>
      <c r="M185" s="5">
        <v>150</v>
      </c>
      <c r="N185" s="5"/>
      <c r="O185" s="5">
        <v>150</v>
      </c>
      <c r="P185" s="5"/>
      <c r="Q185" s="5" t="s">
        <v>1908</v>
      </c>
      <c r="R185" s="5"/>
      <c r="S185" s="5"/>
      <c r="T185" s="5"/>
      <c r="U185" s="5"/>
      <c r="V185" s="5"/>
      <c r="W185" s="5"/>
      <c r="X185" s="5"/>
      <c r="Y185" s="5"/>
    </row>
    <row r="186" spans="1:25" x14ac:dyDescent="0.25">
      <c r="A186" t="s">
        <v>1887</v>
      </c>
      <c r="B186" t="s">
        <v>1888</v>
      </c>
      <c r="C186" t="s">
        <v>1889</v>
      </c>
      <c r="D186">
        <v>6074202100065810</v>
      </c>
      <c r="E186" t="s">
        <v>2472</v>
      </c>
      <c r="F186" t="s">
        <v>2122</v>
      </c>
      <c r="G186" t="s">
        <v>2123</v>
      </c>
      <c r="H186" t="s">
        <v>2245</v>
      </c>
      <c r="I186" t="s">
        <v>2248</v>
      </c>
      <c r="J186" t="s">
        <v>2247</v>
      </c>
      <c r="K186" s="3">
        <v>46381</v>
      </c>
      <c r="L186" s="5">
        <v>77832.639999999999</v>
      </c>
      <c r="M186" s="5">
        <v>6832.72</v>
      </c>
      <c r="N186" s="5">
        <v>6416.72</v>
      </c>
      <c r="O186" s="5">
        <v>6416.72</v>
      </c>
      <c r="P186" s="5">
        <v>6416.72</v>
      </c>
      <c r="Q186" s="5">
        <v>6416.72</v>
      </c>
      <c r="R186" s="5">
        <v>6416.72</v>
      </c>
      <c r="S186" s="5">
        <v>6416.72</v>
      </c>
      <c r="T186" s="5">
        <v>6416.72</v>
      </c>
      <c r="U186" s="5">
        <v>6416.72</v>
      </c>
      <c r="V186" s="5">
        <v>6416.72</v>
      </c>
      <c r="W186" s="5">
        <v>6416.72</v>
      </c>
      <c r="X186" s="5">
        <v>6832.72</v>
      </c>
      <c r="Y186" s="5">
        <v>6832.72</v>
      </c>
    </row>
    <row r="187" spans="1:25" x14ac:dyDescent="0.25">
      <c r="A187" t="s">
        <v>1887</v>
      </c>
      <c r="B187" t="s">
        <v>1888</v>
      </c>
      <c r="C187" t="s">
        <v>1889</v>
      </c>
      <c r="D187">
        <v>6074202100065810</v>
      </c>
      <c r="E187" t="s">
        <v>2472</v>
      </c>
      <c r="F187" t="s">
        <v>2122</v>
      </c>
      <c r="G187" t="s">
        <v>2123</v>
      </c>
      <c r="H187" t="s">
        <v>2245</v>
      </c>
      <c r="I187" t="s">
        <v>2249</v>
      </c>
      <c r="J187" t="s">
        <v>2247</v>
      </c>
      <c r="K187" s="3">
        <v>46381</v>
      </c>
      <c r="L187" s="5">
        <v>1200</v>
      </c>
      <c r="M187" s="5">
        <v>100</v>
      </c>
      <c r="N187" s="5">
        <v>0</v>
      </c>
      <c r="O187" s="5" t="s">
        <v>1908</v>
      </c>
      <c r="P187" s="5"/>
      <c r="Q187" s="5" t="s">
        <v>1908</v>
      </c>
      <c r="R187" s="5"/>
      <c r="S187" s="5"/>
      <c r="T187" s="5"/>
      <c r="U187" s="5"/>
      <c r="V187" s="5"/>
      <c r="W187" s="5"/>
      <c r="X187" s="5"/>
      <c r="Y187" s="5">
        <v>200</v>
      </c>
    </row>
    <row r="188" spans="1:25" x14ac:dyDescent="0.25">
      <c r="A188" t="s">
        <v>1887</v>
      </c>
      <c r="B188" t="s">
        <v>1888</v>
      </c>
      <c r="C188" t="s">
        <v>1889</v>
      </c>
      <c r="D188">
        <v>6074202100066240</v>
      </c>
      <c r="E188" t="s">
        <v>2472</v>
      </c>
      <c r="F188" t="s">
        <v>2122</v>
      </c>
      <c r="G188" t="s">
        <v>2123</v>
      </c>
      <c r="H188" t="s">
        <v>2077</v>
      </c>
      <c r="I188" t="s">
        <v>2250</v>
      </c>
      <c r="J188" t="s">
        <v>2251</v>
      </c>
      <c r="K188" s="3">
        <v>46209</v>
      </c>
      <c r="L188" s="5">
        <v>66988.800000000003</v>
      </c>
      <c r="M188" s="5">
        <v>4800</v>
      </c>
      <c r="N188" s="5">
        <v>5390.4</v>
      </c>
      <c r="O188" s="5">
        <v>5390.4</v>
      </c>
      <c r="P188" s="5">
        <v>5390.4</v>
      </c>
      <c r="Q188" s="5">
        <v>5390.4</v>
      </c>
      <c r="R188" s="5">
        <v>5390.4</v>
      </c>
      <c r="S188" s="5">
        <v>5390.4</v>
      </c>
      <c r="T188" s="5">
        <v>5774.4</v>
      </c>
      <c r="U188" s="5">
        <v>5774.4</v>
      </c>
      <c r="V188" s="5">
        <v>5774.4</v>
      </c>
      <c r="W188" s="5">
        <v>5774.4</v>
      </c>
      <c r="X188" s="5">
        <v>5774.4</v>
      </c>
      <c r="Y188" s="5">
        <v>5774.4</v>
      </c>
    </row>
    <row r="189" spans="1:25" x14ac:dyDescent="0.25">
      <c r="A189" t="s">
        <v>1887</v>
      </c>
      <c r="B189" t="s">
        <v>1888</v>
      </c>
      <c r="C189" t="s">
        <v>1889</v>
      </c>
      <c r="D189">
        <v>6074202100066240</v>
      </c>
      <c r="E189" t="s">
        <v>2472</v>
      </c>
      <c r="F189" t="s">
        <v>2122</v>
      </c>
      <c r="G189" t="s">
        <v>2123</v>
      </c>
      <c r="H189" t="s">
        <v>2077</v>
      </c>
      <c r="I189" t="s">
        <v>2252</v>
      </c>
      <c r="J189" t="s">
        <v>2251</v>
      </c>
      <c r="K189" s="3">
        <v>46209</v>
      </c>
      <c r="L189" s="5">
        <v>600</v>
      </c>
      <c r="M189" s="5">
        <v>0</v>
      </c>
      <c r="N189" s="5">
        <v>0</v>
      </c>
      <c r="O189" s="5">
        <v>60</v>
      </c>
      <c r="P189" s="5">
        <v>60</v>
      </c>
      <c r="Q189" s="5">
        <v>60</v>
      </c>
      <c r="R189" s="5">
        <v>60</v>
      </c>
      <c r="S189" s="5">
        <v>60</v>
      </c>
      <c r="T189" s="5">
        <v>60</v>
      </c>
      <c r="U189" s="5">
        <v>60</v>
      </c>
      <c r="V189" s="5">
        <v>60</v>
      </c>
      <c r="W189" s="5">
        <v>60</v>
      </c>
      <c r="X189" s="5">
        <v>60</v>
      </c>
      <c r="Y189" s="5">
        <v>0</v>
      </c>
    </row>
    <row r="190" spans="1:25" x14ac:dyDescent="0.25">
      <c r="A190" t="s">
        <v>1887</v>
      </c>
      <c r="B190" t="s">
        <v>1888</v>
      </c>
      <c r="C190" t="s">
        <v>1889</v>
      </c>
      <c r="D190">
        <v>6074202100066240</v>
      </c>
      <c r="E190" t="s">
        <v>2472</v>
      </c>
      <c r="F190" t="s">
        <v>2122</v>
      </c>
      <c r="G190" t="s">
        <v>2123</v>
      </c>
      <c r="H190" t="s">
        <v>2077</v>
      </c>
      <c r="I190" t="s">
        <v>2253</v>
      </c>
      <c r="J190" t="s">
        <v>2251</v>
      </c>
      <c r="K190" s="3">
        <v>46209</v>
      </c>
      <c r="L190" s="5">
        <v>1200</v>
      </c>
      <c r="M190" s="5">
        <v>100</v>
      </c>
      <c r="N190" s="5">
        <v>0</v>
      </c>
      <c r="O190" s="5">
        <v>0</v>
      </c>
      <c r="P190" s="5">
        <v>0</v>
      </c>
      <c r="Q190" s="5">
        <v>0</v>
      </c>
      <c r="R190" s="5">
        <v>0</v>
      </c>
      <c r="S190" s="5">
        <v>0</v>
      </c>
      <c r="T190" s="5">
        <v>0</v>
      </c>
      <c r="U190" s="5">
        <v>350</v>
      </c>
      <c r="V190" s="5">
        <v>0</v>
      </c>
      <c r="W190" s="5">
        <v>0</v>
      </c>
      <c r="X190" s="5">
        <v>0</v>
      </c>
      <c r="Y190" s="5">
        <v>0</v>
      </c>
    </row>
    <row r="191" spans="1:25" x14ac:dyDescent="0.25">
      <c r="A191" t="s">
        <v>1887</v>
      </c>
      <c r="B191" t="s">
        <v>1888</v>
      </c>
      <c r="C191" t="s">
        <v>1889</v>
      </c>
      <c r="D191">
        <v>6074202100078260</v>
      </c>
      <c r="E191" t="s">
        <v>2472</v>
      </c>
      <c r="F191" t="s">
        <v>2122</v>
      </c>
      <c r="G191" t="s">
        <v>2123</v>
      </c>
      <c r="H191" t="s">
        <v>2254</v>
      </c>
      <c r="I191" t="s">
        <v>2255</v>
      </c>
      <c r="J191" t="s">
        <v>2256</v>
      </c>
      <c r="K191" s="3">
        <v>46371</v>
      </c>
      <c r="L191" s="5">
        <v>96728.52</v>
      </c>
      <c r="M191" s="5">
        <v>8620.7099999999991</v>
      </c>
      <c r="N191" s="5">
        <v>8620.7099999999991</v>
      </c>
      <c r="O191" s="5">
        <v>8620.7099999999991</v>
      </c>
      <c r="P191" s="5">
        <v>8620.7099999999991</v>
      </c>
      <c r="Q191" s="5">
        <v>8620.7099999999991</v>
      </c>
      <c r="R191" s="5">
        <v>8620.7099999999991</v>
      </c>
      <c r="S191" s="5">
        <v>8620.7099999999991</v>
      </c>
      <c r="T191" s="5">
        <v>8620.7099999999991</v>
      </c>
      <c r="U191" s="5">
        <v>8620.7099999999991</v>
      </c>
      <c r="V191" s="5">
        <v>8620.7099999999991</v>
      </c>
      <c r="W191" s="5">
        <v>8620.7099999999991</v>
      </c>
      <c r="X191" s="5">
        <v>8620.7099999999991</v>
      </c>
      <c r="Y191" s="5">
        <v>9180.7099999999991</v>
      </c>
    </row>
    <row r="192" spans="1:25" x14ac:dyDescent="0.25">
      <c r="A192" t="s">
        <v>1887</v>
      </c>
      <c r="B192" t="s">
        <v>1888</v>
      </c>
      <c r="C192" t="s">
        <v>1889</v>
      </c>
      <c r="D192">
        <v>6074202100078260</v>
      </c>
      <c r="E192" t="s">
        <v>2472</v>
      </c>
      <c r="F192" t="s">
        <v>2122</v>
      </c>
      <c r="G192" t="s">
        <v>2123</v>
      </c>
      <c r="H192" t="s">
        <v>2254</v>
      </c>
      <c r="I192" t="s">
        <v>2257</v>
      </c>
      <c r="J192" t="s">
        <v>2256</v>
      </c>
      <c r="K192" s="3">
        <v>46371</v>
      </c>
      <c r="L192" s="5">
        <v>8000</v>
      </c>
      <c r="M192" s="5">
        <v>0</v>
      </c>
      <c r="N192" s="5">
        <v>0</v>
      </c>
      <c r="O192" s="5">
        <v>8000</v>
      </c>
      <c r="P192" s="5">
        <v>0</v>
      </c>
      <c r="Q192" s="5">
        <v>0</v>
      </c>
      <c r="R192" s="5">
        <v>0</v>
      </c>
      <c r="S192" s="5">
        <v>0</v>
      </c>
      <c r="T192" s="5">
        <v>0</v>
      </c>
      <c r="U192" s="5">
        <v>0</v>
      </c>
      <c r="V192" s="5">
        <v>0</v>
      </c>
      <c r="W192" s="5">
        <v>0</v>
      </c>
      <c r="X192" s="5">
        <v>0</v>
      </c>
      <c r="Y192" s="5">
        <v>0</v>
      </c>
    </row>
    <row r="193" spans="1:25" x14ac:dyDescent="0.25">
      <c r="A193" t="s">
        <v>1887</v>
      </c>
      <c r="B193" t="s">
        <v>1888</v>
      </c>
      <c r="C193" t="s">
        <v>1889</v>
      </c>
      <c r="D193">
        <v>6074202100078260</v>
      </c>
      <c r="E193" t="s">
        <v>2472</v>
      </c>
      <c r="F193" t="s">
        <v>2122</v>
      </c>
      <c r="G193" t="s">
        <v>2123</v>
      </c>
      <c r="H193" t="s">
        <v>2254</v>
      </c>
      <c r="I193" t="s">
        <v>2258</v>
      </c>
      <c r="J193" t="s">
        <v>2256</v>
      </c>
      <c r="K193" s="3">
        <v>46371</v>
      </c>
      <c r="L193" s="5">
        <v>1200</v>
      </c>
      <c r="M193" s="5">
        <v>100</v>
      </c>
      <c r="N193" s="5">
        <v>0</v>
      </c>
      <c r="O193" s="5">
        <v>350</v>
      </c>
      <c r="P193" s="5">
        <v>0</v>
      </c>
      <c r="Q193" s="5">
        <v>0</v>
      </c>
      <c r="R193" s="5">
        <v>0</v>
      </c>
      <c r="S193" s="5">
        <v>0</v>
      </c>
      <c r="T193" s="5">
        <v>0</v>
      </c>
      <c r="U193" s="5">
        <v>0</v>
      </c>
      <c r="V193" s="5">
        <v>0</v>
      </c>
      <c r="W193" s="5">
        <v>0</v>
      </c>
      <c r="X193" s="5">
        <v>0</v>
      </c>
      <c r="Y193" s="5">
        <v>0</v>
      </c>
    </row>
    <row r="194" spans="1:25" x14ac:dyDescent="0.25">
      <c r="A194" t="s">
        <v>1887</v>
      </c>
      <c r="B194" t="s">
        <v>1888</v>
      </c>
      <c r="C194" t="s">
        <v>1889</v>
      </c>
      <c r="D194">
        <v>6074202100079440</v>
      </c>
      <c r="E194" t="s">
        <v>2471</v>
      </c>
      <c r="F194" t="s">
        <v>2134</v>
      </c>
      <c r="G194" t="s">
        <v>2123</v>
      </c>
      <c r="H194" t="s">
        <v>899</v>
      </c>
      <c r="I194" t="s">
        <v>2259</v>
      </c>
      <c r="J194" t="s">
        <v>2260</v>
      </c>
      <c r="K194" s="3">
        <v>46276</v>
      </c>
      <c r="L194" s="5">
        <v>3261393.76</v>
      </c>
      <c r="M194" s="5">
        <v>284106.71999999997</v>
      </c>
      <c r="N194" s="5">
        <v>265620.86</v>
      </c>
      <c r="O194" s="5">
        <v>265620.86</v>
      </c>
      <c r="P194" s="5">
        <v>265620.86</v>
      </c>
      <c r="Q194" s="5">
        <v>265620.86</v>
      </c>
      <c r="R194" s="5">
        <v>265620.86</v>
      </c>
      <c r="S194" s="5">
        <v>265620.86</v>
      </c>
      <c r="T194" s="5">
        <v>265620.86</v>
      </c>
      <c r="U194" s="5">
        <v>265620.86</v>
      </c>
      <c r="V194" s="5">
        <v>284106.71999999997</v>
      </c>
      <c r="W194" s="5">
        <v>284106.71999999997</v>
      </c>
      <c r="X194" s="5">
        <v>284106.71999999997</v>
      </c>
      <c r="Y194" s="5">
        <v>284106.71999999997</v>
      </c>
    </row>
    <row r="195" spans="1:25" x14ac:dyDescent="0.25">
      <c r="A195" t="s">
        <v>1887</v>
      </c>
      <c r="B195" t="s">
        <v>1888</v>
      </c>
      <c r="C195" t="s">
        <v>1889</v>
      </c>
      <c r="D195">
        <v>6074202100086750</v>
      </c>
      <c r="E195" t="s">
        <v>2471</v>
      </c>
      <c r="F195" t="s">
        <v>2134</v>
      </c>
      <c r="G195" t="s">
        <v>2123</v>
      </c>
      <c r="H195">
        <v>9912565743</v>
      </c>
      <c r="I195" t="s">
        <v>2261</v>
      </c>
      <c r="J195" t="s">
        <v>1926</v>
      </c>
      <c r="K195" s="3">
        <v>46054</v>
      </c>
      <c r="L195" s="5">
        <v>624000</v>
      </c>
      <c r="M195" s="5">
        <v>52000</v>
      </c>
      <c r="N195" s="5">
        <v>30000</v>
      </c>
      <c r="O195" s="5">
        <v>30000</v>
      </c>
      <c r="P195" s="5">
        <v>30000</v>
      </c>
      <c r="Q195" s="5">
        <v>30000</v>
      </c>
      <c r="R195" s="5">
        <v>30000</v>
      </c>
      <c r="S195" s="5">
        <v>30000</v>
      </c>
      <c r="T195" s="5">
        <v>30000</v>
      </c>
      <c r="U195" s="5">
        <v>30000</v>
      </c>
      <c r="V195" s="5">
        <v>30000</v>
      </c>
      <c r="W195" s="5">
        <v>30000</v>
      </c>
      <c r="X195" s="5">
        <v>30000</v>
      </c>
      <c r="Y195" s="5">
        <v>30000</v>
      </c>
    </row>
    <row r="196" spans="1:25" x14ac:dyDescent="0.25">
      <c r="A196" t="s">
        <v>1887</v>
      </c>
      <c r="B196" t="s">
        <v>1888</v>
      </c>
      <c r="C196" t="s">
        <v>1889</v>
      </c>
      <c r="D196">
        <v>6074202200013810</v>
      </c>
      <c r="E196" t="s">
        <v>2472</v>
      </c>
      <c r="F196" t="s">
        <v>2122</v>
      </c>
      <c r="G196" t="s">
        <v>2123</v>
      </c>
      <c r="H196" t="s">
        <v>2262</v>
      </c>
      <c r="I196" t="s">
        <v>2263</v>
      </c>
      <c r="J196" t="s">
        <v>2264</v>
      </c>
      <c r="K196" s="3">
        <v>46115</v>
      </c>
      <c r="L196" s="5">
        <v>86047.2</v>
      </c>
      <c r="M196" s="5">
        <v>7290.6</v>
      </c>
      <c r="N196" s="5">
        <v>6810.6</v>
      </c>
      <c r="O196" s="5">
        <v>6810.6</v>
      </c>
      <c r="P196" s="5">
        <v>6810.6</v>
      </c>
      <c r="Q196" s="5">
        <v>7290.6</v>
      </c>
      <c r="R196" s="5">
        <v>7290.6</v>
      </c>
      <c r="S196" s="5">
        <v>7290.6</v>
      </c>
      <c r="T196" s="5">
        <v>7290.6</v>
      </c>
      <c r="U196" s="5">
        <v>7290.6</v>
      </c>
      <c r="V196" s="5">
        <v>7290.6</v>
      </c>
      <c r="W196" s="5">
        <v>7290.6</v>
      </c>
      <c r="X196" s="5">
        <v>7290.6</v>
      </c>
      <c r="Y196" s="5">
        <v>7290.6</v>
      </c>
    </row>
    <row r="197" spans="1:25" x14ac:dyDescent="0.25">
      <c r="A197" t="s">
        <v>1887</v>
      </c>
      <c r="B197" t="s">
        <v>1888</v>
      </c>
      <c r="C197" t="s">
        <v>1889</v>
      </c>
      <c r="D197">
        <v>6074202200013810</v>
      </c>
      <c r="E197" t="s">
        <v>2472</v>
      </c>
      <c r="F197" t="s">
        <v>2122</v>
      </c>
      <c r="G197" t="s">
        <v>2123</v>
      </c>
      <c r="H197" t="s">
        <v>2262</v>
      </c>
      <c r="I197" t="s">
        <v>2265</v>
      </c>
      <c r="J197" t="s">
        <v>2264</v>
      </c>
      <c r="K197" s="3">
        <v>46115</v>
      </c>
      <c r="L197" s="5">
        <v>9500</v>
      </c>
      <c r="M197" s="5">
        <v>950</v>
      </c>
      <c r="N197" s="5">
        <v>0</v>
      </c>
      <c r="O197" s="5">
        <v>950</v>
      </c>
      <c r="P197" s="5">
        <v>950</v>
      </c>
      <c r="Q197" s="5">
        <v>950</v>
      </c>
      <c r="R197" s="5">
        <v>950</v>
      </c>
      <c r="S197" s="5">
        <v>950</v>
      </c>
      <c r="T197" s="5">
        <v>950</v>
      </c>
      <c r="U197" s="5">
        <v>950</v>
      </c>
      <c r="V197" s="5">
        <v>950</v>
      </c>
      <c r="W197" s="5">
        <v>950</v>
      </c>
      <c r="X197" s="5">
        <v>950</v>
      </c>
      <c r="Y197" s="5"/>
    </row>
    <row r="198" spans="1:25" x14ac:dyDescent="0.25">
      <c r="A198" t="s">
        <v>1887</v>
      </c>
      <c r="B198" t="s">
        <v>1888</v>
      </c>
      <c r="C198" t="s">
        <v>1889</v>
      </c>
      <c r="D198">
        <v>6074202200024380</v>
      </c>
      <c r="E198" t="s">
        <v>2472</v>
      </c>
      <c r="F198" t="s">
        <v>2134</v>
      </c>
      <c r="G198" t="s">
        <v>2123</v>
      </c>
      <c r="H198" t="s">
        <v>2266</v>
      </c>
      <c r="I198" t="s">
        <v>2267</v>
      </c>
      <c r="J198" t="s">
        <v>2268</v>
      </c>
      <c r="K198" s="3">
        <v>46275</v>
      </c>
      <c r="L198" s="5">
        <v>38000</v>
      </c>
      <c r="M198" s="5">
        <v>3500</v>
      </c>
      <c r="N198" s="5">
        <v>3000</v>
      </c>
      <c r="O198" s="5">
        <v>3000</v>
      </c>
      <c r="P198" s="5">
        <v>3000</v>
      </c>
      <c r="Q198" s="5">
        <v>3000</v>
      </c>
      <c r="R198" s="5">
        <v>3000</v>
      </c>
      <c r="S198" s="5">
        <v>3000</v>
      </c>
      <c r="T198" s="5">
        <v>3000</v>
      </c>
      <c r="U198" s="5">
        <v>3000</v>
      </c>
      <c r="V198" s="5">
        <v>3500</v>
      </c>
      <c r="W198" s="5">
        <v>3500</v>
      </c>
      <c r="X198" s="5">
        <v>3500</v>
      </c>
      <c r="Y198" s="5">
        <v>3500</v>
      </c>
    </row>
    <row r="199" spans="1:25" x14ac:dyDescent="0.25">
      <c r="A199" t="s">
        <v>1887</v>
      </c>
      <c r="B199" t="s">
        <v>1888</v>
      </c>
      <c r="C199" t="s">
        <v>1889</v>
      </c>
      <c r="D199">
        <v>6074202200024380</v>
      </c>
      <c r="E199" t="s">
        <v>2472</v>
      </c>
      <c r="F199" t="s">
        <v>2134</v>
      </c>
      <c r="G199" t="s">
        <v>2123</v>
      </c>
      <c r="H199" t="s">
        <v>2266</v>
      </c>
      <c r="I199" t="s">
        <v>2269</v>
      </c>
      <c r="J199" t="s">
        <v>2268</v>
      </c>
      <c r="K199" s="3">
        <v>46275</v>
      </c>
      <c r="L199" s="5">
        <v>11000</v>
      </c>
      <c r="M199" s="5">
        <v>1100</v>
      </c>
      <c r="N199" s="5">
        <v>1100</v>
      </c>
      <c r="O199" s="5">
        <v>1100</v>
      </c>
      <c r="P199" s="5">
        <v>1100</v>
      </c>
      <c r="Q199" s="5">
        <v>1100</v>
      </c>
      <c r="R199" s="5">
        <v>1100</v>
      </c>
      <c r="S199" s="5">
        <v>1100</v>
      </c>
      <c r="T199" s="5">
        <v>1100</v>
      </c>
      <c r="U199" s="5">
        <v>1100</v>
      </c>
      <c r="V199" s="5">
        <v>1100</v>
      </c>
      <c r="W199" s="5">
        <v>1100</v>
      </c>
      <c r="X199" s="5" t="s">
        <v>1908</v>
      </c>
      <c r="Y199" s="5" t="s">
        <v>1910</v>
      </c>
    </row>
    <row r="200" spans="1:25" x14ac:dyDescent="0.25">
      <c r="A200" t="s">
        <v>1887</v>
      </c>
      <c r="B200" t="s">
        <v>1888</v>
      </c>
      <c r="C200" t="s">
        <v>1889</v>
      </c>
      <c r="D200">
        <v>6074202200024380</v>
      </c>
      <c r="E200" t="s">
        <v>2472</v>
      </c>
      <c r="F200" t="s">
        <v>2134</v>
      </c>
      <c r="G200" t="s">
        <v>2123</v>
      </c>
      <c r="H200" t="s">
        <v>2266</v>
      </c>
      <c r="I200" t="s">
        <v>2270</v>
      </c>
      <c r="J200" t="s">
        <v>2268</v>
      </c>
      <c r="K200" s="3">
        <v>45910</v>
      </c>
      <c r="L200" s="5">
        <v>82458.399999999994</v>
      </c>
      <c r="M200" s="5">
        <v>7298.2</v>
      </c>
      <c r="N200" s="5">
        <v>6658.2</v>
      </c>
      <c r="O200" s="5">
        <v>6658.2</v>
      </c>
      <c r="P200" s="5">
        <v>6658.2</v>
      </c>
      <c r="Q200" s="5">
        <v>6658.2</v>
      </c>
      <c r="R200" s="5">
        <v>6658.2</v>
      </c>
      <c r="S200" s="5">
        <v>6658.2</v>
      </c>
      <c r="T200" s="5">
        <v>6658.2</v>
      </c>
      <c r="U200" s="5">
        <v>6658.2</v>
      </c>
      <c r="V200" s="5">
        <v>7298.2</v>
      </c>
      <c r="W200" s="5">
        <v>7298.2</v>
      </c>
      <c r="X200" s="5">
        <v>7298.2</v>
      </c>
      <c r="Y200" s="5">
        <v>7298.2</v>
      </c>
    </row>
    <row r="201" spans="1:25" x14ac:dyDescent="0.25">
      <c r="A201" t="s">
        <v>1887</v>
      </c>
      <c r="B201" t="s">
        <v>1888</v>
      </c>
      <c r="C201" t="s">
        <v>1889</v>
      </c>
      <c r="D201">
        <v>6074202200059300</v>
      </c>
      <c r="E201" t="s">
        <v>2472</v>
      </c>
      <c r="F201" t="s">
        <v>2122</v>
      </c>
      <c r="G201" t="s">
        <v>2123</v>
      </c>
      <c r="H201" t="s">
        <v>2271</v>
      </c>
      <c r="I201" t="s">
        <v>2272</v>
      </c>
      <c r="J201" t="s">
        <v>2273</v>
      </c>
      <c r="K201" s="3">
        <v>46123</v>
      </c>
      <c r="L201" s="5">
        <v>1600</v>
      </c>
      <c r="M201" s="5">
        <v>160</v>
      </c>
      <c r="N201" s="5"/>
      <c r="O201" s="5">
        <v>160</v>
      </c>
      <c r="P201" s="5">
        <v>160</v>
      </c>
      <c r="Q201" s="5">
        <v>160</v>
      </c>
      <c r="R201" s="5">
        <v>160</v>
      </c>
      <c r="S201" s="5">
        <v>160</v>
      </c>
      <c r="T201" s="5">
        <v>160</v>
      </c>
      <c r="U201" s="5">
        <v>160</v>
      </c>
      <c r="V201" s="5">
        <v>160</v>
      </c>
      <c r="W201" s="5">
        <v>160</v>
      </c>
      <c r="X201" s="5">
        <v>160</v>
      </c>
      <c r="Y201" s="5">
        <v>0</v>
      </c>
    </row>
    <row r="202" spans="1:25" x14ac:dyDescent="0.25">
      <c r="A202" t="s">
        <v>1887</v>
      </c>
      <c r="B202" t="s">
        <v>1888</v>
      </c>
      <c r="C202" t="s">
        <v>1889</v>
      </c>
      <c r="D202">
        <v>6074202200059300</v>
      </c>
      <c r="E202" t="s">
        <v>2472</v>
      </c>
      <c r="F202" t="s">
        <v>2122</v>
      </c>
      <c r="G202" t="s">
        <v>2123</v>
      </c>
      <c r="H202" t="s">
        <v>2271</v>
      </c>
      <c r="I202" t="s">
        <v>2274</v>
      </c>
      <c r="J202" t="s">
        <v>2273</v>
      </c>
      <c r="K202" s="3">
        <v>46123</v>
      </c>
      <c r="L202" s="5">
        <v>54554.64</v>
      </c>
      <c r="M202" s="5">
        <v>4626.22</v>
      </c>
      <c r="N202" s="5">
        <v>4306.22</v>
      </c>
      <c r="O202" s="5">
        <v>4306.22</v>
      </c>
      <c r="P202" s="5">
        <v>4306.22</v>
      </c>
      <c r="Q202" s="5">
        <v>4626.22</v>
      </c>
      <c r="R202" s="5">
        <v>4626.22</v>
      </c>
      <c r="S202" s="5">
        <v>4626.22</v>
      </c>
      <c r="T202" s="5">
        <v>4626.22</v>
      </c>
      <c r="U202" s="5">
        <v>4626.22</v>
      </c>
      <c r="V202" s="5">
        <v>4626.22</v>
      </c>
      <c r="W202" s="5">
        <v>4626.22</v>
      </c>
      <c r="X202" s="5">
        <v>4626.22</v>
      </c>
      <c r="Y202" s="5">
        <v>4626.22</v>
      </c>
    </row>
    <row r="203" spans="1:25" x14ac:dyDescent="0.25">
      <c r="A203" t="s">
        <v>1887</v>
      </c>
      <c r="B203" t="s">
        <v>1888</v>
      </c>
      <c r="C203" t="s">
        <v>1889</v>
      </c>
      <c r="D203">
        <v>6074202200059300</v>
      </c>
      <c r="E203" t="s">
        <v>2472</v>
      </c>
      <c r="F203" t="s">
        <v>2122</v>
      </c>
      <c r="G203" t="s">
        <v>2123</v>
      </c>
      <c r="H203" t="s">
        <v>2271</v>
      </c>
      <c r="I203" t="s">
        <v>2275</v>
      </c>
      <c r="J203" t="s">
        <v>2273</v>
      </c>
      <c r="K203" s="3">
        <v>46123</v>
      </c>
      <c r="L203" s="5">
        <v>1200</v>
      </c>
      <c r="M203" s="5">
        <v>100</v>
      </c>
      <c r="N203" s="5">
        <v>0</v>
      </c>
      <c r="O203" s="5">
        <v>0</v>
      </c>
      <c r="P203" s="5">
        <v>0</v>
      </c>
      <c r="Q203" s="5">
        <v>0</v>
      </c>
      <c r="R203" s="5">
        <v>200</v>
      </c>
      <c r="S203" s="5">
        <v>0</v>
      </c>
      <c r="T203" s="5">
        <v>0</v>
      </c>
      <c r="U203" s="5">
        <v>0</v>
      </c>
      <c r="V203" s="5">
        <v>0</v>
      </c>
      <c r="W203" s="5">
        <v>0</v>
      </c>
      <c r="X203" s="5">
        <v>0</v>
      </c>
      <c r="Y203" s="5">
        <v>0</v>
      </c>
    </row>
    <row r="204" spans="1:25" x14ac:dyDescent="0.25">
      <c r="A204" t="s">
        <v>1887</v>
      </c>
      <c r="B204" t="s">
        <v>1888</v>
      </c>
      <c r="C204" t="s">
        <v>1889</v>
      </c>
      <c r="D204">
        <v>6074202200059570</v>
      </c>
      <c r="E204" t="s">
        <v>2472</v>
      </c>
      <c r="F204" t="s">
        <v>2122</v>
      </c>
      <c r="G204" t="s">
        <v>2123</v>
      </c>
      <c r="H204" t="s">
        <v>2276</v>
      </c>
      <c r="I204" t="s">
        <v>2277</v>
      </c>
      <c r="J204" t="s">
        <v>2278</v>
      </c>
      <c r="K204" s="3">
        <v>46276</v>
      </c>
      <c r="L204" s="5">
        <v>59760</v>
      </c>
      <c r="M204" s="5">
        <v>5220</v>
      </c>
      <c r="N204" s="5">
        <v>4860</v>
      </c>
      <c r="O204" s="5">
        <v>4860</v>
      </c>
      <c r="P204" s="5">
        <v>4860</v>
      </c>
      <c r="Q204" s="5">
        <v>4860</v>
      </c>
      <c r="R204" s="5">
        <v>4860</v>
      </c>
      <c r="S204" s="5">
        <v>4860</v>
      </c>
      <c r="T204" s="5">
        <v>4860</v>
      </c>
      <c r="U204" s="5">
        <v>4860</v>
      </c>
      <c r="V204" s="5">
        <v>5220</v>
      </c>
      <c r="W204" s="5">
        <v>5220</v>
      </c>
      <c r="X204" s="5">
        <v>5220</v>
      </c>
      <c r="Y204" s="5">
        <v>5220</v>
      </c>
    </row>
    <row r="205" spans="1:25" x14ac:dyDescent="0.25">
      <c r="A205" t="s">
        <v>1887</v>
      </c>
      <c r="B205" t="s">
        <v>1888</v>
      </c>
      <c r="C205" t="s">
        <v>1889</v>
      </c>
      <c r="D205">
        <v>6074202200059570</v>
      </c>
      <c r="E205" t="s">
        <v>2472</v>
      </c>
      <c r="F205" t="s">
        <v>2134</v>
      </c>
      <c r="G205" t="s">
        <v>2123</v>
      </c>
      <c r="H205" t="s">
        <v>2276</v>
      </c>
      <c r="I205" t="s">
        <v>2279</v>
      </c>
      <c r="J205" t="s">
        <v>2278</v>
      </c>
      <c r="K205" s="3">
        <v>46276</v>
      </c>
      <c r="L205" s="5">
        <v>1200</v>
      </c>
      <c r="M205" s="5">
        <v>100</v>
      </c>
      <c r="N205" s="5">
        <v>0</v>
      </c>
      <c r="O205" s="5">
        <v>0</v>
      </c>
      <c r="P205" s="5">
        <v>0</v>
      </c>
      <c r="Q205" s="5">
        <v>0</v>
      </c>
      <c r="R205" s="5">
        <v>0</v>
      </c>
      <c r="S205" s="5">
        <v>0</v>
      </c>
      <c r="T205" s="5">
        <v>0</v>
      </c>
      <c r="U205" s="5">
        <v>0</v>
      </c>
      <c r="V205" s="5">
        <v>0</v>
      </c>
      <c r="W205" s="5">
        <v>0</v>
      </c>
      <c r="X205" s="5">
        <v>200</v>
      </c>
      <c r="Y205" s="5">
        <v>0</v>
      </c>
    </row>
    <row r="206" spans="1:25" x14ac:dyDescent="0.25">
      <c r="A206" t="s">
        <v>1887</v>
      </c>
      <c r="B206" t="s">
        <v>1888</v>
      </c>
      <c r="C206" t="s">
        <v>1889</v>
      </c>
      <c r="D206">
        <v>6074202300019210</v>
      </c>
      <c r="E206" t="s">
        <v>2471</v>
      </c>
      <c r="F206" t="s">
        <v>2134</v>
      </c>
      <c r="G206" t="s">
        <v>2123</v>
      </c>
      <c r="H206" t="s">
        <v>2077</v>
      </c>
      <c r="I206" t="s">
        <v>1940</v>
      </c>
      <c r="J206" t="s">
        <v>1941</v>
      </c>
      <c r="K206" s="3">
        <v>46108</v>
      </c>
      <c r="L206" s="5">
        <v>20000</v>
      </c>
      <c r="M206" s="5">
        <v>1666.67</v>
      </c>
      <c r="N206" s="5">
        <v>1666.67</v>
      </c>
      <c r="O206" s="5">
        <v>1666.67</v>
      </c>
      <c r="P206" s="5">
        <v>1666.67</v>
      </c>
      <c r="Q206" s="5">
        <v>1666.67</v>
      </c>
      <c r="R206" s="5">
        <v>1666.67</v>
      </c>
      <c r="S206" s="5">
        <v>1666.67</v>
      </c>
      <c r="T206" s="5">
        <v>1666.67</v>
      </c>
      <c r="U206" s="5">
        <v>1666.67</v>
      </c>
      <c r="V206" s="5">
        <v>1666.67</v>
      </c>
      <c r="W206" s="5">
        <v>1666.67</v>
      </c>
      <c r="X206" s="5">
        <v>1666.67</v>
      </c>
      <c r="Y206" s="5">
        <v>1666.67</v>
      </c>
    </row>
    <row r="207" spans="1:25" x14ac:dyDescent="0.25">
      <c r="A207" t="s">
        <v>1887</v>
      </c>
      <c r="B207" t="s">
        <v>1888</v>
      </c>
      <c r="C207" t="s">
        <v>1889</v>
      </c>
      <c r="D207">
        <v>6074202300020630</v>
      </c>
      <c r="E207" t="s">
        <v>2471</v>
      </c>
      <c r="F207" t="s">
        <v>2280</v>
      </c>
      <c r="G207" t="s">
        <v>2123</v>
      </c>
      <c r="H207" t="s">
        <v>2077</v>
      </c>
      <c r="I207" t="s">
        <v>1942</v>
      </c>
      <c r="J207" t="s">
        <v>1943</v>
      </c>
      <c r="K207" s="3">
        <v>46205</v>
      </c>
      <c r="L207" s="5">
        <v>30000</v>
      </c>
      <c r="M207" s="5">
        <v>2500</v>
      </c>
      <c r="N207" s="5">
        <v>2500</v>
      </c>
      <c r="O207" s="5">
        <v>2500</v>
      </c>
      <c r="P207" s="5">
        <v>2500</v>
      </c>
      <c r="Q207" s="5">
        <v>2500</v>
      </c>
      <c r="R207" s="5">
        <v>2500</v>
      </c>
      <c r="S207" s="5">
        <v>2500</v>
      </c>
      <c r="T207" s="5">
        <v>2500</v>
      </c>
      <c r="U207" s="5">
        <v>2500</v>
      </c>
      <c r="V207" s="5">
        <v>2500</v>
      </c>
      <c r="W207" s="5">
        <v>2500</v>
      </c>
      <c r="X207" s="5">
        <v>2500</v>
      </c>
      <c r="Y207" s="5">
        <v>2500</v>
      </c>
    </row>
    <row r="208" spans="1:25" x14ac:dyDescent="0.25">
      <c r="A208" t="s">
        <v>1887</v>
      </c>
      <c r="B208" t="s">
        <v>1888</v>
      </c>
      <c r="C208" t="s">
        <v>1889</v>
      </c>
      <c r="D208">
        <v>6074202300026080</v>
      </c>
      <c r="E208" t="s">
        <v>2471</v>
      </c>
      <c r="F208" t="s">
        <v>2134</v>
      </c>
      <c r="G208" t="s">
        <v>2123</v>
      </c>
      <c r="H208" t="s">
        <v>646</v>
      </c>
      <c r="I208" t="s">
        <v>2281</v>
      </c>
      <c r="J208" t="s">
        <v>1945</v>
      </c>
      <c r="K208" s="3">
        <v>47250</v>
      </c>
      <c r="L208" s="5">
        <v>10880000</v>
      </c>
      <c r="M208" s="5">
        <v>928000</v>
      </c>
      <c r="N208" s="5">
        <v>864000</v>
      </c>
      <c r="O208" s="5">
        <v>864000</v>
      </c>
      <c r="P208" s="5">
        <v>864000</v>
      </c>
      <c r="Q208" s="5">
        <v>864000</v>
      </c>
      <c r="R208" s="5">
        <v>928000</v>
      </c>
      <c r="S208" s="5">
        <v>928000</v>
      </c>
      <c r="T208" s="5">
        <v>928000</v>
      </c>
      <c r="U208" s="5">
        <v>928000</v>
      </c>
      <c r="V208" s="5">
        <v>928000</v>
      </c>
      <c r="W208" s="5">
        <v>928000</v>
      </c>
      <c r="X208" s="5">
        <v>928000</v>
      </c>
      <c r="Y208" s="5">
        <v>928000</v>
      </c>
    </row>
    <row r="209" spans="1:25" x14ac:dyDescent="0.25">
      <c r="A209" t="s">
        <v>1887</v>
      </c>
      <c r="B209" t="s">
        <v>1888</v>
      </c>
      <c r="C209" t="s">
        <v>1889</v>
      </c>
      <c r="D209">
        <v>6074202300028040</v>
      </c>
      <c r="E209" t="s">
        <v>2472</v>
      </c>
      <c r="F209" t="s">
        <v>2134</v>
      </c>
      <c r="G209" t="s">
        <v>2123</v>
      </c>
      <c r="H209" t="s">
        <v>2282</v>
      </c>
      <c r="I209" t="s">
        <v>2283</v>
      </c>
      <c r="J209" t="s">
        <v>2284</v>
      </c>
      <c r="K209" s="3">
        <v>46209</v>
      </c>
      <c r="L209" s="5">
        <v>162976.07999999999</v>
      </c>
      <c r="M209" s="5">
        <v>10950.48</v>
      </c>
      <c r="N209" s="5">
        <v>13212.2</v>
      </c>
      <c r="O209" s="5">
        <v>13212.2</v>
      </c>
      <c r="P209" s="5">
        <v>13212.2</v>
      </c>
      <c r="Q209" s="5">
        <v>13212.2</v>
      </c>
      <c r="R209" s="5">
        <v>13212.2</v>
      </c>
      <c r="S209" s="5">
        <v>13212.2</v>
      </c>
      <c r="T209" s="5">
        <v>13950.48</v>
      </c>
      <c r="U209" s="5">
        <v>13950.48</v>
      </c>
      <c r="V209" s="5">
        <v>13950.48</v>
      </c>
      <c r="W209" s="5">
        <v>13950.48</v>
      </c>
      <c r="X209" s="5">
        <v>13950.48</v>
      </c>
      <c r="Y209" s="5">
        <v>13950.48</v>
      </c>
    </row>
    <row r="210" spans="1:25" x14ac:dyDescent="0.25">
      <c r="A210" t="s">
        <v>1887</v>
      </c>
      <c r="B210" t="s">
        <v>1888</v>
      </c>
      <c r="C210" t="s">
        <v>1889</v>
      </c>
      <c r="D210">
        <v>6074202300028040</v>
      </c>
      <c r="E210" t="s">
        <v>2472</v>
      </c>
      <c r="F210" t="s">
        <v>2134</v>
      </c>
      <c r="G210" t="s">
        <v>2123</v>
      </c>
      <c r="H210" t="s">
        <v>2282</v>
      </c>
      <c r="I210" t="s">
        <v>2285</v>
      </c>
      <c r="J210" t="s">
        <v>2284</v>
      </c>
      <c r="K210" s="3">
        <v>46209</v>
      </c>
      <c r="L210" s="5">
        <v>19000</v>
      </c>
      <c r="M210" s="5"/>
      <c r="N210" s="5"/>
      <c r="O210" s="5">
        <v>1900</v>
      </c>
      <c r="P210" s="5">
        <v>1900</v>
      </c>
      <c r="Q210" s="5">
        <v>1900</v>
      </c>
      <c r="R210" s="5">
        <v>1900</v>
      </c>
      <c r="S210" s="5">
        <v>1900</v>
      </c>
      <c r="T210" s="5">
        <v>1900</v>
      </c>
      <c r="U210" s="5">
        <v>1900</v>
      </c>
      <c r="V210" s="5">
        <v>1900</v>
      </c>
      <c r="W210" s="5">
        <v>1900</v>
      </c>
      <c r="X210" s="5">
        <v>1900</v>
      </c>
      <c r="Y210" s="5"/>
    </row>
    <row r="211" spans="1:25" x14ac:dyDescent="0.25">
      <c r="A211" t="s">
        <v>1887</v>
      </c>
      <c r="B211" t="s">
        <v>1888</v>
      </c>
      <c r="C211" t="s">
        <v>1889</v>
      </c>
      <c r="D211">
        <v>6074202300028040</v>
      </c>
      <c r="E211" t="s">
        <v>2472</v>
      </c>
      <c r="F211" t="s">
        <v>2134</v>
      </c>
      <c r="G211" t="s">
        <v>2123</v>
      </c>
      <c r="H211" t="s">
        <v>2282</v>
      </c>
      <c r="I211" t="s">
        <v>2286</v>
      </c>
      <c r="J211" t="s">
        <v>2284</v>
      </c>
      <c r="K211" s="3">
        <v>46209</v>
      </c>
      <c r="L211" s="5">
        <v>1200</v>
      </c>
      <c r="M211" s="5">
        <v>100</v>
      </c>
      <c r="N211" s="5">
        <v>1300</v>
      </c>
      <c r="O211" s="5">
        <v>1300</v>
      </c>
      <c r="P211" s="5">
        <v>1300</v>
      </c>
      <c r="Q211" s="5">
        <v>1300</v>
      </c>
      <c r="R211" s="5">
        <v>1300</v>
      </c>
      <c r="S211" s="5">
        <v>1300</v>
      </c>
      <c r="T211" s="5">
        <v>1300</v>
      </c>
      <c r="U211" s="5">
        <v>1300</v>
      </c>
      <c r="V211" s="5">
        <v>1300</v>
      </c>
      <c r="W211" s="5">
        <v>1300</v>
      </c>
      <c r="X211" s="5">
        <v>1300</v>
      </c>
      <c r="Y211" s="5">
        <v>1300</v>
      </c>
    </row>
    <row r="212" spans="1:25" x14ac:dyDescent="0.25">
      <c r="A212" t="s">
        <v>1887</v>
      </c>
      <c r="B212" t="s">
        <v>1888</v>
      </c>
      <c r="C212" t="s">
        <v>1889</v>
      </c>
      <c r="D212">
        <v>6074202300031760</v>
      </c>
      <c r="E212" t="s">
        <v>2472</v>
      </c>
      <c r="F212" t="s">
        <v>2122</v>
      </c>
      <c r="G212" t="s">
        <v>2123</v>
      </c>
      <c r="H212" t="s">
        <v>2276</v>
      </c>
      <c r="I212" t="s">
        <v>2287</v>
      </c>
      <c r="J212" t="s">
        <v>2288</v>
      </c>
      <c r="K212" s="3">
        <v>46282</v>
      </c>
      <c r="L212" s="5">
        <v>3750</v>
      </c>
      <c r="M212" s="5">
        <v>375</v>
      </c>
      <c r="N212" s="5">
        <v>0</v>
      </c>
      <c r="O212" s="5">
        <v>375</v>
      </c>
      <c r="P212" s="5">
        <v>375</v>
      </c>
      <c r="Q212" s="5">
        <v>375</v>
      </c>
      <c r="R212" s="5">
        <v>375</v>
      </c>
      <c r="S212" s="5">
        <v>375</v>
      </c>
      <c r="T212" s="5">
        <v>375</v>
      </c>
      <c r="U212" s="5">
        <v>375</v>
      </c>
      <c r="V212" s="5">
        <v>375</v>
      </c>
      <c r="W212" s="5">
        <v>375</v>
      </c>
      <c r="X212" s="5">
        <v>375</v>
      </c>
      <c r="Y212" s="5"/>
    </row>
    <row r="213" spans="1:25" x14ac:dyDescent="0.25">
      <c r="A213" t="s">
        <v>1887</v>
      </c>
      <c r="B213" t="s">
        <v>1888</v>
      </c>
      <c r="C213" t="s">
        <v>1889</v>
      </c>
      <c r="D213">
        <v>6074202300031760</v>
      </c>
      <c r="E213" t="s">
        <v>2472</v>
      </c>
      <c r="F213" t="s">
        <v>2122</v>
      </c>
      <c r="G213" t="s">
        <v>2123</v>
      </c>
      <c r="H213" t="s">
        <v>2276</v>
      </c>
      <c r="I213" t="s">
        <v>2289</v>
      </c>
      <c r="J213" t="s">
        <v>2288</v>
      </c>
      <c r="K213" s="3">
        <v>46282</v>
      </c>
      <c r="L213" s="5">
        <v>63502</v>
      </c>
      <c r="M213" s="5">
        <v>5558.5</v>
      </c>
      <c r="N213" s="5">
        <v>5158.5</v>
      </c>
      <c r="O213" s="5">
        <v>5158.5</v>
      </c>
      <c r="P213" s="5">
        <v>5158.5</v>
      </c>
      <c r="Q213" s="5">
        <v>5158.5</v>
      </c>
      <c r="R213" s="5">
        <v>5158.5</v>
      </c>
      <c r="S213" s="5">
        <v>5158.5</v>
      </c>
      <c r="T213" s="5">
        <v>5158.5</v>
      </c>
      <c r="U213" s="5">
        <v>5158.5</v>
      </c>
      <c r="V213" s="5">
        <v>5558.5</v>
      </c>
      <c r="W213" s="5">
        <v>5558.5</v>
      </c>
      <c r="X213" s="5">
        <v>5558.5</v>
      </c>
      <c r="Y213" s="5">
        <v>5558.5</v>
      </c>
    </row>
    <row r="214" spans="1:25" x14ac:dyDescent="0.25">
      <c r="A214" t="s">
        <v>1887</v>
      </c>
      <c r="B214" t="s">
        <v>1888</v>
      </c>
      <c r="C214" t="s">
        <v>1889</v>
      </c>
      <c r="D214">
        <v>6074202300031760</v>
      </c>
      <c r="E214" t="s">
        <v>2472</v>
      </c>
      <c r="F214" t="s">
        <v>2122</v>
      </c>
      <c r="G214" t="s">
        <v>2123</v>
      </c>
      <c r="H214" t="s">
        <v>2276</v>
      </c>
      <c r="I214" t="s">
        <v>2290</v>
      </c>
      <c r="J214" t="s">
        <v>2288</v>
      </c>
      <c r="K214" s="3">
        <v>46282</v>
      </c>
      <c r="L214" s="5">
        <v>1200</v>
      </c>
      <c r="M214" s="5">
        <v>100</v>
      </c>
      <c r="N214" s="5">
        <v>0</v>
      </c>
      <c r="O214" s="5">
        <v>0</v>
      </c>
      <c r="P214" s="5">
        <v>0</v>
      </c>
      <c r="Q214" s="5">
        <v>0</v>
      </c>
      <c r="R214" s="5">
        <v>0</v>
      </c>
      <c r="S214" s="5">
        <v>0</v>
      </c>
      <c r="T214" s="5">
        <v>0</v>
      </c>
      <c r="U214" s="5">
        <v>0</v>
      </c>
      <c r="V214" s="5">
        <v>0</v>
      </c>
      <c r="W214" s="5">
        <v>0</v>
      </c>
      <c r="X214" s="5">
        <v>200</v>
      </c>
      <c r="Y214" s="5">
        <v>0</v>
      </c>
    </row>
    <row r="215" spans="1:25" x14ac:dyDescent="0.25">
      <c r="A215" t="s">
        <v>1887</v>
      </c>
      <c r="B215" t="s">
        <v>1888</v>
      </c>
      <c r="C215" t="s">
        <v>1889</v>
      </c>
      <c r="D215">
        <v>6074202300044040</v>
      </c>
      <c r="E215" t="s">
        <v>2472</v>
      </c>
      <c r="F215" t="s">
        <v>2122</v>
      </c>
      <c r="G215" t="s">
        <v>2123</v>
      </c>
      <c r="H215" t="s">
        <v>2291</v>
      </c>
      <c r="I215" t="s">
        <v>2292</v>
      </c>
      <c r="J215" t="s">
        <v>2293</v>
      </c>
      <c r="K215" s="3">
        <v>46300</v>
      </c>
      <c r="L215" s="5">
        <v>68070</v>
      </c>
      <c r="M215" s="5">
        <v>5000</v>
      </c>
      <c r="N215" s="5">
        <v>5572.5</v>
      </c>
      <c r="O215" s="5">
        <v>5572.5</v>
      </c>
      <c r="P215" s="5">
        <v>5572.5</v>
      </c>
      <c r="Q215" s="5">
        <v>5572.5</v>
      </c>
      <c r="R215" s="5">
        <v>5572.5</v>
      </c>
      <c r="S215" s="5">
        <v>5572.5</v>
      </c>
      <c r="T215" s="5">
        <v>5572.5</v>
      </c>
      <c r="U215" s="5">
        <v>5572.5</v>
      </c>
      <c r="V215" s="5">
        <v>5572.5</v>
      </c>
      <c r="W215" s="5">
        <v>5972.5</v>
      </c>
      <c r="X215" s="5">
        <v>5972.5</v>
      </c>
      <c r="Y215" s="5">
        <v>5972.5</v>
      </c>
    </row>
    <row r="216" spans="1:25" x14ac:dyDescent="0.25">
      <c r="A216" t="s">
        <v>1887</v>
      </c>
      <c r="B216" t="s">
        <v>1888</v>
      </c>
      <c r="C216" t="s">
        <v>1889</v>
      </c>
      <c r="D216">
        <v>6074202300044050</v>
      </c>
      <c r="E216" t="s">
        <v>2472</v>
      </c>
      <c r="F216" t="s">
        <v>2122</v>
      </c>
      <c r="G216" t="s">
        <v>2123</v>
      </c>
      <c r="H216" t="s">
        <v>2294</v>
      </c>
      <c r="I216" t="s">
        <v>2295</v>
      </c>
      <c r="J216" t="s">
        <v>2296</v>
      </c>
      <c r="K216" s="3">
        <v>46335</v>
      </c>
      <c r="L216" s="5">
        <v>81204</v>
      </c>
      <c r="M216" s="5">
        <v>6000</v>
      </c>
      <c r="N216" s="5">
        <v>6687</v>
      </c>
      <c r="O216" s="5">
        <v>6687</v>
      </c>
      <c r="P216" s="5">
        <v>6687</v>
      </c>
      <c r="Q216" s="5">
        <v>6687</v>
      </c>
      <c r="R216" s="5">
        <v>6687</v>
      </c>
      <c r="S216" s="5">
        <v>6687</v>
      </c>
      <c r="T216" s="5">
        <v>6687</v>
      </c>
      <c r="U216" s="5">
        <v>6687</v>
      </c>
      <c r="V216" s="5">
        <v>6687</v>
      </c>
      <c r="W216" s="5">
        <v>6687</v>
      </c>
      <c r="X216" s="5">
        <v>7167</v>
      </c>
      <c r="Y216" s="5">
        <v>7167</v>
      </c>
    </row>
    <row r="217" spans="1:25" x14ac:dyDescent="0.25">
      <c r="A217" t="s">
        <v>1887</v>
      </c>
      <c r="B217" t="s">
        <v>1888</v>
      </c>
      <c r="C217" t="s">
        <v>1889</v>
      </c>
      <c r="D217">
        <v>6074202300044050</v>
      </c>
      <c r="E217" t="s">
        <v>2472</v>
      </c>
      <c r="F217" t="s">
        <v>2122</v>
      </c>
      <c r="G217" t="s">
        <v>2123</v>
      </c>
      <c r="H217" t="s">
        <v>2294</v>
      </c>
      <c r="I217" t="s">
        <v>2297</v>
      </c>
      <c r="J217" t="s">
        <v>2296</v>
      </c>
      <c r="K217" s="3">
        <v>46335</v>
      </c>
      <c r="L217" s="5">
        <v>8500</v>
      </c>
      <c r="M217" s="5">
        <v>850</v>
      </c>
      <c r="N217" s="5"/>
      <c r="O217" s="5">
        <v>850</v>
      </c>
      <c r="P217" s="5">
        <v>850</v>
      </c>
      <c r="Q217" s="5">
        <v>850</v>
      </c>
      <c r="R217" s="5">
        <v>850</v>
      </c>
      <c r="S217" s="5">
        <v>850</v>
      </c>
      <c r="T217" s="5">
        <v>850</v>
      </c>
      <c r="U217" s="5">
        <v>850</v>
      </c>
      <c r="V217" s="5">
        <v>850</v>
      </c>
      <c r="W217" s="5">
        <v>850</v>
      </c>
      <c r="X217" s="5">
        <v>850</v>
      </c>
      <c r="Y217" s="5"/>
    </row>
    <row r="218" spans="1:25" x14ac:dyDescent="0.25">
      <c r="A218" t="s">
        <v>1887</v>
      </c>
      <c r="B218" t="s">
        <v>1888</v>
      </c>
      <c r="C218" t="s">
        <v>1889</v>
      </c>
      <c r="D218">
        <v>6074202300044050</v>
      </c>
      <c r="E218" t="s">
        <v>2472</v>
      </c>
      <c r="F218" t="s">
        <v>2122</v>
      </c>
      <c r="G218" t="s">
        <v>2123</v>
      </c>
      <c r="H218" t="s">
        <v>2294</v>
      </c>
      <c r="I218" t="s">
        <v>2298</v>
      </c>
      <c r="J218" t="s">
        <v>2296</v>
      </c>
      <c r="K218" s="3">
        <v>46335</v>
      </c>
      <c r="L218" s="5">
        <v>1200</v>
      </c>
      <c r="M218" s="5">
        <v>1200</v>
      </c>
      <c r="N218" s="5"/>
      <c r="O218" s="5">
        <v>0</v>
      </c>
      <c r="P218" s="5">
        <v>0</v>
      </c>
      <c r="Q218" s="5">
        <v>0</v>
      </c>
      <c r="R218" s="5">
        <v>1200</v>
      </c>
      <c r="S218" s="5">
        <v>0</v>
      </c>
      <c r="T218" s="5">
        <v>0</v>
      </c>
      <c r="U218" s="5">
        <v>0</v>
      </c>
      <c r="V218" s="5">
        <v>0</v>
      </c>
      <c r="W218" s="5">
        <v>0</v>
      </c>
      <c r="X218" s="5">
        <v>0</v>
      </c>
      <c r="Y218" s="5"/>
    </row>
    <row r="219" spans="1:25" x14ac:dyDescent="0.25">
      <c r="A219" t="s">
        <v>1887</v>
      </c>
      <c r="B219" t="s">
        <v>1888</v>
      </c>
      <c r="C219" t="s">
        <v>1889</v>
      </c>
      <c r="D219">
        <v>6074202300049830</v>
      </c>
      <c r="E219" t="s">
        <v>2472</v>
      </c>
      <c r="F219" t="s">
        <v>2122</v>
      </c>
      <c r="G219" t="s">
        <v>2123</v>
      </c>
      <c r="H219" t="s">
        <v>2299</v>
      </c>
      <c r="I219" t="s">
        <v>2300</v>
      </c>
      <c r="J219" t="s">
        <v>2301</v>
      </c>
      <c r="K219" s="3">
        <v>46220</v>
      </c>
      <c r="L219" s="5">
        <v>2500</v>
      </c>
      <c r="M219" s="5">
        <v>250</v>
      </c>
      <c r="N219" s="5"/>
      <c r="O219" s="5">
        <v>250</v>
      </c>
      <c r="P219" s="5">
        <v>250</v>
      </c>
      <c r="Q219" s="5">
        <v>250</v>
      </c>
      <c r="R219" s="5">
        <v>250</v>
      </c>
      <c r="S219" s="5">
        <v>250</v>
      </c>
      <c r="T219" s="5">
        <v>250</v>
      </c>
      <c r="U219" s="5">
        <v>250</v>
      </c>
      <c r="V219" s="5">
        <v>250</v>
      </c>
      <c r="W219" s="5">
        <v>250</v>
      </c>
      <c r="X219" s="5">
        <v>250</v>
      </c>
      <c r="Y219" s="5"/>
    </row>
    <row r="220" spans="1:25" x14ac:dyDescent="0.25">
      <c r="A220" t="s">
        <v>1887</v>
      </c>
      <c r="B220" t="s">
        <v>1888</v>
      </c>
      <c r="C220" t="s">
        <v>1889</v>
      </c>
      <c r="D220">
        <v>6074202300049830</v>
      </c>
      <c r="E220" t="s">
        <v>2472</v>
      </c>
      <c r="F220" t="s">
        <v>2122</v>
      </c>
      <c r="G220" t="s">
        <v>2123</v>
      </c>
      <c r="H220" t="s">
        <v>2299</v>
      </c>
      <c r="I220" t="s">
        <v>2302</v>
      </c>
      <c r="J220" t="s">
        <v>2303</v>
      </c>
      <c r="K220" s="3">
        <v>46220</v>
      </c>
      <c r="L220" s="5">
        <v>121680</v>
      </c>
      <c r="M220" s="5">
        <v>10440</v>
      </c>
      <c r="N220" s="5">
        <v>9720</v>
      </c>
      <c r="O220" s="5">
        <v>9720</v>
      </c>
      <c r="P220" s="5">
        <v>9720</v>
      </c>
      <c r="Q220" s="5">
        <v>9720</v>
      </c>
      <c r="R220" s="5">
        <v>9720</v>
      </c>
      <c r="S220" s="5">
        <v>10440</v>
      </c>
      <c r="T220" s="5">
        <v>10440</v>
      </c>
      <c r="U220" s="5">
        <v>10440</v>
      </c>
      <c r="V220" s="5">
        <v>10440</v>
      </c>
      <c r="W220" s="5">
        <v>10440</v>
      </c>
      <c r="X220" s="5">
        <v>10440</v>
      </c>
      <c r="Y220" s="5">
        <v>10440</v>
      </c>
    </row>
    <row r="221" spans="1:25" x14ac:dyDescent="0.25">
      <c r="A221" t="s">
        <v>1887</v>
      </c>
      <c r="B221" t="s">
        <v>1888</v>
      </c>
      <c r="C221" t="s">
        <v>1889</v>
      </c>
      <c r="D221">
        <v>6074202300049830</v>
      </c>
      <c r="E221" t="s">
        <v>2472</v>
      </c>
      <c r="F221" t="s">
        <v>2134</v>
      </c>
      <c r="G221" t="s">
        <v>2123</v>
      </c>
      <c r="H221" t="s">
        <v>2299</v>
      </c>
      <c r="I221" t="s">
        <v>2304</v>
      </c>
      <c r="J221" t="s">
        <v>2303</v>
      </c>
      <c r="K221" s="3">
        <v>46220</v>
      </c>
      <c r="L221" s="5">
        <v>1200</v>
      </c>
      <c r="M221" s="5">
        <v>100</v>
      </c>
      <c r="N221" s="5">
        <v>0</v>
      </c>
      <c r="O221" s="5">
        <v>0</v>
      </c>
      <c r="P221" s="5">
        <v>0</v>
      </c>
      <c r="Q221" s="5">
        <v>0</v>
      </c>
      <c r="R221" s="5">
        <v>0</v>
      </c>
      <c r="S221" s="5">
        <v>0</v>
      </c>
      <c r="T221" s="5">
        <v>400</v>
      </c>
      <c r="U221" s="5">
        <v>0</v>
      </c>
      <c r="V221" s="5">
        <v>0</v>
      </c>
      <c r="W221" s="5">
        <v>0</v>
      </c>
      <c r="X221" s="5">
        <v>0</v>
      </c>
      <c r="Y221" s="5">
        <v>0</v>
      </c>
    </row>
    <row r="222" spans="1:25" x14ac:dyDescent="0.25">
      <c r="A222" t="s">
        <v>1887</v>
      </c>
      <c r="B222" t="s">
        <v>1888</v>
      </c>
      <c r="C222" t="s">
        <v>1889</v>
      </c>
      <c r="D222">
        <v>6074202300071940</v>
      </c>
      <c r="E222" t="s">
        <v>2471</v>
      </c>
      <c r="F222" t="s">
        <v>2134</v>
      </c>
      <c r="G222" t="s">
        <v>2123</v>
      </c>
      <c r="H222" t="s">
        <v>2305</v>
      </c>
      <c r="I222" t="s">
        <v>2306</v>
      </c>
      <c r="J222" t="s">
        <v>1951</v>
      </c>
      <c r="K222" s="3">
        <v>46259</v>
      </c>
      <c r="L222" s="5">
        <v>45722.559999999998</v>
      </c>
      <c r="M222" s="5">
        <v>3965.52</v>
      </c>
      <c r="N222" s="5">
        <v>3699.28</v>
      </c>
      <c r="O222" s="5">
        <v>3699.28</v>
      </c>
      <c r="P222" s="5">
        <v>3699.28</v>
      </c>
      <c r="Q222" s="5">
        <v>3699.28</v>
      </c>
      <c r="R222" s="5">
        <v>3699.28</v>
      </c>
      <c r="S222" s="5">
        <v>3699.28</v>
      </c>
      <c r="T222" s="5">
        <v>3699.28</v>
      </c>
      <c r="U222" s="5">
        <v>3965.52</v>
      </c>
      <c r="V222" s="5">
        <v>3965.52</v>
      </c>
      <c r="W222" s="5">
        <v>3965.52</v>
      </c>
      <c r="X222" s="5">
        <v>3965.52</v>
      </c>
      <c r="Y222" s="5">
        <v>3965.52</v>
      </c>
    </row>
    <row r="223" spans="1:25" x14ac:dyDescent="0.25">
      <c r="A223" t="s">
        <v>1887</v>
      </c>
      <c r="B223" t="s">
        <v>1888</v>
      </c>
      <c r="C223" t="s">
        <v>1889</v>
      </c>
      <c r="D223">
        <v>6074202300075610</v>
      </c>
      <c r="E223" t="s">
        <v>2472</v>
      </c>
      <c r="F223" t="s">
        <v>2122</v>
      </c>
      <c r="G223" t="s">
        <v>2123</v>
      </c>
      <c r="H223" t="s">
        <v>2307</v>
      </c>
      <c r="I223" t="s">
        <v>2308</v>
      </c>
      <c r="J223" t="s">
        <v>2309</v>
      </c>
      <c r="K223" s="3">
        <v>46037</v>
      </c>
      <c r="L223" s="5">
        <v>1100</v>
      </c>
      <c r="M223" s="5">
        <v>110</v>
      </c>
      <c r="N223" s="5">
        <v>0</v>
      </c>
      <c r="O223" s="5">
        <v>110</v>
      </c>
      <c r="P223" s="5">
        <v>110</v>
      </c>
      <c r="Q223" s="5">
        <v>110</v>
      </c>
      <c r="R223" s="5">
        <v>110</v>
      </c>
      <c r="S223" s="5">
        <v>110</v>
      </c>
      <c r="T223" s="5">
        <v>110</v>
      </c>
      <c r="U223" s="5">
        <v>110</v>
      </c>
      <c r="V223" s="5">
        <v>110</v>
      </c>
      <c r="W223" s="5">
        <v>110</v>
      </c>
      <c r="X223" s="5">
        <v>110</v>
      </c>
      <c r="Y223" s="5">
        <v>0</v>
      </c>
    </row>
    <row r="224" spans="1:25" x14ac:dyDescent="0.25">
      <c r="A224" t="s">
        <v>1887</v>
      </c>
      <c r="B224" t="s">
        <v>1888</v>
      </c>
      <c r="C224" t="s">
        <v>1889</v>
      </c>
      <c r="D224">
        <v>6074202300075610</v>
      </c>
      <c r="E224" t="s">
        <v>2472</v>
      </c>
      <c r="F224" t="s">
        <v>2122</v>
      </c>
      <c r="G224" t="s">
        <v>2123</v>
      </c>
      <c r="H224" t="s">
        <v>2307</v>
      </c>
      <c r="I224" t="s">
        <v>2310</v>
      </c>
      <c r="J224" t="s">
        <v>2309</v>
      </c>
      <c r="K224" s="3">
        <v>46037</v>
      </c>
      <c r="L224" s="5">
        <v>85200</v>
      </c>
      <c r="M224" s="5">
        <v>7100</v>
      </c>
      <c r="N224" s="5">
        <v>7100</v>
      </c>
      <c r="O224" s="5">
        <v>7100</v>
      </c>
      <c r="P224" s="5">
        <v>7100</v>
      </c>
      <c r="Q224" s="5">
        <v>7100</v>
      </c>
      <c r="R224" s="5">
        <v>7100</v>
      </c>
      <c r="S224" s="5">
        <v>7100</v>
      </c>
      <c r="T224" s="5">
        <v>7100</v>
      </c>
      <c r="U224" s="5">
        <v>7100</v>
      </c>
      <c r="V224" s="5">
        <v>7100</v>
      </c>
      <c r="W224" s="5">
        <v>7100</v>
      </c>
      <c r="X224" s="5">
        <v>7100</v>
      </c>
      <c r="Y224" s="5">
        <v>7100</v>
      </c>
    </row>
    <row r="225" spans="1:25" x14ac:dyDescent="0.25">
      <c r="A225" t="s">
        <v>1887</v>
      </c>
      <c r="B225" t="s">
        <v>1888</v>
      </c>
      <c r="C225" t="s">
        <v>1889</v>
      </c>
      <c r="D225">
        <v>6074202300075610</v>
      </c>
      <c r="E225" t="s">
        <v>2472</v>
      </c>
      <c r="F225" t="s">
        <v>2122</v>
      </c>
      <c r="G225" t="s">
        <v>2123</v>
      </c>
      <c r="H225" t="s">
        <v>2307</v>
      </c>
      <c r="I225" t="s">
        <v>2311</v>
      </c>
      <c r="J225" t="s">
        <v>2309</v>
      </c>
      <c r="K225" s="3">
        <v>46037</v>
      </c>
      <c r="L225" s="5">
        <v>1200</v>
      </c>
      <c r="M225" s="5">
        <v>100</v>
      </c>
      <c r="N225" s="5">
        <v>0</v>
      </c>
      <c r="O225" s="5">
        <v>0</v>
      </c>
      <c r="P225" s="5">
        <v>110</v>
      </c>
      <c r="Q225" s="5">
        <v>0</v>
      </c>
      <c r="R225" s="5">
        <v>350</v>
      </c>
      <c r="S225" s="5">
        <v>0</v>
      </c>
      <c r="T225" s="5">
        <v>0</v>
      </c>
      <c r="U225" s="5">
        <v>0</v>
      </c>
      <c r="V225" s="5">
        <v>0</v>
      </c>
      <c r="W225" s="5">
        <v>0</v>
      </c>
      <c r="X225" s="5">
        <v>0</v>
      </c>
      <c r="Y225" s="5">
        <v>0</v>
      </c>
    </row>
    <row r="226" spans="1:25" x14ac:dyDescent="0.25">
      <c r="A226" t="s">
        <v>1887</v>
      </c>
      <c r="B226" t="s">
        <v>1888</v>
      </c>
      <c r="C226" t="s">
        <v>1889</v>
      </c>
      <c r="D226">
        <v>6074202400008350</v>
      </c>
      <c r="E226" t="s">
        <v>2471</v>
      </c>
      <c r="F226" t="s">
        <v>2134</v>
      </c>
      <c r="G226" t="s">
        <v>2123</v>
      </c>
      <c r="H226" t="s">
        <v>2077</v>
      </c>
      <c r="I226" t="s">
        <v>2078</v>
      </c>
      <c r="J226" t="s">
        <v>2079</v>
      </c>
      <c r="K226" s="3">
        <v>46251</v>
      </c>
      <c r="L226" s="5">
        <v>13440</v>
      </c>
      <c r="M226" s="5" t="s">
        <v>1908</v>
      </c>
      <c r="N226" s="5" t="s">
        <v>1909</v>
      </c>
      <c r="O226" s="5">
        <v>6720</v>
      </c>
      <c r="P226" s="5" t="s">
        <v>1908</v>
      </c>
      <c r="Q226" s="5"/>
      <c r="R226" s="5" t="s">
        <v>1909</v>
      </c>
      <c r="S226" s="5" t="s">
        <v>1909</v>
      </c>
      <c r="T226" s="5" t="s">
        <v>1909</v>
      </c>
      <c r="U226" s="5">
        <v>6720</v>
      </c>
      <c r="V226" s="5" t="s">
        <v>1908</v>
      </c>
      <c r="W226" s="5" t="s">
        <v>1909</v>
      </c>
      <c r="X226" s="5" t="s">
        <v>1909</v>
      </c>
      <c r="Y226" s="5" t="s">
        <v>1910</v>
      </c>
    </row>
    <row r="227" spans="1:25" x14ac:dyDescent="0.25">
      <c r="A227" t="s">
        <v>1887</v>
      </c>
      <c r="B227" t="s">
        <v>1888</v>
      </c>
      <c r="C227" t="s">
        <v>1889</v>
      </c>
      <c r="D227">
        <v>6074202400025170</v>
      </c>
      <c r="E227" t="s">
        <v>2471</v>
      </c>
      <c r="F227" t="s">
        <v>2134</v>
      </c>
      <c r="G227" t="s">
        <v>2123</v>
      </c>
      <c r="H227" t="s">
        <v>830</v>
      </c>
      <c r="I227" t="s">
        <v>825</v>
      </c>
      <c r="J227" t="s">
        <v>2312</v>
      </c>
      <c r="K227" s="3">
        <v>46311</v>
      </c>
      <c r="L227" s="5">
        <v>2909714.16</v>
      </c>
      <c r="M227" s="5">
        <v>242476.18</v>
      </c>
      <c r="N227" s="5">
        <v>242476.18</v>
      </c>
      <c r="O227" s="5">
        <v>242476.18</v>
      </c>
      <c r="P227" s="5">
        <v>242476.18</v>
      </c>
      <c r="Q227" s="5">
        <v>242476.18</v>
      </c>
      <c r="R227" s="5">
        <v>242476.18</v>
      </c>
      <c r="S227" s="5">
        <v>242476.18</v>
      </c>
      <c r="T227" s="5">
        <v>242476.18</v>
      </c>
      <c r="U227" s="5">
        <v>242476.18</v>
      </c>
      <c r="V227" s="5">
        <v>242476.18</v>
      </c>
      <c r="W227" s="5">
        <v>242476.18</v>
      </c>
      <c r="X227" s="5">
        <v>242476.18</v>
      </c>
      <c r="Y227" s="5">
        <v>242476.18</v>
      </c>
    </row>
    <row r="228" spans="1:25" x14ac:dyDescent="0.25">
      <c r="A228" t="s">
        <v>1887</v>
      </c>
      <c r="B228" t="s">
        <v>1888</v>
      </c>
      <c r="C228" t="s">
        <v>1889</v>
      </c>
      <c r="D228">
        <v>6074202400054350</v>
      </c>
      <c r="E228" t="s">
        <v>2471</v>
      </c>
      <c r="F228" t="s">
        <v>2134</v>
      </c>
      <c r="G228" t="s">
        <v>2123</v>
      </c>
      <c r="H228" t="s">
        <v>833</v>
      </c>
      <c r="I228" t="s">
        <v>2313</v>
      </c>
      <c r="J228" t="s">
        <v>2314</v>
      </c>
      <c r="K228" s="3">
        <v>46337</v>
      </c>
      <c r="L228" s="5">
        <v>685000</v>
      </c>
      <c r="M228" s="5">
        <v>24000</v>
      </c>
      <c r="N228" s="5">
        <v>2000</v>
      </c>
      <c r="O228" s="5">
        <v>2000</v>
      </c>
      <c r="P228" s="5">
        <v>2000</v>
      </c>
      <c r="Q228" s="5">
        <v>2000</v>
      </c>
      <c r="R228" s="5">
        <v>2000</v>
      </c>
      <c r="S228" s="5">
        <v>2000</v>
      </c>
      <c r="T228" s="5">
        <v>2000</v>
      </c>
      <c r="U228" s="5">
        <v>2000</v>
      </c>
      <c r="V228" s="5">
        <v>2000</v>
      </c>
      <c r="W228" s="5">
        <v>2000</v>
      </c>
      <c r="X228" s="5">
        <v>2000</v>
      </c>
      <c r="Y228" s="5">
        <v>2000</v>
      </c>
    </row>
    <row r="229" spans="1:25" x14ac:dyDescent="0.25">
      <c r="A229" t="s">
        <v>1887</v>
      </c>
      <c r="B229" t="s">
        <v>1888</v>
      </c>
      <c r="C229" t="s">
        <v>1889</v>
      </c>
      <c r="D229">
        <v>6074202400061970</v>
      </c>
      <c r="E229" t="s">
        <v>2472</v>
      </c>
      <c r="F229" t="s">
        <v>2122</v>
      </c>
      <c r="G229" t="s">
        <v>2123</v>
      </c>
      <c r="H229" t="s">
        <v>2315</v>
      </c>
      <c r="I229" t="s">
        <v>2316</v>
      </c>
      <c r="J229" t="s">
        <v>2317</v>
      </c>
      <c r="K229" s="3">
        <v>46077</v>
      </c>
      <c r="L229" s="5">
        <v>109480</v>
      </c>
      <c r="M229" s="5">
        <v>8500</v>
      </c>
      <c r="N229" s="5">
        <v>8500</v>
      </c>
      <c r="O229" s="5">
        <v>9180</v>
      </c>
      <c r="P229" s="5">
        <v>9180</v>
      </c>
      <c r="Q229" s="5">
        <v>9180</v>
      </c>
      <c r="R229" s="5">
        <v>9180</v>
      </c>
      <c r="S229" s="5">
        <v>9180</v>
      </c>
      <c r="T229" s="5">
        <v>9180</v>
      </c>
      <c r="U229" s="5">
        <v>9180</v>
      </c>
      <c r="V229" s="5">
        <v>9180</v>
      </c>
      <c r="W229" s="5">
        <v>9180</v>
      </c>
      <c r="X229" s="5">
        <v>9180</v>
      </c>
      <c r="Y229" s="5">
        <v>9180</v>
      </c>
    </row>
    <row r="230" spans="1:25" x14ac:dyDescent="0.25">
      <c r="A230" t="s">
        <v>1887</v>
      </c>
      <c r="B230" t="s">
        <v>1888</v>
      </c>
      <c r="C230" t="s">
        <v>1889</v>
      </c>
      <c r="D230">
        <v>6074202400061970</v>
      </c>
      <c r="E230" t="s">
        <v>2472</v>
      </c>
      <c r="F230" t="s">
        <v>2122</v>
      </c>
      <c r="G230" t="s">
        <v>2123</v>
      </c>
      <c r="H230" t="s">
        <v>2315</v>
      </c>
      <c r="I230" t="s">
        <v>2318</v>
      </c>
      <c r="J230" t="s">
        <v>2317</v>
      </c>
      <c r="K230" s="3">
        <v>46077</v>
      </c>
      <c r="L230" s="5">
        <v>9000</v>
      </c>
      <c r="M230" s="5">
        <v>900</v>
      </c>
      <c r="N230" s="5" t="s">
        <v>1908</v>
      </c>
      <c r="O230" s="5">
        <v>900</v>
      </c>
      <c r="P230" s="5">
        <v>900</v>
      </c>
      <c r="Q230" s="5">
        <v>900</v>
      </c>
      <c r="R230" s="5">
        <v>900</v>
      </c>
      <c r="S230" s="5">
        <v>900</v>
      </c>
      <c r="T230" s="5">
        <v>900</v>
      </c>
      <c r="U230" s="5">
        <v>900</v>
      </c>
      <c r="V230" s="5">
        <v>900</v>
      </c>
      <c r="W230" s="5">
        <v>900</v>
      </c>
      <c r="X230" s="5">
        <v>900</v>
      </c>
      <c r="Y230" s="5" t="s">
        <v>2092</v>
      </c>
    </row>
    <row r="231" spans="1:25" x14ac:dyDescent="0.25">
      <c r="A231" t="s">
        <v>1887</v>
      </c>
      <c r="B231" t="s">
        <v>1888</v>
      </c>
      <c r="C231" t="s">
        <v>1889</v>
      </c>
      <c r="D231">
        <v>6074202400061970</v>
      </c>
      <c r="E231" t="s">
        <v>2472</v>
      </c>
      <c r="F231" t="s">
        <v>2122</v>
      </c>
      <c r="G231" t="s">
        <v>2123</v>
      </c>
      <c r="H231" t="s">
        <v>2315</v>
      </c>
      <c r="I231" t="s">
        <v>2319</v>
      </c>
      <c r="J231" t="s">
        <v>2317</v>
      </c>
      <c r="K231" s="3">
        <v>46077</v>
      </c>
      <c r="L231" s="5">
        <v>1200</v>
      </c>
      <c r="M231" s="5">
        <v>100</v>
      </c>
      <c r="N231" s="5" t="s">
        <v>1908</v>
      </c>
      <c r="O231" s="5">
        <v>0</v>
      </c>
      <c r="P231" s="5">
        <v>500</v>
      </c>
      <c r="Q231" s="5">
        <v>0</v>
      </c>
      <c r="R231" s="5">
        <v>0</v>
      </c>
      <c r="S231" s="5">
        <v>0</v>
      </c>
      <c r="T231" s="5">
        <v>0</v>
      </c>
      <c r="U231" s="5">
        <v>900</v>
      </c>
      <c r="V231" s="5">
        <v>0</v>
      </c>
      <c r="W231" s="5">
        <v>0</v>
      </c>
      <c r="X231" s="5">
        <v>0</v>
      </c>
      <c r="Y231" s="5" t="s">
        <v>2092</v>
      </c>
    </row>
    <row r="232" spans="1:25" x14ac:dyDescent="0.25">
      <c r="A232" t="s">
        <v>1887</v>
      </c>
      <c r="B232" t="s">
        <v>1888</v>
      </c>
      <c r="C232" t="s">
        <v>1889</v>
      </c>
      <c r="D232">
        <v>6074202400066370</v>
      </c>
      <c r="E232" t="s">
        <v>2472</v>
      </c>
      <c r="F232" t="s">
        <v>2134</v>
      </c>
      <c r="G232" t="s">
        <v>2123</v>
      </c>
      <c r="H232" t="s">
        <v>1406</v>
      </c>
      <c r="I232" t="s">
        <v>2292</v>
      </c>
      <c r="J232" t="s">
        <v>2320</v>
      </c>
      <c r="K232" s="3">
        <v>46090</v>
      </c>
      <c r="L232" s="5">
        <v>89040</v>
      </c>
      <c r="M232" s="5">
        <v>7560</v>
      </c>
      <c r="N232" s="5">
        <v>7000</v>
      </c>
      <c r="O232" s="5">
        <v>7000</v>
      </c>
      <c r="P232" s="5">
        <v>7000</v>
      </c>
      <c r="Q232" s="5">
        <v>7560</v>
      </c>
      <c r="R232" s="5">
        <v>7560</v>
      </c>
      <c r="S232" s="5">
        <v>7560</v>
      </c>
      <c r="T232" s="5">
        <v>7560</v>
      </c>
      <c r="U232" s="5">
        <v>7560</v>
      </c>
      <c r="V232" s="5">
        <v>7560</v>
      </c>
      <c r="W232" s="5">
        <v>7560</v>
      </c>
      <c r="X232" s="5">
        <v>7560</v>
      </c>
      <c r="Y232" s="5">
        <v>7560</v>
      </c>
    </row>
    <row r="233" spans="1:25" x14ac:dyDescent="0.25">
      <c r="A233" t="s">
        <v>1887</v>
      </c>
      <c r="B233" t="s">
        <v>1888</v>
      </c>
      <c r="C233" t="s">
        <v>1889</v>
      </c>
      <c r="D233">
        <v>6074202400066370</v>
      </c>
      <c r="E233" t="s">
        <v>2472</v>
      </c>
      <c r="F233" t="s">
        <v>2134</v>
      </c>
      <c r="G233" t="s">
        <v>2123</v>
      </c>
      <c r="H233" t="s">
        <v>1406</v>
      </c>
      <c r="I233" t="s">
        <v>2321</v>
      </c>
      <c r="J233" t="s">
        <v>2320</v>
      </c>
      <c r="K233" s="3">
        <v>46090</v>
      </c>
      <c r="L233" s="5">
        <v>750</v>
      </c>
      <c r="M233" s="5">
        <v>750</v>
      </c>
      <c r="N233" s="5" t="s">
        <v>1908</v>
      </c>
      <c r="O233" s="5">
        <v>75</v>
      </c>
      <c r="P233" s="5">
        <v>75</v>
      </c>
      <c r="Q233" s="5">
        <v>75</v>
      </c>
      <c r="R233" s="5">
        <v>75</v>
      </c>
      <c r="S233" s="5">
        <v>75</v>
      </c>
      <c r="T233" s="5">
        <v>75</v>
      </c>
      <c r="U233" s="5">
        <v>75</v>
      </c>
      <c r="V233" s="5">
        <v>75</v>
      </c>
      <c r="W233" s="5">
        <v>75</v>
      </c>
      <c r="X233" s="5">
        <v>75</v>
      </c>
      <c r="Y233" s="5"/>
    </row>
    <row r="234" spans="1:25" x14ac:dyDescent="0.25">
      <c r="A234" t="s">
        <v>1887</v>
      </c>
      <c r="B234" t="s">
        <v>1888</v>
      </c>
      <c r="C234" t="s">
        <v>1889</v>
      </c>
      <c r="D234">
        <v>6074202400066370</v>
      </c>
      <c r="E234" t="s">
        <v>2472</v>
      </c>
      <c r="F234" t="s">
        <v>2134</v>
      </c>
      <c r="G234" t="s">
        <v>2123</v>
      </c>
      <c r="H234" t="s">
        <v>1406</v>
      </c>
      <c r="I234" t="s">
        <v>2322</v>
      </c>
      <c r="J234" t="s">
        <v>2320</v>
      </c>
      <c r="K234" s="3">
        <v>46090</v>
      </c>
      <c r="L234" s="5">
        <v>1200</v>
      </c>
      <c r="M234" s="5">
        <v>100</v>
      </c>
      <c r="N234" s="5" t="s">
        <v>1908</v>
      </c>
      <c r="O234" s="5">
        <v>0</v>
      </c>
      <c r="P234" s="5">
        <v>0</v>
      </c>
      <c r="Q234" s="5">
        <v>0</v>
      </c>
      <c r="R234" s="5">
        <v>0</v>
      </c>
      <c r="S234" s="5">
        <v>0</v>
      </c>
      <c r="T234" s="5">
        <v>500</v>
      </c>
      <c r="U234" s="5">
        <v>0</v>
      </c>
      <c r="V234" s="5">
        <v>0</v>
      </c>
      <c r="W234" s="5">
        <v>0</v>
      </c>
      <c r="X234" s="5">
        <v>0</v>
      </c>
      <c r="Y234" s="5"/>
    </row>
    <row r="235" spans="1:25" x14ac:dyDescent="0.25">
      <c r="A235" t="s">
        <v>1887</v>
      </c>
      <c r="B235" t="s">
        <v>1888</v>
      </c>
      <c r="C235" t="s">
        <v>1889</v>
      </c>
      <c r="D235">
        <v>6074202400099110</v>
      </c>
      <c r="E235" t="s">
        <v>2471</v>
      </c>
      <c r="F235" t="s">
        <v>2134</v>
      </c>
      <c r="G235" t="s">
        <v>2123</v>
      </c>
      <c r="H235" t="s">
        <v>1970</v>
      </c>
      <c r="I235" t="s">
        <v>2323</v>
      </c>
      <c r="J235" t="s">
        <v>1972</v>
      </c>
      <c r="K235" s="3">
        <v>46387</v>
      </c>
      <c r="L235" s="5">
        <v>240000</v>
      </c>
      <c r="M235" s="5">
        <v>20000</v>
      </c>
      <c r="N235" s="5">
        <v>20000</v>
      </c>
      <c r="O235" s="5">
        <v>20000</v>
      </c>
      <c r="P235" s="5">
        <v>20000</v>
      </c>
      <c r="Q235" s="5">
        <v>20000</v>
      </c>
      <c r="R235" s="5">
        <v>20000</v>
      </c>
      <c r="S235" s="5">
        <v>20000</v>
      </c>
      <c r="T235" s="5">
        <v>20000</v>
      </c>
      <c r="U235" s="5">
        <v>20000</v>
      </c>
      <c r="V235" s="5">
        <v>20000</v>
      </c>
      <c r="W235" s="5">
        <v>20000</v>
      </c>
      <c r="X235" s="5">
        <v>20000</v>
      </c>
      <c r="Y235" s="5">
        <v>20000</v>
      </c>
    </row>
    <row r="236" spans="1:25" x14ac:dyDescent="0.25">
      <c r="A236" t="s">
        <v>1887</v>
      </c>
      <c r="B236" t="s">
        <v>1888</v>
      </c>
      <c r="C236" t="s">
        <v>1889</v>
      </c>
      <c r="D236">
        <v>6074202400099140</v>
      </c>
      <c r="E236" t="s">
        <v>2471</v>
      </c>
      <c r="F236" t="s">
        <v>2134</v>
      </c>
      <c r="G236" t="s">
        <v>2123</v>
      </c>
      <c r="H236" t="s">
        <v>1970</v>
      </c>
      <c r="I236" t="s">
        <v>2324</v>
      </c>
      <c r="J236" t="s">
        <v>1976</v>
      </c>
      <c r="K236" s="3">
        <v>46387</v>
      </c>
      <c r="L236" s="5">
        <v>240000</v>
      </c>
      <c r="M236" s="5">
        <v>20000</v>
      </c>
      <c r="N236" s="5">
        <v>20000</v>
      </c>
      <c r="O236" s="5">
        <v>20000</v>
      </c>
      <c r="P236" s="5">
        <v>20000</v>
      </c>
      <c r="Q236" s="5">
        <v>20000</v>
      </c>
      <c r="R236" s="5">
        <v>20000</v>
      </c>
      <c r="S236" s="5">
        <v>20000</v>
      </c>
      <c r="T236" s="5">
        <v>20000</v>
      </c>
      <c r="U236" s="5">
        <v>20000</v>
      </c>
      <c r="V236" s="5">
        <v>20000</v>
      </c>
      <c r="W236" s="5">
        <v>20000</v>
      </c>
      <c r="X236" s="5">
        <v>20000</v>
      </c>
      <c r="Y236" s="5">
        <v>20000</v>
      </c>
    </row>
    <row r="237" spans="1:25" x14ac:dyDescent="0.25">
      <c r="A237" t="s">
        <v>1887</v>
      </c>
      <c r="B237" t="s">
        <v>1888</v>
      </c>
      <c r="C237" t="s">
        <v>1889</v>
      </c>
      <c r="D237">
        <v>6074202500013480</v>
      </c>
      <c r="E237" t="s">
        <v>2472</v>
      </c>
      <c r="F237" t="s">
        <v>2199</v>
      </c>
      <c r="G237" t="s">
        <v>2123</v>
      </c>
      <c r="H237" t="s">
        <v>1983</v>
      </c>
      <c r="I237" t="s">
        <v>1984</v>
      </c>
      <c r="J237" t="s">
        <v>1985</v>
      </c>
      <c r="K237" s="3">
        <v>46236</v>
      </c>
      <c r="L237" s="5">
        <v>8686591.6799999997</v>
      </c>
      <c r="M237" s="5">
        <v>723882.64</v>
      </c>
      <c r="N237" s="5">
        <v>723882.64</v>
      </c>
      <c r="O237" s="5">
        <v>723882.64</v>
      </c>
      <c r="P237" s="5">
        <v>723882.64</v>
      </c>
      <c r="Q237" s="5">
        <v>723882.64</v>
      </c>
      <c r="R237" s="5">
        <v>723882.64</v>
      </c>
      <c r="S237" s="5">
        <v>723882.64</v>
      </c>
      <c r="T237" s="5">
        <v>723882.64</v>
      </c>
      <c r="U237" s="5">
        <v>723882.64</v>
      </c>
      <c r="V237" s="5">
        <v>723882.64</v>
      </c>
      <c r="W237" s="5">
        <v>723882.64</v>
      </c>
      <c r="X237" s="5">
        <v>723882.64</v>
      </c>
      <c r="Y237" s="5">
        <v>723882.64</v>
      </c>
    </row>
    <row r="238" spans="1:25" x14ac:dyDescent="0.25">
      <c r="A238" t="s">
        <v>1887</v>
      </c>
      <c r="B238" t="s">
        <v>1888</v>
      </c>
      <c r="C238" t="s">
        <v>1889</v>
      </c>
      <c r="D238">
        <v>6074202500013490</v>
      </c>
      <c r="E238" t="s">
        <v>2472</v>
      </c>
      <c r="F238" t="s">
        <v>2134</v>
      </c>
      <c r="G238" t="s">
        <v>2123</v>
      </c>
      <c r="H238" t="s">
        <v>1986</v>
      </c>
      <c r="I238" t="s">
        <v>2325</v>
      </c>
      <c r="J238" t="s">
        <v>1988</v>
      </c>
      <c r="K238" s="3" t="s">
        <v>1989</v>
      </c>
      <c r="L238" s="5">
        <v>2008231.32</v>
      </c>
      <c r="M238" s="5">
        <v>167352.60999999999</v>
      </c>
      <c r="N238" s="5">
        <v>167352.60999999999</v>
      </c>
      <c r="O238" s="5">
        <v>167352.60999999999</v>
      </c>
      <c r="P238" s="5">
        <v>167352.60999999999</v>
      </c>
      <c r="Q238" s="5">
        <v>167352.60999999999</v>
      </c>
      <c r="R238" s="5">
        <v>167352.60999999999</v>
      </c>
      <c r="S238" s="5">
        <v>167352.60999999999</v>
      </c>
      <c r="T238" s="5">
        <v>167352.60999999999</v>
      </c>
      <c r="U238" s="5">
        <v>167352.60999999999</v>
      </c>
      <c r="V238" s="5">
        <v>167352.60999999999</v>
      </c>
      <c r="W238" s="5">
        <v>167352.60999999999</v>
      </c>
      <c r="X238" s="5">
        <v>167352.60999999999</v>
      </c>
      <c r="Y238" s="5">
        <v>167352.65</v>
      </c>
    </row>
    <row r="239" spans="1:25" x14ac:dyDescent="0.25">
      <c r="A239" t="s">
        <v>1887</v>
      </c>
      <c r="B239" t="s">
        <v>1888</v>
      </c>
      <c r="C239" t="s">
        <v>1889</v>
      </c>
      <c r="D239">
        <v>6074202500013490</v>
      </c>
      <c r="E239" t="s">
        <v>2472</v>
      </c>
      <c r="F239" t="s">
        <v>2326</v>
      </c>
      <c r="G239" t="s">
        <v>2123</v>
      </c>
      <c r="H239" t="s">
        <v>1986</v>
      </c>
      <c r="I239" t="s">
        <v>2327</v>
      </c>
      <c r="J239" t="s">
        <v>1988</v>
      </c>
      <c r="K239" s="3" t="s">
        <v>1989</v>
      </c>
      <c r="L239" s="5">
        <v>502057.83</v>
      </c>
      <c r="M239" s="5">
        <v>41838.15</v>
      </c>
      <c r="N239" s="5">
        <v>41838.15</v>
      </c>
      <c r="O239" s="5">
        <v>41838.15</v>
      </c>
      <c r="P239" s="5">
        <v>41838.15</v>
      </c>
      <c r="Q239" s="5">
        <v>41838.15</v>
      </c>
      <c r="R239" s="5">
        <v>41838.15</v>
      </c>
      <c r="S239" s="5">
        <v>41838.15</v>
      </c>
      <c r="T239" s="5">
        <v>41838.15</v>
      </c>
      <c r="U239" s="5">
        <v>41838.15</v>
      </c>
      <c r="V239" s="5">
        <v>41838.15</v>
      </c>
      <c r="W239" s="5">
        <v>41838.15</v>
      </c>
      <c r="X239" s="5">
        <v>41838.15</v>
      </c>
      <c r="Y239" s="5">
        <v>41838.15</v>
      </c>
    </row>
    <row r="240" spans="1:25" x14ac:dyDescent="0.25">
      <c r="A240" t="s">
        <v>1887</v>
      </c>
      <c r="B240" t="s">
        <v>1888</v>
      </c>
      <c r="C240" t="s">
        <v>1889</v>
      </c>
      <c r="D240">
        <v>6074202500026580</v>
      </c>
      <c r="E240" t="s">
        <v>2472</v>
      </c>
      <c r="F240" t="s">
        <v>2122</v>
      </c>
      <c r="G240" t="s">
        <v>2123</v>
      </c>
      <c r="H240" t="s">
        <v>2328</v>
      </c>
      <c r="I240" t="s">
        <v>2329</v>
      </c>
      <c r="J240" t="s">
        <v>2330</v>
      </c>
      <c r="K240" s="3" t="s">
        <v>2331</v>
      </c>
      <c r="L240" s="5">
        <v>87360</v>
      </c>
      <c r="M240" s="5">
        <v>7560</v>
      </c>
      <c r="N240" s="5">
        <v>7000</v>
      </c>
      <c r="O240" s="5">
        <v>7000</v>
      </c>
      <c r="P240" s="5">
        <v>7000</v>
      </c>
      <c r="Q240" s="5">
        <v>7000</v>
      </c>
      <c r="R240" s="5">
        <v>7000</v>
      </c>
      <c r="S240" s="5">
        <v>7000</v>
      </c>
      <c r="T240" s="5">
        <v>7560</v>
      </c>
      <c r="U240" s="5">
        <v>7560</v>
      </c>
      <c r="V240" s="5">
        <v>7560</v>
      </c>
      <c r="W240" s="5">
        <v>7560</v>
      </c>
      <c r="X240" s="5">
        <v>7560</v>
      </c>
      <c r="Y240" s="5">
        <v>7560</v>
      </c>
    </row>
    <row r="241" spans="1:25" x14ac:dyDescent="0.25">
      <c r="A241" t="s">
        <v>1887</v>
      </c>
      <c r="B241" t="s">
        <v>1888</v>
      </c>
      <c r="C241" t="s">
        <v>1889</v>
      </c>
      <c r="D241">
        <v>6074202500026580</v>
      </c>
      <c r="E241" t="s">
        <v>2472</v>
      </c>
      <c r="F241" t="s">
        <v>2122</v>
      </c>
      <c r="G241" t="s">
        <v>2123</v>
      </c>
      <c r="H241" t="s">
        <v>2328</v>
      </c>
      <c r="I241" t="s">
        <v>2332</v>
      </c>
      <c r="J241" t="s">
        <v>2330</v>
      </c>
      <c r="K241" s="3" t="s">
        <v>2331</v>
      </c>
      <c r="L241" s="5">
        <v>2500</v>
      </c>
      <c r="M241" s="5">
        <v>250</v>
      </c>
      <c r="N241" s="5">
        <v>0</v>
      </c>
      <c r="O241" s="5">
        <v>250</v>
      </c>
      <c r="P241" s="5">
        <v>250</v>
      </c>
      <c r="Q241" s="5">
        <v>250</v>
      </c>
      <c r="R241" s="5">
        <v>250</v>
      </c>
      <c r="S241" s="5">
        <v>250</v>
      </c>
      <c r="T241" s="5">
        <v>250</v>
      </c>
      <c r="U241" s="5">
        <v>250</v>
      </c>
      <c r="V241" s="5">
        <v>250</v>
      </c>
      <c r="W241" s="5">
        <v>250</v>
      </c>
      <c r="X241" s="5">
        <v>250</v>
      </c>
      <c r="Y241" s="5">
        <v>0</v>
      </c>
    </row>
    <row r="242" spans="1:25" x14ac:dyDescent="0.25">
      <c r="A242" t="s">
        <v>1887</v>
      </c>
      <c r="B242" t="s">
        <v>1888</v>
      </c>
      <c r="C242" t="s">
        <v>1889</v>
      </c>
      <c r="D242">
        <v>6074202500026580</v>
      </c>
      <c r="E242" t="s">
        <v>2472</v>
      </c>
      <c r="F242" t="s">
        <v>2122</v>
      </c>
      <c r="G242" t="s">
        <v>2123</v>
      </c>
      <c r="H242" t="s">
        <v>2328</v>
      </c>
      <c r="I242" t="s">
        <v>2333</v>
      </c>
      <c r="J242" t="s">
        <v>2330</v>
      </c>
      <c r="K242" s="3" t="s">
        <v>2331</v>
      </c>
      <c r="L242" s="5">
        <v>500</v>
      </c>
      <c r="M242" s="5">
        <v>100</v>
      </c>
      <c r="N242" s="5">
        <v>0</v>
      </c>
      <c r="O242" s="5">
        <v>500</v>
      </c>
      <c r="P242" s="5">
        <v>0</v>
      </c>
      <c r="Q242" s="5">
        <v>0</v>
      </c>
      <c r="R242" s="5">
        <v>0</v>
      </c>
      <c r="S242" s="5">
        <v>0</v>
      </c>
      <c r="T242" s="5">
        <v>0</v>
      </c>
      <c r="U242" s="5">
        <v>0</v>
      </c>
      <c r="V242" s="5">
        <v>0</v>
      </c>
      <c r="W242" s="5">
        <v>0</v>
      </c>
      <c r="X242" s="5">
        <v>0</v>
      </c>
      <c r="Y242" s="5">
        <v>0</v>
      </c>
    </row>
    <row r="243" spans="1:25" x14ac:dyDescent="0.25">
      <c r="A243" t="s">
        <v>1887</v>
      </c>
      <c r="B243" t="s">
        <v>1888</v>
      </c>
      <c r="C243" t="s">
        <v>1889</v>
      </c>
      <c r="D243" t="s">
        <v>2463</v>
      </c>
      <c r="E243" t="s">
        <v>2472</v>
      </c>
      <c r="F243" t="s">
        <v>2326</v>
      </c>
      <c r="G243" t="s">
        <v>2123</v>
      </c>
      <c r="H243" t="s">
        <v>1986</v>
      </c>
      <c r="I243" t="s">
        <v>2334</v>
      </c>
      <c r="J243" t="s">
        <v>1999</v>
      </c>
      <c r="K243" s="3" t="s">
        <v>1989</v>
      </c>
      <c r="L243" s="5">
        <v>35000</v>
      </c>
      <c r="M243" s="5">
        <v>35000</v>
      </c>
      <c r="N243" s="5"/>
      <c r="O243" s="5">
        <v>35000</v>
      </c>
      <c r="P243" s="5"/>
      <c r="Q243" s="5"/>
      <c r="R243" s="5"/>
      <c r="S243" s="5"/>
      <c r="T243" s="5"/>
      <c r="U243" s="5"/>
      <c r="V243" s="5"/>
      <c r="W243" s="5"/>
      <c r="X243" s="5"/>
      <c r="Y243" s="5"/>
    </row>
    <row r="244" spans="1:25" x14ac:dyDescent="0.25">
      <c r="A244" t="s">
        <v>1887</v>
      </c>
      <c r="B244" t="s">
        <v>1888</v>
      </c>
      <c r="C244" t="s">
        <v>1889</v>
      </c>
      <c r="D244" t="s">
        <v>2467</v>
      </c>
      <c r="E244" t="s">
        <v>2472</v>
      </c>
      <c r="F244" t="s">
        <v>2335</v>
      </c>
      <c r="G244" t="s">
        <v>2123</v>
      </c>
      <c r="H244" t="s">
        <v>1986</v>
      </c>
      <c r="I244" t="s">
        <v>2336</v>
      </c>
      <c r="J244" t="s">
        <v>1997</v>
      </c>
      <c r="K244" s="3" t="s">
        <v>2331</v>
      </c>
      <c r="L244" s="5">
        <v>200000</v>
      </c>
      <c r="M244" s="5">
        <v>0</v>
      </c>
      <c r="N244" s="5">
        <v>0</v>
      </c>
      <c r="O244" s="5">
        <v>0</v>
      </c>
      <c r="P244" s="5">
        <v>300000</v>
      </c>
      <c r="Q244" s="5">
        <v>0</v>
      </c>
      <c r="R244" s="5">
        <v>0</v>
      </c>
      <c r="S244" s="5">
        <v>0</v>
      </c>
      <c r="T244" s="5">
        <v>0</v>
      </c>
      <c r="U244" s="5">
        <v>0</v>
      </c>
      <c r="V244" s="5">
        <v>0</v>
      </c>
      <c r="W244" s="5">
        <v>0</v>
      </c>
      <c r="X244" s="5">
        <v>0</v>
      </c>
      <c r="Y244" s="5">
        <v>0</v>
      </c>
    </row>
    <row r="245" spans="1:25" x14ac:dyDescent="0.25">
      <c r="A245" t="s">
        <v>1887</v>
      </c>
      <c r="B245" t="s">
        <v>1888</v>
      </c>
      <c r="C245" t="s">
        <v>1889</v>
      </c>
      <c r="D245">
        <v>6074202200005770</v>
      </c>
      <c r="E245" t="s">
        <v>2472</v>
      </c>
      <c r="F245" t="s">
        <v>2337</v>
      </c>
      <c r="G245" t="s">
        <v>2338</v>
      </c>
      <c r="H245" t="s">
        <v>2339</v>
      </c>
      <c r="I245" t="s">
        <v>2340</v>
      </c>
      <c r="J245" t="s">
        <v>2341</v>
      </c>
      <c r="K245" s="3">
        <v>46054</v>
      </c>
      <c r="L245" s="5">
        <v>1800000</v>
      </c>
      <c r="M245" s="5">
        <v>150000</v>
      </c>
      <c r="N245" s="5">
        <v>150000</v>
      </c>
      <c r="O245" s="5">
        <v>150000</v>
      </c>
      <c r="P245" s="5">
        <v>150000</v>
      </c>
      <c r="Q245" s="5">
        <v>150000</v>
      </c>
      <c r="R245" s="5">
        <v>150000</v>
      </c>
      <c r="S245" s="5">
        <v>150000</v>
      </c>
      <c r="T245" s="5">
        <v>150000</v>
      </c>
      <c r="U245" s="5">
        <v>150000</v>
      </c>
      <c r="V245" s="5">
        <v>150000</v>
      </c>
      <c r="W245" s="5">
        <v>150000</v>
      </c>
      <c r="X245" s="5">
        <v>150000</v>
      </c>
      <c r="Y245" s="5">
        <v>150000</v>
      </c>
    </row>
    <row r="246" spans="1:25" x14ac:dyDescent="0.25">
      <c r="A246" t="s">
        <v>1887</v>
      </c>
      <c r="B246" t="s">
        <v>1888</v>
      </c>
      <c r="C246" t="s">
        <v>1889</v>
      </c>
      <c r="D246">
        <v>6074201900011180</v>
      </c>
      <c r="E246" t="s">
        <v>2471</v>
      </c>
      <c r="F246" t="s">
        <v>1900</v>
      </c>
      <c r="G246" t="s">
        <v>2342</v>
      </c>
      <c r="H246" t="s">
        <v>639</v>
      </c>
      <c r="I246" t="s">
        <v>2343</v>
      </c>
      <c r="J246" t="s">
        <v>2060</v>
      </c>
      <c r="K246" s="3">
        <v>46178</v>
      </c>
      <c r="L246" s="5">
        <v>49672.6</v>
      </c>
      <c r="M246" s="5">
        <v>4236.05</v>
      </c>
      <c r="N246" s="5">
        <v>4004.05</v>
      </c>
      <c r="O246" s="5">
        <v>4004.05</v>
      </c>
      <c r="P246" s="5">
        <v>4004.05</v>
      </c>
      <c r="Q246" s="5">
        <v>4004.05</v>
      </c>
      <c r="R246" s="5">
        <v>4004.05</v>
      </c>
      <c r="S246" s="5">
        <v>4236.05</v>
      </c>
      <c r="T246" s="5">
        <v>4236.05</v>
      </c>
      <c r="U246" s="5">
        <v>4236.05</v>
      </c>
      <c r="V246" s="5">
        <v>4236.05</v>
      </c>
      <c r="W246" s="5">
        <v>4236.05</v>
      </c>
      <c r="X246" s="5">
        <v>4236.05</v>
      </c>
      <c r="Y246" s="5">
        <v>4236.05</v>
      </c>
    </row>
    <row r="247" spans="1:25" x14ac:dyDescent="0.25">
      <c r="A247" t="s">
        <v>1887</v>
      </c>
      <c r="B247" t="s">
        <v>1888</v>
      </c>
      <c r="C247" t="s">
        <v>1889</v>
      </c>
      <c r="D247">
        <v>6074202000011890</v>
      </c>
      <c r="E247" t="s">
        <v>2471</v>
      </c>
      <c r="F247" t="s">
        <v>2344</v>
      </c>
      <c r="G247" t="s">
        <v>2342</v>
      </c>
      <c r="H247" t="s">
        <v>919</v>
      </c>
      <c r="I247" t="s">
        <v>2345</v>
      </c>
      <c r="J247" t="s">
        <v>2346</v>
      </c>
      <c r="K247" s="3">
        <v>46290</v>
      </c>
      <c r="L247" s="5">
        <v>69771.72</v>
      </c>
      <c r="M247" s="5">
        <v>5711.81</v>
      </c>
      <c r="N247" s="5">
        <v>5711.81</v>
      </c>
      <c r="O247" s="5">
        <v>5711.81</v>
      </c>
      <c r="P247" s="5">
        <v>5711.81</v>
      </c>
      <c r="Q247" s="5">
        <v>5711.81</v>
      </c>
      <c r="R247" s="5">
        <v>5711.81</v>
      </c>
      <c r="S247" s="5">
        <v>5711.81</v>
      </c>
      <c r="T247" s="5">
        <v>5711.81</v>
      </c>
      <c r="U247" s="5">
        <v>5711.81</v>
      </c>
      <c r="V247" s="5">
        <v>5711.81</v>
      </c>
      <c r="W247" s="5">
        <v>6121.81</v>
      </c>
      <c r="X247" s="5">
        <v>6121.81</v>
      </c>
      <c r="Y247" s="5">
        <v>6121.81</v>
      </c>
    </row>
    <row r="248" spans="1:25" x14ac:dyDescent="0.25">
      <c r="A248" t="s">
        <v>1887</v>
      </c>
      <c r="B248" t="s">
        <v>1888</v>
      </c>
      <c r="C248" t="s">
        <v>1889</v>
      </c>
      <c r="D248">
        <v>6074202100075180</v>
      </c>
      <c r="E248" t="s">
        <v>2471</v>
      </c>
      <c r="F248" t="s">
        <v>1890</v>
      </c>
      <c r="G248" t="s">
        <v>2342</v>
      </c>
      <c r="H248" t="s">
        <v>83</v>
      </c>
      <c r="I248" t="s">
        <v>2347</v>
      </c>
      <c r="J248" t="s">
        <v>2182</v>
      </c>
      <c r="K248" s="3">
        <v>46090</v>
      </c>
      <c r="L248" s="5">
        <v>151911.04000000001</v>
      </c>
      <c r="M248" s="5">
        <v>12798.88</v>
      </c>
      <c r="N248" s="5">
        <v>11961.12</v>
      </c>
      <c r="O248" s="5">
        <v>11961.12</v>
      </c>
      <c r="P248" s="5">
        <v>12798.88</v>
      </c>
      <c r="Q248" s="5">
        <v>12798.88</v>
      </c>
      <c r="R248" s="5">
        <v>12798.88</v>
      </c>
      <c r="S248" s="5">
        <v>12798.88</v>
      </c>
      <c r="T248" s="5">
        <v>12798.88</v>
      </c>
      <c r="U248" s="5">
        <v>12798.88</v>
      </c>
      <c r="V248" s="5">
        <v>12798.88</v>
      </c>
      <c r="W248" s="5">
        <v>12798.88</v>
      </c>
      <c r="X248" s="5">
        <v>12798.88</v>
      </c>
      <c r="Y248" s="5">
        <v>12798.88</v>
      </c>
    </row>
    <row r="249" spans="1:25" x14ac:dyDescent="0.25">
      <c r="A249" t="s">
        <v>1887</v>
      </c>
      <c r="B249" t="s">
        <v>1888</v>
      </c>
      <c r="C249" t="s">
        <v>1889</v>
      </c>
      <c r="D249">
        <v>6074202400042910</v>
      </c>
      <c r="E249" t="s">
        <v>2471</v>
      </c>
      <c r="F249" t="s">
        <v>1890</v>
      </c>
      <c r="G249" t="s">
        <v>2342</v>
      </c>
      <c r="H249" t="s">
        <v>239</v>
      </c>
      <c r="I249" t="s">
        <v>2348</v>
      </c>
      <c r="J249" t="s">
        <v>2349</v>
      </c>
      <c r="K249" s="3">
        <v>46282</v>
      </c>
      <c r="L249" s="5">
        <v>1652562.8</v>
      </c>
      <c r="M249" s="5">
        <v>200000</v>
      </c>
      <c r="N249" s="5">
        <v>200000</v>
      </c>
      <c r="O249" s="5">
        <v>200000</v>
      </c>
      <c r="P249" s="5">
        <v>200000</v>
      </c>
      <c r="Q249" s="5">
        <v>200000</v>
      </c>
      <c r="R249" s="5">
        <v>200000</v>
      </c>
      <c r="S249" s="5">
        <v>200000</v>
      </c>
      <c r="T249" s="5">
        <v>200000</v>
      </c>
      <c r="U249" s="5">
        <v>200000</v>
      </c>
      <c r="V249" s="5">
        <v>200000</v>
      </c>
      <c r="W249" s="5">
        <v>200000</v>
      </c>
      <c r="X249" s="5">
        <v>200000</v>
      </c>
      <c r="Y249" s="5">
        <v>200000</v>
      </c>
    </row>
    <row r="250" spans="1:25" x14ac:dyDescent="0.25">
      <c r="A250" t="s">
        <v>1887</v>
      </c>
      <c r="B250" t="s">
        <v>1888</v>
      </c>
      <c r="C250" t="s">
        <v>1889</v>
      </c>
      <c r="D250">
        <v>6074202500006770</v>
      </c>
      <c r="E250" t="s">
        <v>2471</v>
      </c>
      <c r="F250" t="s">
        <v>2344</v>
      </c>
      <c r="G250" t="s">
        <v>2342</v>
      </c>
      <c r="H250" t="s">
        <v>2350</v>
      </c>
      <c r="I250" t="s">
        <v>2351</v>
      </c>
      <c r="J250" t="s">
        <v>2352</v>
      </c>
      <c r="K250" s="3">
        <v>46149</v>
      </c>
      <c r="L250" s="5">
        <v>2558</v>
      </c>
      <c r="M250" s="5"/>
      <c r="N250" s="5"/>
      <c r="O250" s="5"/>
      <c r="P250" s="5"/>
      <c r="Q250" s="5"/>
      <c r="R250" s="5">
        <v>2558</v>
      </c>
      <c r="S250" s="5"/>
      <c r="T250" s="5"/>
      <c r="U250" s="5"/>
      <c r="V250" s="5"/>
      <c r="W250" s="5"/>
      <c r="X250" s="5"/>
      <c r="Y250" s="5"/>
    </row>
    <row r="251" spans="1:25" x14ac:dyDescent="0.25">
      <c r="A251" t="s">
        <v>1887</v>
      </c>
      <c r="B251" t="s">
        <v>1888</v>
      </c>
      <c r="C251" t="s">
        <v>1889</v>
      </c>
      <c r="D251" t="s">
        <v>2463</v>
      </c>
      <c r="E251" t="s">
        <v>2472</v>
      </c>
      <c r="F251" t="s">
        <v>2353</v>
      </c>
      <c r="G251" t="s">
        <v>2354</v>
      </c>
      <c r="H251" t="s">
        <v>1986</v>
      </c>
      <c r="I251" t="s">
        <v>2355</v>
      </c>
      <c r="J251" t="s">
        <v>1999</v>
      </c>
      <c r="K251" s="3" t="s">
        <v>1989</v>
      </c>
      <c r="L251" s="5">
        <v>100000</v>
      </c>
      <c r="M251" s="5">
        <v>100000</v>
      </c>
      <c r="N251" s="5"/>
      <c r="O251" s="5">
        <v>100000</v>
      </c>
      <c r="P251" s="5"/>
      <c r="Q251" s="5"/>
      <c r="R251" s="5"/>
      <c r="S251" s="5"/>
      <c r="T251" s="5"/>
      <c r="U251" s="5"/>
      <c r="V251" s="5"/>
      <c r="W251" s="5"/>
      <c r="X251" s="5"/>
      <c r="Y251" s="5"/>
    </row>
    <row r="252" spans="1:25" x14ac:dyDescent="0.25">
      <c r="A252" t="s">
        <v>1887</v>
      </c>
      <c r="B252" t="s">
        <v>1888</v>
      </c>
      <c r="C252" t="s">
        <v>1889</v>
      </c>
      <c r="D252" t="s">
        <v>2463</v>
      </c>
      <c r="E252" t="s">
        <v>2472</v>
      </c>
      <c r="F252" t="s">
        <v>2356</v>
      </c>
      <c r="G252" t="s">
        <v>2354</v>
      </c>
      <c r="H252" t="s">
        <v>1986</v>
      </c>
      <c r="I252" t="s">
        <v>2357</v>
      </c>
      <c r="J252" t="s">
        <v>1999</v>
      </c>
      <c r="K252" s="3" t="s">
        <v>1989</v>
      </c>
      <c r="L252" s="5">
        <v>50000</v>
      </c>
      <c r="M252" s="5">
        <v>50000</v>
      </c>
      <c r="N252" s="5"/>
      <c r="O252" s="5">
        <v>50000</v>
      </c>
      <c r="P252" s="5"/>
      <c r="Q252" s="5"/>
      <c r="R252" s="5"/>
      <c r="S252" s="5"/>
      <c r="T252" s="5"/>
      <c r="U252" s="5"/>
      <c r="V252" s="5"/>
      <c r="W252" s="5"/>
      <c r="X252" s="5"/>
      <c r="Y252" s="5"/>
    </row>
    <row r="253" spans="1:25" x14ac:dyDescent="0.25">
      <c r="A253" t="s">
        <v>1887</v>
      </c>
      <c r="B253" t="s">
        <v>1888</v>
      </c>
      <c r="C253" t="s">
        <v>1889</v>
      </c>
      <c r="D253" t="s">
        <v>2463</v>
      </c>
      <c r="E253" t="s">
        <v>2472</v>
      </c>
      <c r="F253" t="s">
        <v>2358</v>
      </c>
      <c r="G253" t="s">
        <v>2359</v>
      </c>
      <c r="H253" t="s">
        <v>1986</v>
      </c>
      <c r="I253" t="s">
        <v>2360</v>
      </c>
      <c r="J253" t="s">
        <v>1999</v>
      </c>
      <c r="K253" s="3" t="s">
        <v>1989</v>
      </c>
      <c r="L253" s="5">
        <v>50000</v>
      </c>
      <c r="M253" s="5">
        <v>50000</v>
      </c>
      <c r="N253" s="5"/>
      <c r="O253" s="5">
        <v>0</v>
      </c>
      <c r="P253" s="5"/>
      <c r="Q253" s="5">
        <v>50000</v>
      </c>
      <c r="R253" s="5"/>
      <c r="S253" s="5"/>
      <c r="T253" s="5"/>
      <c r="U253" s="5"/>
      <c r="V253" s="5"/>
      <c r="W253" s="5"/>
      <c r="X253" s="5"/>
      <c r="Y253" s="5"/>
    </row>
    <row r="254" spans="1:25" x14ac:dyDescent="0.25">
      <c r="A254" t="s">
        <v>1887</v>
      </c>
      <c r="B254" t="s">
        <v>1888</v>
      </c>
      <c r="C254" t="s">
        <v>1889</v>
      </c>
      <c r="D254">
        <v>6074202100026480</v>
      </c>
      <c r="E254" t="s">
        <v>2471</v>
      </c>
      <c r="F254" t="s">
        <v>2361</v>
      </c>
      <c r="G254" t="s">
        <v>2362</v>
      </c>
      <c r="H254" t="s">
        <v>1003</v>
      </c>
      <c r="I254" t="s">
        <v>2363</v>
      </c>
      <c r="J254" t="s">
        <v>2086</v>
      </c>
      <c r="K254" s="3">
        <v>45935</v>
      </c>
      <c r="L254" s="5">
        <v>237161.88</v>
      </c>
      <c r="M254" s="5">
        <v>22509.37</v>
      </c>
      <c r="N254" s="5">
        <v>21136.43</v>
      </c>
      <c r="O254" s="5">
        <v>21136.43</v>
      </c>
      <c r="P254" s="5">
        <v>21136.43</v>
      </c>
      <c r="Q254" s="5">
        <v>21136.43</v>
      </c>
      <c r="R254" s="5">
        <v>21136.43</v>
      </c>
      <c r="S254" s="5">
        <v>21136.43</v>
      </c>
      <c r="T254" s="5">
        <v>21136.43</v>
      </c>
      <c r="U254" s="5">
        <v>21136.43</v>
      </c>
      <c r="V254" s="5">
        <v>21136.43</v>
      </c>
      <c r="W254" s="5">
        <v>22509.37</v>
      </c>
      <c r="X254" s="5">
        <v>22509.37</v>
      </c>
      <c r="Y254" s="5">
        <v>22509.37</v>
      </c>
    </row>
    <row r="255" spans="1:25" x14ac:dyDescent="0.25">
      <c r="A255" t="s">
        <v>1887</v>
      </c>
      <c r="B255" t="s">
        <v>1888</v>
      </c>
      <c r="C255" t="s">
        <v>1889</v>
      </c>
      <c r="D255">
        <v>6074202200022450</v>
      </c>
      <c r="E255" t="s">
        <v>2471</v>
      </c>
      <c r="F255" t="s">
        <v>2364</v>
      </c>
      <c r="G255" t="s">
        <v>2362</v>
      </c>
      <c r="H255" t="s">
        <v>2051</v>
      </c>
      <c r="I255" t="s">
        <v>2365</v>
      </c>
      <c r="J255" t="s">
        <v>2018</v>
      </c>
      <c r="K255" s="3">
        <v>46138</v>
      </c>
      <c r="L255" s="5">
        <v>1200</v>
      </c>
      <c r="M255" s="5">
        <v>100</v>
      </c>
      <c r="N255" s="5">
        <v>100</v>
      </c>
      <c r="O255" s="5">
        <v>100</v>
      </c>
      <c r="P255" s="5">
        <v>100</v>
      </c>
      <c r="Q255" s="5">
        <v>100</v>
      </c>
      <c r="R255" s="5">
        <v>100</v>
      </c>
      <c r="S255" s="5">
        <v>100</v>
      </c>
      <c r="T255" s="5">
        <v>100</v>
      </c>
      <c r="U255" s="5">
        <v>100</v>
      </c>
      <c r="V255" s="5">
        <v>100</v>
      </c>
      <c r="W255" s="5">
        <v>100</v>
      </c>
      <c r="X255" s="5">
        <v>100</v>
      </c>
      <c r="Y255" s="5">
        <v>100</v>
      </c>
    </row>
    <row r="256" spans="1:25" x14ac:dyDescent="0.25">
      <c r="A256" t="s">
        <v>1887</v>
      </c>
      <c r="B256" t="s">
        <v>1888</v>
      </c>
      <c r="C256" t="s">
        <v>1889</v>
      </c>
      <c r="D256">
        <v>6074202200031730</v>
      </c>
      <c r="E256" t="s">
        <v>2471</v>
      </c>
      <c r="F256" t="s">
        <v>2361</v>
      </c>
      <c r="G256" t="s">
        <v>2362</v>
      </c>
      <c r="H256" t="s">
        <v>421</v>
      </c>
      <c r="I256" t="s">
        <v>2101</v>
      </c>
      <c r="J256" t="s">
        <v>2102</v>
      </c>
      <c r="K256" s="3">
        <v>46362</v>
      </c>
      <c r="L256" s="5">
        <v>122941.18</v>
      </c>
      <c r="M256" s="5">
        <v>10892.87</v>
      </c>
      <c r="N256" s="5">
        <v>10186.209999999999</v>
      </c>
      <c r="O256" s="5">
        <v>10186.209999999999</v>
      </c>
      <c r="P256" s="5">
        <v>10186.209999999999</v>
      </c>
      <c r="Q256" s="5">
        <v>10186.209999999999</v>
      </c>
      <c r="R256" s="5">
        <v>10186.209999999999</v>
      </c>
      <c r="S256" s="5">
        <v>10186.209999999999</v>
      </c>
      <c r="T256" s="5">
        <v>10186.209999999999</v>
      </c>
      <c r="U256" s="5">
        <v>10186.209999999999</v>
      </c>
      <c r="V256" s="5">
        <v>10186.209999999999</v>
      </c>
      <c r="W256" s="5">
        <v>10186.209999999999</v>
      </c>
      <c r="X256" s="5">
        <v>10186.209999999999</v>
      </c>
      <c r="Y256" s="5">
        <v>10892.87</v>
      </c>
    </row>
    <row r="257" spans="1:25" x14ac:dyDescent="0.25">
      <c r="A257" t="s">
        <v>1887</v>
      </c>
      <c r="B257" t="s">
        <v>1888</v>
      </c>
      <c r="C257" t="s">
        <v>1889</v>
      </c>
      <c r="D257">
        <v>6074202300013730</v>
      </c>
      <c r="E257" t="s">
        <v>2471</v>
      </c>
      <c r="F257" t="s">
        <v>2364</v>
      </c>
      <c r="G257" t="s">
        <v>2362</v>
      </c>
      <c r="H257" t="s">
        <v>2019</v>
      </c>
      <c r="I257" t="s">
        <v>2366</v>
      </c>
      <c r="J257" t="s">
        <v>1930</v>
      </c>
      <c r="K257" s="3">
        <v>46149</v>
      </c>
      <c r="L257" s="5">
        <v>785</v>
      </c>
      <c r="M257" s="5" t="s">
        <v>1908</v>
      </c>
      <c r="N257" s="5" t="s">
        <v>1909</v>
      </c>
      <c r="O257" s="5">
        <v>392.5</v>
      </c>
      <c r="P257" s="5"/>
      <c r="Q257" s="5" t="s">
        <v>1908</v>
      </c>
      <c r="R257" s="5" t="s">
        <v>1909</v>
      </c>
      <c r="S257" s="5" t="s">
        <v>1909</v>
      </c>
      <c r="T257" s="5">
        <v>785</v>
      </c>
      <c r="U257" s="5" t="s">
        <v>1908</v>
      </c>
      <c r="V257" s="5" t="s">
        <v>1909</v>
      </c>
      <c r="W257" s="5" t="s">
        <v>1909</v>
      </c>
      <c r="X257" s="5" t="s">
        <v>1909</v>
      </c>
      <c r="Y257" s="5" t="s">
        <v>1910</v>
      </c>
    </row>
    <row r="258" spans="1:25" x14ac:dyDescent="0.25">
      <c r="A258" t="s">
        <v>1887</v>
      </c>
      <c r="B258" t="s">
        <v>1888</v>
      </c>
      <c r="C258" t="s">
        <v>1889</v>
      </c>
      <c r="D258">
        <v>6074202300065530</v>
      </c>
      <c r="E258" t="s">
        <v>2471</v>
      </c>
      <c r="F258" t="s">
        <v>2364</v>
      </c>
      <c r="G258" t="s">
        <v>2362</v>
      </c>
      <c r="H258" t="s">
        <v>2367</v>
      </c>
      <c r="I258" t="s">
        <v>2368</v>
      </c>
      <c r="J258" t="s">
        <v>2056</v>
      </c>
      <c r="K258" s="3">
        <v>46281</v>
      </c>
      <c r="L258" s="5">
        <v>183859.44</v>
      </c>
      <c r="M258" s="5">
        <v>15321.62</v>
      </c>
      <c r="N258" s="5">
        <v>15321.62</v>
      </c>
      <c r="O258" s="5">
        <v>15321.62</v>
      </c>
      <c r="P258" s="5">
        <v>15321.62</v>
      </c>
      <c r="Q258" s="5">
        <v>15321.62</v>
      </c>
      <c r="R258" s="5">
        <v>15321.62</v>
      </c>
      <c r="S258" s="5">
        <v>15321.62</v>
      </c>
      <c r="T258" s="5">
        <v>15321.62</v>
      </c>
      <c r="U258" s="5">
        <v>15321.62</v>
      </c>
      <c r="V258" s="5">
        <v>15321.62</v>
      </c>
      <c r="W258" s="5">
        <v>15321.62</v>
      </c>
      <c r="X258" s="5">
        <v>15321.62</v>
      </c>
      <c r="Y258" s="5">
        <v>15321.62</v>
      </c>
    </row>
    <row r="259" spans="1:25" x14ac:dyDescent="0.25">
      <c r="A259" t="s">
        <v>1887</v>
      </c>
      <c r="B259" t="s">
        <v>1888</v>
      </c>
      <c r="C259" t="s">
        <v>1889</v>
      </c>
      <c r="D259">
        <v>6074202300066920</v>
      </c>
      <c r="E259" t="s">
        <v>2471</v>
      </c>
      <c r="F259" t="s">
        <v>2361</v>
      </c>
      <c r="G259" t="s">
        <v>2362</v>
      </c>
      <c r="H259" t="s">
        <v>2022</v>
      </c>
      <c r="I259" t="s">
        <v>2369</v>
      </c>
      <c r="J259" t="s">
        <v>2370</v>
      </c>
      <c r="K259" s="3"/>
      <c r="L259" s="5">
        <v>266559.82</v>
      </c>
      <c r="M259" s="5">
        <v>23712.38</v>
      </c>
      <c r="N259" s="5">
        <v>20441.7</v>
      </c>
      <c r="O259" s="5">
        <v>22077.040000000001</v>
      </c>
      <c r="P259" s="5">
        <v>22077.040000000001</v>
      </c>
      <c r="Q259" s="5">
        <v>22077.040000000001</v>
      </c>
      <c r="R259" s="5">
        <v>22077.040000000001</v>
      </c>
      <c r="S259" s="5">
        <v>22077.040000000001</v>
      </c>
      <c r="T259" s="5">
        <v>22077.040000000001</v>
      </c>
      <c r="U259" s="5">
        <v>22077.040000000001</v>
      </c>
      <c r="V259" s="5">
        <v>22077.040000000001</v>
      </c>
      <c r="W259" s="5">
        <v>22077.040000000001</v>
      </c>
      <c r="X259" s="5">
        <v>23712.38</v>
      </c>
      <c r="Y259" s="5">
        <v>23712.38</v>
      </c>
    </row>
    <row r="260" spans="1:25" x14ac:dyDescent="0.25">
      <c r="A260" t="s">
        <v>1887</v>
      </c>
      <c r="B260" t="s">
        <v>1888</v>
      </c>
      <c r="C260" t="s">
        <v>1889</v>
      </c>
      <c r="D260">
        <v>6074202300072300</v>
      </c>
      <c r="E260" t="s">
        <v>2471</v>
      </c>
      <c r="F260" t="s">
        <v>2364</v>
      </c>
      <c r="G260" t="s">
        <v>2362</v>
      </c>
      <c r="H260" t="s">
        <v>567</v>
      </c>
      <c r="I260" t="s">
        <v>2371</v>
      </c>
      <c r="J260" t="s">
        <v>1951</v>
      </c>
      <c r="K260" s="3">
        <v>46295</v>
      </c>
      <c r="L260" s="5">
        <v>869.04</v>
      </c>
      <c r="M260" s="5">
        <v>76.260000000000005</v>
      </c>
      <c r="N260" s="5">
        <v>71.14</v>
      </c>
      <c r="O260" s="5">
        <v>71.14</v>
      </c>
      <c r="P260" s="5">
        <v>71.14</v>
      </c>
      <c r="Q260" s="5">
        <v>71.14</v>
      </c>
      <c r="R260" s="5">
        <v>71.14</v>
      </c>
      <c r="S260" s="5">
        <v>71.14</v>
      </c>
      <c r="T260" s="5">
        <v>71.14</v>
      </c>
      <c r="U260" s="5">
        <v>71.14</v>
      </c>
      <c r="V260" s="5">
        <v>71.14</v>
      </c>
      <c r="W260" s="5">
        <v>76.260000000000005</v>
      </c>
      <c r="X260" s="5">
        <v>76.260000000000005</v>
      </c>
      <c r="Y260" s="5">
        <v>76.260000000000005</v>
      </c>
    </row>
    <row r="261" spans="1:25" x14ac:dyDescent="0.25">
      <c r="A261" t="s">
        <v>1887</v>
      </c>
      <c r="B261" t="s">
        <v>1888</v>
      </c>
      <c r="C261" t="s">
        <v>1889</v>
      </c>
      <c r="D261">
        <v>6074202400065410</v>
      </c>
      <c r="E261" t="s">
        <v>2471</v>
      </c>
      <c r="F261" t="s">
        <v>2364</v>
      </c>
      <c r="G261" t="s">
        <v>2362</v>
      </c>
      <c r="H261" t="s">
        <v>370</v>
      </c>
      <c r="I261" t="s">
        <v>2058</v>
      </c>
      <c r="J261" t="s">
        <v>1967</v>
      </c>
      <c r="K261" s="3">
        <v>46359</v>
      </c>
      <c r="L261" s="5">
        <v>1240</v>
      </c>
      <c r="M261" s="5" t="s">
        <v>1908</v>
      </c>
      <c r="N261" s="5">
        <v>580</v>
      </c>
      <c r="O261" s="5" t="s">
        <v>1908</v>
      </c>
      <c r="P261" s="5" t="s">
        <v>1909</v>
      </c>
      <c r="Q261" s="5" t="s">
        <v>1909</v>
      </c>
      <c r="R261" s="5" t="s">
        <v>1909</v>
      </c>
      <c r="S261" s="5" t="s">
        <v>1909</v>
      </c>
      <c r="T261" s="5" t="s">
        <v>1909</v>
      </c>
      <c r="U261" s="5" t="s">
        <v>1909</v>
      </c>
      <c r="V261" s="5" t="s">
        <v>1909</v>
      </c>
      <c r="W261" s="5">
        <v>660</v>
      </c>
      <c r="X261" s="5" t="s">
        <v>1908</v>
      </c>
      <c r="Y261" s="5" t="s">
        <v>1910</v>
      </c>
    </row>
    <row r="262" spans="1:25" x14ac:dyDescent="0.25">
      <c r="A262" t="s">
        <v>1887</v>
      </c>
      <c r="B262" t="s">
        <v>1888</v>
      </c>
      <c r="C262" t="s">
        <v>1889</v>
      </c>
      <c r="D262">
        <v>6074202400099120</v>
      </c>
      <c r="E262" t="s">
        <v>2471</v>
      </c>
      <c r="F262" t="s">
        <v>2364</v>
      </c>
      <c r="G262" t="s">
        <v>2362</v>
      </c>
      <c r="H262" t="s">
        <v>1970</v>
      </c>
      <c r="I262" t="s">
        <v>2373</v>
      </c>
      <c r="J262" t="s">
        <v>1972</v>
      </c>
      <c r="K262" s="3">
        <v>46387</v>
      </c>
      <c r="L262" s="5">
        <v>7200</v>
      </c>
      <c r="M262" s="5">
        <v>600</v>
      </c>
      <c r="N262" s="5">
        <v>600</v>
      </c>
      <c r="O262" s="5">
        <v>600</v>
      </c>
      <c r="P262" s="5">
        <v>600</v>
      </c>
      <c r="Q262" s="5">
        <v>600</v>
      </c>
      <c r="R262" s="5">
        <v>600</v>
      </c>
      <c r="S262" s="5">
        <v>600</v>
      </c>
      <c r="T262" s="5">
        <v>600</v>
      </c>
      <c r="U262" s="5">
        <v>600</v>
      </c>
      <c r="V262" s="5">
        <v>600</v>
      </c>
      <c r="W262" s="5">
        <v>600</v>
      </c>
      <c r="X262" s="5">
        <v>600</v>
      </c>
      <c r="Y262" s="5">
        <v>600</v>
      </c>
    </row>
    <row r="263" spans="1:25" x14ac:dyDescent="0.25">
      <c r="A263" t="s">
        <v>1887</v>
      </c>
      <c r="B263" t="s">
        <v>1888</v>
      </c>
      <c r="C263" t="s">
        <v>1889</v>
      </c>
      <c r="D263">
        <v>6074202400099150</v>
      </c>
      <c r="E263" t="s">
        <v>2471</v>
      </c>
      <c r="F263" t="s">
        <v>2364</v>
      </c>
      <c r="G263" t="s">
        <v>2362</v>
      </c>
      <c r="H263" t="s">
        <v>1970</v>
      </c>
      <c r="I263" t="s">
        <v>2374</v>
      </c>
      <c r="J263" t="s">
        <v>1976</v>
      </c>
      <c r="K263" s="3">
        <v>46387</v>
      </c>
      <c r="L263" s="5">
        <v>12000</v>
      </c>
      <c r="M263" s="5">
        <v>1000</v>
      </c>
      <c r="N263" s="5">
        <v>1000</v>
      </c>
      <c r="O263" s="5">
        <v>1000</v>
      </c>
      <c r="P263" s="5">
        <v>1000</v>
      </c>
      <c r="Q263" s="5">
        <v>1000</v>
      </c>
      <c r="R263" s="5">
        <v>1000</v>
      </c>
      <c r="S263" s="5">
        <v>1000</v>
      </c>
      <c r="T263" s="5">
        <v>1000</v>
      </c>
      <c r="U263" s="5">
        <v>1000</v>
      </c>
      <c r="V263" s="5">
        <v>1000</v>
      </c>
      <c r="W263" s="5">
        <v>1000</v>
      </c>
      <c r="X263" s="5">
        <v>1000</v>
      </c>
      <c r="Y263" s="5">
        <v>1000</v>
      </c>
    </row>
    <row r="264" spans="1:25" x14ac:dyDescent="0.25">
      <c r="A264" t="s">
        <v>1887</v>
      </c>
      <c r="B264" t="s">
        <v>1888</v>
      </c>
      <c r="C264" t="s">
        <v>1889</v>
      </c>
      <c r="D264">
        <v>6074202500013480</v>
      </c>
      <c r="E264" t="s">
        <v>2472</v>
      </c>
      <c r="F264" t="s">
        <v>2361</v>
      </c>
      <c r="G264" t="s">
        <v>2362</v>
      </c>
      <c r="H264" t="s">
        <v>1983</v>
      </c>
      <c r="I264" t="s">
        <v>2375</v>
      </c>
      <c r="J264" t="s">
        <v>1985</v>
      </c>
      <c r="K264" s="3">
        <v>46236</v>
      </c>
      <c r="L264" s="5">
        <v>357134.28</v>
      </c>
      <c r="M264" s="5">
        <v>29761.19</v>
      </c>
      <c r="N264" s="5">
        <v>29761.19</v>
      </c>
      <c r="O264" s="5">
        <v>29761.19</v>
      </c>
      <c r="P264" s="5">
        <v>29761.19</v>
      </c>
      <c r="Q264" s="5">
        <v>29761.19</v>
      </c>
      <c r="R264" s="5">
        <v>29761.19</v>
      </c>
      <c r="S264" s="5">
        <v>29761.19</v>
      </c>
      <c r="T264" s="5">
        <v>29761.19</v>
      </c>
      <c r="U264" s="5">
        <v>29761.19</v>
      </c>
      <c r="V264" s="5">
        <v>29761.19</v>
      </c>
      <c r="W264" s="5">
        <v>29761.19</v>
      </c>
      <c r="X264" s="5">
        <v>29761.19</v>
      </c>
      <c r="Y264" s="5">
        <v>29761.19</v>
      </c>
    </row>
    <row r="265" spans="1:25" x14ac:dyDescent="0.25">
      <c r="A265" t="s">
        <v>1887</v>
      </c>
      <c r="B265" t="s">
        <v>1888</v>
      </c>
      <c r="C265" t="s">
        <v>1889</v>
      </c>
      <c r="D265" t="s">
        <v>2463</v>
      </c>
      <c r="E265" t="s">
        <v>2472</v>
      </c>
      <c r="F265" t="s">
        <v>2376</v>
      </c>
      <c r="G265" t="s">
        <v>2362</v>
      </c>
      <c r="H265" t="s">
        <v>1986</v>
      </c>
      <c r="I265" t="s">
        <v>2377</v>
      </c>
      <c r="J265" t="s">
        <v>1999</v>
      </c>
      <c r="K265" s="3" t="s">
        <v>1989</v>
      </c>
      <c r="L265" s="5">
        <v>5000</v>
      </c>
      <c r="M265" s="5">
        <v>5000</v>
      </c>
      <c r="N265" s="5"/>
      <c r="O265" s="5">
        <v>5000</v>
      </c>
      <c r="P265" s="5"/>
      <c r="Q265" s="5"/>
      <c r="R265" s="5"/>
      <c r="S265" s="5"/>
      <c r="T265" s="5"/>
      <c r="U265" s="5"/>
      <c r="V265" s="5"/>
      <c r="W265" s="5"/>
      <c r="X265" s="5"/>
      <c r="Y265" s="5"/>
    </row>
    <row r="266" spans="1:25" x14ac:dyDescent="0.25">
      <c r="A266" t="s">
        <v>1887</v>
      </c>
      <c r="B266" t="s">
        <v>1888</v>
      </c>
      <c r="C266" t="s">
        <v>1889</v>
      </c>
      <c r="D266" t="s">
        <v>2463</v>
      </c>
      <c r="E266" t="s">
        <v>2472</v>
      </c>
      <c r="F266" t="s">
        <v>2376</v>
      </c>
      <c r="G266" t="s">
        <v>2362</v>
      </c>
      <c r="H266" t="s">
        <v>1986</v>
      </c>
      <c r="I266" t="s">
        <v>2378</v>
      </c>
      <c r="J266" t="s">
        <v>1999</v>
      </c>
      <c r="K266" s="3" t="s">
        <v>1989</v>
      </c>
      <c r="L266" s="5">
        <v>100000</v>
      </c>
      <c r="M266" s="5">
        <v>100000</v>
      </c>
      <c r="N266" s="5"/>
      <c r="O266" s="5">
        <v>0</v>
      </c>
      <c r="P266" s="5"/>
      <c r="Q266" s="5">
        <v>100000</v>
      </c>
      <c r="R266" s="5"/>
      <c r="S266" s="5"/>
      <c r="T266" s="5"/>
      <c r="U266" s="5"/>
      <c r="V266" s="5"/>
      <c r="W266" s="5"/>
      <c r="X266" s="5"/>
      <c r="Y266" s="5"/>
    </row>
    <row r="267" spans="1:25" x14ac:dyDescent="0.25">
      <c r="A267" t="s">
        <v>1887</v>
      </c>
      <c r="B267" t="s">
        <v>1888</v>
      </c>
      <c r="C267" t="s">
        <v>1889</v>
      </c>
      <c r="D267">
        <v>6074202300030120</v>
      </c>
      <c r="E267" t="s">
        <v>2471</v>
      </c>
      <c r="F267" t="s">
        <v>2379</v>
      </c>
      <c r="G267" t="s">
        <v>2380</v>
      </c>
      <c r="H267" t="s">
        <v>665</v>
      </c>
      <c r="I267" t="s">
        <v>2381</v>
      </c>
      <c r="J267" t="s">
        <v>2099</v>
      </c>
      <c r="K267" s="3">
        <v>46188</v>
      </c>
      <c r="L267" s="5">
        <v>366890.16</v>
      </c>
      <c r="M267" s="5">
        <v>32394.18</v>
      </c>
      <c r="N267" s="5">
        <v>28026.18</v>
      </c>
      <c r="O267" s="5">
        <v>28026.18</v>
      </c>
      <c r="P267" s="5">
        <v>28026.18</v>
      </c>
      <c r="Q267" s="5">
        <v>28026.18</v>
      </c>
      <c r="R267" s="5">
        <v>28026.18</v>
      </c>
      <c r="S267" s="5">
        <v>32394.18</v>
      </c>
      <c r="T267" s="5">
        <v>32394.18</v>
      </c>
      <c r="U267" s="5">
        <v>32394.18</v>
      </c>
      <c r="V267" s="5">
        <v>32394.18</v>
      </c>
      <c r="W267" s="5">
        <v>32394.18</v>
      </c>
      <c r="X267" s="5">
        <v>32394.18</v>
      </c>
      <c r="Y267" s="5">
        <v>32394.18</v>
      </c>
    </row>
    <row r="268" spans="1:25" x14ac:dyDescent="0.25">
      <c r="A268" t="s">
        <v>1887</v>
      </c>
      <c r="B268" t="s">
        <v>1888</v>
      </c>
      <c r="C268" t="s">
        <v>1889</v>
      </c>
      <c r="D268">
        <v>6074202500013480</v>
      </c>
      <c r="E268" t="s">
        <v>2472</v>
      </c>
      <c r="F268" t="s">
        <v>2382</v>
      </c>
      <c r="G268" t="s">
        <v>2380</v>
      </c>
      <c r="H268" t="s">
        <v>1983</v>
      </c>
      <c r="I268" t="s">
        <v>2383</v>
      </c>
      <c r="J268" t="s">
        <v>1985</v>
      </c>
      <c r="K268" s="3">
        <v>46236</v>
      </c>
      <c r="L268" s="5">
        <v>357134.28</v>
      </c>
      <c r="M268" s="5">
        <v>29761.19</v>
      </c>
      <c r="N268" s="5">
        <v>29761.19</v>
      </c>
      <c r="O268" s="5">
        <v>29761.19</v>
      </c>
      <c r="P268" s="5">
        <v>29761.19</v>
      </c>
      <c r="Q268" s="5">
        <v>29761.19</v>
      </c>
      <c r="R268" s="5">
        <v>29761.19</v>
      </c>
      <c r="S268" s="5">
        <v>29761.19</v>
      </c>
      <c r="T268" s="5">
        <v>29761.19</v>
      </c>
      <c r="U268" s="5">
        <v>29761.19</v>
      </c>
      <c r="V268" s="5">
        <v>29761.19</v>
      </c>
      <c r="W268" s="5">
        <v>29761.19</v>
      </c>
      <c r="X268" s="5">
        <v>29761.19</v>
      </c>
      <c r="Y268" s="5">
        <v>29761.19</v>
      </c>
    </row>
    <row r="269" spans="1:25" x14ac:dyDescent="0.25">
      <c r="A269" t="s">
        <v>1887</v>
      </c>
      <c r="B269" t="s">
        <v>1888</v>
      </c>
      <c r="C269" t="s">
        <v>1889</v>
      </c>
      <c r="D269" t="s">
        <v>2464</v>
      </c>
      <c r="E269" t="s">
        <v>2472</v>
      </c>
      <c r="F269" t="s">
        <v>2384</v>
      </c>
      <c r="G269" t="s">
        <v>2380</v>
      </c>
      <c r="H269" t="s">
        <v>1983</v>
      </c>
      <c r="I269" t="s">
        <v>2385</v>
      </c>
      <c r="J269" t="s">
        <v>2386</v>
      </c>
      <c r="K269" s="3">
        <v>46387</v>
      </c>
      <c r="L269" s="5">
        <v>100000</v>
      </c>
      <c r="M269" s="5">
        <v>100000</v>
      </c>
      <c r="N269" s="5"/>
      <c r="O269" s="5"/>
      <c r="P269" s="5"/>
      <c r="Q269" s="5">
        <v>100000</v>
      </c>
      <c r="R269" s="5"/>
      <c r="S269" s="5"/>
      <c r="T269" s="5"/>
      <c r="U269" s="5"/>
      <c r="V269" s="5"/>
      <c r="W269" s="5"/>
      <c r="X269" s="5"/>
      <c r="Y269" s="5"/>
    </row>
    <row r="270" spans="1:25" x14ac:dyDescent="0.25">
      <c r="A270" t="s">
        <v>1887</v>
      </c>
      <c r="B270" t="s">
        <v>1888</v>
      </c>
      <c r="C270" t="s">
        <v>1889</v>
      </c>
      <c r="D270" t="s">
        <v>2463</v>
      </c>
      <c r="E270" t="s">
        <v>2472</v>
      </c>
      <c r="F270" t="s">
        <v>2387</v>
      </c>
      <c r="G270" t="s">
        <v>2388</v>
      </c>
      <c r="H270" t="s">
        <v>1986</v>
      </c>
      <c r="I270" t="s">
        <v>2389</v>
      </c>
      <c r="J270" t="s">
        <v>1999</v>
      </c>
      <c r="K270" s="3" t="s">
        <v>1989</v>
      </c>
      <c r="L270" s="5">
        <v>12000</v>
      </c>
      <c r="M270" s="5">
        <v>12000</v>
      </c>
      <c r="N270" s="5"/>
      <c r="O270" s="5"/>
      <c r="P270" s="5">
        <v>6000</v>
      </c>
      <c r="Q270" s="5">
        <v>6000</v>
      </c>
      <c r="R270" s="5"/>
      <c r="S270" s="5"/>
      <c r="T270" s="5"/>
      <c r="U270" s="5"/>
      <c r="V270" s="5"/>
      <c r="W270" s="5"/>
      <c r="X270" s="5"/>
      <c r="Y270" s="5"/>
    </row>
    <row r="271" spans="1:25" x14ac:dyDescent="0.25">
      <c r="A271" t="s">
        <v>1887</v>
      </c>
      <c r="B271" t="s">
        <v>1888</v>
      </c>
      <c r="C271" t="s">
        <v>1889</v>
      </c>
      <c r="D271" t="s">
        <v>2463</v>
      </c>
      <c r="E271" t="s">
        <v>2472</v>
      </c>
      <c r="F271" t="s">
        <v>2390</v>
      </c>
      <c r="G271" t="s">
        <v>2388</v>
      </c>
      <c r="H271" t="s">
        <v>1986</v>
      </c>
      <c r="I271" t="s">
        <v>2391</v>
      </c>
      <c r="J271" t="s">
        <v>1999</v>
      </c>
      <c r="K271" s="3" t="s">
        <v>1989</v>
      </c>
      <c r="L271" s="5">
        <v>50000</v>
      </c>
      <c r="M271" s="5">
        <v>50000</v>
      </c>
      <c r="N271" s="5"/>
      <c r="O271" s="5">
        <v>5000</v>
      </c>
      <c r="P271" s="5">
        <v>10000</v>
      </c>
      <c r="Q271" s="5">
        <v>10000</v>
      </c>
      <c r="R271" s="5">
        <v>10000</v>
      </c>
      <c r="S271" s="5">
        <v>10000</v>
      </c>
      <c r="T271" s="5">
        <v>10000</v>
      </c>
      <c r="U271" s="5">
        <v>5000</v>
      </c>
      <c r="V271" s="5"/>
      <c r="W271" s="5"/>
      <c r="X271" s="5"/>
      <c r="Y271" s="5"/>
    </row>
    <row r="272" spans="1:25" x14ac:dyDescent="0.25">
      <c r="A272" t="s">
        <v>1887</v>
      </c>
      <c r="B272" t="s">
        <v>1888</v>
      </c>
      <c r="C272" t="s">
        <v>1889</v>
      </c>
      <c r="D272">
        <v>6064201800000520</v>
      </c>
      <c r="E272" t="s">
        <v>2472</v>
      </c>
      <c r="F272" t="s">
        <v>2392</v>
      </c>
      <c r="G272" t="s">
        <v>2393</v>
      </c>
      <c r="H272" t="s">
        <v>1970</v>
      </c>
      <c r="I272" t="s">
        <v>2394</v>
      </c>
      <c r="J272" t="s">
        <v>2395</v>
      </c>
      <c r="K272" s="3">
        <v>46387</v>
      </c>
      <c r="L272" s="5">
        <v>14345100</v>
      </c>
      <c r="M272" s="5">
        <v>1195425</v>
      </c>
      <c r="N272" s="5">
        <v>1195425</v>
      </c>
      <c r="O272" s="5">
        <v>1195425</v>
      </c>
      <c r="P272" s="5">
        <v>1195425</v>
      </c>
      <c r="Q272" s="5">
        <v>1195425</v>
      </c>
      <c r="R272" s="5">
        <v>1195425</v>
      </c>
      <c r="S272" s="5">
        <v>1195425</v>
      </c>
      <c r="T272" s="5">
        <v>1195425</v>
      </c>
      <c r="U272" s="5">
        <v>1195425</v>
      </c>
      <c r="V272" s="5">
        <v>1195425</v>
      </c>
      <c r="W272" s="5">
        <v>1195425</v>
      </c>
      <c r="X272" s="5">
        <v>1195425</v>
      </c>
      <c r="Y272" s="5">
        <v>1195425</v>
      </c>
    </row>
    <row r="273" spans="1:25" x14ac:dyDescent="0.25">
      <c r="A273" t="s">
        <v>1887</v>
      </c>
      <c r="B273" t="s">
        <v>1888</v>
      </c>
      <c r="C273" t="s">
        <v>1889</v>
      </c>
      <c r="D273">
        <v>6074202000000750</v>
      </c>
      <c r="E273" t="s">
        <v>2471</v>
      </c>
      <c r="F273" t="s">
        <v>2396</v>
      </c>
      <c r="G273" t="s">
        <v>2393</v>
      </c>
      <c r="H273" t="s">
        <v>659</v>
      </c>
      <c r="I273" t="s">
        <v>2397</v>
      </c>
      <c r="J273" t="s">
        <v>2099</v>
      </c>
      <c r="K273" s="3">
        <v>46239</v>
      </c>
      <c r="L273" s="5">
        <v>1210526.8</v>
      </c>
      <c r="M273" s="5">
        <v>104633.9</v>
      </c>
      <c r="N273" s="5">
        <v>98193.9</v>
      </c>
      <c r="O273" s="5">
        <v>98193.9</v>
      </c>
      <c r="P273" s="5">
        <v>98193.9</v>
      </c>
      <c r="Q273" s="5">
        <v>98193.9</v>
      </c>
      <c r="R273" s="5">
        <v>98193.9</v>
      </c>
      <c r="S273" s="5">
        <v>98193.9</v>
      </c>
      <c r="T273" s="5">
        <v>98193.9</v>
      </c>
      <c r="U273" s="5">
        <v>104633.9</v>
      </c>
      <c r="V273" s="5">
        <v>104633.9</v>
      </c>
      <c r="W273" s="5">
        <v>104633.9</v>
      </c>
      <c r="X273" s="5">
        <v>104633.9</v>
      </c>
      <c r="Y273" s="5">
        <v>104633.9</v>
      </c>
    </row>
    <row r="274" spans="1:25" x14ac:dyDescent="0.25">
      <c r="A274" t="s">
        <v>1887</v>
      </c>
      <c r="B274" t="s">
        <v>1888</v>
      </c>
      <c r="C274" t="s">
        <v>1889</v>
      </c>
      <c r="D274">
        <v>6074202100045240</v>
      </c>
      <c r="E274" t="s">
        <v>2471</v>
      </c>
      <c r="F274" t="s">
        <v>2398</v>
      </c>
      <c r="G274" t="s">
        <v>2393</v>
      </c>
      <c r="H274" t="s">
        <v>1970</v>
      </c>
      <c r="I274" t="s">
        <v>2399</v>
      </c>
      <c r="J274" t="s">
        <v>2400</v>
      </c>
      <c r="K274" s="3">
        <v>46113</v>
      </c>
      <c r="L274" s="5">
        <v>15000</v>
      </c>
      <c r="M274" s="5">
        <v>15000</v>
      </c>
      <c r="N274" s="5">
        <v>0</v>
      </c>
      <c r="O274" s="5">
        <v>0</v>
      </c>
      <c r="P274" s="5">
        <v>0</v>
      </c>
      <c r="Q274" s="5">
        <v>0</v>
      </c>
      <c r="R274" s="5">
        <v>0</v>
      </c>
      <c r="S274" s="5">
        <v>0</v>
      </c>
      <c r="T274" s="5">
        <v>0</v>
      </c>
      <c r="U274" s="5">
        <v>0</v>
      </c>
      <c r="V274" s="5">
        <v>0</v>
      </c>
      <c r="W274" s="5">
        <v>0</v>
      </c>
      <c r="X274" s="5">
        <v>0</v>
      </c>
      <c r="Y274" s="5">
        <v>0</v>
      </c>
    </row>
    <row r="275" spans="1:25" x14ac:dyDescent="0.25">
      <c r="A275" t="s">
        <v>1887</v>
      </c>
      <c r="B275" t="s">
        <v>1888</v>
      </c>
      <c r="C275" t="s">
        <v>1889</v>
      </c>
      <c r="D275">
        <v>6074202500013590</v>
      </c>
      <c r="E275" t="s">
        <v>2471</v>
      </c>
      <c r="F275" t="s">
        <v>2396</v>
      </c>
      <c r="G275" t="s">
        <v>2393</v>
      </c>
      <c r="H275" t="s">
        <v>1159</v>
      </c>
      <c r="I275" t="s">
        <v>2401</v>
      </c>
      <c r="J275" t="s">
        <v>2402</v>
      </c>
      <c r="K275" s="3">
        <v>46387</v>
      </c>
      <c r="L275" s="5">
        <v>48463.199999999997</v>
      </c>
      <c r="M275" s="5">
        <v>4038.6</v>
      </c>
      <c r="N275" s="5">
        <v>4038.6</v>
      </c>
      <c r="O275" s="5">
        <v>4038.6</v>
      </c>
      <c r="P275" s="5">
        <v>4038.6</v>
      </c>
      <c r="Q275" s="5">
        <v>4038.6</v>
      </c>
      <c r="R275" s="5">
        <v>4038.6</v>
      </c>
      <c r="S275" s="5">
        <v>4038.6</v>
      </c>
      <c r="T275" s="5">
        <v>4038.6</v>
      </c>
      <c r="U275" s="5">
        <v>4038.6</v>
      </c>
      <c r="V275" s="5">
        <v>4038.6</v>
      </c>
      <c r="W275" s="5">
        <v>4038.6</v>
      </c>
      <c r="X275" s="5">
        <v>4038.6</v>
      </c>
      <c r="Y275" s="5">
        <v>4038.6</v>
      </c>
    </row>
    <row r="276" spans="1:25" x14ac:dyDescent="0.25">
      <c r="A276" t="s">
        <v>1887</v>
      </c>
      <c r="B276" t="s">
        <v>1888</v>
      </c>
      <c r="C276" t="s">
        <v>1889</v>
      </c>
      <c r="D276" t="s">
        <v>2468</v>
      </c>
      <c r="E276" t="s">
        <v>2472</v>
      </c>
      <c r="F276" t="s">
        <v>2403</v>
      </c>
      <c r="G276" t="s">
        <v>2393</v>
      </c>
      <c r="H276" t="s">
        <v>2404</v>
      </c>
      <c r="I276" t="s">
        <v>2385</v>
      </c>
      <c r="J276" t="s">
        <v>2386</v>
      </c>
      <c r="K276" s="3">
        <v>46387</v>
      </c>
      <c r="L276" s="5">
        <v>100000</v>
      </c>
      <c r="M276" s="5">
        <v>100000</v>
      </c>
      <c r="N276" s="5"/>
      <c r="O276" s="5"/>
      <c r="P276" s="5">
        <v>50000</v>
      </c>
      <c r="Q276" s="5"/>
      <c r="R276" s="5">
        <v>50000</v>
      </c>
      <c r="S276" s="5"/>
      <c r="T276" s="5"/>
      <c r="U276" s="5"/>
      <c r="V276" s="5"/>
      <c r="W276" s="5"/>
      <c r="X276" s="5"/>
      <c r="Y276" s="5"/>
    </row>
    <row r="277" spans="1:25" x14ac:dyDescent="0.25">
      <c r="A277" t="s">
        <v>1887</v>
      </c>
      <c r="B277" t="s">
        <v>1888</v>
      </c>
      <c r="C277" t="s">
        <v>1889</v>
      </c>
      <c r="D277">
        <v>6074201700000540</v>
      </c>
      <c r="E277" t="s">
        <v>2472</v>
      </c>
      <c r="F277" t="s">
        <v>1919</v>
      </c>
      <c r="G277" t="s">
        <v>2405</v>
      </c>
      <c r="H277" t="s">
        <v>2406</v>
      </c>
      <c r="I277" t="s">
        <v>2407</v>
      </c>
      <c r="J277" t="s">
        <v>2408</v>
      </c>
      <c r="K277" s="3">
        <v>46356</v>
      </c>
      <c r="L277" s="5">
        <v>67325.78</v>
      </c>
      <c r="M277" s="5">
        <v>5584.73</v>
      </c>
      <c r="N277" s="5">
        <v>5584.73</v>
      </c>
      <c r="O277" s="5">
        <v>5584.73</v>
      </c>
      <c r="P277" s="5">
        <v>5584.73</v>
      </c>
      <c r="Q277" s="5">
        <v>5584.73</v>
      </c>
      <c r="R277" s="5">
        <v>5584.73</v>
      </c>
      <c r="S277" s="5">
        <v>5584.73</v>
      </c>
      <c r="T277" s="5">
        <v>5584.73</v>
      </c>
      <c r="U277" s="5">
        <v>5584.73</v>
      </c>
      <c r="V277" s="5">
        <v>5584.73</v>
      </c>
      <c r="W277" s="5">
        <v>5584.73</v>
      </c>
      <c r="X277" s="5">
        <v>5584.73</v>
      </c>
      <c r="Y277" s="5">
        <v>5893.75</v>
      </c>
    </row>
    <row r="278" spans="1:25" x14ac:dyDescent="0.25">
      <c r="A278" t="s">
        <v>1887</v>
      </c>
      <c r="B278" t="s">
        <v>1888</v>
      </c>
      <c r="C278" t="s">
        <v>1889</v>
      </c>
      <c r="D278">
        <v>6074201700000540</v>
      </c>
      <c r="E278" t="s">
        <v>2472</v>
      </c>
      <c r="F278" t="s">
        <v>1919</v>
      </c>
      <c r="G278" t="s">
        <v>2405</v>
      </c>
      <c r="H278" t="s">
        <v>2406</v>
      </c>
      <c r="I278" t="s">
        <v>2409</v>
      </c>
      <c r="J278" t="s">
        <v>2408</v>
      </c>
      <c r="K278" s="3">
        <v>46356</v>
      </c>
      <c r="L278" s="5">
        <v>79200</v>
      </c>
      <c r="M278" s="5">
        <v>6600</v>
      </c>
      <c r="N278" s="5">
        <v>6600</v>
      </c>
      <c r="O278" s="5">
        <v>6600</v>
      </c>
      <c r="P278" s="5">
        <v>6600</v>
      </c>
      <c r="Q278" s="5">
        <v>6600</v>
      </c>
      <c r="R278" s="5">
        <v>6600</v>
      </c>
      <c r="S278" s="5">
        <v>6600</v>
      </c>
      <c r="T278" s="5">
        <v>6600</v>
      </c>
      <c r="U278" s="5">
        <v>6600</v>
      </c>
      <c r="V278" s="5">
        <v>6600</v>
      </c>
      <c r="W278" s="5">
        <v>6600</v>
      </c>
      <c r="X278" s="5">
        <v>6600</v>
      </c>
      <c r="Y278" s="5">
        <v>6600</v>
      </c>
    </row>
    <row r="279" spans="1:25" x14ac:dyDescent="0.25">
      <c r="A279" t="s">
        <v>1887</v>
      </c>
      <c r="B279" t="s">
        <v>1888</v>
      </c>
      <c r="C279" t="s">
        <v>1889</v>
      </c>
      <c r="D279">
        <v>6074201700000540</v>
      </c>
      <c r="E279" t="s">
        <v>2472</v>
      </c>
      <c r="F279" t="s">
        <v>1919</v>
      </c>
      <c r="G279" t="s">
        <v>2405</v>
      </c>
      <c r="H279" t="s">
        <v>2406</v>
      </c>
      <c r="I279" t="s">
        <v>2410</v>
      </c>
      <c r="J279" t="s">
        <v>2408</v>
      </c>
      <c r="K279" s="3">
        <v>46356</v>
      </c>
      <c r="L279" s="5">
        <v>7200</v>
      </c>
      <c r="M279" s="5">
        <v>600</v>
      </c>
      <c r="N279" s="5">
        <v>600</v>
      </c>
      <c r="O279" s="5">
        <v>600</v>
      </c>
      <c r="P279" s="5">
        <v>600</v>
      </c>
      <c r="Q279" s="5">
        <v>600</v>
      </c>
      <c r="R279" s="5">
        <v>600</v>
      </c>
      <c r="S279" s="5">
        <v>600</v>
      </c>
      <c r="T279" s="5">
        <v>600</v>
      </c>
      <c r="U279" s="5">
        <v>600</v>
      </c>
      <c r="V279" s="5">
        <v>600</v>
      </c>
      <c r="W279" s="5">
        <v>600</v>
      </c>
      <c r="X279" s="5">
        <v>600</v>
      </c>
      <c r="Y279" s="5">
        <v>600</v>
      </c>
    </row>
    <row r="280" spans="1:25" x14ac:dyDescent="0.25">
      <c r="A280" t="s">
        <v>1887</v>
      </c>
      <c r="B280" t="s">
        <v>1888</v>
      </c>
      <c r="C280" t="s">
        <v>1889</v>
      </c>
      <c r="D280">
        <v>6074201700000540</v>
      </c>
      <c r="E280" t="s">
        <v>2472</v>
      </c>
      <c r="F280" t="s">
        <v>1919</v>
      </c>
      <c r="G280" t="s">
        <v>2405</v>
      </c>
      <c r="H280" t="s">
        <v>2406</v>
      </c>
      <c r="I280" t="s">
        <v>2411</v>
      </c>
      <c r="J280" t="s">
        <v>2408</v>
      </c>
      <c r="K280" s="3">
        <v>46356</v>
      </c>
      <c r="L280" s="5">
        <v>8000</v>
      </c>
      <c r="M280" s="5">
        <v>800</v>
      </c>
      <c r="N280" s="5" t="s">
        <v>1908</v>
      </c>
      <c r="O280" s="5">
        <v>800</v>
      </c>
      <c r="P280" s="5">
        <v>800</v>
      </c>
      <c r="Q280" s="5">
        <v>800</v>
      </c>
      <c r="R280" s="5">
        <v>800</v>
      </c>
      <c r="S280" s="5">
        <v>800</v>
      </c>
      <c r="T280" s="5">
        <v>800</v>
      </c>
      <c r="U280" s="5">
        <v>800</v>
      </c>
      <c r="V280" s="5">
        <v>800</v>
      </c>
      <c r="W280" s="5">
        <v>800</v>
      </c>
      <c r="X280" s="5">
        <v>800</v>
      </c>
      <c r="Y280" s="5" t="s">
        <v>2092</v>
      </c>
    </row>
    <row r="281" spans="1:25" x14ac:dyDescent="0.25">
      <c r="A281" t="s">
        <v>1887</v>
      </c>
      <c r="B281" t="s">
        <v>1888</v>
      </c>
      <c r="C281" t="s">
        <v>1889</v>
      </c>
      <c r="D281">
        <v>6074202200022450</v>
      </c>
      <c r="E281" t="s">
        <v>2471</v>
      </c>
      <c r="F281" t="s">
        <v>1919</v>
      </c>
      <c r="G281" t="s">
        <v>2405</v>
      </c>
      <c r="H281" t="s">
        <v>2051</v>
      </c>
      <c r="I281" t="s">
        <v>2412</v>
      </c>
      <c r="J281" t="s">
        <v>2018</v>
      </c>
      <c r="K281" s="3">
        <v>46138</v>
      </c>
      <c r="L281" s="5">
        <v>1200</v>
      </c>
      <c r="M281" s="5">
        <v>100</v>
      </c>
      <c r="N281" s="5">
        <v>100</v>
      </c>
      <c r="O281" s="5">
        <v>100</v>
      </c>
      <c r="P281" s="5">
        <v>100</v>
      </c>
      <c r="Q281" s="5">
        <v>100</v>
      </c>
      <c r="R281" s="5">
        <v>100</v>
      </c>
      <c r="S281" s="5">
        <v>100</v>
      </c>
      <c r="T281" s="5">
        <v>100</v>
      </c>
      <c r="U281" s="5">
        <v>100</v>
      </c>
      <c r="V281" s="5">
        <v>100</v>
      </c>
      <c r="W281" s="5">
        <v>100</v>
      </c>
      <c r="X281" s="5">
        <v>100</v>
      </c>
      <c r="Y281" s="5">
        <v>100</v>
      </c>
    </row>
    <row r="282" spans="1:25" x14ac:dyDescent="0.25">
      <c r="A282" t="s">
        <v>1887</v>
      </c>
      <c r="B282" t="s">
        <v>1888</v>
      </c>
      <c r="C282" t="s">
        <v>1889</v>
      </c>
      <c r="D282">
        <v>6074202400025320</v>
      </c>
      <c r="E282" t="s">
        <v>2472</v>
      </c>
      <c r="F282" t="s">
        <v>2413</v>
      </c>
      <c r="G282" t="s">
        <v>2414</v>
      </c>
      <c r="H282" t="s">
        <v>2415</v>
      </c>
      <c r="I282" t="s">
        <v>2416</v>
      </c>
      <c r="J282" t="s">
        <v>2417</v>
      </c>
      <c r="K282" s="3">
        <v>46202</v>
      </c>
      <c r="L282" s="5">
        <v>16817724</v>
      </c>
      <c r="M282" s="5">
        <v>2000000</v>
      </c>
      <c r="N282" s="5"/>
      <c r="O282" s="5"/>
      <c r="P282" s="5"/>
      <c r="Q282" s="5">
        <v>2000000</v>
      </c>
      <c r="R282" s="5">
        <v>2000000</v>
      </c>
      <c r="S282" s="5">
        <v>2000000</v>
      </c>
      <c r="T282" s="5">
        <v>2000000</v>
      </c>
      <c r="U282" s="5">
        <v>2000000</v>
      </c>
      <c r="V282" s="5">
        <v>2000000</v>
      </c>
      <c r="W282" s="5"/>
      <c r="X282" s="5"/>
      <c r="Y282" s="5"/>
    </row>
    <row r="283" spans="1:25" x14ac:dyDescent="0.25">
      <c r="A283" t="s">
        <v>1887</v>
      </c>
      <c r="B283" t="s">
        <v>1888</v>
      </c>
      <c r="C283" t="s">
        <v>1889</v>
      </c>
      <c r="D283">
        <v>6074202400082860</v>
      </c>
      <c r="E283" t="s">
        <v>2472</v>
      </c>
      <c r="F283" t="s">
        <v>2418</v>
      </c>
      <c r="G283" t="s">
        <v>2414</v>
      </c>
      <c r="H283" t="s">
        <v>1970</v>
      </c>
      <c r="I283" t="s">
        <v>2419</v>
      </c>
      <c r="J283" t="s">
        <v>2420</v>
      </c>
      <c r="K283" s="3">
        <v>46183</v>
      </c>
      <c r="L283" s="5">
        <v>20000</v>
      </c>
      <c r="M283" s="5">
        <v>20000</v>
      </c>
      <c r="N283" s="5"/>
      <c r="O283" s="5"/>
      <c r="P283" s="5"/>
      <c r="Q283" s="5"/>
      <c r="R283" s="5"/>
      <c r="S283" s="5">
        <v>20000</v>
      </c>
      <c r="T283" s="5"/>
      <c r="U283" s="5"/>
      <c r="V283" s="5"/>
      <c r="W283" s="5"/>
      <c r="X283" s="5"/>
      <c r="Y283" s="5"/>
    </row>
    <row r="284" spans="1:25" x14ac:dyDescent="0.25">
      <c r="A284" t="s">
        <v>1887</v>
      </c>
      <c r="B284" t="s">
        <v>1888</v>
      </c>
      <c r="C284" t="s">
        <v>1889</v>
      </c>
      <c r="D284">
        <v>6074202400099120</v>
      </c>
      <c r="E284" t="s">
        <v>2471</v>
      </c>
      <c r="F284" t="s">
        <v>2421</v>
      </c>
      <c r="G284" t="s">
        <v>2414</v>
      </c>
      <c r="H284" t="s">
        <v>2422</v>
      </c>
      <c r="I284" t="s">
        <v>2423</v>
      </c>
      <c r="J284" t="s">
        <v>1972</v>
      </c>
      <c r="K284" s="3">
        <v>46387</v>
      </c>
      <c r="L284" s="5">
        <v>72000</v>
      </c>
      <c r="M284" s="5">
        <v>6000</v>
      </c>
      <c r="N284" s="5">
        <v>6000</v>
      </c>
      <c r="O284" s="5">
        <v>6000</v>
      </c>
      <c r="P284" s="5">
        <v>6000</v>
      </c>
      <c r="Q284" s="5">
        <v>6000</v>
      </c>
      <c r="R284" s="5">
        <v>6000</v>
      </c>
      <c r="S284" s="5">
        <v>6000</v>
      </c>
      <c r="T284" s="5">
        <v>6000</v>
      </c>
      <c r="U284" s="5">
        <v>6000</v>
      </c>
      <c r="V284" s="5">
        <v>6000</v>
      </c>
      <c r="W284" s="5">
        <v>6000</v>
      </c>
      <c r="X284" s="5">
        <v>6000</v>
      </c>
      <c r="Y284" s="5">
        <v>6000</v>
      </c>
    </row>
    <row r="285" spans="1:25" x14ac:dyDescent="0.25">
      <c r="A285" t="s">
        <v>1887</v>
      </c>
      <c r="B285" t="s">
        <v>1888</v>
      </c>
      <c r="C285" t="s">
        <v>1889</v>
      </c>
      <c r="D285">
        <v>6074202400099150</v>
      </c>
      <c r="E285" t="s">
        <v>2471</v>
      </c>
      <c r="F285" t="s">
        <v>2421</v>
      </c>
      <c r="G285" t="s">
        <v>2414</v>
      </c>
      <c r="H285" t="s">
        <v>2422</v>
      </c>
      <c r="I285" t="s">
        <v>2424</v>
      </c>
      <c r="J285" t="s">
        <v>1976</v>
      </c>
      <c r="K285" s="3">
        <v>46387</v>
      </c>
      <c r="L285" s="5">
        <v>30000</v>
      </c>
      <c r="M285" s="5">
        <v>2500</v>
      </c>
      <c r="N285" s="5">
        <v>2500</v>
      </c>
      <c r="O285" s="5">
        <v>2500</v>
      </c>
      <c r="P285" s="5">
        <v>2500</v>
      </c>
      <c r="Q285" s="5">
        <v>2500</v>
      </c>
      <c r="R285" s="5">
        <v>2500</v>
      </c>
      <c r="S285" s="5">
        <v>2500</v>
      </c>
      <c r="T285" s="5">
        <v>2500</v>
      </c>
      <c r="U285" s="5">
        <v>2500</v>
      </c>
      <c r="V285" s="5">
        <v>2500</v>
      </c>
      <c r="W285" s="5">
        <v>2500</v>
      </c>
      <c r="X285" s="5">
        <v>2500</v>
      </c>
      <c r="Y285" s="5">
        <v>2500</v>
      </c>
    </row>
    <row r="286" spans="1:25" x14ac:dyDescent="0.25">
      <c r="A286" t="s">
        <v>1887</v>
      </c>
      <c r="B286" t="s">
        <v>1888</v>
      </c>
      <c r="C286" t="s">
        <v>1889</v>
      </c>
      <c r="D286">
        <v>6074202500004810</v>
      </c>
      <c r="E286" t="s">
        <v>2471</v>
      </c>
      <c r="F286" t="s">
        <v>2413</v>
      </c>
      <c r="G286" t="s">
        <v>2414</v>
      </c>
      <c r="H286" t="s">
        <v>218</v>
      </c>
      <c r="I286" t="s">
        <v>220</v>
      </c>
      <c r="J286" t="s">
        <v>2425</v>
      </c>
      <c r="K286" s="3">
        <v>46049</v>
      </c>
      <c r="L286" s="5">
        <v>10374000</v>
      </c>
      <c r="M286" s="5">
        <v>850000</v>
      </c>
      <c r="N286" s="5">
        <v>850000</v>
      </c>
      <c r="O286" s="5">
        <v>850000</v>
      </c>
      <c r="P286" s="5">
        <v>800000</v>
      </c>
      <c r="Q286" s="5" t="s">
        <v>1908</v>
      </c>
      <c r="R286" s="5" t="s">
        <v>1909</v>
      </c>
      <c r="S286" s="5" t="s">
        <v>1909</v>
      </c>
      <c r="T286" s="5" t="s">
        <v>1909</v>
      </c>
      <c r="U286" s="5" t="s">
        <v>1909</v>
      </c>
      <c r="V286" s="5" t="s">
        <v>1909</v>
      </c>
      <c r="W286" s="5">
        <v>850000</v>
      </c>
      <c r="X286" s="5">
        <v>850000</v>
      </c>
      <c r="Y286" s="5">
        <v>800000</v>
      </c>
    </row>
    <row r="287" spans="1:25" x14ac:dyDescent="0.25">
      <c r="A287" t="s">
        <v>1887</v>
      </c>
      <c r="B287" t="s">
        <v>1888</v>
      </c>
      <c r="C287" t="s">
        <v>1889</v>
      </c>
      <c r="D287">
        <v>6074202500013480</v>
      </c>
      <c r="E287" t="s">
        <v>2472</v>
      </c>
      <c r="F287" t="s">
        <v>2426</v>
      </c>
      <c r="G287" t="s">
        <v>2414</v>
      </c>
      <c r="H287" t="s">
        <v>1983</v>
      </c>
      <c r="I287" t="s">
        <v>1984</v>
      </c>
      <c r="J287" t="s">
        <v>1985</v>
      </c>
      <c r="K287" s="3">
        <v>46236</v>
      </c>
      <c r="L287" s="5">
        <v>714268.56</v>
      </c>
      <c r="M287" s="5">
        <v>59522.38</v>
      </c>
      <c r="N287" s="5">
        <v>59522.38</v>
      </c>
      <c r="O287" s="5">
        <v>59522.38</v>
      </c>
      <c r="P287" s="5">
        <v>59522.38</v>
      </c>
      <c r="Q287" s="5">
        <v>59522.38</v>
      </c>
      <c r="R287" s="5">
        <v>59522.38</v>
      </c>
      <c r="S287" s="5">
        <v>59522.38</v>
      </c>
      <c r="T287" s="5">
        <v>59522.38</v>
      </c>
      <c r="U287" s="5">
        <v>59522.38</v>
      </c>
      <c r="V287" s="5">
        <v>59522.38</v>
      </c>
      <c r="W287" s="5">
        <v>59522.38</v>
      </c>
      <c r="X287" s="5">
        <v>59522.38</v>
      </c>
      <c r="Y287" s="5">
        <v>59522.38</v>
      </c>
    </row>
    <row r="288" spans="1:25" x14ac:dyDescent="0.25">
      <c r="A288" t="s">
        <v>1887</v>
      </c>
      <c r="B288" t="s">
        <v>1888</v>
      </c>
      <c r="C288" t="s">
        <v>1889</v>
      </c>
      <c r="D288">
        <v>6012202300112290</v>
      </c>
      <c r="E288" t="s">
        <v>2472</v>
      </c>
      <c r="F288" t="s">
        <v>2427</v>
      </c>
      <c r="G288" t="s">
        <v>2428</v>
      </c>
      <c r="H288" t="s">
        <v>2294</v>
      </c>
      <c r="I288" t="s">
        <v>2429</v>
      </c>
      <c r="J288" t="s">
        <v>2430</v>
      </c>
      <c r="K288" s="3">
        <v>46234</v>
      </c>
      <c r="L288" s="5">
        <v>247327.2</v>
      </c>
      <c r="M288" s="5">
        <v>18000</v>
      </c>
      <c r="N288" s="5">
        <v>20010.599999999999</v>
      </c>
      <c r="O288" s="5">
        <v>20010.599999999999</v>
      </c>
      <c r="P288" s="5">
        <v>20010.599999999999</v>
      </c>
      <c r="Q288" s="5">
        <v>20010.599999999999</v>
      </c>
      <c r="R288" s="5">
        <v>20010.599999999999</v>
      </c>
      <c r="S288" s="5">
        <v>20010.599999999999</v>
      </c>
      <c r="T288" s="5">
        <v>20010.599999999999</v>
      </c>
      <c r="U288" s="5">
        <v>21450.6</v>
      </c>
      <c r="V288" s="5">
        <v>21450.6</v>
      </c>
      <c r="W288" s="5">
        <v>21450.6</v>
      </c>
      <c r="X288" s="5">
        <v>21450.6</v>
      </c>
      <c r="Y288" s="5">
        <v>21450.6</v>
      </c>
    </row>
    <row r="289" spans="1:25" x14ac:dyDescent="0.25">
      <c r="A289" t="s">
        <v>1887</v>
      </c>
      <c r="B289" t="s">
        <v>1888</v>
      </c>
      <c r="C289" t="s">
        <v>1889</v>
      </c>
      <c r="D289">
        <v>6012202300112290</v>
      </c>
      <c r="E289" t="s">
        <v>2472</v>
      </c>
      <c r="F289" t="s">
        <v>2427</v>
      </c>
      <c r="G289" t="s">
        <v>2428</v>
      </c>
      <c r="H289" t="s">
        <v>2294</v>
      </c>
      <c r="I289" t="s">
        <v>2431</v>
      </c>
      <c r="J289" t="s">
        <v>2430</v>
      </c>
      <c r="K289" s="3">
        <v>46234</v>
      </c>
      <c r="L289" s="5">
        <v>6100</v>
      </c>
      <c r="M289" s="5">
        <v>610</v>
      </c>
      <c r="N289" s="5">
        <v>610</v>
      </c>
      <c r="O289" s="5">
        <v>610</v>
      </c>
      <c r="P289" s="5">
        <v>610</v>
      </c>
      <c r="Q289" s="5">
        <v>610</v>
      </c>
      <c r="R289" s="5">
        <v>610</v>
      </c>
      <c r="S289" s="5">
        <v>610</v>
      </c>
      <c r="T289" s="5">
        <v>610</v>
      </c>
      <c r="U289" s="5">
        <v>610</v>
      </c>
      <c r="V289" s="5">
        <v>610</v>
      </c>
      <c r="W289" s="5">
        <v>610</v>
      </c>
      <c r="X289" s="5" t="s">
        <v>1908</v>
      </c>
      <c r="Y289" s="5" t="s">
        <v>1910</v>
      </c>
    </row>
    <row r="290" spans="1:25" x14ac:dyDescent="0.25">
      <c r="A290" t="s">
        <v>1887</v>
      </c>
      <c r="B290" t="s">
        <v>1888</v>
      </c>
      <c r="C290" t="s">
        <v>1889</v>
      </c>
      <c r="D290">
        <v>6012202300112290</v>
      </c>
      <c r="E290" t="s">
        <v>2472</v>
      </c>
      <c r="F290" t="s">
        <v>2427</v>
      </c>
      <c r="G290" t="s">
        <v>2428</v>
      </c>
      <c r="H290" t="s">
        <v>2294</v>
      </c>
      <c r="I290" t="s">
        <v>2432</v>
      </c>
      <c r="J290" t="s">
        <v>2430</v>
      </c>
      <c r="K290" s="3">
        <v>46234</v>
      </c>
      <c r="L290" s="5">
        <v>72000</v>
      </c>
      <c r="M290" s="5">
        <v>6000</v>
      </c>
      <c r="N290" s="5">
        <v>6000</v>
      </c>
      <c r="O290" s="5">
        <v>6000</v>
      </c>
      <c r="P290" s="5">
        <v>6000</v>
      </c>
      <c r="Q290" s="5">
        <v>6000</v>
      </c>
      <c r="R290" s="5">
        <v>6000</v>
      </c>
      <c r="S290" s="5">
        <v>6000</v>
      </c>
      <c r="T290" s="5">
        <v>6000</v>
      </c>
      <c r="U290" s="5">
        <v>6000</v>
      </c>
      <c r="V290" s="5">
        <v>6000</v>
      </c>
      <c r="W290" s="5">
        <v>6000</v>
      </c>
      <c r="X290" s="5">
        <v>6000</v>
      </c>
      <c r="Y290" s="5">
        <v>6000</v>
      </c>
    </row>
    <row r="291" spans="1:25" x14ac:dyDescent="0.25">
      <c r="A291" t="s">
        <v>1887</v>
      </c>
      <c r="B291" t="s">
        <v>1888</v>
      </c>
      <c r="C291" t="s">
        <v>1889</v>
      </c>
      <c r="D291">
        <v>6064202300002770</v>
      </c>
      <c r="E291" t="s">
        <v>2471</v>
      </c>
      <c r="F291" t="s">
        <v>2433</v>
      </c>
      <c r="G291" t="s">
        <v>2428</v>
      </c>
      <c r="H291" t="s">
        <v>2084</v>
      </c>
      <c r="I291" t="s">
        <v>2434</v>
      </c>
      <c r="J291" t="s">
        <v>2086</v>
      </c>
      <c r="K291" s="3">
        <v>46081</v>
      </c>
      <c r="L291" s="5">
        <v>1462352.78</v>
      </c>
      <c r="M291" s="5">
        <v>121789.89</v>
      </c>
      <c r="N291" s="5">
        <v>114789.89</v>
      </c>
      <c r="O291" s="5">
        <v>114789.89</v>
      </c>
      <c r="P291" s="5">
        <v>123277.3</v>
      </c>
      <c r="Q291" s="5">
        <v>123277.3</v>
      </c>
      <c r="R291" s="5">
        <v>123277.3</v>
      </c>
      <c r="S291" s="5">
        <v>123277.3</v>
      </c>
      <c r="T291" s="5">
        <v>123277.3</v>
      </c>
      <c r="U291" s="5">
        <v>123277.3</v>
      </c>
      <c r="V291" s="5">
        <v>123277.3</v>
      </c>
      <c r="W291" s="5">
        <v>123277.3</v>
      </c>
      <c r="X291" s="5">
        <v>123277.3</v>
      </c>
      <c r="Y291" s="5">
        <v>123277.3</v>
      </c>
    </row>
    <row r="292" spans="1:25" x14ac:dyDescent="0.25">
      <c r="A292" t="s">
        <v>1887</v>
      </c>
      <c r="B292" t="s">
        <v>1888</v>
      </c>
      <c r="C292" t="s">
        <v>1889</v>
      </c>
      <c r="D292">
        <v>6074202100007580</v>
      </c>
      <c r="E292" t="s">
        <v>2471</v>
      </c>
      <c r="F292" t="s">
        <v>2427</v>
      </c>
      <c r="G292" t="s">
        <v>2428</v>
      </c>
      <c r="H292" t="s">
        <v>730</v>
      </c>
      <c r="I292" t="s">
        <v>2435</v>
      </c>
      <c r="J292" t="s">
        <v>2099</v>
      </c>
      <c r="K292" s="3">
        <v>46258</v>
      </c>
      <c r="L292" s="5">
        <v>2954565.09</v>
      </c>
      <c r="M292" s="5">
        <v>198232.47</v>
      </c>
      <c r="N292" s="5">
        <v>267437.65999999997</v>
      </c>
      <c r="O292" s="5">
        <v>267437.65999999997</v>
      </c>
      <c r="P292" s="5">
        <v>267437.65999999997</v>
      </c>
      <c r="Q292" s="5">
        <v>285058.32</v>
      </c>
      <c r="R292" s="5">
        <v>285058.32</v>
      </c>
      <c r="S292" s="5">
        <v>285058.32</v>
      </c>
      <c r="T292" s="5">
        <v>285058.32</v>
      </c>
      <c r="U292" s="5">
        <v>285058.32</v>
      </c>
      <c r="V292" s="5">
        <v>285058.32</v>
      </c>
      <c r="W292" s="5">
        <v>285058.32</v>
      </c>
      <c r="X292" s="5">
        <v>285058.32</v>
      </c>
      <c r="Y292" s="5">
        <v>285058.32</v>
      </c>
    </row>
    <row r="293" spans="1:25" x14ac:dyDescent="0.25">
      <c r="A293" t="s">
        <v>1887</v>
      </c>
      <c r="B293" t="s">
        <v>1888</v>
      </c>
      <c r="C293" t="s">
        <v>1889</v>
      </c>
      <c r="D293">
        <v>6074202300027630</v>
      </c>
      <c r="E293" t="s">
        <v>2471</v>
      </c>
      <c r="F293" t="s">
        <v>2436</v>
      </c>
      <c r="G293" t="s">
        <v>2428</v>
      </c>
      <c r="H293" t="s">
        <v>384</v>
      </c>
      <c r="I293" t="s">
        <v>2437</v>
      </c>
      <c r="J293" t="s">
        <v>1947</v>
      </c>
      <c r="K293" s="3">
        <v>46317</v>
      </c>
      <c r="L293" s="5">
        <v>151167.26</v>
      </c>
      <c r="M293" s="5">
        <v>13341.18</v>
      </c>
      <c r="N293" s="5">
        <v>12448.49</v>
      </c>
      <c r="O293" s="5">
        <v>12448.49</v>
      </c>
      <c r="P293" s="5">
        <v>12448.49</v>
      </c>
      <c r="Q293" s="5">
        <v>12448.49</v>
      </c>
      <c r="R293" s="5">
        <v>12448.49</v>
      </c>
      <c r="S293" s="5">
        <v>12448.49</v>
      </c>
      <c r="T293" s="5">
        <v>12448.49</v>
      </c>
      <c r="U293" s="5">
        <v>12448.49</v>
      </c>
      <c r="V293" s="5">
        <v>12448.49</v>
      </c>
      <c r="W293" s="5">
        <v>12448.49</v>
      </c>
      <c r="X293" s="5">
        <v>13341.18</v>
      </c>
      <c r="Y293" s="5">
        <v>13341.18</v>
      </c>
    </row>
    <row r="294" spans="1:25" x14ac:dyDescent="0.25">
      <c r="A294" t="s">
        <v>1887</v>
      </c>
      <c r="B294" t="s">
        <v>1888</v>
      </c>
      <c r="C294" t="s">
        <v>1889</v>
      </c>
      <c r="D294">
        <v>6074202300065530</v>
      </c>
      <c r="E294" t="s">
        <v>2471</v>
      </c>
      <c r="F294" t="s">
        <v>2427</v>
      </c>
      <c r="G294" t="s">
        <v>2428</v>
      </c>
      <c r="H294" t="s">
        <v>857</v>
      </c>
      <c r="I294" t="s">
        <v>2438</v>
      </c>
      <c r="J294" t="s">
        <v>1949</v>
      </c>
      <c r="K294" s="3">
        <v>46281</v>
      </c>
      <c r="L294" s="5">
        <v>123304.68</v>
      </c>
      <c r="M294" s="5">
        <v>10275.39</v>
      </c>
      <c r="N294" s="5">
        <v>10275.39</v>
      </c>
      <c r="O294" s="5">
        <v>10275.39</v>
      </c>
      <c r="P294" s="5">
        <v>10275.39</v>
      </c>
      <c r="Q294" s="5">
        <v>10275.39</v>
      </c>
      <c r="R294" s="5">
        <v>10275.39</v>
      </c>
      <c r="S294" s="5">
        <v>10275.39</v>
      </c>
      <c r="T294" s="5">
        <v>10275.39</v>
      </c>
      <c r="U294" s="5">
        <v>10275.39</v>
      </c>
      <c r="V294" s="5">
        <v>10275.39</v>
      </c>
      <c r="W294" s="5">
        <v>10275.39</v>
      </c>
      <c r="X294" s="5">
        <v>10275.39</v>
      </c>
      <c r="Y294" s="5">
        <v>10275.39</v>
      </c>
    </row>
    <row r="295" spans="1:25" x14ac:dyDescent="0.25">
      <c r="A295" t="s">
        <v>1887</v>
      </c>
      <c r="B295" t="s">
        <v>1888</v>
      </c>
      <c r="C295" t="s">
        <v>1889</v>
      </c>
      <c r="D295">
        <v>6074202300068360</v>
      </c>
      <c r="E295" t="s">
        <v>2471</v>
      </c>
      <c r="F295" t="s">
        <v>2427</v>
      </c>
      <c r="G295" t="s">
        <v>2428</v>
      </c>
      <c r="H295" t="s">
        <v>2439</v>
      </c>
      <c r="I295" t="s">
        <v>2440</v>
      </c>
      <c r="J295" t="s">
        <v>2441</v>
      </c>
      <c r="K295" s="3">
        <v>46272</v>
      </c>
      <c r="L295" s="5">
        <v>5945.52</v>
      </c>
      <c r="M295" s="5">
        <v>478.42</v>
      </c>
      <c r="N295" s="5">
        <v>495.46</v>
      </c>
      <c r="O295" s="5">
        <v>495.46</v>
      </c>
      <c r="P295" s="5">
        <v>495.46</v>
      </c>
      <c r="Q295" s="5">
        <v>495.46</v>
      </c>
      <c r="R295" s="5">
        <v>495.46</v>
      </c>
      <c r="S295" s="5">
        <v>495.46</v>
      </c>
      <c r="T295" s="5">
        <v>495.46</v>
      </c>
      <c r="U295" s="5">
        <v>495.46</v>
      </c>
      <c r="V295" s="5">
        <v>533.73</v>
      </c>
      <c r="W295" s="5">
        <v>533.73</v>
      </c>
      <c r="X295" s="5">
        <v>533.73</v>
      </c>
      <c r="Y295" s="5">
        <v>533.73</v>
      </c>
    </row>
    <row r="296" spans="1:25" x14ac:dyDescent="0.25">
      <c r="A296" t="s">
        <v>1887</v>
      </c>
      <c r="B296" t="s">
        <v>1888</v>
      </c>
      <c r="C296" t="s">
        <v>1889</v>
      </c>
      <c r="D296">
        <v>6074202300072300</v>
      </c>
      <c r="E296" t="s">
        <v>2471</v>
      </c>
      <c r="F296" t="s">
        <v>2427</v>
      </c>
      <c r="G296" t="s">
        <v>2428</v>
      </c>
      <c r="H296" t="s">
        <v>567</v>
      </c>
      <c r="I296" t="s">
        <v>2442</v>
      </c>
      <c r="J296" t="s">
        <v>1951</v>
      </c>
      <c r="K296" s="3">
        <v>46295</v>
      </c>
      <c r="L296" s="5">
        <v>869.04</v>
      </c>
      <c r="M296" s="5">
        <v>76.260000000000005</v>
      </c>
      <c r="N296" s="5">
        <v>71.14</v>
      </c>
      <c r="O296" s="5">
        <v>71.14</v>
      </c>
      <c r="P296" s="5">
        <v>71.14</v>
      </c>
      <c r="Q296" s="5">
        <v>71.14</v>
      </c>
      <c r="R296" s="5">
        <v>71.14</v>
      </c>
      <c r="S296" s="5">
        <v>71.14</v>
      </c>
      <c r="T296" s="5">
        <v>71.14</v>
      </c>
      <c r="U296" s="5">
        <v>71.14</v>
      </c>
      <c r="V296" s="5">
        <v>71.14</v>
      </c>
      <c r="W296" s="5">
        <v>76.260000000000005</v>
      </c>
      <c r="X296" s="5">
        <v>76.260000000000005</v>
      </c>
      <c r="Y296" s="5">
        <v>76.260000000000005</v>
      </c>
    </row>
    <row r="297" spans="1:25" x14ac:dyDescent="0.25">
      <c r="A297" t="s">
        <v>1887</v>
      </c>
      <c r="B297" t="s">
        <v>1888</v>
      </c>
      <c r="C297" t="s">
        <v>1889</v>
      </c>
      <c r="D297">
        <v>6074202300085730</v>
      </c>
      <c r="E297" t="s">
        <v>2471</v>
      </c>
      <c r="F297" t="s">
        <v>2427</v>
      </c>
      <c r="G297" t="s">
        <v>2428</v>
      </c>
      <c r="H297" t="s">
        <v>2443</v>
      </c>
      <c r="I297" t="s">
        <v>2444</v>
      </c>
      <c r="J297" t="s">
        <v>2445</v>
      </c>
      <c r="K297" s="3">
        <v>46029</v>
      </c>
      <c r="L297" s="5">
        <v>118548</v>
      </c>
      <c r="M297" s="5">
        <v>10776.9</v>
      </c>
      <c r="N297" s="5">
        <v>10776.9</v>
      </c>
      <c r="O297" s="5">
        <v>10776.9</v>
      </c>
      <c r="P297" s="5">
        <v>10776.9</v>
      </c>
      <c r="Q297" s="5">
        <v>10776.9</v>
      </c>
      <c r="R297" s="5">
        <v>10776.9</v>
      </c>
      <c r="S297" s="5">
        <v>10776.9</v>
      </c>
      <c r="T297" s="5">
        <v>10776.9</v>
      </c>
      <c r="U297" s="5">
        <v>10776.9</v>
      </c>
      <c r="V297" s="5">
        <v>10776.9</v>
      </c>
      <c r="W297" s="5">
        <v>10776.9</v>
      </c>
      <c r="X297" s="5">
        <v>10776.9</v>
      </c>
      <c r="Y297" s="5">
        <v>10776.9</v>
      </c>
    </row>
    <row r="298" spans="1:25" x14ac:dyDescent="0.25">
      <c r="A298" t="s">
        <v>1887</v>
      </c>
      <c r="B298" t="s">
        <v>1888</v>
      </c>
      <c r="C298" t="s">
        <v>1889</v>
      </c>
      <c r="D298">
        <v>6074202300091880</v>
      </c>
      <c r="E298" t="s">
        <v>2471</v>
      </c>
      <c r="F298" t="s">
        <v>2446</v>
      </c>
      <c r="G298" t="s">
        <v>2428</v>
      </c>
      <c r="H298" t="s">
        <v>2447</v>
      </c>
      <c r="I298" t="s">
        <v>2448</v>
      </c>
      <c r="J298" t="s">
        <v>2449</v>
      </c>
      <c r="K298" s="3">
        <v>46360</v>
      </c>
      <c r="L298" s="5">
        <v>15504.6</v>
      </c>
      <c r="M298" s="5">
        <v>1375.65</v>
      </c>
      <c r="N298" s="5">
        <v>1284.45</v>
      </c>
      <c r="O298" s="5">
        <v>1284.45</v>
      </c>
      <c r="P298" s="5">
        <v>1284.45</v>
      </c>
      <c r="Q298" s="5">
        <v>1284.45</v>
      </c>
      <c r="R298" s="5">
        <v>1284.45</v>
      </c>
      <c r="S298" s="5">
        <v>1284.45</v>
      </c>
      <c r="T298" s="5">
        <v>1284.45</v>
      </c>
      <c r="U298" s="5">
        <v>1284.45</v>
      </c>
      <c r="V298" s="5">
        <v>1284.45</v>
      </c>
      <c r="W298" s="5">
        <v>1284.45</v>
      </c>
      <c r="X298" s="5">
        <v>1284.45</v>
      </c>
      <c r="Y298" s="5">
        <v>1375.65</v>
      </c>
    </row>
    <row r="299" spans="1:25" x14ac:dyDescent="0.25">
      <c r="A299" t="s">
        <v>1887</v>
      </c>
      <c r="B299" t="s">
        <v>1888</v>
      </c>
      <c r="C299" t="s">
        <v>1889</v>
      </c>
      <c r="D299">
        <v>6074202400020500</v>
      </c>
      <c r="E299" t="s">
        <v>2471</v>
      </c>
      <c r="F299" t="s">
        <v>2427</v>
      </c>
      <c r="G299" t="s">
        <v>2428</v>
      </c>
      <c r="H299" t="s">
        <v>839</v>
      </c>
      <c r="I299" t="s">
        <v>1954</v>
      </c>
      <c r="J299" t="s">
        <v>1955</v>
      </c>
      <c r="K299" s="3">
        <v>46055</v>
      </c>
      <c r="L299" s="5">
        <v>21375</v>
      </c>
      <c r="M299" s="5">
        <v>1781.25</v>
      </c>
      <c r="N299" s="5">
        <v>1781.25</v>
      </c>
      <c r="O299" s="5">
        <v>1781.25</v>
      </c>
      <c r="P299" s="5">
        <v>1781.25</v>
      </c>
      <c r="Q299" s="5">
        <v>1781.25</v>
      </c>
      <c r="R299" s="5">
        <v>1781.25</v>
      </c>
      <c r="S299" s="5">
        <v>1781.25</v>
      </c>
      <c r="T299" s="5">
        <v>1781.25</v>
      </c>
      <c r="U299" s="5">
        <v>1781.25</v>
      </c>
      <c r="V299" s="5">
        <v>1781.25</v>
      </c>
      <c r="W299" s="5">
        <v>1781.25</v>
      </c>
      <c r="X299" s="5">
        <v>1781.25</v>
      </c>
      <c r="Y299" s="5">
        <v>1781.25</v>
      </c>
    </row>
    <row r="300" spans="1:25" x14ac:dyDescent="0.25">
      <c r="A300" t="s">
        <v>1887</v>
      </c>
      <c r="B300" t="s">
        <v>1888</v>
      </c>
      <c r="C300" t="s">
        <v>1889</v>
      </c>
      <c r="D300">
        <v>6074202400061680</v>
      </c>
      <c r="E300" t="s">
        <v>2471</v>
      </c>
      <c r="F300" t="s">
        <v>2427</v>
      </c>
      <c r="G300" t="s">
        <v>2428</v>
      </c>
      <c r="H300" t="s">
        <v>723</v>
      </c>
      <c r="I300" t="s">
        <v>1963</v>
      </c>
      <c r="J300" t="s">
        <v>1964</v>
      </c>
      <c r="K300" s="3">
        <v>46350</v>
      </c>
      <c r="L300" s="5">
        <v>47643.58</v>
      </c>
      <c r="M300" s="5">
        <v>4212.3900000000003</v>
      </c>
      <c r="N300" s="5">
        <v>3921.88</v>
      </c>
      <c r="O300" s="5">
        <v>3921.88</v>
      </c>
      <c r="P300" s="5">
        <v>3921.88</v>
      </c>
      <c r="Q300" s="5">
        <v>3921.88</v>
      </c>
      <c r="R300" s="5">
        <v>3921.88</v>
      </c>
      <c r="S300" s="5">
        <v>3921.88</v>
      </c>
      <c r="T300" s="5">
        <v>3921.88</v>
      </c>
      <c r="U300" s="5">
        <v>3921.88</v>
      </c>
      <c r="V300" s="5">
        <v>3921.88</v>
      </c>
      <c r="W300" s="5">
        <v>3921.88</v>
      </c>
      <c r="X300" s="5">
        <v>4212.3900000000003</v>
      </c>
      <c r="Y300" s="5">
        <v>4212.3900000000003</v>
      </c>
    </row>
    <row r="301" spans="1:25" x14ac:dyDescent="0.25">
      <c r="A301" t="s">
        <v>1887</v>
      </c>
      <c r="B301" t="s">
        <v>1888</v>
      </c>
      <c r="C301" t="s">
        <v>1889</v>
      </c>
      <c r="D301">
        <v>6074202400067390</v>
      </c>
      <c r="E301" t="s">
        <v>2471</v>
      </c>
      <c r="F301" t="s">
        <v>2427</v>
      </c>
      <c r="G301" t="s">
        <v>2428</v>
      </c>
      <c r="H301" t="s">
        <v>1033</v>
      </c>
      <c r="I301" t="s">
        <v>2450</v>
      </c>
      <c r="J301" t="s">
        <v>2451</v>
      </c>
      <c r="K301" s="3">
        <v>46049</v>
      </c>
      <c r="L301" s="5">
        <v>15012</v>
      </c>
      <c r="M301" s="5">
        <v>1251</v>
      </c>
      <c r="N301" s="5">
        <v>1251</v>
      </c>
      <c r="O301" s="5">
        <v>1251</v>
      </c>
      <c r="P301" s="5">
        <v>1251</v>
      </c>
      <c r="Q301" s="5">
        <v>1251</v>
      </c>
      <c r="R301" s="5">
        <v>1251</v>
      </c>
      <c r="S301" s="5">
        <v>1251</v>
      </c>
      <c r="T301" s="5">
        <v>1251</v>
      </c>
      <c r="U301" s="5">
        <v>1251</v>
      </c>
      <c r="V301" s="5">
        <v>1251</v>
      </c>
      <c r="W301" s="5">
        <v>1251</v>
      </c>
      <c r="X301" s="5">
        <v>1251</v>
      </c>
      <c r="Y301" s="5">
        <v>1251</v>
      </c>
    </row>
    <row r="302" spans="1:25" x14ac:dyDescent="0.25">
      <c r="A302" t="s">
        <v>1887</v>
      </c>
      <c r="B302" t="s">
        <v>1888</v>
      </c>
      <c r="C302" t="s">
        <v>1889</v>
      </c>
      <c r="D302">
        <v>6074202400073430</v>
      </c>
      <c r="E302" t="s">
        <v>2471</v>
      </c>
      <c r="F302" t="s">
        <v>2427</v>
      </c>
      <c r="G302" t="s">
        <v>2428</v>
      </c>
      <c r="H302" t="s">
        <v>912</v>
      </c>
      <c r="I302" t="s">
        <v>2452</v>
      </c>
      <c r="J302" t="s">
        <v>2028</v>
      </c>
      <c r="K302" s="3">
        <v>46357</v>
      </c>
      <c r="L302" s="5">
        <v>697755.07</v>
      </c>
      <c r="M302" s="5">
        <v>62070.239999999998</v>
      </c>
      <c r="N302" s="5">
        <v>57789.53</v>
      </c>
      <c r="O302" s="5">
        <v>57789.53</v>
      </c>
      <c r="P302" s="5">
        <v>57789.53</v>
      </c>
      <c r="Q302" s="5">
        <v>57789.53</v>
      </c>
      <c r="R302" s="5">
        <v>57789.53</v>
      </c>
      <c r="S302" s="5">
        <v>57789.53</v>
      </c>
      <c r="T302" s="5">
        <v>57789.53</v>
      </c>
      <c r="U302" s="5">
        <v>57789.53</v>
      </c>
      <c r="V302" s="5">
        <v>57789.53</v>
      </c>
      <c r="W302" s="5">
        <v>57789.53</v>
      </c>
      <c r="X302" s="5">
        <v>57789.53</v>
      </c>
      <c r="Y302" s="5">
        <v>62070.239999999998</v>
      </c>
    </row>
    <row r="303" spans="1:25" x14ac:dyDescent="0.25">
      <c r="A303" t="s">
        <v>1887</v>
      </c>
      <c r="B303" t="s">
        <v>1888</v>
      </c>
      <c r="C303" t="s">
        <v>1889</v>
      </c>
      <c r="D303">
        <v>6074202400099120</v>
      </c>
      <c r="E303" t="s">
        <v>2471</v>
      </c>
      <c r="F303" t="s">
        <v>2427</v>
      </c>
      <c r="G303" t="s">
        <v>2428</v>
      </c>
      <c r="H303" t="s">
        <v>1970</v>
      </c>
      <c r="I303" t="s">
        <v>2453</v>
      </c>
      <c r="J303" t="s">
        <v>1972</v>
      </c>
      <c r="K303" s="3">
        <v>46387</v>
      </c>
      <c r="L303" s="5">
        <v>240000</v>
      </c>
      <c r="M303" s="5">
        <v>20000</v>
      </c>
      <c r="N303" s="5">
        <v>20000</v>
      </c>
      <c r="O303" s="5">
        <v>20000</v>
      </c>
      <c r="P303" s="5">
        <v>20000</v>
      </c>
      <c r="Q303" s="5">
        <v>20000</v>
      </c>
      <c r="R303" s="5">
        <v>20000</v>
      </c>
      <c r="S303" s="5">
        <v>20000</v>
      </c>
      <c r="T303" s="5">
        <v>20000</v>
      </c>
      <c r="U303" s="5">
        <v>20000</v>
      </c>
      <c r="V303" s="5">
        <v>20000</v>
      </c>
      <c r="W303" s="5">
        <v>20000</v>
      </c>
      <c r="X303" s="5">
        <v>20000</v>
      </c>
      <c r="Y303" s="5">
        <v>20000</v>
      </c>
    </row>
    <row r="304" spans="1:25" x14ac:dyDescent="0.25">
      <c r="A304" t="s">
        <v>1887</v>
      </c>
      <c r="B304" t="s">
        <v>1888</v>
      </c>
      <c r="C304" t="s">
        <v>1889</v>
      </c>
      <c r="D304">
        <v>6074202400099150</v>
      </c>
      <c r="E304" t="s">
        <v>2471</v>
      </c>
      <c r="F304" t="s">
        <v>2427</v>
      </c>
      <c r="G304" t="s">
        <v>2428</v>
      </c>
      <c r="H304" t="s">
        <v>1970</v>
      </c>
      <c r="I304" t="s">
        <v>2454</v>
      </c>
      <c r="J304" t="s">
        <v>1976</v>
      </c>
      <c r="K304" s="3">
        <v>46387</v>
      </c>
      <c r="L304" s="5">
        <v>240000</v>
      </c>
      <c r="M304" s="5">
        <v>20000</v>
      </c>
      <c r="N304" s="5">
        <v>20000</v>
      </c>
      <c r="O304" s="5">
        <v>20000</v>
      </c>
      <c r="P304" s="5">
        <v>20000</v>
      </c>
      <c r="Q304" s="5">
        <v>20000</v>
      </c>
      <c r="R304" s="5">
        <v>20000</v>
      </c>
      <c r="S304" s="5">
        <v>20000</v>
      </c>
      <c r="T304" s="5">
        <v>20000</v>
      </c>
      <c r="U304" s="5">
        <v>20000</v>
      </c>
      <c r="V304" s="5">
        <v>20000</v>
      </c>
      <c r="W304" s="5">
        <v>20000</v>
      </c>
      <c r="X304" s="5">
        <v>20000</v>
      </c>
      <c r="Y304" s="5">
        <v>20000</v>
      </c>
    </row>
    <row r="305" spans="1:25" x14ac:dyDescent="0.25">
      <c r="A305" t="s">
        <v>1887</v>
      </c>
      <c r="B305" t="s">
        <v>1888</v>
      </c>
      <c r="C305" t="s">
        <v>1889</v>
      </c>
      <c r="D305">
        <v>6074202500013480</v>
      </c>
      <c r="E305" t="s">
        <v>2472</v>
      </c>
      <c r="F305" t="s">
        <v>2433</v>
      </c>
      <c r="G305" t="s">
        <v>2428</v>
      </c>
      <c r="H305" t="s">
        <v>1983</v>
      </c>
      <c r="I305" t="s">
        <v>2455</v>
      </c>
      <c r="J305" t="s">
        <v>1985</v>
      </c>
      <c r="K305" s="3">
        <v>46236</v>
      </c>
      <c r="L305" s="5">
        <v>91685.16</v>
      </c>
      <c r="M305" s="5">
        <v>7640.43</v>
      </c>
      <c r="N305" s="5">
        <v>7640.43</v>
      </c>
      <c r="O305" s="5">
        <v>7640.43</v>
      </c>
      <c r="P305" s="5">
        <v>7640.43</v>
      </c>
      <c r="Q305" s="5">
        <v>7640.43</v>
      </c>
      <c r="R305" s="5">
        <v>7640.43</v>
      </c>
      <c r="S305" s="5">
        <v>7640.43</v>
      </c>
      <c r="T305" s="5">
        <v>7640.43</v>
      </c>
      <c r="U305" s="5">
        <v>7640.43</v>
      </c>
      <c r="V305" s="5">
        <v>7640.43</v>
      </c>
      <c r="W305" s="5">
        <v>7640.43</v>
      </c>
      <c r="X305" s="5">
        <v>7640.43</v>
      </c>
      <c r="Y305" s="5">
        <v>7640.43</v>
      </c>
    </row>
    <row r="306" spans="1:25" x14ac:dyDescent="0.25">
      <c r="A306" t="s">
        <v>1887</v>
      </c>
      <c r="B306" t="s">
        <v>1888</v>
      </c>
      <c r="C306" t="s">
        <v>1889</v>
      </c>
      <c r="D306">
        <v>6074202500016960</v>
      </c>
      <c r="E306" t="s">
        <v>2471</v>
      </c>
      <c r="F306" t="s">
        <v>2427</v>
      </c>
      <c r="G306" t="s">
        <v>2428</v>
      </c>
      <c r="H306" t="s">
        <v>2456</v>
      </c>
      <c r="I306" t="s">
        <v>2457</v>
      </c>
      <c r="J306" t="s">
        <v>2458</v>
      </c>
      <c r="K306" s="3" t="s">
        <v>2459</v>
      </c>
      <c r="L306" s="5">
        <v>4553.3</v>
      </c>
      <c r="M306" s="5"/>
      <c r="N306" s="5"/>
      <c r="O306" s="5"/>
      <c r="P306" s="5"/>
      <c r="Q306" s="5">
        <v>2276.65</v>
      </c>
      <c r="R306" s="5">
        <v>2276.65</v>
      </c>
      <c r="S306" s="5"/>
      <c r="T306" s="5"/>
      <c r="U306" s="5"/>
      <c r="V306" s="5"/>
      <c r="W306" s="5"/>
      <c r="X306" s="5"/>
      <c r="Y306" s="5"/>
    </row>
    <row r="307" spans="1:25" x14ac:dyDescent="0.25">
      <c r="A307" t="s">
        <v>1887</v>
      </c>
      <c r="B307" t="s">
        <v>1888</v>
      </c>
      <c r="C307" t="s">
        <v>1889</v>
      </c>
      <c r="D307">
        <v>6074202500025000</v>
      </c>
      <c r="E307" t="s">
        <v>2471</v>
      </c>
      <c r="F307" t="s">
        <v>2446</v>
      </c>
      <c r="G307" t="s">
        <v>2428</v>
      </c>
      <c r="H307" t="s">
        <v>2037</v>
      </c>
      <c r="I307" t="s">
        <v>2038</v>
      </c>
      <c r="J307" t="s">
        <v>2039</v>
      </c>
      <c r="K307" s="3">
        <v>46387</v>
      </c>
      <c r="L307" s="5">
        <v>4250</v>
      </c>
      <c r="M307" s="5"/>
      <c r="N307" s="5"/>
      <c r="O307" s="5"/>
      <c r="P307" s="5"/>
      <c r="Q307" s="5"/>
      <c r="R307" s="5"/>
      <c r="S307" s="5"/>
      <c r="T307" s="5"/>
      <c r="U307" s="5"/>
      <c r="V307" s="5"/>
      <c r="W307" s="5"/>
      <c r="X307" s="5"/>
      <c r="Y307" s="5">
        <v>4250</v>
      </c>
    </row>
    <row r="308" spans="1:25" x14ac:dyDescent="0.25">
      <c r="A308" t="s">
        <v>1887</v>
      </c>
      <c r="B308" t="s">
        <v>1888</v>
      </c>
      <c r="C308" t="s">
        <v>1889</v>
      </c>
      <c r="D308" t="s">
        <v>2463</v>
      </c>
      <c r="E308" t="s">
        <v>2472</v>
      </c>
      <c r="F308" t="s">
        <v>2446</v>
      </c>
      <c r="G308" t="s">
        <v>2428</v>
      </c>
      <c r="H308" t="s">
        <v>1986</v>
      </c>
      <c r="I308" t="s">
        <v>2460</v>
      </c>
      <c r="J308" t="s">
        <v>1999</v>
      </c>
      <c r="K308" s="3" t="s">
        <v>1989</v>
      </c>
      <c r="L308" s="5">
        <v>10000</v>
      </c>
      <c r="M308" s="5">
        <v>10000</v>
      </c>
      <c r="N308" s="5"/>
      <c r="O308" s="5">
        <v>10000</v>
      </c>
      <c r="P308" s="5"/>
      <c r="Q308" s="5"/>
      <c r="R308" s="5"/>
      <c r="S308" s="5"/>
      <c r="T308" s="5"/>
      <c r="U308" s="5"/>
      <c r="V308" s="5"/>
      <c r="W308" s="5"/>
      <c r="X308" s="5"/>
      <c r="Y308" s="5"/>
    </row>
    <row r="309" spans="1:25" x14ac:dyDescent="0.25">
      <c r="A309" t="s">
        <v>1887</v>
      </c>
      <c r="B309" t="s">
        <v>1888</v>
      </c>
      <c r="C309" t="s">
        <v>1889</v>
      </c>
      <c r="D309">
        <v>6074202300069590</v>
      </c>
      <c r="E309" t="s">
        <v>2471</v>
      </c>
      <c r="F309" t="s">
        <v>2427</v>
      </c>
      <c r="G309" t="s">
        <v>2428</v>
      </c>
      <c r="H309" t="s">
        <v>931</v>
      </c>
      <c r="I309" t="s">
        <v>2461</v>
      </c>
      <c r="J309" t="s">
        <v>2462</v>
      </c>
      <c r="K309" s="3">
        <v>46336</v>
      </c>
      <c r="L309" s="5">
        <v>18606900</v>
      </c>
      <c r="M309" s="5">
        <v>0</v>
      </c>
      <c r="N309" s="5">
        <v>1674621</v>
      </c>
      <c r="O309" s="5">
        <v>1674621</v>
      </c>
      <c r="P309" s="5">
        <v>1674621</v>
      </c>
      <c r="Q309" s="5">
        <v>1674621</v>
      </c>
      <c r="R309" s="5">
        <v>1674621</v>
      </c>
      <c r="S309" s="5">
        <v>1674621</v>
      </c>
      <c r="T309" s="5">
        <v>1674621</v>
      </c>
      <c r="U309" s="5">
        <v>1674621</v>
      </c>
      <c r="V309" s="5">
        <v>1674621</v>
      </c>
      <c r="W309" s="5">
        <v>1674621</v>
      </c>
      <c r="X309" s="5">
        <v>2914667</v>
      </c>
      <c r="Y309" s="5">
        <v>2914667</v>
      </c>
    </row>
    <row r="310" spans="1:25" x14ac:dyDescent="0.25">
      <c r="A310" t="s">
        <v>1887</v>
      </c>
      <c r="B310" t="s">
        <v>2477</v>
      </c>
      <c r="C310" t="s">
        <v>1889</v>
      </c>
      <c r="D310" t="s">
        <v>3153</v>
      </c>
      <c r="E310" t="s">
        <v>2472</v>
      </c>
      <c r="F310" t="s">
        <v>2580</v>
      </c>
      <c r="G310" t="s">
        <v>2042</v>
      </c>
      <c r="H310" t="s">
        <v>2581</v>
      </c>
      <c r="I310" t="s">
        <v>2582</v>
      </c>
      <c r="J310" t="s">
        <v>2583</v>
      </c>
      <c r="K310" s="3">
        <v>45861</v>
      </c>
      <c r="L310" s="5">
        <v>1225834.8500000001</v>
      </c>
      <c r="M310" s="5">
        <v>102152.9</v>
      </c>
      <c r="N310" s="5">
        <v>102152.9</v>
      </c>
      <c r="O310" s="5">
        <v>102152.9</v>
      </c>
      <c r="P310" s="5">
        <v>102152.9</v>
      </c>
      <c r="Q310" s="5">
        <v>102152.9</v>
      </c>
      <c r="R310" s="5">
        <v>102152.9</v>
      </c>
      <c r="S310" s="5">
        <v>102152.9</v>
      </c>
      <c r="T310" s="5">
        <v>102152.9</v>
      </c>
      <c r="U310" s="5">
        <v>102152.9</v>
      </c>
      <c r="V310" s="5">
        <v>102152.9</v>
      </c>
      <c r="W310" s="5">
        <v>102152.9</v>
      </c>
      <c r="X310" s="5">
        <v>102152.9</v>
      </c>
      <c r="Y310" s="5">
        <v>102152.9</v>
      </c>
    </row>
    <row r="311" spans="1:25" x14ac:dyDescent="0.25">
      <c r="A311" t="s">
        <v>1887</v>
      </c>
      <c r="B311" t="s">
        <v>2477</v>
      </c>
      <c r="C311" t="s">
        <v>1889</v>
      </c>
      <c r="D311">
        <v>6074202000012180</v>
      </c>
      <c r="E311" t="s">
        <v>2471</v>
      </c>
      <c r="F311" t="s">
        <v>2584</v>
      </c>
      <c r="G311" t="s">
        <v>2585</v>
      </c>
      <c r="H311" t="s">
        <v>2586</v>
      </c>
      <c r="I311" t="s">
        <v>2587</v>
      </c>
      <c r="J311" t="s">
        <v>2565</v>
      </c>
      <c r="K311" s="3">
        <v>46167</v>
      </c>
      <c r="L311" s="5">
        <v>2119032.64</v>
      </c>
      <c r="M311" s="5">
        <v>176586.05</v>
      </c>
      <c r="N311" s="5">
        <v>169794.28</v>
      </c>
      <c r="O311" s="5">
        <v>169794.28</v>
      </c>
      <c r="P311" s="5">
        <v>169794.28</v>
      </c>
      <c r="Q311" s="5">
        <v>169794.28</v>
      </c>
      <c r="R311" s="5">
        <v>179981.94</v>
      </c>
      <c r="S311" s="5">
        <v>179981.94</v>
      </c>
      <c r="T311" s="5">
        <v>179981.94</v>
      </c>
      <c r="U311" s="5">
        <v>179981.94</v>
      </c>
      <c r="V311" s="5">
        <v>179981.94</v>
      </c>
      <c r="W311" s="5">
        <v>179981.94</v>
      </c>
      <c r="X311" s="5">
        <v>179981.94</v>
      </c>
      <c r="Y311" s="5">
        <v>179981.94</v>
      </c>
    </row>
    <row r="312" spans="1:25" x14ac:dyDescent="0.25">
      <c r="A312" t="s">
        <v>1887</v>
      </c>
      <c r="B312" t="s">
        <v>2477</v>
      </c>
      <c r="C312" t="s">
        <v>1889</v>
      </c>
      <c r="D312">
        <v>6074202300110720</v>
      </c>
      <c r="E312" t="s">
        <v>2471</v>
      </c>
      <c r="F312" t="s">
        <v>2588</v>
      </c>
      <c r="G312" t="s">
        <v>2066</v>
      </c>
      <c r="H312" t="s">
        <v>2589</v>
      </c>
      <c r="I312" t="s">
        <v>2590</v>
      </c>
      <c r="J312" t="s">
        <v>2501</v>
      </c>
      <c r="K312" s="3">
        <v>46360</v>
      </c>
      <c r="L312" s="5">
        <v>2151706.4900000002</v>
      </c>
      <c r="M312" s="5">
        <v>179308.87</v>
      </c>
      <c r="N312" s="5">
        <v>178416.79</v>
      </c>
      <c r="O312" s="5">
        <v>178416.79</v>
      </c>
      <c r="P312" s="5">
        <v>178416.79</v>
      </c>
      <c r="Q312" s="5">
        <v>178416.79</v>
      </c>
      <c r="R312" s="5">
        <v>178416.79</v>
      </c>
      <c r="S312" s="5">
        <v>178416.79</v>
      </c>
      <c r="T312" s="5">
        <v>178416.79</v>
      </c>
      <c r="U312" s="5">
        <v>178416.79</v>
      </c>
      <c r="V312" s="5">
        <v>178416.79</v>
      </c>
      <c r="W312" s="5">
        <v>178416.79</v>
      </c>
      <c r="X312" s="5">
        <v>178416.79</v>
      </c>
      <c r="Y312" s="5">
        <v>189121.8</v>
      </c>
    </row>
    <row r="313" spans="1:25" x14ac:dyDescent="0.25">
      <c r="A313" t="s">
        <v>1887</v>
      </c>
      <c r="B313" t="s">
        <v>2477</v>
      </c>
      <c r="C313" t="s">
        <v>1889</v>
      </c>
      <c r="D313">
        <v>6074202300110730</v>
      </c>
      <c r="E313" t="s">
        <v>2471</v>
      </c>
      <c r="F313" t="s">
        <v>2588</v>
      </c>
      <c r="G313" t="s">
        <v>2066</v>
      </c>
      <c r="H313" t="s">
        <v>2591</v>
      </c>
      <c r="I313" t="s">
        <v>2592</v>
      </c>
      <c r="J313" t="s">
        <v>2501</v>
      </c>
      <c r="K313" s="3">
        <v>46360</v>
      </c>
      <c r="L313" s="5">
        <v>2210204.17</v>
      </c>
      <c r="M313" s="5">
        <v>184183.67999999999</v>
      </c>
      <c r="N313" s="5">
        <v>183267.35</v>
      </c>
      <c r="O313" s="5">
        <v>183267.34</v>
      </c>
      <c r="P313" s="5">
        <v>183267.34</v>
      </c>
      <c r="Q313" s="5">
        <v>183267.34</v>
      </c>
      <c r="R313" s="5">
        <v>183267.36</v>
      </c>
      <c r="S313" s="5">
        <v>183267.34</v>
      </c>
      <c r="T313" s="5">
        <v>183267.34</v>
      </c>
      <c r="U313" s="5">
        <v>183267.34</v>
      </c>
      <c r="V313" s="5">
        <v>183267.34</v>
      </c>
      <c r="W313" s="5">
        <v>183267.34</v>
      </c>
      <c r="X313" s="5">
        <v>183267.35</v>
      </c>
      <c r="Y313" s="5">
        <v>194263.39</v>
      </c>
    </row>
    <row r="314" spans="1:25" x14ac:dyDescent="0.25">
      <c r="A314" t="s">
        <v>1887</v>
      </c>
      <c r="B314" t="s">
        <v>2477</v>
      </c>
      <c r="C314" t="s">
        <v>1889</v>
      </c>
      <c r="D314">
        <v>6074202300110740</v>
      </c>
      <c r="E314" t="s">
        <v>2471</v>
      </c>
      <c r="F314" t="s">
        <v>2588</v>
      </c>
      <c r="G314" t="s">
        <v>2066</v>
      </c>
      <c r="H314" t="s">
        <v>2593</v>
      </c>
      <c r="I314" t="s">
        <v>2594</v>
      </c>
      <c r="J314" t="s">
        <v>2595</v>
      </c>
      <c r="K314" s="3">
        <v>46360</v>
      </c>
      <c r="L314" s="5">
        <v>2045553.52</v>
      </c>
      <c r="M314" s="5">
        <v>170462.79</v>
      </c>
      <c r="N314" s="5">
        <v>169614.72</v>
      </c>
      <c r="O314" s="5">
        <v>169614.72</v>
      </c>
      <c r="P314" s="5">
        <v>169614.72</v>
      </c>
      <c r="Q314" s="5">
        <v>169614.72</v>
      </c>
      <c r="R314" s="5">
        <v>169614.72</v>
      </c>
      <c r="S314" s="5">
        <v>169614.72</v>
      </c>
      <c r="T314" s="5">
        <v>169614.72</v>
      </c>
      <c r="U314" s="5">
        <v>169614.72</v>
      </c>
      <c r="V314" s="5">
        <v>169614.72</v>
      </c>
      <c r="W314" s="5">
        <v>169614.72</v>
      </c>
      <c r="X314" s="5">
        <v>169614.72</v>
      </c>
      <c r="Y314" s="5">
        <v>179791.6</v>
      </c>
    </row>
    <row r="315" spans="1:25" x14ac:dyDescent="0.25">
      <c r="A315" t="s">
        <v>1887</v>
      </c>
      <c r="B315" t="s">
        <v>2477</v>
      </c>
      <c r="C315" t="s">
        <v>1889</v>
      </c>
      <c r="D315">
        <v>6074202300110750</v>
      </c>
      <c r="E315" t="s">
        <v>2471</v>
      </c>
      <c r="F315" t="s">
        <v>2588</v>
      </c>
      <c r="G315" t="s">
        <v>2066</v>
      </c>
      <c r="H315" t="s">
        <v>2596</v>
      </c>
      <c r="I315" t="s">
        <v>2597</v>
      </c>
      <c r="J315" t="s">
        <v>2595</v>
      </c>
      <c r="K315" s="3">
        <v>46360</v>
      </c>
      <c r="L315" s="5">
        <v>2264664.4300000002</v>
      </c>
      <c r="M315" s="5">
        <v>188722.04</v>
      </c>
      <c r="N315" s="5">
        <v>187783.12</v>
      </c>
      <c r="O315" s="5">
        <v>187783.12</v>
      </c>
      <c r="P315" s="5">
        <v>187783.12</v>
      </c>
      <c r="Q315" s="5">
        <v>187783.12</v>
      </c>
      <c r="R315" s="5">
        <v>187783.12</v>
      </c>
      <c r="S315" s="5">
        <v>187783.12</v>
      </c>
      <c r="T315" s="5">
        <v>187783.12</v>
      </c>
      <c r="U315" s="5">
        <v>187783.12</v>
      </c>
      <c r="V315" s="5">
        <v>187783.12</v>
      </c>
      <c r="W315" s="5">
        <v>187783.12</v>
      </c>
      <c r="X315" s="5">
        <v>187783.12</v>
      </c>
      <c r="Y315" s="5">
        <v>199050.11</v>
      </c>
    </row>
    <row r="316" spans="1:25" x14ac:dyDescent="0.25">
      <c r="A316" t="s">
        <v>1887</v>
      </c>
      <c r="B316" t="s">
        <v>2477</v>
      </c>
      <c r="C316" t="s">
        <v>1889</v>
      </c>
      <c r="D316">
        <v>6074202200048430</v>
      </c>
      <c r="E316" t="s">
        <v>2471</v>
      </c>
      <c r="F316" t="s">
        <v>2598</v>
      </c>
      <c r="G316" t="s">
        <v>2599</v>
      </c>
      <c r="H316" t="s">
        <v>2600</v>
      </c>
      <c r="I316" t="s">
        <v>2601</v>
      </c>
      <c r="J316" t="s">
        <v>2602</v>
      </c>
      <c r="K316" s="3">
        <v>46077</v>
      </c>
      <c r="L316" s="5">
        <v>13532839.9</v>
      </c>
      <c r="M316" s="5">
        <v>1127736.6599999999</v>
      </c>
      <c r="N316" s="5">
        <v>1044617.08</v>
      </c>
      <c r="O316" s="5">
        <v>1415281.82</v>
      </c>
      <c r="P316" s="5">
        <v>1107294.1000000001</v>
      </c>
      <c r="Q316" s="5">
        <v>1107294.1000000001</v>
      </c>
      <c r="R316" s="5">
        <v>1107294.1000000001</v>
      </c>
      <c r="S316" s="5">
        <v>1107294.1000000001</v>
      </c>
      <c r="T316" s="5">
        <v>1107294.1000000001</v>
      </c>
      <c r="U316" s="5">
        <v>1107294.1000000001</v>
      </c>
      <c r="V316" s="5">
        <v>1107294.1000000001</v>
      </c>
      <c r="W316" s="5">
        <v>1107294.1000000001</v>
      </c>
      <c r="X316" s="5">
        <v>1107294.1000000001</v>
      </c>
      <c r="Y316" s="5">
        <v>1107294.1000000001</v>
      </c>
    </row>
    <row r="317" spans="1:25" x14ac:dyDescent="0.25">
      <c r="A317" t="s">
        <v>1887</v>
      </c>
      <c r="B317" t="s">
        <v>2477</v>
      </c>
      <c r="C317" t="s">
        <v>1889</v>
      </c>
      <c r="D317">
        <v>6074202400105280</v>
      </c>
      <c r="E317" t="s">
        <v>2471</v>
      </c>
      <c r="F317" t="s">
        <v>2478</v>
      </c>
      <c r="G317" t="s">
        <v>2479</v>
      </c>
      <c r="H317" t="s">
        <v>2603</v>
      </c>
      <c r="I317" t="s">
        <v>2604</v>
      </c>
      <c r="J317" t="s">
        <v>2605</v>
      </c>
      <c r="K317" s="3">
        <v>47440</v>
      </c>
      <c r="L317" s="5">
        <v>2038134.3</v>
      </c>
      <c r="M317" s="5">
        <v>169844.53</v>
      </c>
      <c r="N317" s="5">
        <v>169561.92</v>
      </c>
      <c r="O317" s="5">
        <v>169561.92</v>
      </c>
      <c r="P317" s="5">
        <v>169561.92</v>
      </c>
      <c r="Q317" s="5">
        <v>169561.93</v>
      </c>
      <c r="R317" s="5">
        <v>169561.92</v>
      </c>
      <c r="S317" s="5">
        <v>169561.92</v>
      </c>
      <c r="T317" s="5">
        <v>169561.92</v>
      </c>
      <c r="U317" s="5">
        <v>169561.92</v>
      </c>
      <c r="V317" s="5">
        <v>169561.92</v>
      </c>
      <c r="W317" s="5">
        <v>169561.92</v>
      </c>
      <c r="X317" s="5">
        <v>169561.93</v>
      </c>
      <c r="Y317" s="5">
        <v>172953.16</v>
      </c>
    </row>
    <row r="318" spans="1:25" x14ac:dyDescent="0.25">
      <c r="A318" t="s">
        <v>1887</v>
      </c>
      <c r="B318" t="s">
        <v>2477</v>
      </c>
      <c r="C318" t="s">
        <v>1889</v>
      </c>
      <c r="D318">
        <v>6074202400105300</v>
      </c>
      <c r="E318" t="s">
        <v>2471</v>
      </c>
      <c r="F318" t="s">
        <v>2478</v>
      </c>
      <c r="G318" t="s">
        <v>2479</v>
      </c>
      <c r="H318" t="s">
        <v>2606</v>
      </c>
      <c r="I318" t="s">
        <v>2607</v>
      </c>
      <c r="J318" t="s">
        <v>2552</v>
      </c>
      <c r="K318" s="3">
        <v>47447</v>
      </c>
      <c r="L318" s="5">
        <v>2034694.31</v>
      </c>
      <c r="M318" s="5">
        <v>169557.86</v>
      </c>
      <c r="N318" s="5">
        <v>168854.3</v>
      </c>
      <c r="O318" s="5">
        <v>168854.3</v>
      </c>
      <c r="P318" s="5">
        <v>168854.3</v>
      </c>
      <c r="Q318" s="5">
        <v>168854.3</v>
      </c>
      <c r="R318" s="5">
        <v>168854.32</v>
      </c>
      <c r="S318" s="5">
        <v>168854.3</v>
      </c>
      <c r="T318" s="5">
        <v>168854.3</v>
      </c>
      <c r="U318" s="5">
        <v>168854.3</v>
      </c>
      <c r="V318" s="5">
        <v>168854.3</v>
      </c>
      <c r="W318" s="5">
        <v>168854.3</v>
      </c>
      <c r="X318" s="5">
        <v>168854.3</v>
      </c>
      <c r="Y318" s="5">
        <v>177296.99</v>
      </c>
    </row>
    <row r="319" spans="1:25" x14ac:dyDescent="0.25">
      <c r="A319" t="s">
        <v>1887</v>
      </c>
      <c r="B319" t="s">
        <v>2477</v>
      </c>
      <c r="C319" t="s">
        <v>1889</v>
      </c>
      <c r="D319">
        <v>6074202400105310</v>
      </c>
      <c r="E319" t="s">
        <v>2471</v>
      </c>
      <c r="F319" t="s">
        <v>2478</v>
      </c>
      <c r="G319" t="s">
        <v>2479</v>
      </c>
      <c r="H319" t="s">
        <v>2608</v>
      </c>
      <c r="I319" t="s">
        <v>2609</v>
      </c>
      <c r="J319" t="s">
        <v>2610</v>
      </c>
      <c r="K319" s="3">
        <v>47440</v>
      </c>
      <c r="L319" s="5">
        <v>2067358.4</v>
      </c>
      <c r="M319" s="5">
        <v>172279.87</v>
      </c>
      <c r="N319" s="5">
        <v>171993.21</v>
      </c>
      <c r="O319" s="5">
        <v>171993.21</v>
      </c>
      <c r="P319" s="5">
        <v>171993.21</v>
      </c>
      <c r="Q319" s="5">
        <v>171993.21</v>
      </c>
      <c r="R319" s="5">
        <v>171993.22</v>
      </c>
      <c r="S319" s="5">
        <v>171993.21</v>
      </c>
      <c r="T319" s="5">
        <v>171993.21</v>
      </c>
      <c r="U319" s="5">
        <v>171993.21</v>
      </c>
      <c r="V319" s="5">
        <v>171993.21</v>
      </c>
      <c r="W319" s="5">
        <v>171993.21</v>
      </c>
      <c r="X319" s="5">
        <v>171993.22</v>
      </c>
      <c r="Y319" s="5">
        <v>175433.07</v>
      </c>
    </row>
    <row r="320" spans="1:25" x14ac:dyDescent="0.25">
      <c r="A320" t="s">
        <v>1887</v>
      </c>
      <c r="B320" t="s">
        <v>2477</v>
      </c>
      <c r="C320" t="s">
        <v>1889</v>
      </c>
      <c r="D320">
        <v>6074202400105320</v>
      </c>
      <c r="E320" t="s">
        <v>2471</v>
      </c>
      <c r="F320" t="s">
        <v>2478</v>
      </c>
      <c r="G320" t="s">
        <v>2479</v>
      </c>
      <c r="H320" t="s">
        <v>2480</v>
      </c>
      <c r="I320" t="s">
        <v>2481</v>
      </c>
      <c r="J320" t="s">
        <v>2482</v>
      </c>
      <c r="K320" s="3">
        <v>47444</v>
      </c>
      <c r="L320" s="5">
        <v>2121411.9300000002</v>
      </c>
      <c r="M320" s="5">
        <v>176784.33</v>
      </c>
      <c r="N320" s="5">
        <v>176490.17</v>
      </c>
      <c r="O320" s="5">
        <v>176490.18</v>
      </c>
      <c r="P320" s="5">
        <v>176490.18</v>
      </c>
      <c r="Q320" s="5">
        <v>176490.18</v>
      </c>
      <c r="R320" s="5">
        <v>176490.18</v>
      </c>
      <c r="S320" s="5">
        <v>176490.17</v>
      </c>
      <c r="T320" s="5">
        <v>176490.17</v>
      </c>
      <c r="U320" s="5">
        <v>176490.18</v>
      </c>
      <c r="V320" s="5">
        <v>176490.18</v>
      </c>
      <c r="W320" s="5">
        <v>176490.18</v>
      </c>
      <c r="X320" s="5">
        <v>176490.18</v>
      </c>
      <c r="Y320" s="5">
        <v>180019.98</v>
      </c>
    </row>
    <row r="321" spans="1:25" x14ac:dyDescent="0.25">
      <c r="A321" t="s">
        <v>1887</v>
      </c>
      <c r="B321" t="s">
        <v>2477</v>
      </c>
      <c r="C321" t="s">
        <v>1889</v>
      </c>
      <c r="D321">
        <v>6074202400105330</v>
      </c>
      <c r="E321" t="s">
        <v>2471</v>
      </c>
      <c r="F321" t="s">
        <v>2478</v>
      </c>
      <c r="G321" t="s">
        <v>2479</v>
      </c>
      <c r="H321" t="s">
        <v>2483</v>
      </c>
      <c r="I321" t="s">
        <v>2484</v>
      </c>
      <c r="J321" t="s">
        <v>2485</v>
      </c>
      <c r="K321" s="3">
        <v>47447</v>
      </c>
      <c r="L321" s="5">
        <v>2190348.54</v>
      </c>
      <c r="M321" s="5">
        <v>182529.05</v>
      </c>
      <c r="N321" s="5">
        <v>182529.04</v>
      </c>
      <c r="O321" s="5">
        <v>182529.04</v>
      </c>
      <c r="P321" s="5">
        <v>182529.04</v>
      </c>
      <c r="Q321" s="5">
        <v>182529.05</v>
      </c>
      <c r="R321" s="5">
        <v>182529.05</v>
      </c>
      <c r="S321" s="5">
        <v>182529.04</v>
      </c>
      <c r="T321" s="5">
        <v>182529.04</v>
      </c>
      <c r="U321" s="5">
        <v>182529.04</v>
      </c>
      <c r="V321" s="5">
        <v>182529.05</v>
      </c>
      <c r="W321" s="5">
        <v>182529.05</v>
      </c>
      <c r="X321" s="5">
        <v>182529.05</v>
      </c>
      <c r="Y321" s="5">
        <v>182529.05</v>
      </c>
    </row>
    <row r="322" spans="1:25" x14ac:dyDescent="0.25">
      <c r="A322" t="s">
        <v>1887</v>
      </c>
      <c r="B322" t="s">
        <v>2477</v>
      </c>
      <c r="C322" t="s">
        <v>1889</v>
      </c>
      <c r="D322">
        <v>6074201900002390</v>
      </c>
      <c r="E322" t="s">
        <v>2472</v>
      </c>
      <c r="F322" t="s">
        <v>2486</v>
      </c>
      <c r="G322" t="s">
        <v>2083</v>
      </c>
      <c r="H322" t="s">
        <v>2487</v>
      </c>
      <c r="I322" t="s">
        <v>2488</v>
      </c>
      <c r="J322" t="s">
        <v>2489</v>
      </c>
      <c r="K322" s="3">
        <v>45966</v>
      </c>
      <c r="L322" s="5">
        <v>2266324.2000000002</v>
      </c>
      <c r="M322" s="5">
        <v>188860.35</v>
      </c>
      <c r="N322" s="5">
        <v>188860.35</v>
      </c>
      <c r="O322" s="5">
        <v>188860.35</v>
      </c>
      <c r="P322" s="5">
        <v>188860.35</v>
      </c>
      <c r="Q322" s="5">
        <v>188860.35</v>
      </c>
      <c r="R322" s="5">
        <v>188860.35</v>
      </c>
      <c r="S322" s="5">
        <v>188860.35</v>
      </c>
      <c r="T322" s="5">
        <v>188860.35</v>
      </c>
      <c r="U322" s="5">
        <v>188860.35</v>
      </c>
      <c r="V322" s="5">
        <v>188860.35</v>
      </c>
      <c r="W322" s="5">
        <v>188860.35</v>
      </c>
      <c r="X322" s="5">
        <v>188860.35</v>
      </c>
      <c r="Y322" s="5">
        <v>188860.35</v>
      </c>
    </row>
    <row r="323" spans="1:25" x14ac:dyDescent="0.25">
      <c r="A323" t="s">
        <v>1887</v>
      </c>
      <c r="B323" t="s">
        <v>2477</v>
      </c>
      <c r="C323" t="s">
        <v>1889</v>
      </c>
      <c r="D323">
        <v>6074202400022310</v>
      </c>
      <c r="E323" t="s">
        <v>2471</v>
      </c>
      <c r="F323" t="s">
        <v>2486</v>
      </c>
      <c r="G323" t="s">
        <v>2083</v>
      </c>
      <c r="H323" t="s">
        <v>2490</v>
      </c>
      <c r="I323" t="s">
        <v>2491</v>
      </c>
      <c r="J323" t="s">
        <v>2492</v>
      </c>
      <c r="K323" s="3">
        <v>46487</v>
      </c>
      <c r="L323" s="5">
        <v>1739907.46</v>
      </c>
      <c r="M323" s="5">
        <v>144992.29</v>
      </c>
      <c r="N323" s="5">
        <v>144992.29</v>
      </c>
      <c r="O323" s="5">
        <v>144992.29</v>
      </c>
      <c r="P323" s="5">
        <v>144992.28</v>
      </c>
      <c r="Q323" s="5">
        <v>144992.29</v>
      </c>
      <c r="R323" s="5">
        <v>144992.29</v>
      </c>
      <c r="S323" s="5">
        <v>144992.29</v>
      </c>
      <c r="T323" s="5">
        <v>144992.29</v>
      </c>
      <c r="U323" s="5">
        <v>144992.29</v>
      </c>
      <c r="V323" s="5">
        <v>144992.28</v>
      </c>
      <c r="W323" s="5">
        <v>144992.29</v>
      </c>
      <c r="X323" s="5">
        <v>144992.29</v>
      </c>
      <c r="Y323" s="5">
        <v>144992.29</v>
      </c>
    </row>
    <row r="324" spans="1:25" x14ac:dyDescent="0.25">
      <c r="A324" t="s">
        <v>1887</v>
      </c>
      <c r="B324" t="s">
        <v>2477</v>
      </c>
      <c r="C324" t="s">
        <v>1889</v>
      </c>
      <c r="D324">
        <v>6074202400022320</v>
      </c>
      <c r="E324" t="s">
        <v>2471</v>
      </c>
      <c r="F324" t="s">
        <v>2486</v>
      </c>
      <c r="G324" t="s">
        <v>2083</v>
      </c>
      <c r="H324" t="s">
        <v>2493</v>
      </c>
      <c r="I324" t="s">
        <v>2494</v>
      </c>
      <c r="J324" t="s">
        <v>2495</v>
      </c>
      <c r="K324" s="3">
        <v>46487</v>
      </c>
      <c r="L324" s="5">
        <v>3282359.52</v>
      </c>
      <c r="M324" s="5">
        <v>273529.96000000002</v>
      </c>
      <c r="N324" s="5">
        <v>269487.64</v>
      </c>
      <c r="O324" s="5">
        <v>269487.64</v>
      </c>
      <c r="P324" s="5">
        <v>269487.64</v>
      </c>
      <c r="Q324" s="5">
        <v>274877.40000000002</v>
      </c>
      <c r="R324" s="5">
        <v>274877.40000000002</v>
      </c>
      <c r="S324" s="5">
        <v>274877.40000000002</v>
      </c>
      <c r="T324" s="5">
        <v>274877.40000000002</v>
      </c>
      <c r="U324" s="5">
        <v>274877.40000000002</v>
      </c>
      <c r="V324" s="5">
        <v>274877.40000000002</v>
      </c>
      <c r="W324" s="5">
        <v>274877.40000000002</v>
      </c>
      <c r="X324" s="5">
        <v>274877.40000000002</v>
      </c>
      <c r="Y324" s="5">
        <v>274877.40000000002</v>
      </c>
    </row>
    <row r="325" spans="1:25" x14ac:dyDescent="0.25">
      <c r="A325" t="s">
        <v>1887</v>
      </c>
      <c r="B325" t="s">
        <v>2477</v>
      </c>
      <c r="C325" t="s">
        <v>1889</v>
      </c>
      <c r="D325">
        <v>6074202400022330</v>
      </c>
      <c r="E325" t="s">
        <v>2471</v>
      </c>
      <c r="F325" t="s">
        <v>2486</v>
      </c>
      <c r="G325" t="s">
        <v>2083</v>
      </c>
      <c r="H325" t="s">
        <v>2496</v>
      </c>
      <c r="I325" t="s">
        <v>2497</v>
      </c>
      <c r="J325" t="s">
        <v>2498</v>
      </c>
      <c r="K325" s="3">
        <v>46487</v>
      </c>
      <c r="L325" s="5">
        <v>3661246.56</v>
      </c>
      <c r="M325" s="5">
        <v>305103.88</v>
      </c>
      <c r="N325" s="5">
        <v>294118.99</v>
      </c>
      <c r="O325" s="5">
        <v>294118.99</v>
      </c>
      <c r="P325" s="5">
        <v>294118.99</v>
      </c>
      <c r="Q325" s="5">
        <v>308765.51</v>
      </c>
      <c r="R325" s="5">
        <v>308765.51</v>
      </c>
      <c r="S325" s="5">
        <v>308765.51</v>
      </c>
      <c r="T325" s="5">
        <v>308765.51</v>
      </c>
      <c r="U325" s="5">
        <v>308765.51</v>
      </c>
      <c r="V325" s="5">
        <v>308765.51</v>
      </c>
      <c r="W325" s="5">
        <v>308765.51</v>
      </c>
      <c r="X325" s="5">
        <v>308765.51</v>
      </c>
      <c r="Y325" s="5">
        <v>308765.51</v>
      </c>
    </row>
    <row r="326" spans="1:25" x14ac:dyDescent="0.25">
      <c r="A326" t="s">
        <v>1887</v>
      </c>
      <c r="B326" t="s">
        <v>2477</v>
      </c>
      <c r="C326" t="s">
        <v>1889</v>
      </c>
      <c r="D326">
        <v>6074202400022350</v>
      </c>
      <c r="E326" t="s">
        <v>2471</v>
      </c>
      <c r="F326" t="s">
        <v>2486</v>
      </c>
      <c r="G326" t="s">
        <v>2083</v>
      </c>
      <c r="H326" t="s">
        <v>2499</v>
      </c>
      <c r="I326" t="s">
        <v>2500</v>
      </c>
      <c r="J326" t="s">
        <v>2501</v>
      </c>
      <c r="K326" s="3">
        <v>46487</v>
      </c>
      <c r="L326" s="5">
        <v>3448158.71</v>
      </c>
      <c r="M326" s="5">
        <v>287346.56</v>
      </c>
      <c r="N326" s="5">
        <v>283100.06</v>
      </c>
      <c r="O326" s="5">
        <v>283100.06</v>
      </c>
      <c r="P326" s="5">
        <v>283100.06</v>
      </c>
      <c r="Q326" s="5">
        <v>288762.06</v>
      </c>
      <c r="R326" s="5">
        <v>288762.06</v>
      </c>
      <c r="S326" s="5">
        <v>288762.06</v>
      </c>
      <c r="T326" s="5">
        <v>288762.06</v>
      </c>
      <c r="U326" s="5">
        <v>288762.06</v>
      </c>
      <c r="V326" s="5">
        <v>288762.06</v>
      </c>
      <c r="W326" s="5">
        <v>288762.05</v>
      </c>
      <c r="X326" s="5">
        <v>288762.06</v>
      </c>
      <c r="Y326" s="5">
        <v>288762.06</v>
      </c>
    </row>
    <row r="327" spans="1:25" x14ac:dyDescent="0.25">
      <c r="A327" t="s">
        <v>1887</v>
      </c>
      <c r="B327" t="s">
        <v>2477</v>
      </c>
      <c r="C327" t="s">
        <v>1889</v>
      </c>
      <c r="D327">
        <v>6074202400085530</v>
      </c>
      <c r="E327" t="s">
        <v>2471</v>
      </c>
      <c r="F327" t="s">
        <v>2502</v>
      </c>
      <c r="G327" t="s">
        <v>2083</v>
      </c>
      <c r="H327" t="s">
        <v>2503</v>
      </c>
      <c r="I327" t="s">
        <v>2504</v>
      </c>
      <c r="J327" t="s">
        <v>2505</v>
      </c>
      <c r="K327" s="3">
        <v>47391</v>
      </c>
      <c r="L327" s="5">
        <v>5852384.6399999997</v>
      </c>
      <c r="M327" s="5">
        <v>487698.72</v>
      </c>
      <c r="N327" s="5">
        <v>487698.72</v>
      </c>
      <c r="O327" s="5">
        <v>487698.72</v>
      </c>
      <c r="P327" s="5">
        <v>487698.72</v>
      </c>
      <c r="Q327" s="5">
        <v>487698.72</v>
      </c>
      <c r="R327" s="5">
        <v>487698.72</v>
      </c>
      <c r="S327" s="5">
        <v>487698.72</v>
      </c>
      <c r="T327" s="5">
        <v>487698.72</v>
      </c>
      <c r="U327" s="5">
        <v>487698.72</v>
      </c>
      <c r="V327" s="5">
        <v>487698.72</v>
      </c>
      <c r="W327" s="5">
        <v>487698.72</v>
      </c>
      <c r="X327" s="5">
        <v>487698.72</v>
      </c>
      <c r="Y327" s="5">
        <v>487698.72</v>
      </c>
    </row>
    <row r="328" spans="1:25" x14ac:dyDescent="0.25">
      <c r="A328" t="s">
        <v>1887</v>
      </c>
      <c r="B328" t="s">
        <v>2477</v>
      </c>
      <c r="C328" t="s">
        <v>1889</v>
      </c>
      <c r="D328">
        <v>6074202400064510</v>
      </c>
      <c r="E328" t="s">
        <v>2472</v>
      </c>
      <c r="F328" t="s">
        <v>2486</v>
      </c>
      <c r="G328" t="s">
        <v>2083</v>
      </c>
      <c r="H328" t="s">
        <v>2506</v>
      </c>
      <c r="I328" t="s">
        <v>2507</v>
      </c>
      <c r="J328" t="s">
        <v>2495</v>
      </c>
      <c r="K328" s="3">
        <v>46418</v>
      </c>
      <c r="L328" s="5">
        <v>508284.84</v>
      </c>
      <c r="M328" s="5">
        <v>42357.07</v>
      </c>
      <c r="N328" s="5">
        <v>42357.07</v>
      </c>
      <c r="O328" s="5">
        <v>42357.07</v>
      </c>
      <c r="P328" s="5">
        <v>42357.07</v>
      </c>
      <c r="Q328" s="5">
        <v>42357.07</v>
      </c>
      <c r="R328" s="5">
        <v>42357.07</v>
      </c>
      <c r="S328" s="5">
        <v>42357.07</v>
      </c>
      <c r="T328" s="5">
        <v>42357.07</v>
      </c>
      <c r="U328" s="5">
        <v>42357.07</v>
      </c>
      <c r="V328" s="5">
        <v>42357.07</v>
      </c>
      <c r="W328" s="5">
        <v>42357.07</v>
      </c>
      <c r="X328" s="5">
        <v>42357.07</v>
      </c>
      <c r="Y328" s="5">
        <v>42357.07</v>
      </c>
    </row>
    <row r="329" spans="1:25" x14ac:dyDescent="0.25">
      <c r="A329" t="s">
        <v>1887</v>
      </c>
      <c r="B329" t="s">
        <v>2477</v>
      </c>
      <c r="C329" t="s">
        <v>1889</v>
      </c>
      <c r="D329">
        <v>6074202400064440</v>
      </c>
      <c r="E329" t="s">
        <v>2472</v>
      </c>
      <c r="F329" t="s">
        <v>2486</v>
      </c>
      <c r="G329" t="s">
        <v>2083</v>
      </c>
      <c r="H329" t="s">
        <v>2508</v>
      </c>
      <c r="I329" t="s">
        <v>2509</v>
      </c>
      <c r="J329" t="s">
        <v>2510</v>
      </c>
      <c r="K329" s="3">
        <v>46418</v>
      </c>
      <c r="L329" s="5">
        <v>652528.56000000006</v>
      </c>
      <c r="M329" s="5">
        <v>54377.38</v>
      </c>
      <c r="N329" s="5">
        <v>54377.38</v>
      </c>
      <c r="O329" s="5">
        <v>54377.38</v>
      </c>
      <c r="P329" s="5">
        <v>54377.38</v>
      </c>
      <c r="Q329" s="5">
        <v>54377.38</v>
      </c>
      <c r="R329" s="5">
        <v>54377.38</v>
      </c>
      <c r="S329" s="5">
        <v>54377.38</v>
      </c>
      <c r="T329" s="5">
        <v>54377.38</v>
      </c>
      <c r="U329" s="5">
        <v>54377.38</v>
      </c>
      <c r="V329" s="5">
        <v>54377.38</v>
      </c>
      <c r="W329" s="5">
        <v>54377.38</v>
      </c>
      <c r="X329" s="5">
        <v>54377.38</v>
      </c>
      <c r="Y329" s="5">
        <v>54377.38</v>
      </c>
    </row>
    <row r="330" spans="1:25" x14ac:dyDescent="0.25">
      <c r="A330" t="s">
        <v>1887</v>
      </c>
      <c r="B330" t="s">
        <v>2477</v>
      </c>
      <c r="C330" t="s">
        <v>1889</v>
      </c>
      <c r="D330">
        <v>6074202300078960</v>
      </c>
      <c r="E330" t="s">
        <v>2471</v>
      </c>
      <c r="F330" t="s">
        <v>2486</v>
      </c>
      <c r="G330" t="s">
        <v>2083</v>
      </c>
      <c r="H330" t="s">
        <v>2511</v>
      </c>
      <c r="I330" t="s">
        <v>2512</v>
      </c>
      <c r="J330" t="s">
        <v>2513</v>
      </c>
      <c r="K330" s="3">
        <v>46299</v>
      </c>
      <c r="L330" s="5">
        <v>1355821.55</v>
      </c>
      <c r="M330" s="5">
        <v>112985.13</v>
      </c>
      <c r="N330" s="5">
        <v>111315.4</v>
      </c>
      <c r="O330" s="5">
        <v>111315.4</v>
      </c>
      <c r="P330" s="5">
        <v>111315.4</v>
      </c>
      <c r="Q330" s="5">
        <v>111315.39</v>
      </c>
      <c r="R330" s="5">
        <v>111315.4</v>
      </c>
      <c r="S330" s="5">
        <v>111315.4</v>
      </c>
      <c r="T330" s="5">
        <v>111315.4</v>
      </c>
      <c r="U330" s="5">
        <v>111315.4</v>
      </c>
      <c r="V330" s="5">
        <v>111315.4</v>
      </c>
      <c r="W330" s="5">
        <v>117994.32</v>
      </c>
      <c r="X330" s="5">
        <v>117994.32</v>
      </c>
      <c r="Y330" s="5">
        <v>117994.32</v>
      </c>
    </row>
    <row r="331" spans="1:25" x14ac:dyDescent="0.25">
      <c r="A331" t="s">
        <v>1887</v>
      </c>
      <c r="B331" t="s">
        <v>2477</v>
      </c>
      <c r="C331" t="s">
        <v>1889</v>
      </c>
      <c r="D331">
        <v>6074202300078970</v>
      </c>
      <c r="E331" t="s">
        <v>2471</v>
      </c>
      <c r="F331" t="s">
        <v>2486</v>
      </c>
      <c r="G331" t="s">
        <v>2083</v>
      </c>
      <c r="H331" t="s">
        <v>2514</v>
      </c>
      <c r="I331" t="s">
        <v>2515</v>
      </c>
      <c r="J331" t="s">
        <v>2489</v>
      </c>
      <c r="K331" s="3">
        <v>46294</v>
      </c>
      <c r="L331" s="5">
        <v>2093832.37</v>
      </c>
      <c r="M331" s="5">
        <v>174486.03</v>
      </c>
      <c r="N331" s="5">
        <v>171907.42</v>
      </c>
      <c r="O331" s="5">
        <v>171907.42</v>
      </c>
      <c r="P331" s="5">
        <v>171907.41</v>
      </c>
      <c r="Q331" s="5">
        <v>171907.42</v>
      </c>
      <c r="R331" s="5">
        <v>171907.42</v>
      </c>
      <c r="S331" s="5">
        <v>171907.42</v>
      </c>
      <c r="T331" s="5">
        <v>171907.42</v>
      </c>
      <c r="U331" s="5">
        <v>171907.42</v>
      </c>
      <c r="V331" s="5">
        <v>171907.41</v>
      </c>
      <c r="W331" s="5">
        <v>182221.87</v>
      </c>
      <c r="X331" s="5">
        <v>182221.87</v>
      </c>
      <c r="Y331" s="5">
        <v>182221.87</v>
      </c>
    </row>
    <row r="332" spans="1:25" x14ac:dyDescent="0.25">
      <c r="A332" t="s">
        <v>1887</v>
      </c>
      <c r="B332" t="s">
        <v>2477</v>
      </c>
      <c r="C332" t="s">
        <v>1889</v>
      </c>
      <c r="D332">
        <v>6074202300078980</v>
      </c>
      <c r="E332" t="s">
        <v>2471</v>
      </c>
      <c r="F332" t="s">
        <v>2486</v>
      </c>
      <c r="G332" t="s">
        <v>2083</v>
      </c>
      <c r="H332" t="s">
        <v>2516</v>
      </c>
      <c r="I332" t="s">
        <v>2517</v>
      </c>
      <c r="J332" t="s">
        <v>2495</v>
      </c>
      <c r="K332" s="3">
        <v>46294</v>
      </c>
      <c r="L332" s="5">
        <v>1817784</v>
      </c>
      <c r="M332" s="5">
        <v>151482</v>
      </c>
      <c r="N332" s="5">
        <v>149243.35</v>
      </c>
      <c r="O332" s="5">
        <v>149243.35</v>
      </c>
      <c r="P332" s="5">
        <v>149243.35</v>
      </c>
      <c r="Q332" s="5">
        <v>149243.35</v>
      </c>
      <c r="R332" s="5">
        <v>149243.35</v>
      </c>
      <c r="S332" s="5">
        <v>149243.35</v>
      </c>
      <c r="T332" s="5">
        <v>149243.35</v>
      </c>
      <c r="U332" s="5">
        <v>149243.35</v>
      </c>
      <c r="V332" s="5">
        <v>149243.35</v>
      </c>
      <c r="W332" s="5">
        <v>158197.95000000001</v>
      </c>
      <c r="X332" s="5">
        <v>158197.95000000001</v>
      </c>
      <c r="Y332" s="5">
        <v>158197.95000000001</v>
      </c>
    </row>
    <row r="333" spans="1:25" x14ac:dyDescent="0.25">
      <c r="A333" t="s">
        <v>1887</v>
      </c>
      <c r="B333" t="s">
        <v>2477</v>
      </c>
      <c r="C333" t="s">
        <v>1889</v>
      </c>
      <c r="D333">
        <v>6074202300078990</v>
      </c>
      <c r="E333" t="s">
        <v>2471</v>
      </c>
      <c r="F333" t="s">
        <v>2486</v>
      </c>
      <c r="G333" t="s">
        <v>2083</v>
      </c>
      <c r="H333" t="s">
        <v>2518</v>
      </c>
      <c r="I333" t="s">
        <v>2519</v>
      </c>
      <c r="J333" t="s">
        <v>2495</v>
      </c>
      <c r="K333" s="3">
        <v>46294</v>
      </c>
      <c r="L333" s="5">
        <v>1989522.02</v>
      </c>
      <c r="M333" s="5">
        <v>165793.5</v>
      </c>
      <c r="N333" s="5">
        <v>163343.35</v>
      </c>
      <c r="O333" s="5">
        <v>163343.35</v>
      </c>
      <c r="P333" s="5">
        <v>163343.35</v>
      </c>
      <c r="Q333" s="5">
        <v>163343.35999999999</v>
      </c>
      <c r="R333" s="5">
        <v>163343.35999999999</v>
      </c>
      <c r="S333" s="5">
        <v>163343.35</v>
      </c>
      <c r="T333" s="5">
        <v>163343.35</v>
      </c>
      <c r="U333" s="5">
        <v>163343.35</v>
      </c>
      <c r="V333" s="5">
        <v>163343.35</v>
      </c>
      <c r="W333" s="5">
        <v>173143.95</v>
      </c>
      <c r="X333" s="5">
        <v>173143.95</v>
      </c>
      <c r="Y333" s="5">
        <v>173143.95</v>
      </c>
    </row>
    <row r="334" spans="1:25" x14ac:dyDescent="0.25">
      <c r="A334" t="s">
        <v>1887</v>
      </c>
      <c r="B334" t="s">
        <v>2477</v>
      </c>
      <c r="C334" t="s">
        <v>1889</v>
      </c>
      <c r="D334">
        <v>6074202400073980</v>
      </c>
      <c r="E334" t="s">
        <v>2472</v>
      </c>
      <c r="F334" t="s">
        <v>2486</v>
      </c>
      <c r="G334" t="s">
        <v>2083</v>
      </c>
      <c r="H334" t="s">
        <v>2520</v>
      </c>
      <c r="I334" t="s">
        <v>2521</v>
      </c>
      <c r="J334" t="s">
        <v>2522</v>
      </c>
      <c r="K334" s="3">
        <v>46843</v>
      </c>
      <c r="L334" s="5">
        <v>442825.56</v>
      </c>
      <c r="M334" s="5">
        <v>36902.129999999997</v>
      </c>
      <c r="N334" s="5">
        <v>36902.129999999997</v>
      </c>
      <c r="O334" s="5">
        <v>36902.129999999997</v>
      </c>
      <c r="P334" s="5">
        <v>36902.129999999997</v>
      </c>
      <c r="Q334" s="5">
        <v>36902.129999999997</v>
      </c>
      <c r="R334" s="5">
        <v>36902.129999999997</v>
      </c>
      <c r="S334" s="5">
        <v>36902.129999999997</v>
      </c>
      <c r="T334" s="5">
        <v>36902.129999999997</v>
      </c>
      <c r="U334" s="5">
        <v>36902.129999999997</v>
      </c>
      <c r="V334" s="5">
        <v>36902.129999999997</v>
      </c>
      <c r="W334" s="5">
        <v>36902.129999999997</v>
      </c>
      <c r="X334" s="5">
        <v>36902.129999999997</v>
      </c>
      <c r="Y334" s="5">
        <v>36902.129999999997</v>
      </c>
    </row>
    <row r="335" spans="1:25" x14ac:dyDescent="0.25">
      <c r="A335" t="s">
        <v>1887</v>
      </c>
      <c r="B335" t="s">
        <v>2477</v>
      </c>
      <c r="C335" t="s">
        <v>1889</v>
      </c>
      <c r="D335">
        <v>6074202400095530</v>
      </c>
      <c r="E335" t="s">
        <v>2472</v>
      </c>
      <c r="F335" t="s">
        <v>2486</v>
      </c>
      <c r="G335" t="s">
        <v>2083</v>
      </c>
      <c r="H335" t="s">
        <v>2523</v>
      </c>
      <c r="I335" t="s">
        <v>2524</v>
      </c>
      <c r="J335" t="s">
        <v>2525</v>
      </c>
      <c r="K335" s="3">
        <v>45993</v>
      </c>
      <c r="L335" s="5">
        <v>564492.36</v>
      </c>
      <c r="M335" s="5">
        <v>47041.03</v>
      </c>
      <c r="N335" s="5">
        <v>47041.03</v>
      </c>
      <c r="O335" s="5">
        <v>47041.03</v>
      </c>
      <c r="P335" s="5">
        <v>47041.03</v>
      </c>
      <c r="Q335" s="5">
        <v>47041.03</v>
      </c>
      <c r="R335" s="5">
        <v>47041.03</v>
      </c>
      <c r="S335" s="5">
        <v>47041.03</v>
      </c>
      <c r="T335" s="5">
        <v>47041.03</v>
      </c>
      <c r="U335" s="5">
        <v>47041.03</v>
      </c>
      <c r="V335" s="5">
        <v>47041.03</v>
      </c>
      <c r="W335" s="5">
        <v>47041.03</v>
      </c>
      <c r="X335" s="5">
        <v>47041.03</v>
      </c>
      <c r="Y335" s="5">
        <v>47041.03</v>
      </c>
    </row>
    <row r="336" spans="1:25" x14ac:dyDescent="0.25">
      <c r="A336" t="s">
        <v>1887</v>
      </c>
      <c r="B336" t="s">
        <v>2477</v>
      </c>
      <c r="C336" t="s">
        <v>1889</v>
      </c>
      <c r="D336">
        <v>6074202400089750</v>
      </c>
      <c r="E336" t="s">
        <v>2472</v>
      </c>
      <c r="F336" t="s">
        <v>2486</v>
      </c>
      <c r="G336" t="s">
        <v>2083</v>
      </c>
      <c r="H336" t="s">
        <v>2526</v>
      </c>
      <c r="I336" t="s">
        <v>2527</v>
      </c>
      <c r="J336" t="s">
        <v>2528</v>
      </c>
      <c r="K336" s="3">
        <v>47239</v>
      </c>
      <c r="L336" s="5">
        <v>526183.19999999995</v>
      </c>
      <c r="M336" s="5">
        <v>43848.6</v>
      </c>
      <c r="N336" s="5">
        <v>43848.6</v>
      </c>
      <c r="O336" s="5">
        <v>43848.6</v>
      </c>
      <c r="P336" s="5">
        <v>43848.6</v>
      </c>
      <c r="Q336" s="5">
        <v>43848.6</v>
      </c>
      <c r="R336" s="5">
        <v>43848.6</v>
      </c>
      <c r="S336" s="5">
        <v>43848.6</v>
      </c>
      <c r="T336" s="5">
        <v>43848.6</v>
      </c>
      <c r="U336" s="5">
        <v>43848.6</v>
      </c>
      <c r="V336" s="5">
        <v>43848.6</v>
      </c>
      <c r="W336" s="5">
        <v>43848.6</v>
      </c>
      <c r="X336" s="5">
        <v>43848.6</v>
      </c>
      <c r="Y336" s="5">
        <v>43848.6</v>
      </c>
    </row>
    <row r="337" spans="1:25" x14ac:dyDescent="0.25">
      <c r="A337" t="s">
        <v>1887</v>
      </c>
      <c r="B337" t="s">
        <v>2477</v>
      </c>
      <c r="C337" t="s">
        <v>1889</v>
      </c>
      <c r="D337">
        <v>6074202400063000</v>
      </c>
      <c r="E337" t="s">
        <v>2472</v>
      </c>
      <c r="F337" t="s">
        <v>2486</v>
      </c>
      <c r="G337" t="s">
        <v>2083</v>
      </c>
      <c r="H337" t="s">
        <v>2529</v>
      </c>
      <c r="I337" t="s">
        <v>2530</v>
      </c>
      <c r="J337" t="s">
        <v>2531</v>
      </c>
      <c r="K337" s="3">
        <v>46185</v>
      </c>
      <c r="L337" s="5">
        <v>625891.24</v>
      </c>
      <c r="M337" s="5">
        <v>52157.599999999999</v>
      </c>
      <c r="N337" s="5">
        <v>50638.44</v>
      </c>
      <c r="O337" s="5">
        <v>50638.46</v>
      </c>
      <c r="P337" s="5">
        <v>50638.46</v>
      </c>
      <c r="Q337" s="5">
        <v>50638.46</v>
      </c>
      <c r="R337" s="5">
        <v>50638.46</v>
      </c>
      <c r="S337" s="5">
        <v>50638.46</v>
      </c>
      <c r="T337" s="5">
        <v>53676.75</v>
      </c>
      <c r="U337" s="5">
        <v>53676.75</v>
      </c>
      <c r="V337" s="5">
        <v>53676.75</v>
      </c>
      <c r="W337" s="5">
        <v>53676.75</v>
      </c>
      <c r="X337" s="5">
        <v>53676.75</v>
      </c>
      <c r="Y337" s="5">
        <v>53676.75</v>
      </c>
    </row>
    <row r="338" spans="1:25" x14ac:dyDescent="0.25">
      <c r="A338" t="s">
        <v>1887</v>
      </c>
      <c r="B338" t="s">
        <v>2477</v>
      </c>
      <c r="C338" t="s">
        <v>1889</v>
      </c>
      <c r="D338">
        <v>6074202400102230</v>
      </c>
      <c r="E338" t="s">
        <v>2472</v>
      </c>
      <c r="F338" t="s">
        <v>2486</v>
      </c>
      <c r="G338" t="s">
        <v>2083</v>
      </c>
      <c r="H338" t="s">
        <v>2532</v>
      </c>
      <c r="I338" t="s">
        <v>2533</v>
      </c>
      <c r="J338" t="s">
        <v>2525</v>
      </c>
      <c r="K338" s="3">
        <v>47284</v>
      </c>
      <c r="L338" s="5">
        <v>504570.48</v>
      </c>
      <c r="M338" s="5">
        <v>42047.54</v>
      </c>
      <c r="N338" s="5">
        <v>42047.54</v>
      </c>
      <c r="O338" s="5">
        <v>42047.54</v>
      </c>
      <c r="P338" s="5">
        <v>42047.54</v>
      </c>
      <c r="Q338" s="5">
        <v>42047.54</v>
      </c>
      <c r="R338" s="5">
        <v>42047.54</v>
      </c>
      <c r="S338" s="5">
        <v>42047.54</v>
      </c>
      <c r="T338" s="5">
        <v>42047.54</v>
      </c>
      <c r="U338" s="5">
        <v>42047.54</v>
      </c>
      <c r="V338" s="5">
        <v>42047.54</v>
      </c>
      <c r="W338" s="5">
        <v>42047.54</v>
      </c>
      <c r="X338" s="5">
        <v>42047.54</v>
      </c>
      <c r="Y338" s="5">
        <v>42047.54</v>
      </c>
    </row>
    <row r="339" spans="1:25" x14ac:dyDescent="0.25">
      <c r="A339" t="s">
        <v>1887</v>
      </c>
      <c r="B339" t="s">
        <v>2477</v>
      </c>
      <c r="C339" t="s">
        <v>1889</v>
      </c>
      <c r="D339">
        <v>6074202400095510</v>
      </c>
      <c r="E339" t="s">
        <v>2472</v>
      </c>
      <c r="F339" t="s">
        <v>2486</v>
      </c>
      <c r="G339" t="s">
        <v>2083</v>
      </c>
      <c r="H339" t="s">
        <v>2534</v>
      </c>
      <c r="I339" t="s">
        <v>2535</v>
      </c>
      <c r="J339" t="s">
        <v>2536</v>
      </c>
      <c r="K339" s="3">
        <v>46904</v>
      </c>
      <c r="L339" s="5">
        <v>517105.32</v>
      </c>
      <c r="M339" s="5">
        <v>43092.11</v>
      </c>
      <c r="N339" s="5">
        <v>43092.11</v>
      </c>
      <c r="O339" s="5">
        <v>43092.11</v>
      </c>
      <c r="P339" s="5">
        <v>43092.11</v>
      </c>
      <c r="Q339" s="5">
        <v>43092.11</v>
      </c>
      <c r="R339" s="5">
        <v>43092.11</v>
      </c>
      <c r="S339" s="5">
        <v>43092.11</v>
      </c>
      <c r="T339" s="5">
        <v>43092.11</v>
      </c>
      <c r="U339" s="5">
        <v>43092.11</v>
      </c>
      <c r="V339" s="5">
        <v>43092.11</v>
      </c>
      <c r="W339" s="5">
        <v>43092.11</v>
      </c>
      <c r="X339" s="5">
        <v>43092.11</v>
      </c>
      <c r="Y339" s="5">
        <v>43092.11</v>
      </c>
    </row>
    <row r="340" spans="1:25" x14ac:dyDescent="0.25">
      <c r="A340" t="s">
        <v>1887</v>
      </c>
      <c r="B340" t="s">
        <v>2477</v>
      </c>
      <c r="C340" t="s">
        <v>1889</v>
      </c>
      <c r="D340">
        <v>6074202400102280</v>
      </c>
      <c r="E340" t="s">
        <v>2472</v>
      </c>
      <c r="F340" t="s">
        <v>2486</v>
      </c>
      <c r="G340" t="s">
        <v>2083</v>
      </c>
      <c r="H340" t="s">
        <v>2537</v>
      </c>
      <c r="I340" t="s">
        <v>2538</v>
      </c>
      <c r="J340" t="s">
        <v>2539</v>
      </c>
      <c r="K340" s="3">
        <v>46934</v>
      </c>
      <c r="L340" s="5">
        <v>535867.92000000004</v>
      </c>
      <c r="M340" s="5">
        <v>44655.66</v>
      </c>
      <c r="N340" s="5">
        <v>44655.66</v>
      </c>
      <c r="O340" s="5">
        <v>44655.66</v>
      </c>
      <c r="P340" s="5">
        <v>44655.66</v>
      </c>
      <c r="Q340" s="5">
        <v>44655.66</v>
      </c>
      <c r="R340" s="5">
        <v>44655.66</v>
      </c>
      <c r="S340" s="5">
        <v>44655.66</v>
      </c>
      <c r="T340" s="5">
        <v>44655.66</v>
      </c>
      <c r="U340" s="5">
        <v>44655.66</v>
      </c>
      <c r="V340" s="5">
        <v>44655.66</v>
      </c>
      <c r="W340" s="5">
        <v>44655.66</v>
      </c>
      <c r="X340" s="5">
        <v>44655.66</v>
      </c>
      <c r="Y340" s="5">
        <v>44655.66</v>
      </c>
    </row>
    <row r="341" spans="1:25" x14ac:dyDescent="0.25">
      <c r="A341" t="s">
        <v>1887</v>
      </c>
      <c r="B341" t="s">
        <v>2477</v>
      </c>
      <c r="C341" t="s">
        <v>1889</v>
      </c>
      <c r="D341">
        <v>6074202400095440</v>
      </c>
      <c r="E341" t="s">
        <v>2472</v>
      </c>
      <c r="F341" t="s">
        <v>2486</v>
      </c>
      <c r="G341" t="s">
        <v>2083</v>
      </c>
      <c r="H341" t="s">
        <v>2540</v>
      </c>
      <c r="I341" t="s">
        <v>2541</v>
      </c>
      <c r="J341" t="s">
        <v>2495</v>
      </c>
      <c r="K341" s="3">
        <v>46336</v>
      </c>
      <c r="L341" s="5">
        <v>461831.88</v>
      </c>
      <c r="M341" s="5">
        <v>38485.99</v>
      </c>
      <c r="N341" s="5">
        <v>38104.94</v>
      </c>
      <c r="O341" s="5">
        <v>38104.94</v>
      </c>
      <c r="P341" s="5">
        <v>38104.94</v>
      </c>
      <c r="Q341" s="5">
        <v>38104.94</v>
      </c>
      <c r="R341" s="5">
        <v>38104.94</v>
      </c>
      <c r="S341" s="5">
        <v>38104.94</v>
      </c>
      <c r="T341" s="5">
        <v>38104.94</v>
      </c>
      <c r="U341" s="5">
        <v>38104.94</v>
      </c>
      <c r="V341" s="5">
        <v>38104.94</v>
      </c>
      <c r="W341" s="5">
        <v>38104.94</v>
      </c>
      <c r="X341" s="5">
        <v>40391.24</v>
      </c>
      <c r="Y341" s="5">
        <v>40391.24</v>
      </c>
    </row>
    <row r="342" spans="1:25" x14ac:dyDescent="0.25">
      <c r="A342" t="s">
        <v>1887</v>
      </c>
      <c r="B342" t="s">
        <v>2477</v>
      </c>
      <c r="C342" t="s">
        <v>1889</v>
      </c>
      <c r="D342">
        <v>6074202400102310</v>
      </c>
      <c r="E342" t="s">
        <v>2472</v>
      </c>
      <c r="F342" t="s">
        <v>2486</v>
      </c>
      <c r="G342" t="s">
        <v>2083</v>
      </c>
      <c r="H342" t="s">
        <v>2542</v>
      </c>
      <c r="I342" t="s">
        <v>2543</v>
      </c>
      <c r="J342" t="s">
        <v>2539</v>
      </c>
      <c r="K342" s="3">
        <v>46934</v>
      </c>
      <c r="L342" s="5">
        <v>613770.36</v>
      </c>
      <c r="M342" s="5">
        <v>51147.53</v>
      </c>
      <c r="N342" s="5">
        <v>51147.53</v>
      </c>
      <c r="O342" s="5">
        <v>51147.53</v>
      </c>
      <c r="P342" s="5">
        <v>51147.53</v>
      </c>
      <c r="Q342" s="5">
        <v>51147.53</v>
      </c>
      <c r="R342" s="5">
        <v>51147.53</v>
      </c>
      <c r="S342" s="5">
        <v>51147.53</v>
      </c>
      <c r="T342" s="5">
        <v>51147.53</v>
      </c>
      <c r="U342" s="5">
        <v>51147.53</v>
      </c>
      <c r="V342" s="5">
        <v>51147.53</v>
      </c>
      <c r="W342" s="5">
        <v>51147.53</v>
      </c>
      <c r="X342" s="5">
        <v>51147.53</v>
      </c>
      <c r="Y342" s="5">
        <v>51147.53</v>
      </c>
    </row>
    <row r="343" spans="1:25" x14ac:dyDescent="0.25">
      <c r="A343" t="s">
        <v>1887</v>
      </c>
      <c r="B343" t="s">
        <v>2477</v>
      </c>
      <c r="C343" t="s">
        <v>1889</v>
      </c>
      <c r="D343">
        <v>6074202400074010</v>
      </c>
      <c r="E343" t="s">
        <v>2472</v>
      </c>
      <c r="F343" t="s">
        <v>2486</v>
      </c>
      <c r="G343" t="s">
        <v>2083</v>
      </c>
      <c r="H343" t="s">
        <v>2544</v>
      </c>
      <c r="I343" t="s">
        <v>2545</v>
      </c>
      <c r="J343" t="s">
        <v>2498</v>
      </c>
      <c r="K343" s="3">
        <v>47010</v>
      </c>
      <c r="L343" s="5">
        <v>598404.12</v>
      </c>
      <c r="M343" s="5">
        <v>49867.01</v>
      </c>
      <c r="N343" s="5">
        <v>49867.01</v>
      </c>
      <c r="O343" s="5">
        <v>49867.01</v>
      </c>
      <c r="P343" s="5">
        <v>49867.01</v>
      </c>
      <c r="Q343" s="5">
        <v>49867.01</v>
      </c>
      <c r="R343" s="5">
        <v>49867.01</v>
      </c>
      <c r="S343" s="5">
        <v>49867.01</v>
      </c>
      <c r="T343" s="5">
        <v>49867.01</v>
      </c>
      <c r="U343" s="5">
        <v>49867.01</v>
      </c>
      <c r="V343" s="5">
        <v>49867.01</v>
      </c>
      <c r="W343" s="5">
        <v>49867.01</v>
      </c>
      <c r="X343" s="5">
        <v>49867.01</v>
      </c>
      <c r="Y343" s="5">
        <v>49867.01</v>
      </c>
    </row>
    <row r="344" spans="1:25" x14ac:dyDescent="0.25">
      <c r="A344" t="s">
        <v>1887</v>
      </c>
      <c r="B344" t="s">
        <v>2477</v>
      </c>
      <c r="C344" t="s">
        <v>1889</v>
      </c>
      <c r="D344">
        <v>6074202400089710</v>
      </c>
      <c r="E344" t="s">
        <v>2472</v>
      </c>
      <c r="F344" t="s">
        <v>2486</v>
      </c>
      <c r="G344" t="s">
        <v>2083</v>
      </c>
      <c r="H344" t="s">
        <v>2546</v>
      </c>
      <c r="I344" t="s">
        <v>2547</v>
      </c>
      <c r="J344" t="s">
        <v>2528</v>
      </c>
      <c r="K344" s="3">
        <v>47053</v>
      </c>
      <c r="L344" s="5">
        <v>587579.64</v>
      </c>
      <c r="M344" s="5">
        <v>48964.97</v>
      </c>
      <c r="N344" s="5">
        <v>48964.97</v>
      </c>
      <c r="O344" s="5">
        <v>48964.97</v>
      </c>
      <c r="P344" s="5">
        <v>48964.97</v>
      </c>
      <c r="Q344" s="5">
        <v>48964.97</v>
      </c>
      <c r="R344" s="5">
        <v>48964.97</v>
      </c>
      <c r="S344" s="5">
        <v>48964.97</v>
      </c>
      <c r="T344" s="5">
        <v>48964.97</v>
      </c>
      <c r="U344" s="5">
        <v>48964.97</v>
      </c>
      <c r="V344" s="5">
        <v>48964.97</v>
      </c>
      <c r="W344" s="5">
        <v>48964.97</v>
      </c>
      <c r="X344" s="5">
        <v>48964.97</v>
      </c>
      <c r="Y344" s="5">
        <v>48964.97</v>
      </c>
    </row>
    <row r="345" spans="1:25" x14ac:dyDescent="0.25">
      <c r="A345" t="s">
        <v>1887</v>
      </c>
      <c r="B345" t="s">
        <v>2477</v>
      </c>
      <c r="C345" t="s">
        <v>1889</v>
      </c>
      <c r="D345">
        <v>6074202400095470</v>
      </c>
      <c r="E345" t="s">
        <v>2472</v>
      </c>
      <c r="F345" t="s">
        <v>2486</v>
      </c>
      <c r="G345" t="s">
        <v>2083</v>
      </c>
      <c r="H345" t="s">
        <v>2548</v>
      </c>
      <c r="I345" t="s">
        <v>2549</v>
      </c>
      <c r="J345" t="s">
        <v>2489</v>
      </c>
      <c r="K345" s="3">
        <v>47069</v>
      </c>
      <c r="L345" s="5">
        <v>727578.72</v>
      </c>
      <c r="M345" s="5">
        <v>60631.56</v>
      </c>
      <c r="N345" s="5">
        <v>60631.56</v>
      </c>
      <c r="O345" s="5">
        <v>60631.56</v>
      </c>
      <c r="P345" s="5">
        <v>60631.56</v>
      </c>
      <c r="Q345" s="5">
        <v>60631.56</v>
      </c>
      <c r="R345" s="5">
        <v>60631.56</v>
      </c>
      <c r="S345" s="5">
        <v>60631.56</v>
      </c>
      <c r="T345" s="5">
        <v>60631.56</v>
      </c>
      <c r="U345" s="5">
        <v>60631.56</v>
      </c>
      <c r="V345" s="5">
        <v>60631.56</v>
      </c>
      <c r="W345" s="5">
        <v>60631.56</v>
      </c>
      <c r="X345" s="5">
        <v>60631.56</v>
      </c>
      <c r="Y345" s="5">
        <v>60631.56</v>
      </c>
    </row>
    <row r="346" spans="1:25" x14ac:dyDescent="0.25">
      <c r="A346" t="s">
        <v>1887</v>
      </c>
      <c r="B346" t="s">
        <v>2477</v>
      </c>
      <c r="C346" t="s">
        <v>1889</v>
      </c>
      <c r="D346">
        <v>6074202400102200</v>
      </c>
      <c r="E346" t="s">
        <v>2472</v>
      </c>
      <c r="F346" t="s">
        <v>2486</v>
      </c>
      <c r="G346" t="s">
        <v>2083</v>
      </c>
      <c r="H346" t="s">
        <v>2550</v>
      </c>
      <c r="I346" t="s">
        <v>2551</v>
      </c>
      <c r="J346" t="s">
        <v>2552</v>
      </c>
      <c r="K346" s="3">
        <v>47096</v>
      </c>
      <c r="L346" s="5">
        <v>537264.12</v>
      </c>
      <c r="M346" s="5">
        <v>44772.01</v>
      </c>
      <c r="N346" s="5">
        <v>44772.01</v>
      </c>
      <c r="O346" s="5">
        <v>44772.01</v>
      </c>
      <c r="P346" s="5">
        <v>44772.01</v>
      </c>
      <c r="Q346" s="5">
        <v>44772.01</v>
      </c>
      <c r="R346" s="5">
        <v>44772.01</v>
      </c>
      <c r="S346" s="5">
        <v>44772.01</v>
      </c>
      <c r="T346" s="5">
        <v>44772.01</v>
      </c>
      <c r="U346" s="5">
        <v>44772.01</v>
      </c>
      <c r="V346" s="5">
        <v>44772.01</v>
      </c>
      <c r="W346" s="5">
        <v>44772.01</v>
      </c>
      <c r="X346" s="5">
        <v>44772.01</v>
      </c>
      <c r="Y346" s="5">
        <v>44772.01</v>
      </c>
    </row>
    <row r="347" spans="1:25" x14ac:dyDescent="0.25">
      <c r="A347" t="s">
        <v>1887</v>
      </c>
      <c r="B347" t="s">
        <v>2477</v>
      </c>
      <c r="C347" t="s">
        <v>1889</v>
      </c>
      <c r="D347">
        <v>6074202400084440</v>
      </c>
      <c r="E347" t="s">
        <v>2471</v>
      </c>
      <c r="F347" t="s">
        <v>2553</v>
      </c>
      <c r="G347" t="s">
        <v>2554</v>
      </c>
      <c r="H347" t="s">
        <v>2555</v>
      </c>
      <c r="I347" t="s">
        <v>2556</v>
      </c>
      <c r="J347" t="s">
        <v>2501</v>
      </c>
      <c r="K347" s="3">
        <v>47383</v>
      </c>
      <c r="L347" s="5">
        <v>1909411.73</v>
      </c>
      <c r="M347" s="5">
        <v>159117.64000000001</v>
      </c>
      <c r="N347" s="5">
        <v>159117.64000000001</v>
      </c>
      <c r="O347" s="5">
        <v>159117.65</v>
      </c>
      <c r="P347" s="5">
        <v>159117.65</v>
      </c>
      <c r="Q347" s="5">
        <v>159117.64000000001</v>
      </c>
      <c r="R347" s="5">
        <v>159117.64000000001</v>
      </c>
      <c r="S347" s="5">
        <v>159117.64000000001</v>
      </c>
      <c r="T347" s="5">
        <v>159117.64000000001</v>
      </c>
      <c r="U347" s="5">
        <v>159117.64000000001</v>
      </c>
      <c r="V347" s="5">
        <v>159117.65</v>
      </c>
      <c r="W347" s="5">
        <v>159117.64000000001</v>
      </c>
      <c r="X347" s="5">
        <v>159117.65</v>
      </c>
      <c r="Y347" s="5">
        <v>159117.65</v>
      </c>
    </row>
    <row r="348" spans="1:25" x14ac:dyDescent="0.25">
      <c r="A348" t="s">
        <v>1887</v>
      </c>
      <c r="B348" t="s">
        <v>2477</v>
      </c>
      <c r="C348" t="s">
        <v>1889</v>
      </c>
      <c r="D348">
        <v>6074202400008320</v>
      </c>
      <c r="E348" t="s">
        <v>2471</v>
      </c>
      <c r="F348" t="s">
        <v>2557</v>
      </c>
      <c r="G348" t="s">
        <v>2558</v>
      </c>
      <c r="H348" t="s">
        <v>2559</v>
      </c>
      <c r="I348" t="s">
        <v>2560</v>
      </c>
      <c r="J348" t="s">
        <v>2482</v>
      </c>
      <c r="K348" s="3">
        <v>46473</v>
      </c>
      <c r="L348" s="5">
        <v>5538363.0899999999</v>
      </c>
      <c r="M348" s="5">
        <v>461530.26</v>
      </c>
      <c r="N348" s="5">
        <v>448087.62</v>
      </c>
      <c r="O348" s="5">
        <v>448087.63</v>
      </c>
      <c r="P348" s="5">
        <v>448087.63</v>
      </c>
      <c r="Q348" s="5">
        <v>466011.16</v>
      </c>
      <c r="R348" s="5">
        <v>466011.13</v>
      </c>
      <c r="S348" s="5">
        <v>466011.13</v>
      </c>
      <c r="T348" s="5">
        <v>466011.13</v>
      </c>
      <c r="U348" s="5">
        <v>466011.13</v>
      </c>
      <c r="V348" s="5">
        <v>466011.13</v>
      </c>
      <c r="W348" s="5">
        <v>466011.14</v>
      </c>
      <c r="X348" s="5">
        <v>466011.13</v>
      </c>
      <c r="Y348" s="5">
        <v>466011.13</v>
      </c>
    </row>
    <row r="349" spans="1:25" x14ac:dyDescent="0.25">
      <c r="A349" t="s">
        <v>1887</v>
      </c>
      <c r="B349" t="s">
        <v>2477</v>
      </c>
      <c r="C349" t="s">
        <v>1889</v>
      </c>
      <c r="D349">
        <v>6074202400008330</v>
      </c>
      <c r="E349" t="s">
        <v>2471</v>
      </c>
      <c r="F349" t="s">
        <v>2557</v>
      </c>
      <c r="G349" t="s">
        <v>2558</v>
      </c>
      <c r="H349" t="s">
        <v>2561</v>
      </c>
      <c r="I349" t="s">
        <v>2560</v>
      </c>
      <c r="J349" t="s">
        <v>2562</v>
      </c>
      <c r="K349" s="3">
        <v>46477</v>
      </c>
      <c r="L349" s="5">
        <v>4658664.76</v>
      </c>
      <c r="M349" s="5">
        <v>388222.06</v>
      </c>
      <c r="N349" s="5">
        <v>388222.06</v>
      </c>
      <c r="O349" s="5">
        <v>388222.06</v>
      </c>
      <c r="P349" s="5">
        <v>388222.07</v>
      </c>
      <c r="Q349" s="5">
        <v>388222.07</v>
      </c>
      <c r="R349" s="5">
        <v>388222.07</v>
      </c>
      <c r="S349" s="5">
        <v>388222.07</v>
      </c>
      <c r="T349" s="5">
        <v>388222.06</v>
      </c>
      <c r="U349" s="5">
        <v>388222.06</v>
      </c>
      <c r="V349" s="5">
        <v>388222.06</v>
      </c>
      <c r="W349" s="5">
        <v>388222.06</v>
      </c>
      <c r="X349" s="5">
        <v>388222.06</v>
      </c>
      <c r="Y349" s="5">
        <v>388222.06</v>
      </c>
    </row>
    <row r="350" spans="1:25" x14ac:dyDescent="0.25">
      <c r="A350" t="s">
        <v>1887</v>
      </c>
      <c r="B350" t="s">
        <v>2477</v>
      </c>
      <c r="C350" t="s">
        <v>1889</v>
      </c>
      <c r="D350">
        <v>6074202000060590</v>
      </c>
      <c r="E350" t="s">
        <v>2471</v>
      </c>
      <c r="F350" t="s">
        <v>2557</v>
      </c>
      <c r="G350" t="s">
        <v>2558</v>
      </c>
      <c r="H350" t="s">
        <v>2563</v>
      </c>
      <c r="I350" t="s">
        <v>2564</v>
      </c>
      <c r="J350" t="s">
        <v>2565</v>
      </c>
      <c r="K350" s="3">
        <v>45884</v>
      </c>
      <c r="L350" s="5">
        <v>698812.8</v>
      </c>
      <c r="M350" s="5">
        <v>58234.400000000001</v>
      </c>
      <c r="N350" s="5">
        <v>58234.400000000001</v>
      </c>
      <c r="O350" s="5">
        <v>58234.400000000001</v>
      </c>
      <c r="P350" s="5">
        <v>58234.400000000001</v>
      </c>
      <c r="Q350" s="5">
        <v>58234.400000000001</v>
      </c>
      <c r="R350" s="5">
        <v>58234.400000000001</v>
      </c>
      <c r="S350" s="5">
        <v>58234.400000000001</v>
      </c>
      <c r="T350" s="5">
        <v>58234.400000000001</v>
      </c>
      <c r="U350" s="5">
        <v>58234.400000000001</v>
      </c>
      <c r="V350" s="5">
        <v>58234.400000000001</v>
      </c>
      <c r="W350" s="5">
        <v>58234.400000000001</v>
      </c>
      <c r="X350" s="5">
        <v>58234.400000000001</v>
      </c>
      <c r="Y350" s="5">
        <v>58234.400000000001</v>
      </c>
    </row>
    <row r="351" spans="1:25" x14ac:dyDescent="0.25">
      <c r="A351" t="s">
        <v>1887</v>
      </c>
      <c r="B351" t="s">
        <v>2477</v>
      </c>
      <c r="C351" t="s">
        <v>1889</v>
      </c>
      <c r="D351">
        <v>6074202000060600</v>
      </c>
      <c r="E351" t="s">
        <v>2471</v>
      </c>
      <c r="F351" t="s">
        <v>2557</v>
      </c>
      <c r="G351" t="s">
        <v>2558</v>
      </c>
      <c r="H351" t="s">
        <v>2566</v>
      </c>
      <c r="I351" t="s">
        <v>2567</v>
      </c>
      <c r="J351" t="s">
        <v>2568</v>
      </c>
      <c r="K351" s="3">
        <v>45930</v>
      </c>
      <c r="L351" s="5">
        <v>952049.28</v>
      </c>
      <c r="M351" s="5">
        <v>79337.440000000002</v>
      </c>
      <c r="N351" s="5">
        <v>79337.440000000002</v>
      </c>
      <c r="O351" s="5">
        <v>79337.440000000002</v>
      </c>
      <c r="P351" s="5">
        <v>79337.440000000002</v>
      </c>
      <c r="Q351" s="5">
        <v>79337.440000000002</v>
      </c>
      <c r="R351" s="5">
        <v>79337.440000000002</v>
      </c>
      <c r="S351" s="5">
        <v>79337.440000000002</v>
      </c>
      <c r="T351" s="5">
        <v>79337.440000000002</v>
      </c>
      <c r="U351" s="5">
        <v>79337.440000000002</v>
      </c>
      <c r="V351" s="5">
        <v>79337.440000000002</v>
      </c>
      <c r="W351" s="5">
        <v>79337.440000000002</v>
      </c>
      <c r="X351" s="5">
        <v>79337.440000000002</v>
      </c>
      <c r="Y351" s="5">
        <v>79337.440000000002</v>
      </c>
    </row>
    <row r="352" spans="1:25" x14ac:dyDescent="0.25">
      <c r="A352" t="s">
        <v>1887</v>
      </c>
      <c r="B352" t="s">
        <v>2477</v>
      </c>
      <c r="C352" t="s">
        <v>1889</v>
      </c>
      <c r="D352">
        <v>6074202300097670</v>
      </c>
      <c r="E352" t="s">
        <v>2471</v>
      </c>
      <c r="F352" t="s">
        <v>2569</v>
      </c>
      <c r="G352" t="s">
        <v>2570</v>
      </c>
      <c r="H352" t="s">
        <v>2571</v>
      </c>
      <c r="I352" t="s">
        <v>2572</v>
      </c>
      <c r="J352" t="s">
        <v>2573</v>
      </c>
      <c r="K352" s="3">
        <v>46323</v>
      </c>
      <c r="L352" s="5">
        <v>1962177.43</v>
      </c>
      <c r="M352" s="5">
        <v>163514.79</v>
      </c>
      <c r="N352" s="5">
        <v>161098.31</v>
      </c>
      <c r="O352" s="5">
        <v>161098.31</v>
      </c>
      <c r="P352" s="5">
        <v>161098.31</v>
      </c>
      <c r="Q352" s="5">
        <v>161098.31</v>
      </c>
      <c r="R352" s="5">
        <v>161098.31</v>
      </c>
      <c r="S352" s="5">
        <v>161098.31</v>
      </c>
      <c r="T352" s="5">
        <v>161098.31</v>
      </c>
      <c r="U352" s="5">
        <v>161098.31</v>
      </c>
      <c r="V352" s="5">
        <v>161098.32</v>
      </c>
      <c r="W352" s="5">
        <v>170764.21</v>
      </c>
      <c r="X352" s="5">
        <v>170764.21</v>
      </c>
      <c r="Y352" s="5">
        <v>170764.21</v>
      </c>
    </row>
    <row r="353" spans="1:25" x14ac:dyDescent="0.25">
      <c r="A353" t="s">
        <v>1887</v>
      </c>
      <c r="B353" t="s">
        <v>2477</v>
      </c>
      <c r="C353" t="s">
        <v>1889</v>
      </c>
      <c r="D353">
        <v>6074202300097680</v>
      </c>
      <c r="E353" t="s">
        <v>2471</v>
      </c>
      <c r="F353" t="s">
        <v>2569</v>
      </c>
      <c r="G353" t="s">
        <v>2570</v>
      </c>
      <c r="H353" t="s">
        <v>2574</v>
      </c>
      <c r="I353" t="s">
        <v>2575</v>
      </c>
      <c r="J353" t="s">
        <v>2576</v>
      </c>
      <c r="K353" s="3">
        <v>46323</v>
      </c>
      <c r="L353" s="5">
        <v>2419584.6800000002</v>
      </c>
      <c r="M353" s="5">
        <v>201632.06</v>
      </c>
      <c r="N353" s="5">
        <v>199635.7</v>
      </c>
      <c r="O353" s="5">
        <v>199635.7</v>
      </c>
      <c r="P353" s="5">
        <v>199635.7</v>
      </c>
      <c r="Q353" s="5">
        <v>199635.7</v>
      </c>
      <c r="R353" s="5">
        <v>199635.7</v>
      </c>
      <c r="S353" s="5">
        <v>199635.7</v>
      </c>
      <c r="T353" s="5">
        <v>199635.7</v>
      </c>
      <c r="U353" s="5">
        <v>199635.7</v>
      </c>
      <c r="V353" s="5">
        <v>199635.7</v>
      </c>
      <c r="W353" s="5">
        <v>199635.7</v>
      </c>
      <c r="X353" s="5">
        <v>211613.84</v>
      </c>
      <c r="Y353" s="5">
        <v>211613.84</v>
      </c>
    </row>
    <row r="354" spans="1:25" x14ac:dyDescent="0.25">
      <c r="A354" t="s">
        <v>1887</v>
      </c>
      <c r="B354" t="s">
        <v>2477</v>
      </c>
      <c r="C354" t="s">
        <v>1889</v>
      </c>
      <c r="D354">
        <v>6074202300097690</v>
      </c>
      <c r="E354" t="s">
        <v>2471</v>
      </c>
      <c r="F354" t="s">
        <v>2569</v>
      </c>
      <c r="G354" t="s">
        <v>2570</v>
      </c>
      <c r="H354" t="s">
        <v>2577</v>
      </c>
      <c r="I354" t="s">
        <v>2578</v>
      </c>
      <c r="J354" t="s">
        <v>2579</v>
      </c>
      <c r="K354" s="3">
        <v>46323</v>
      </c>
      <c r="L354" s="5">
        <v>2419584.6800000002</v>
      </c>
      <c r="M354" s="5">
        <v>201632.06</v>
      </c>
      <c r="N354" s="5">
        <v>199635.7</v>
      </c>
      <c r="O354" s="5">
        <v>199635.7</v>
      </c>
      <c r="P354" s="5">
        <v>199635.7</v>
      </c>
      <c r="Q354" s="5">
        <v>199635.7</v>
      </c>
      <c r="R354" s="5">
        <v>199635.7</v>
      </c>
      <c r="S354" s="5">
        <v>199635.7</v>
      </c>
      <c r="T354" s="5">
        <v>199635.7</v>
      </c>
      <c r="U354" s="5">
        <v>199635.7</v>
      </c>
      <c r="V354" s="5">
        <v>199635.7</v>
      </c>
      <c r="W354" s="5">
        <v>199635.7</v>
      </c>
      <c r="X354" s="5">
        <v>211613.84</v>
      </c>
      <c r="Y354" s="5">
        <v>211613.84</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Detalhes2</vt:lpstr>
      <vt:lpstr>Planilha2</vt:lpstr>
      <vt:lpstr>API</vt:lpstr>
      <vt:lpstr>Detalhes1</vt:lpstr>
      <vt:lpstr>Planilha3</vt:lpstr>
      <vt:lpstr>CAF-parcerias</vt:lpstr>
      <vt:lpstr>Planilha5</vt:lpstr>
      <vt:lpstr>smdhc-caf e parcerias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 de Sousa Faita</cp:lastModifiedBy>
  <cp:lastPrinted>2025-07-07T20:51:28Z</cp:lastPrinted>
  <dcterms:created xsi:type="dcterms:W3CDTF">2025-07-07T18:41:24Z</dcterms:created>
  <dcterms:modified xsi:type="dcterms:W3CDTF">2025-07-07T21:03:01Z</dcterms:modified>
</cp:coreProperties>
</file>