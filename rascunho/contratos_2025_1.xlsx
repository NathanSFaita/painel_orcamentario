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cloudprodamazhotmail-my.sharepoint.com/personal/nsfaita_prefeitura_sp_gov_br/Documents/painel orçamentário/python/"/>
    </mc:Choice>
  </mc:AlternateContent>
  <xr:revisionPtr revIDLastSave="1" documentId="11_1459B0B6D3305A7EF3F82811595ED87656C072A5" xr6:coauthVersionLast="47" xr6:coauthVersionMax="47" xr10:uidLastSave="{44943B9F-A7F3-4494-9854-57E1228C34A8}"/>
  <bookViews>
    <workbookView xWindow="-120" yWindow="-120" windowWidth="29040" windowHeight="15720" activeTab="1" xr2:uid="{00000000-000D-0000-FFFF-FFFF00000000}"/>
  </bookViews>
  <sheets>
    <sheet name="Planilha1" sheetId="2" r:id="rId1"/>
    <sheet name="Sheet1" sheetId="1" r:id="rId2"/>
  </sheets>
  <calcPr calcId="191029"/>
  <pivotCaches>
    <pivotCache cacheId="24" r:id="rId3"/>
  </pivotCaches>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AC10" i="1"/>
  <c r="AD10" i="1" s="1"/>
  <c r="AC36" i="1"/>
  <c r="AD36" i="1" s="1"/>
  <c r="AC78" i="1"/>
  <c r="AD78" i="1" s="1"/>
  <c r="AC86" i="1"/>
  <c r="AD86" i="1" s="1"/>
  <c r="AC149" i="1"/>
  <c r="AD149" i="1" s="1"/>
  <c r="AC152" i="1"/>
  <c r="AD152" i="1" s="1"/>
  <c r="AC171" i="1"/>
  <c r="AD171" i="1" s="1"/>
  <c r="AC194" i="1"/>
  <c r="AD194" i="1" s="1"/>
  <c r="AC196" i="1"/>
  <c r="AD196" i="1" s="1"/>
  <c r="AC215" i="1"/>
  <c r="AD215" i="1" s="1"/>
  <c r="AC222" i="1"/>
  <c r="AD222" i="1" s="1"/>
  <c r="AC236" i="1"/>
  <c r="AD236" i="1" s="1"/>
  <c r="AC237" i="1"/>
  <c r="AD237" i="1" s="1"/>
  <c r="AC280" i="1"/>
  <c r="AD280" i="1" s="1"/>
  <c r="AC281" i="1"/>
  <c r="AD281" i="1" s="1"/>
  <c r="AC288" i="1"/>
  <c r="AD288" i="1" s="1"/>
  <c r="AC303" i="1"/>
  <c r="AD303" i="1" s="1"/>
  <c r="AC305" i="1"/>
  <c r="AD305" i="1" s="1"/>
  <c r="AC321" i="1"/>
  <c r="AD321" i="1" s="1"/>
  <c r="AC342" i="1"/>
  <c r="AD342" i="1" s="1"/>
  <c r="AC360" i="1"/>
  <c r="AD360" i="1" s="1"/>
  <c r="AC378" i="1"/>
  <c r="AD378" i="1" s="1"/>
  <c r="AC395" i="1"/>
  <c r="AD395" i="1" s="1"/>
  <c r="AB121" i="1"/>
  <c r="AC121" i="1" s="1"/>
  <c r="AD121" i="1" s="1"/>
  <c r="AB245" i="1"/>
  <c r="AC245" i="1" s="1"/>
  <c r="AD245" i="1" s="1"/>
  <c r="AB112" i="1"/>
  <c r="AC112" i="1" s="1"/>
  <c r="AD112" i="1" s="1"/>
  <c r="AB168" i="1"/>
  <c r="AC168" i="1" s="1"/>
  <c r="AD168" i="1" s="1"/>
  <c r="AB114" i="1"/>
  <c r="AC114" i="1" s="1"/>
  <c r="AD114" i="1" s="1"/>
  <c r="AB161" i="1"/>
  <c r="AC161" i="1" s="1"/>
  <c r="AD161" i="1" s="1"/>
  <c r="AB110" i="1"/>
  <c r="AC110" i="1" s="1"/>
  <c r="AD110" i="1" s="1"/>
  <c r="AB107" i="1"/>
  <c r="AC107" i="1" s="1"/>
  <c r="AD107" i="1" s="1"/>
  <c r="AB119" i="1"/>
  <c r="AC119" i="1" s="1"/>
  <c r="AD119" i="1" s="1"/>
  <c r="AB63" i="1"/>
  <c r="AC63" i="1" s="1"/>
  <c r="AD63" i="1" s="1"/>
  <c r="AB3" i="1"/>
  <c r="AC3" i="1" s="1"/>
  <c r="AD3" i="1" s="1"/>
  <c r="AB35" i="1"/>
  <c r="AC35" i="1" s="1"/>
  <c r="AD35" i="1" s="1"/>
  <c r="AB344" i="1"/>
  <c r="AC344" i="1" s="1"/>
  <c r="AD344" i="1" s="1"/>
  <c r="AB281" i="1"/>
  <c r="AB99" i="1"/>
  <c r="AC99" i="1" s="1"/>
  <c r="AD99" i="1" s="1"/>
  <c r="AB20" i="1"/>
  <c r="AC20" i="1" s="1"/>
  <c r="AD20" i="1" s="1"/>
  <c r="AB30" i="1"/>
  <c r="AC30" i="1" s="1"/>
  <c r="AD30" i="1" s="1"/>
  <c r="AB21" i="1"/>
  <c r="AC21" i="1" s="1"/>
  <c r="AD21" i="1" s="1"/>
  <c r="AB85" i="1"/>
  <c r="AC85" i="1" s="1"/>
  <c r="AD85" i="1" s="1"/>
  <c r="AB133" i="1"/>
  <c r="AC133" i="1" s="1"/>
  <c r="AD133" i="1" s="1"/>
  <c r="AB223" i="1"/>
  <c r="AC223" i="1" s="1"/>
  <c r="AD223" i="1" s="1"/>
  <c r="AB57" i="1"/>
  <c r="AC57" i="1" s="1"/>
  <c r="AD57" i="1" s="1"/>
  <c r="AB71" i="1"/>
  <c r="AC71" i="1" s="1"/>
  <c r="AD71" i="1" s="1"/>
  <c r="AB95" i="1"/>
  <c r="AC95" i="1" s="1"/>
  <c r="AD95" i="1" s="1"/>
  <c r="AB68" i="1"/>
  <c r="AC68" i="1" s="1"/>
  <c r="AD68" i="1" s="1"/>
  <c r="AB69" i="1"/>
  <c r="AC69" i="1" s="1"/>
  <c r="AD69" i="1" s="1"/>
  <c r="AB86" i="1"/>
  <c r="AB16" i="1"/>
  <c r="AC16" i="1" s="1"/>
  <c r="AD16" i="1" s="1"/>
  <c r="AB33" i="1"/>
  <c r="AC33" i="1" s="1"/>
  <c r="AD33" i="1" s="1"/>
  <c r="AB66" i="1"/>
  <c r="AC66" i="1" s="1"/>
  <c r="AD66" i="1" s="1"/>
  <c r="AB73" i="1"/>
  <c r="AC73" i="1" s="1"/>
  <c r="AD73" i="1" s="1"/>
  <c r="AB44" i="1"/>
  <c r="AC44" i="1" s="1"/>
  <c r="AD44" i="1" s="1"/>
  <c r="AB325" i="1"/>
  <c r="AC325" i="1" s="1"/>
  <c r="AD325" i="1" s="1"/>
  <c r="AB88" i="1"/>
  <c r="AC88" i="1" s="1"/>
  <c r="AD88" i="1" s="1"/>
  <c r="AB45" i="1"/>
  <c r="AC45" i="1" s="1"/>
  <c r="AD45" i="1" s="1"/>
  <c r="AB42" i="1"/>
  <c r="AC42" i="1" s="1"/>
  <c r="AD42" i="1" s="1"/>
  <c r="AB11" i="1"/>
  <c r="AC11" i="1" s="1"/>
  <c r="AD11" i="1" s="1"/>
  <c r="AB10" i="1"/>
  <c r="AB15" i="1"/>
  <c r="AC15" i="1" s="1"/>
  <c r="AD15" i="1" s="1"/>
  <c r="AB14" i="1"/>
  <c r="AC14" i="1" s="1"/>
  <c r="AD14" i="1" s="1"/>
  <c r="AB25" i="1"/>
  <c r="AC25" i="1" s="1"/>
  <c r="AD25" i="1" s="1"/>
  <c r="AB29" i="1"/>
  <c r="AC29" i="1" s="1"/>
  <c r="AD29" i="1" s="1"/>
  <c r="AB34" i="1"/>
  <c r="AC34" i="1" s="1"/>
  <c r="AD34" i="1" s="1"/>
  <c r="AB28" i="1"/>
  <c r="AC28" i="1" s="1"/>
  <c r="AD28" i="1" s="1"/>
  <c r="AB8" i="1"/>
  <c r="AC8" i="1" s="1"/>
  <c r="AD8" i="1" s="1"/>
  <c r="AB31" i="1"/>
  <c r="AC31" i="1" s="1"/>
  <c r="AD31" i="1" s="1"/>
  <c r="AB12" i="1"/>
  <c r="AC12" i="1" s="1"/>
  <c r="AD12" i="1" s="1"/>
  <c r="AB13" i="1"/>
  <c r="AC13" i="1" s="1"/>
  <c r="AD13" i="1" s="1"/>
  <c r="AB23" i="1"/>
  <c r="AC23" i="1" s="1"/>
  <c r="AD23" i="1" s="1"/>
  <c r="AB24" i="1"/>
  <c r="AC24" i="1" s="1"/>
  <c r="AD24" i="1" s="1"/>
  <c r="AB22" i="1"/>
  <c r="AC22" i="1" s="1"/>
  <c r="AD22" i="1" s="1"/>
  <c r="AB19" i="1"/>
  <c r="AC19" i="1" s="1"/>
  <c r="AD19" i="1" s="1"/>
  <c r="AB60" i="1"/>
  <c r="AC60" i="1" s="1"/>
  <c r="AD60" i="1" s="1"/>
  <c r="AB269" i="1"/>
  <c r="AC269" i="1" s="1"/>
  <c r="AD269" i="1" s="1"/>
  <c r="AB128" i="1"/>
  <c r="AC128" i="1" s="1"/>
  <c r="AD128" i="1" s="1"/>
  <c r="AB72" i="1"/>
  <c r="AC72" i="1" s="1"/>
  <c r="AD72" i="1" s="1"/>
  <c r="AB36" i="1"/>
  <c r="AB32" i="1"/>
  <c r="AC32" i="1" s="1"/>
  <c r="AD32" i="1" s="1"/>
  <c r="AB49" i="1"/>
  <c r="AC49" i="1" s="1"/>
  <c r="AD49" i="1" s="1"/>
  <c r="AB274" i="1"/>
  <c r="AC274" i="1" s="1"/>
  <c r="AD274" i="1" s="1"/>
  <c r="AB59" i="1"/>
  <c r="AC59" i="1" s="1"/>
  <c r="AD59" i="1" s="1"/>
  <c r="AB78" i="1"/>
  <c r="AB40" i="1"/>
  <c r="AC40" i="1" s="1"/>
  <c r="AD40" i="1" s="1"/>
  <c r="AB6" i="1"/>
  <c r="AC6" i="1" s="1"/>
  <c r="AD6" i="1" s="1"/>
  <c r="AB303" i="1"/>
  <c r="AB111" i="1"/>
  <c r="AC111" i="1" s="1"/>
  <c r="AD111" i="1" s="1"/>
  <c r="AB323" i="1"/>
  <c r="AC323" i="1" s="1"/>
  <c r="AD323" i="1" s="1"/>
  <c r="AB280" i="1"/>
  <c r="AB5" i="1"/>
  <c r="AC5" i="1" s="1"/>
  <c r="AD5" i="1" s="1"/>
  <c r="AB17" i="1"/>
  <c r="AC17" i="1" s="1"/>
  <c r="AD17" i="1" s="1"/>
  <c r="AB7" i="1"/>
  <c r="AC7" i="1" s="1"/>
  <c r="AD7" i="1" s="1"/>
  <c r="AB47" i="1"/>
  <c r="AC47" i="1" s="1"/>
  <c r="AD47" i="1" s="1"/>
  <c r="AB144" i="1"/>
  <c r="AC144" i="1" s="1"/>
  <c r="AD144" i="1" s="1"/>
  <c r="AB244" i="1"/>
  <c r="AC244" i="1" s="1"/>
  <c r="AD244" i="1" s="1"/>
  <c r="AB51" i="1"/>
  <c r="AC51" i="1" s="1"/>
  <c r="AD51" i="1" s="1"/>
  <c r="AB98" i="1"/>
  <c r="AC98" i="1" s="1"/>
  <c r="AD98" i="1" s="1"/>
  <c r="AB263" i="1"/>
  <c r="AC263" i="1" s="1"/>
  <c r="AD263" i="1" s="1"/>
  <c r="AB317" i="1"/>
  <c r="AC317" i="1" s="1"/>
  <c r="AD317" i="1" s="1"/>
  <c r="AB169" i="1"/>
  <c r="AC169" i="1" s="1"/>
  <c r="AD169" i="1" s="1"/>
  <c r="AB205" i="1"/>
  <c r="AC205" i="1" s="1"/>
  <c r="AD205" i="1" s="1"/>
  <c r="AB75" i="1"/>
  <c r="AC75" i="1" s="1"/>
  <c r="AD75" i="1" s="1"/>
  <c r="AB219" i="1"/>
  <c r="AC219" i="1" s="1"/>
  <c r="AD219" i="1" s="1"/>
  <c r="AB354" i="1"/>
  <c r="AC354" i="1" s="1"/>
  <c r="AD354" i="1" s="1"/>
  <c r="AB124" i="1"/>
  <c r="AC124" i="1" s="1"/>
  <c r="AD124" i="1" s="1"/>
  <c r="AB204" i="1"/>
  <c r="AC204" i="1" s="1"/>
  <c r="AD204" i="1" s="1"/>
  <c r="AB175" i="1"/>
  <c r="AC175" i="1" s="1"/>
  <c r="AD175" i="1" s="1"/>
  <c r="AB196" i="1"/>
  <c r="AB82" i="1"/>
  <c r="AC82" i="1" s="1"/>
  <c r="AD82" i="1" s="1"/>
  <c r="AB96" i="1"/>
  <c r="AC96" i="1" s="1"/>
  <c r="AD96" i="1" s="1"/>
  <c r="AB201" i="1"/>
  <c r="AC201" i="1" s="1"/>
  <c r="AD201" i="1" s="1"/>
  <c r="AB163" i="1"/>
  <c r="AC163" i="1" s="1"/>
  <c r="AD163" i="1" s="1"/>
  <c r="AB67" i="1"/>
  <c r="AC67" i="1" s="1"/>
  <c r="AD67" i="1" s="1"/>
  <c r="AB115" i="1"/>
  <c r="AC115" i="1" s="1"/>
  <c r="AD115" i="1" s="1"/>
  <c r="AB127" i="1"/>
  <c r="AC127" i="1" s="1"/>
  <c r="AD127" i="1" s="1"/>
  <c r="AB347" i="1"/>
  <c r="AC347" i="1" s="1"/>
  <c r="AD347" i="1" s="1"/>
  <c r="AB301" i="1"/>
  <c r="AC301" i="1" s="1"/>
  <c r="AD301" i="1" s="1"/>
  <c r="AB58" i="1"/>
  <c r="AC58" i="1" s="1"/>
  <c r="AD58" i="1" s="1"/>
  <c r="AB61" i="1"/>
  <c r="AC61" i="1" s="1"/>
  <c r="AD61" i="1" s="1"/>
  <c r="AB74" i="1"/>
  <c r="AC74" i="1" s="1"/>
  <c r="AD74" i="1" s="1"/>
  <c r="AB147" i="1"/>
  <c r="AC147" i="1" s="1"/>
  <c r="AD147" i="1" s="1"/>
  <c r="AB2" i="1"/>
  <c r="AC2" i="1" s="1"/>
  <c r="AD2" i="1" s="1"/>
  <c r="AB103" i="1"/>
  <c r="AC103" i="1" s="1"/>
  <c r="AD103" i="1" s="1"/>
  <c r="AB46" i="1"/>
  <c r="AC46" i="1" s="1"/>
  <c r="AD46" i="1" s="1"/>
  <c r="AB77" i="1"/>
  <c r="AC77" i="1" s="1"/>
  <c r="AD77" i="1" s="1"/>
  <c r="AB283" i="1"/>
  <c r="AC283" i="1" s="1"/>
  <c r="AD283" i="1" s="1"/>
  <c r="AB190" i="1"/>
  <c r="AC190" i="1" s="1"/>
  <c r="AD190" i="1" s="1"/>
  <c r="AB100" i="1"/>
  <c r="AC100" i="1" s="1"/>
  <c r="AD100" i="1" s="1"/>
  <c r="AB178" i="1"/>
  <c r="AC178" i="1" s="1"/>
  <c r="AD178" i="1" s="1"/>
  <c r="AB157" i="1"/>
  <c r="AC157" i="1" s="1"/>
  <c r="AD157" i="1" s="1"/>
  <c r="AB92" i="1"/>
  <c r="AC92" i="1" s="1"/>
  <c r="AD92" i="1" s="1"/>
  <c r="AB252" i="1"/>
  <c r="AC252" i="1" s="1"/>
  <c r="AD252" i="1" s="1"/>
  <c r="AB150" i="1"/>
  <c r="AC150" i="1" s="1"/>
  <c r="AD150" i="1" s="1"/>
  <c r="AB328" i="1"/>
  <c r="AC328" i="1" s="1"/>
  <c r="AD328" i="1" s="1"/>
  <c r="AB122" i="1"/>
  <c r="AC122" i="1" s="1"/>
  <c r="AD122" i="1" s="1"/>
  <c r="AB55" i="1"/>
  <c r="AC55" i="1" s="1"/>
  <c r="AD55" i="1" s="1"/>
  <c r="AB102" i="1"/>
  <c r="AC102" i="1" s="1"/>
  <c r="AD102" i="1" s="1"/>
  <c r="AB48" i="1"/>
  <c r="AC48" i="1" s="1"/>
  <c r="AD48" i="1" s="1"/>
  <c r="AB177" i="1"/>
  <c r="AC177" i="1" s="1"/>
  <c r="AD177" i="1" s="1"/>
  <c r="AB228" i="1"/>
  <c r="AC228" i="1" s="1"/>
  <c r="AD228" i="1" s="1"/>
  <c r="AB229" i="1"/>
  <c r="AC229" i="1" s="1"/>
  <c r="AD229" i="1" s="1"/>
  <c r="AB113" i="1"/>
  <c r="AC113" i="1" s="1"/>
  <c r="AD113" i="1" s="1"/>
  <c r="AB173" i="1"/>
  <c r="AC173" i="1" s="1"/>
  <c r="AD173" i="1" s="1"/>
  <c r="AB156" i="1"/>
  <c r="AC156" i="1" s="1"/>
  <c r="AD156" i="1" s="1"/>
  <c r="AB70" i="1"/>
  <c r="AC70" i="1" s="1"/>
  <c r="AD70" i="1" s="1"/>
  <c r="AB101" i="1"/>
  <c r="AC101" i="1" s="1"/>
  <c r="AD101" i="1" s="1"/>
  <c r="AB164" i="1"/>
  <c r="AC164" i="1" s="1"/>
  <c r="AD164" i="1" s="1"/>
  <c r="AB277" i="1"/>
  <c r="AC277" i="1" s="1"/>
  <c r="AD277" i="1" s="1"/>
  <c r="AB241" i="1"/>
  <c r="AC241" i="1" s="1"/>
  <c r="AD241" i="1" s="1"/>
  <c r="AB251" i="1"/>
  <c r="AC251" i="1" s="1"/>
  <c r="AD251" i="1" s="1"/>
  <c r="AB56" i="1"/>
  <c r="AC56" i="1" s="1"/>
  <c r="AD56" i="1" s="1"/>
  <c r="AB91" i="1"/>
  <c r="AC91" i="1" s="1"/>
  <c r="AD91" i="1" s="1"/>
  <c r="AB225" i="1"/>
  <c r="AC225" i="1" s="1"/>
  <c r="AD225" i="1" s="1"/>
  <c r="AB81" i="1"/>
  <c r="AC81" i="1" s="1"/>
  <c r="AD81" i="1" s="1"/>
  <c r="AB97" i="1"/>
  <c r="AC97" i="1" s="1"/>
  <c r="AD97" i="1" s="1"/>
  <c r="AB18" i="1"/>
  <c r="AC18" i="1" s="1"/>
  <c r="AD18" i="1" s="1"/>
  <c r="AB26" i="1"/>
  <c r="AC26" i="1" s="1"/>
  <c r="AD26" i="1" s="1"/>
  <c r="AB27" i="1"/>
  <c r="AC27" i="1" s="1"/>
  <c r="AD27" i="1" s="1"/>
  <c r="AB62" i="1"/>
  <c r="AC62" i="1" s="1"/>
  <c r="AD62" i="1" s="1"/>
  <c r="AB94" i="1"/>
  <c r="AC94" i="1" s="1"/>
  <c r="AD94" i="1" s="1"/>
  <c r="AB158" i="1"/>
  <c r="AC158" i="1" s="1"/>
  <c r="AD158" i="1" s="1"/>
  <c r="AB87" i="1"/>
  <c r="AC87" i="1" s="1"/>
  <c r="AD87" i="1" s="1"/>
  <c r="AB41" i="1"/>
  <c r="AC41" i="1" s="1"/>
  <c r="AD41" i="1" s="1"/>
  <c r="AB149" i="1"/>
  <c r="AB282" i="1"/>
  <c r="AC282" i="1" s="1"/>
  <c r="AD282" i="1" s="1"/>
  <c r="AB211" i="1"/>
  <c r="AC211" i="1" s="1"/>
  <c r="AD211" i="1" s="1"/>
  <c r="AB222" i="1"/>
  <c r="AB221" i="1"/>
  <c r="AC221" i="1" s="1"/>
  <c r="AD221" i="1" s="1"/>
  <c r="AB143" i="1"/>
  <c r="AC143" i="1" s="1"/>
  <c r="AD143" i="1" s="1"/>
  <c r="AB64" i="1"/>
  <c r="AC64" i="1" s="1"/>
  <c r="AD64" i="1" s="1"/>
  <c r="AB195" i="1"/>
  <c r="AC195" i="1" s="1"/>
  <c r="AD195" i="1" s="1"/>
  <c r="AB39" i="1"/>
  <c r="AC39" i="1" s="1"/>
  <c r="AD39" i="1" s="1"/>
  <c r="AB38" i="1"/>
  <c r="AC38" i="1" s="1"/>
  <c r="AD38" i="1" s="1"/>
  <c r="AB329" i="1"/>
  <c r="AC329" i="1" s="1"/>
  <c r="AD329" i="1" s="1"/>
  <c r="AB50" i="1"/>
  <c r="AC50" i="1" s="1"/>
  <c r="AD50" i="1" s="1"/>
  <c r="AB138" i="1"/>
  <c r="AC138" i="1" s="1"/>
  <c r="AD138" i="1" s="1"/>
  <c r="AB65" i="1"/>
  <c r="AC65" i="1" s="1"/>
  <c r="AD65" i="1" s="1"/>
  <c r="AB4" i="1"/>
  <c r="AC4" i="1" s="1"/>
  <c r="AD4" i="1" s="1"/>
  <c r="AB330" i="1"/>
  <c r="AC330" i="1" s="1"/>
  <c r="AD330" i="1" s="1"/>
  <c r="AB348" i="1"/>
  <c r="AC348" i="1" s="1"/>
  <c r="AD348" i="1" s="1"/>
  <c r="AB267" i="1"/>
  <c r="AC267" i="1" s="1"/>
  <c r="AD267" i="1" s="1"/>
  <c r="AB137" i="1"/>
  <c r="AC137" i="1" s="1"/>
  <c r="AD137" i="1" s="1"/>
  <c r="AB276" i="1"/>
  <c r="AC276" i="1" s="1"/>
  <c r="AD276" i="1" s="1"/>
  <c r="AB129" i="1"/>
  <c r="AC129" i="1" s="1"/>
  <c r="AD129" i="1" s="1"/>
  <c r="AB130" i="1"/>
  <c r="AC130" i="1" s="1"/>
  <c r="AD130" i="1" s="1"/>
  <c r="AB84" i="1"/>
  <c r="AC84" i="1" s="1"/>
  <c r="AD84" i="1" s="1"/>
  <c r="AB79" i="1"/>
  <c r="AC79" i="1" s="1"/>
  <c r="AD79" i="1" s="1"/>
  <c r="AB89" i="1"/>
  <c r="AC89" i="1" s="1"/>
  <c r="AD89" i="1" s="1"/>
  <c r="AB80" i="1"/>
  <c r="AC80" i="1" s="1"/>
  <c r="AD80" i="1" s="1"/>
  <c r="AB349" i="1"/>
  <c r="AC349" i="1" s="1"/>
  <c r="AD349" i="1" s="1"/>
  <c r="AB109" i="1"/>
  <c r="AC109" i="1" s="1"/>
  <c r="AD109" i="1" s="1"/>
  <c r="AB304" i="1"/>
  <c r="AC304" i="1" s="1"/>
  <c r="AD304" i="1" s="1"/>
  <c r="AB76" i="1"/>
  <c r="AC76" i="1" s="1"/>
  <c r="AD76" i="1" s="1"/>
  <c r="AB159" i="1"/>
  <c r="AC159" i="1" s="1"/>
  <c r="AD159" i="1" s="1"/>
  <c r="AB52" i="1"/>
  <c r="AC52" i="1" s="1"/>
  <c r="AD52" i="1" s="1"/>
  <c r="AB174" i="1"/>
  <c r="AC174" i="1" s="1"/>
  <c r="AD174" i="1" s="1"/>
  <c r="AB106" i="1"/>
  <c r="AC106" i="1" s="1"/>
  <c r="AD106" i="1" s="1"/>
  <c r="AB250" i="1"/>
  <c r="AC250" i="1" s="1"/>
  <c r="AD250" i="1" s="1"/>
  <c r="AB170" i="1"/>
  <c r="AC170" i="1" s="1"/>
  <c r="AD170" i="1" s="1"/>
  <c r="AB193" i="1"/>
  <c r="AC193" i="1" s="1"/>
  <c r="AD193" i="1" s="1"/>
  <c r="AB93" i="1"/>
  <c r="AC93" i="1" s="1"/>
  <c r="AD93" i="1" s="1"/>
  <c r="AB83" i="1"/>
  <c r="AC83" i="1" s="1"/>
  <c r="AD83" i="1" s="1"/>
  <c r="AB172" i="1"/>
  <c r="AC172" i="1" s="1"/>
  <c r="AD172" i="1" s="1"/>
  <c r="AB142" i="1"/>
  <c r="AC142" i="1" s="1"/>
  <c r="AD142" i="1" s="1"/>
  <c r="AB132" i="1"/>
  <c r="AC132" i="1" s="1"/>
  <c r="AD132" i="1" s="1"/>
  <c r="AB125" i="1"/>
  <c r="AC125" i="1" s="1"/>
  <c r="AD125" i="1" s="1"/>
  <c r="AB202" i="1"/>
  <c r="AC202" i="1" s="1"/>
  <c r="AD202" i="1" s="1"/>
  <c r="AB134" i="1"/>
  <c r="AC134" i="1" s="1"/>
  <c r="AD134" i="1" s="1"/>
  <c r="AB9" i="1"/>
  <c r="AC9" i="1" s="1"/>
  <c r="AD9" i="1" s="1"/>
  <c r="AB253" i="1"/>
  <c r="AC253" i="1" s="1"/>
  <c r="AD253" i="1" s="1"/>
  <c r="AB191" i="1"/>
  <c r="AC191" i="1" s="1"/>
  <c r="AD191" i="1" s="1"/>
  <c r="AB146" i="1"/>
  <c r="AC146" i="1" s="1"/>
  <c r="AD146" i="1" s="1"/>
  <c r="AB391" i="1"/>
  <c r="AC391" i="1" s="1"/>
  <c r="AD391" i="1" s="1"/>
  <c r="AB345" i="1"/>
  <c r="AC345" i="1" s="1"/>
  <c r="AD345" i="1" s="1"/>
  <c r="AB275" i="1"/>
  <c r="AC275" i="1" s="1"/>
  <c r="AD275" i="1" s="1"/>
  <c r="AB392" i="1"/>
  <c r="AC392" i="1" s="1"/>
  <c r="AD392" i="1" s="1"/>
  <c r="AB239" i="1"/>
  <c r="AC239" i="1" s="1"/>
  <c r="AD239" i="1" s="1"/>
  <c r="AB302" i="1"/>
  <c r="AC302" i="1" s="1"/>
  <c r="AD302" i="1" s="1"/>
  <c r="AB352" i="1"/>
  <c r="AC352" i="1" s="1"/>
  <c r="AD352" i="1" s="1"/>
  <c r="AB353" i="1"/>
  <c r="AC353" i="1" s="1"/>
  <c r="AD353" i="1" s="1"/>
  <c r="AB389" i="1"/>
  <c r="AC389" i="1" s="1"/>
  <c r="AD389" i="1" s="1"/>
  <c r="AB104" i="1"/>
  <c r="AC104" i="1" s="1"/>
  <c r="AD104" i="1" s="1"/>
  <c r="AB393" i="1"/>
  <c r="AC393" i="1" s="1"/>
  <c r="AD393" i="1" s="1"/>
  <c r="AB346" i="1"/>
  <c r="AC346" i="1" s="1"/>
  <c r="AD346" i="1" s="1"/>
  <c r="AB390" i="1"/>
  <c r="AC390" i="1" s="1"/>
  <c r="AD390" i="1" s="1"/>
  <c r="AB264" i="1"/>
  <c r="AC264" i="1" s="1"/>
  <c r="AD264" i="1" s="1"/>
  <c r="AB327" i="1"/>
  <c r="AC327" i="1" s="1"/>
  <c r="AD327" i="1" s="1"/>
  <c r="AB141" i="1"/>
  <c r="AC141" i="1" s="1"/>
  <c r="AD141" i="1" s="1"/>
  <c r="AB300" i="1"/>
  <c r="AC300" i="1" s="1"/>
  <c r="AD300" i="1" s="1"/>
  <c r="AB350" i="1"/>
  <c r="AC350" i="1" s="1"/>
  <c r="AD350" i="1" s="1"/>
  <c r="AB305" i="1"/>
  <c r="AB291" i="1"/>
  <c r="AC291" i="1" s="1"/>
  <c r="AD291" i="1" s="1"/>
  <c r="AB160" i="1"/>
  <c r="AC160" i="1" s="1"/>
  <c r="AD160" i="1" s="1"/>
  <c r="AB313" i="1"/>
  <c r="AC313" i="1" s="1"/>
  <c r="AD313" i="1" s="1"/>
  <c r="AB145" i="1"/>
  <c r="AC145" i="1" s="1"/>
  <c r="AD145" i="1" s="1"/>
  <c r="AB148" i="1"/>
  <c r="AC148" i="1" s="1"/>
  <c r="AD148" i="1" s="1"/>
  <c r="AB322" i="1"/>
  <c r="AC322" i="1" s="1"/>
  <c r="AD322" i="1" s="1"/>
  <c r="AB381" i="1"/>
  <c r="AC381" i="1" s="1"/>
  <c r="AD381" i="1" s="1"/>
  <c r="AB318" i="1"/>
  <c r="AC318" i="1" s="1"/>
  <c r="AD318" i="1" s="1"/>
  <c r="AB273" i="1"/>
  <c r="AC273" i="1" s="1"/>
  <c r="AD273" i="1" s="1"/>
  <c r="AB292" i="1"/>
  <c r="AC292" i="1" s="1"/>
  <c r="AD292" i="1" s="1"/>
  <c r="AB194" i="1"/>
  <c r="AB315" i="1"/>
  <c r="AC315" i="1" s="1"/>
  <c r="AD315" i="1" s="1"/>
  <c r="AB199" i="1"/>
  <c r="AC199" i="1" s="1"/>
  <c r="AD199" i="1" s="1"/>
  <c r="AB355" i="1"/>
  <c r="AC355" i="1" s="1"/>
  <c r="AD355" i="1" s="1"/>
  <c r="AB356" i="1"/>
  <c r="AC356" i="1" s="1"/>
  <c r="AD356" i="1" s="1"/>
  <c r="AB192" i="1"/>
  <c r="AC192" i="1" s="1"/>
  <c r="AD192" i="1" s="1"/>
  <c r="AB357" i="1"/>
  <c r="AC357" i="1" s="1"/>
  <c r="AD357" i="1" s="1"/>
  <c r="AB358" i="1"/>
  <c r="AC358" i="1" s="1"/>
  <c r="AD358" i="1" s="1"/>
  <c r="AB359" i="1"/>
  <c r="AC359" i="1" s="1"/>
  <c r="AD359" i="1" s="1"/>
  <c r="AB360" i="1"/>
  <c r="AB361" i="1"/>
  <c r="AC361" i="1" s="1"/>
  <c r="AD361" i="1" s="1"/>
  <c r="AB362" i="1"/>
  <c r="AC362" i="1" s="1"/>
  <c r="AD362" i="1" s="1"/>
  <c r="AB363" i="1"/>
  <c r="AC363" i="1" s="1"/>
  <c r="AD363" i="1" s="1"/>
  <c r="AB364" i="1"/>
  <c r="AC364" i="1" s="1"/>
  <c r="AD364" i="1" s="1"/>
  <c r="AB365" i="1"/>
  <c r="AC365" i="1" s="1"/>
  <c r="AD365" i="1" s="1"/>
  <c r="AB268" i="1"/>
  <c r="AC268" i="1" s="1"/>
  <c r="AD268" i="1" s="1"/>
  <c r="AB293" i="1"/>
  <c r="AC293" i="1" s="1"/>
  <c r="AD293" i="1" s="1"/>
  <c r="AB366" i="1"/>
  <c r="AC366" i="1" s="1"/>
  <c r="AD366" i="1" s="1"/>
  <c r="AB367" i="1"/>
  <c r="AC367" i="1" s="1"/>
  <c r="AD367" i="1" s="1"/>
  <c r="AB368" i="1"/>
  <c r="AC368" i="1" s="1"/>
  <c r="AD368" i="1" s="1"/>
  <c r="AB233" i="1"/>
  <c r="AC233" i="1" s="1"/>
  <c r="AD233" i="1" s="1"/>
  <c r="AB338" i="1"/>
  <c r="AC338" i="1" s="1"/>
  <c r="AD338" i="1" s="1"/>
  <c r="AB369" i="1"/>
  <c r="AC369" i="1" s="1"/>
  <c r="AD369" i="1" s="1"/>
  <c r="AB370" i="1"/>
  <c r="AC370" i="1" s="1"/>
  <c r="AD370" i="1" s="1"/>
  <c r="AB306" i="1"/>
  <c r="AC306" i="1" s="1"/>
  <c r="AD306" i="1" s="1"/>
  <c r="AB331" i="1"/>
  <c r="AC331" i="1" s="1"/>
  <c r="AD331" i="1" s="1"/>
  <c r="AB118" i="1"/>
  <c r="AC118" i="1" s="1"/>
  <c r="AD118" i="1" s="1"/>
  <c r="AB198" i="1"/>
  <c r="AC198" i="1" s="1"/>
  <c r="AD198" i="1" s="1"/>
  <c r="AB298" i="1"/>
  <c r="AC298" i="1" s="1"/>
  <c r="AD298" i="1" s="1"/>
  <c r="AB165" i="1"/>
  <c r="AC165" i="1" s="1"/>
  <c r="AD165" i="1" s="1"/>
  <c r="AB139" i="1"/>
  <c r="AC139" i="1" s="1"/>
  <c r="AD139" i="1" s="1"/>
  <c r="AB340" i="1"/>
  <c r="AC340" i="1" s="1"/>
  <c r="AD340" i="1" s="1"/>
  <c r="AB262" i="1"/>
  <c r="AC262" i="1" s="1"/>
  <c r="AD262" i="1" s="1"/>
  <c r="AB213" i="1"/>
  <c r="AC213" i="1" s="1"/>
  <c r="AD213" i="1" s="1"/>
  <c r="AB394" i="1"/>
  <c r="AC394" i="1" s="1"/>
  <c r="AD394" i="1" s="1"/>
  <c r="AB395" i="1"/>
  <c r="AB321" i="1"/>
  <c r="AB153" i="1"/>
  <c r="AC153" i="1" s="1"/>
  <c r="AD153" i="1" s="1"/>
  <c r="AB308" i="1"/>
  <c r="AC308" i="1" s="1"/>
  <c r="AD308" i="1" s="1"/>
  <c r="AB383" i="1"/>
  <c r="AC383" i="1" s="1"/>
  <c r="AD383" i="1" s="1"/>
  <c r="AB384" i="1"/>
  <c r="AC384" i="1" s="1"/>
  <c r="AD384" i="1" s="1"/>
  <c r="AB385" i="1"/>
  <c r="AC385" i="1" s="1"/>
  <c r="AD385" i="1" s="1"/>
  <c r="AB386" i="1"/>
  <c r="AC386" i="1" s="1"/>
  <c r="AD386" i="1" s="1"/>
  <c r="AB387" i="1"/>
  <c r="AC387" i="1" s="1"/>
  <c r="AD387" i="1" s="1"/>
  <c r="AB388" i="1"/>
  <c r="AC388" i="1" s="1"/>
  <c r="AD388" i="1" s="1"/>
  <c r="AB278" i="1"/>
  <c r="AC278" i="1" s="1"/>
  <c r="AD278" i="1" s="1"/>
  <c r="AB286" i="1"/>
  <c r="AC286" i="1" s="1"/>
  <c r="AD286" i="1" s="1"/>
  <c r="AB290" i="1"/>
  <c r="AC290" i="1" s="1"/>
  <c r="AD290" i="1" s="1"/>
  <c r="AB209" i="1"/>
  <c r="AC209" i="1" s="1"/>
  <c r="AD209" i="1" s="1"/>
  <c r="AB316" i="1"/>
  <c r="AC316" i="1" s="1"/>
  <c r="AD316" i="1" s="1"/>
  <c r="AB246" i="1"/>
  <c r="AC246" i="1" s="1"/>
  <c r="AD246" i="1" s="1"/>
  <c r="AB227" i="1"/>
  <c r="AC227" i="1" s="1"/>
  <c r="AD227" i="1" s="1"/>
  <c r="AB176" i="1"/>
  <c r="AC176" i="1" s="1"/>
  <c r="AD176" i="1" s="1"/>
  <c r="AB116" i="1"/>
  <c r="AC116" i="1" s="1"/>
  <c r="AD116" i="1" s="1"/>
  <c r="AB265" i="1"/>
  <c r="AC265" i="1" s="1"/>
  <c r="AD265" i="1" s="1"/>
  <c r="AB197" i="1"/>
  <c r="AC197" i="1" s="1"/>
  <c r="AD197" i="1" s="1"/>
  <c r="AB351" i="1"/>
  <c r="AC351" i="1" s="1"/>
  <c r="AD351" i="1" s="1"/>
  <c r="AB154" i="1"/>
  <c r="AC154" i="1" s="1"/>
  <c r="AD154" i="1" s="1"/>
  <c r="AB324" i="1"/>
  <c r="AC324" i="1" s="1"/>
  <c r="AD324" i="1" s="1"/>
  <c r="AB203" i="1"/>
  <c r="AC203" i="1" s="1"/>
  <c r="AD203" i="1" s="1"/>
  <c r="AB37" i="1"/>
  <c r="AC37" i="1" s="1"/>
  <c r="AD37" i="1" s="1"/>
  <c r="AB166" i="1"/>
  <c r="AC166" i="1" s="1"/>
  <c r="AD166" i="1" s="1"/>
  <c r="AB90" i="1"/>
  <c r="AC90" i="1" s="1"/>
  <c r="AD90" i="1" s="1"/>
  <c r="AB285" i="1"/>
  <c r="AC285" i="1" s="1"/>
  <c r="AD285" i="1" s="1"/>
  <c r="AB151" i="1"/>
  <c r="AC151" i="1" s="1"/>
  <c r="AD151" i="1" s="1"/>
  <c r="AB171" i="1"/>
  <c r="AB131" i="1"/>
  <c r="AC131" i="1" s="1"/>
  <c r="AD131" i="1" s="1"/>
  <c r="AB214" i="1"/>
  <c r="AC214" i="1" s="1"/>
  <c r="AD214" i="1" s="1"/>
  <c r="AB294" i="1"/>
  <c r="AC294" i="1" s="1"/>
  <c r="AD294" i="1" s="1"/>
  <c r="AB242" i="1"/>
  <c r="AC242" i="1" s="1"/>
  <c r="AD242" i="1" s="1"/>
  <c r="AB43" i="1"/>
  <c r="AC43" i="1" s="1"/>
  <c r="AD43" i="1" s="1"/>
  <c r="AB295" i="1"/>
  <c r="AC295" i="1" s="1"/>
  <c r="AD295" i="1" s="1"/>
  <c r="AB296" i="1"/>
  <c r="AC296" i="1" s="1"/>
  <c r="AD296" i="1" s="1"/>
  <c r="AB287" i="1"/>
  <c r="AC287" i="1" s="1"/>
  <c r="AD287" i="1" s="1"/>
  <c r="AB371" i="1"/>
  <c r="AC371" i="1" s="1"/>
  <c r="AD371" i="1" s="1"/>
  <c r="AB372" i="1"/>
  <c r="AC372" i="1" s="1"/>
  <c r="AD372" i="1" s="1"/>
  <c r="AB240" i="1"/>
  <c r="AC240" i="1" s="1"/>
  <c r="AD240" i="1" s="1"/>
  <c r="AB373" i="1"/>
  <c r="AC373" i="1" s="1"/>
  <c r="AD373" i="1" s="1"/>
  <c r="AB374" i="1"/>
  <c r="AC374" i="1" s="1"/>
  <c r="AD374" i="1" s="1"/>
  <c r="AB375" i="1"/>
  <c r="AC375" i="1" s="1"/>
  <c r="AD375" i="1" s="1"/>
  <c r="AB376" i="1"/>
  <c r="AC376" i="1" s="1"/>
  <c r="AD376" i="1" s="1"/>
  <c r="AB377" i="1"/>
  <c r="AC377" i="1" s="1"/>
  <c r="AD377" i="1" s="1"/>
  <c r="AB378" i="1"/>
  <c r="AB379" i="1"/>
  <c r="AC379" i="1" s="1"/>
  <c r="AD379" i="1" s="1"/>
  <c r="AB380" i="1"/>
  <c r="AC380" i="1" s="1"/>
  <c r="AD380" i="1" s="1"/>
  <c r="AB307" i="1"/>
  <c r="AC307" i="1" s="1"/>
  <c r="AD307" i="1" s="1"/>
  <c r="AB123" i="1"/>
  <c r="AC123" i="1" s="1"/>
  <c r="AD123" i="1" s="1"/>
  <c r="AB210" i="1"/>
  <c r="AC210" i="1" s="1"/>
  <c r="AD210" i="1" s="1"/>
  <c r="AB162" i="1"/>
  <c r="AC162" i="1" s="1"/>
  <c r="AD162" i="1" s="1"/>
  <c r="AB53" i="1"/>
  <c r="AC53" i="1" s="1"/>
  <c r="AD53" i="1" s="1"/>
  <c r="AB54" i="1"/>
  <c r="AC54" i="1" s="1"/>
  <c r="AD54" i="1" s="1"/>
  <c r="AB135" i="1"/>
  <c r="AC135" i="1" s="1"/>
  <c r="AD135" i="1" s="1"/>
  <c r="AB136" i="1"/>
  <c r="AC136" i="1" s="1"/>
  <c r="AD136" i="1" s="1"/>
  <c r="AB105" i="1"/>
  <c r="AC105" i="1" s="1"/>
  <c r="AD105" i="1" s="1"/>
  <c r="AB126" i="1"/>
  <c r="AC126" i="1" s="1"/>
  <c r="AD126" i="1" s="1"/>
  <c r="AB314" i="1"/>
  <c r="AC314" i="1" s="1"/>
  <c r="AD314" i="1" s="1"/>
  <c r="AB339" i="1"/>
  <c r="AC339" i="1" s="1"/>
  <c r="AD339" i="1" s="1"/>
  <c r="AB212" i="1"/>
  <c r="AC212" i="1" s="1"/>
  <c r="AD212" i="1" s="1"/>
  <c r="AB266" i="1"/>
  <c r="AC266" i="1" s="1"/>
  <c r="AD266" i="1" s="1"/>
  <c r="AB220" i="1"/>
  <c r="AC220" i="1" s="1"/>
  <c r="AD220" i="1" s="1"/>
  <c r="AB284" i="1"/>
  <c r="AC284" i="1" s="1"/>
  <c r="AD284" i="1" s="1"/>
  <c r="AB140" i="1"/>
  <c r="AC140" i="1" s="1"/>
  <c r="AD140" i="1" s="1"/>
  <c r="AB312" i="1"/>
  <c r="AC312" i="1" s="1"/>
  <c r="AD312" i="1" s="1"/>
  <c r="AB326" i="1"/>
  <c r="AC326" i="1" s="1"/>
  <c r="AD326" i="1" s="1"/>
  <c r="AB218" i="1"/>
  <c r="AC218" i="1" s="1"/>
  <c r="AD218" i="1" s="1"/>
  <c r="AB255" i="1"/>
  <c r="AC255" i="1" s="1"/>
  <c r="AD255" i="1" s="1"/>
  <c r="AB155" i="1"/>
  <c r="AC155" i="1" s="1"/>
  <c r="AD155" i="1" s="1"/>
  <c r="AB120" i="1"/>
  <c r="AC120" i="1" s="1"/>
  <c r="AD120" i="1" s="1"/>
  <c r="AB271" i="1"/>
  <c r="AC271" i="1" s="1"/>
  <c r="AD271" i="1" s="1"/>
  <c r="AB299" i="1"/>
  <c r="AC299" i="1" s="1"/>
  <c r="AD299" i="1" s="1"/>
  <c r="AB279" i="1"/>
  <c r="AC279" i="1" s="1"/>
  <c r="AD279" i="1" s="1"/>
  <c r="AB226" i="1"/>
  <c r="AC226" i="1" s="1"/>
  <c r="AD226" i="1" s="1"/>
  <c r="AB254" i="1"/>
  <c r="AC254" i="1" s="1"/>
  <c r="AD254" i="1" s="1"/>
  <c r="AB206" i="1"/>
  <c r="AC206" i="1" s="1"/>
  <c r="AD206" i="1" s="1"/>
  <c r="AB179" i="1"/>
  <c r="AC179" i="1" s="1"/>
  <c r="AD179" i="1" s="1"/>
  <c r="AB207" i="1"/>
  <c r="AC207" i="1" s="1"/>
  <c r="AD207" i="1" s="1"/>
  <c r="AB167" i="1"/>
  <c r="AC167" i="1" s="1"/>
  <c r="AD167" i="1" s="1"/>
  <c r="AB309" i="1"/>
  <c r="AC309" i="1" s="1"/>
  <c r="AD309" i="1" s="1"/>
  <c r="AB180" i="1"/>
  <c r="AC180" i="1" s="1"/>
  <c r="AD180" i="1" s="1"/>
  <c r="AB181" i="1"/>
  <c r="AC181" i="1" s="1"/>
  <c r="AD181" i="1" s="1"/>
  <c r="AB182" i="1"/>
  <c r="AC182" i="1" s="1"/>
  <c r="AD182" i="1" s="1"/>
  <c r="AB230" i="1"/>
  <c r="AC230" i="1" s="1"/>
  <c r="AD230" i="1" s="1"/>
  <c r="AB234" i="1"/>
  <c r="AC234" i="1" s="1"/>
  <c r="AD234" i="1" s="1"/>
  <c r="AB183" i="1"/>
  <c r="AC183" i="1" s="1"/>
  <c r="AD183" i="1" s="1"/>
  <c r="AB310" i="1"/>
  <c r="AC310" i="1" s="1"/>
  <c r="AD310" i="1" s="1"/>
  <c r="AB247" i="1"/>
  <c r="AC247" i="1" s="1"/>
  <c r="AD247" i="1" s="1"/>
  <c r="AB208" i="1"/>
  <c r="AC208" i="1" s="1"/>
  <c r="AD208" i="1" s="1"/>
  <c r="AB341" i="1"/>
  <c r="AC341" i="1" s="1"/>
  <c r="AD341" i="1" s="1"/>
  <c r="AB332" i="1"/>
  <c r="AC332" i="1" s="1"/>
  <c r="AD332" i="1" s="1"/>
  <c r="AB256" i="1"/>
  <c r="AC256" i="1" s="1"/>
  <c r="AD256" i="1" s="1"/>
  <c r="AB184" i="1"/>
  <c r="AC184" i="1" s="1"/>
  <c r="AD184" i="1" s="1"/>
  <c r="AB248" i="1"/>
  <c r="AC248" i="1" s="1"/>
  <c r="AD248" i="1" s="1"/>
  <c r="AB288" i="1"/>
  <c r="AB231" i="1"/>
  <c r="AC231" i="1" s="1"/>
  <c r="AD231" i="1" s="1"/>
  <c r="AB333" i="1"/>
  <c r="AC333" i="1" s="1"/>
  <c r="AD333" i="1" s="1"/>
  <c r="AB215" i="1"/>
  <c r="AB334" i="1"/>
  <c r="AC334" i="1" s="1"/>
  <c r="AD334" i="1" s="1"/>
  <c r="AB249" i="1"/>
  <c r="AC249" i="1" s="1"/>
  <c r="AD249" i="1" s="1"/>
  <c r="AB335" i="1"/>
  <c r="AC335" i="1" s="1"/>
  <c r="AD335" i="1" s="1"/>
  <c r="AB342" i="1"/>
  <c r="AB185" i="1"/>
  <c r="AC185" i="1" s="1"/>
  <c r="AD185" i="1" s="1"/>
  <c r="AB152" i="1"/>
  <c r="AB232" i="1"/>
  <c r="AC232" i="1" s="1"/>
  <c r="AD232" i="1" s="1"/>
  <c r="AB235" i="1"/>
  <c r="AC235" i="1" s="1"/>
  <c r="AD235" i="1" s="1"/>
  <c r="AB257" i="1"/>
  <c r="AC257" i="1" s="1"/>
  <c r="AD257" i="1" s="1"/>
  <c r="AB216" i="1"/>
  <c r="AC216" i="1" s="1"/>
  <c r="AD216" i="1" s="1"/>
  <c r="AB319" i="1"/>
  <c r="AC319" i="1" s="1"/>
  <c r="AD319" i="1" s="1"/>
  <c r="AB289" i="1"/>
  <c r="AC289" i="1" s="1"/>
  <c r="AD289" i="1" s="1"/>
  <c r="AB217" i="1"/>
  <c r="AC217" i="1" s="1"/>
  <c r="AD217" i="1" s="1"/>
  <c r="AB270" i="1"/>
  <c r="AC270" i="1" s="1"/>
  <c r="AD270" i="1" s="1"/>
  <c r="AB311" i="1"/>
  <c r="AC311" i="1" s="1"/>
  <c r="AD311" i="1" s="1"/>
  <c r="AB186" i="1"/>
  <c r="AC186" i="1" s="1"/>
  <c r="AD186" i="1" s="1"/>
  <c r="AB200" i="1"/>
  <c r="AC200" i="1" s="1"/>
  <c r="AD200" i="1" s="1"/>
  <c r="AB236" i="1"/>
  <c r="AB258" i="1"/>
  <c r="AC258" i="1" s="1"/>
  <c r="AD258" i="1" s="1"/>
  <c r="AB187" i="1"/>
  <c r="AC187" i="1" s="1"/>
  <c r="AD187" i="1" s="1"/>
  <c r="AB188" i="1"/>
  <c r="AC188" i="1" s="1"/>
  <c r="AD188" i="1" s="1"/>
  <c r="AB259" i="1"/>
  <c r="AC259" i="1" s="1"/>
  <c r="AD259" i="1" s="1"/>
  <c r="AB260" i="1"/>
  <c r="AC260" i="1" s="1"/>
  <c r="AD260" i="1" s="1"/>
  <c r="AB343" i="1"/>
  <c r="AC343" i="1" s="1"/>
  <c r="AD343" i="1" s="1"/>
  <c r="AB189" i="1"/>
  <c r="AC189" i="1" s="1"/>
  <c r="AD189" i="1" s="1"/>
  <c r="AB297" i="1"/>
  <c r="AC297" i="1" s="1"/>
  <c r="AD297" i="1" s="1"/>
  <c r="AB237" i="1"/>
  <c r="AB336" i="1"/>
  <c r="AC336" i="1" s="1"/>
  <c r="AD336" i="1" s="1"/>
  <c r="AB320" i="1"/>
  <c r="AC320" i="1" s="1"/>
  <c r="AD320" i="1" s="1"/>
  <c r="AB261" i="1"/>
  <c r="AC261" i="1" s="1"/>
  <c r="AD261" i="1" s="1"/>
  <c r="AB337" i="1"/>
  <c r="AC337" i="1" s="1"/>
  <c r="AD337" i="1" s="1"/>
  <c r="AB238" i="1"/>
  <c r="AC238" i="1" s="1"/>
  <c r="AD238" i="1" s="1"/>
  <c r="AB382" i="1"/>
  <c r="AC382" i="1" s="1"/>
  <c r="AD382" i="1" s="1"/>
  <c r="AB108" i="1"/>
  <c r="AC108" i="1" s="1"/>
  <c r="AD108" i="1" s="1"/>
  <c r="AB224" i="1"/>
  <c r="AC224" i="1" s="1"/>
  <c r="AD224" i="1" s="1"/>
  <c r="AB243" i="1"/>
  <c r="AC243" i="1" s="1"/>
  <c r="AD243" i="1" s="1"/>
  <c r="AB272" i="1"/>
  <c r="AC272" i="1" s="1"/>
  <c r="AD272" i="1" s="1"/>
  <c r="AB117" i="1"/>
  <c r="AC117" i="1" s="1"/>
  <c r="AD117" i="1" s="1"/>
</calcChain>
</file>

<file path=xl/sharedStrings.xml><?xml version="1.0" encoding="utf-8"?>
<sst xmlns="http://schemas.openxmlformats.org/spreadsheetml/2006/main" count="5281" uniqueCount="1441">
  <si>
    <t>codEmpresa</t>
  </si>
  <si>
    <t>txtDescricaoOrgao</t>
  </si>
  <si>
    <t>codOrgao</t>
  </si>
  <si>
    <t>UO</t>
  </si>
  <si>
    <t>Funcao</t>
  </si>
  <si>
    <t>SubFuncao</t>
  </si>
  <si>
    <t>Programa</t>
  </si>
  <si>
    <t>ProjAtiv</t>
  </si>
  <si>
    <t>Despesa</t>
  </si>
  <si>
    <t>codTipoContratacao</t>
  </si>
  <si>
    <t>txtTipoContratacao</t>
  </si>
  <si>
    <t>codModalidade</t>
  </si>
  <si>
    <t>txtDescricaoModalidade</t>
  </si>
  <si>
    <t>anoContrato</t>
  </si>
  <si>
    <t>codContrato</t>
  </si>
  <si>
    <t>numOriginalContrato</t>
  </si>
  <si>
    <t>codProcesso</t>
  </si>
  <si>
    <t>txtObjetoContrato</t>
  </si>
  <si>
    <t>datAssinaturaContrato</t>
  </si>
  <si>
    <t>datPublicacaoContrato</t>
  </si>
  <si>
    <t>datVigencia</t>
  </si>
  <si>
    <t>VigenciaMeses</t>
  </si>
  <si>
    <t>situacaoContrato</t>
  </si>
  <si>
    <t>valPrincipal</t>
  </si>
  <si>
    <t>valReajustes</t>
  </si>
  <si>
    <t>valAditamentos</t>
  </si>
  <si>
    <t>valAnulacao</t>
  </si>
  <si>
    <t>valTotal</t>
  </si>
  <si>
    <t>valMensal</t>
  </si>
  <si>
    <t>valAnual</t>
  </si>
  <si>
    <t>valTotalEmpenhado</t>
  </si>
  <si>
    <t>valAnuladoEmpenho</t>
  </si>
  <si>
    <t>valEmpenhadoLiquido</t>
  </si>
  <si>
    <t>valLiquidado</t>
  </si>
  <si>
    <t>valPago</t>
  </si>
  <si>
    <t>datExtracao</t>
  </si>
  <si>
    <t>01</t>
  </si>
  <si>
    <t>Secretaria Municipal de Direitos Humanos e Cidadania</t>
  </si>
  <si>
    <t>34</t>
  </si>
  <si>
    <t>10</t>
  </si>
  <si>
    <t>33489000</t>
  </si>
  <si>
    <t>55</t>
  </si>
  <si>
    <t>Nota de Empenho Transferência Valores para Cta Única-Tesouro Municipal</t>
  </si>
  <si>
    <t>Não Aplicável</t>
  </si>
  <si>
    <t>6074202400106042</t>
  </si>
  <si>
    <t>Pagamento do Auxílio Ampara Exercício 2025, por intermédio do Banco do Brasil.</t>
  </si>
  <si>
    <t>01/01/2026 00:00:00</t>
  </si>
  <si>
    <t>01-07-2025</t>
  </si>
  <si>
    <t>33399000</t>
  </si>
  <si>
    <t>41</t>
  </si>
  <si>
    <t>Nota de Empenho de Serviços com fornecimento de materiais / peças</t>
  </si>
  <si>
    <t>Pregão</t>
  </si>
  <si>
    <t>6074202500001293</t>
  </si>
  <si>
    <t>prestação de serviços de fornecimento de de Coffee Break Tipo I ,  para atender os participantes do evento que celebrará o dia Nacional de Combate à Intolerância Religiosa, realizado pela  da Coordenação de Promoção da Igualdade Racial- SMDHC</t>
  </si>
  <si>
    <t>22/01/2025 00:00:00</t>
  </si>
  <si>
    <t>2</t>
  </si>
  <si>
    <t>Termo de Contrato - Serviços</t>
  </si>
  <si>
    <t>003/SMDHC/2025</t>
  </si>
  <si>
    <t>6074202400089385</t>
  </si>
  <si>
    <t>Prestação de Serviços por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t>
  </si>
  <si>
    <t>27/01/2025 00:00:00</t>
  </si>
  <si>
    <t>30/01/2025 00:00:00</t>
  </si>
  <si>
    <t>16/02/2030 00:00:00</t>
  </si>
  <si>
    <t>002/SMDHC/2024</t>
  </si>
  <si>
    <t>6074202300102770</t>
  </si>
  <si>
    <t>Prestação de serviços técnicos especializados para manutenção preventiva e corretiva de 1 (um) elevador instalado na Casa de Passagem, incluindo assistência técnica, fornecimento de mão de obra especializada e todo o material, tais como ferramentas e equipamentos a serem utilizados nessa prestação de serviço.</t>
  </si>
  <si>
    <t>22/01/2024 00:00:00</t>
  </si>
  <si>
    <t>08/02/2024 00:00:00</t>
  </si>
  <si>
    <t>19/02/2026 00:00:00</t>
  </si>
  <si>
    <t>33409000</t>
  </si>
  <si>
    <t>030/SMDHC/2022</t>
  </si>
  <si>
    <t>6074202100075184</t>
  </si>
  <si>
    <t>Contratação de empresa especializada para a prestação de serviços continuados de locação de Computadores de uso Corporativos  para suprir a necessidade da Secretaria Municipal de Direitos Humanos e Cidadania, conforme especificações</t>
  </si>
  <si>
    <t>09/03/2022 00:00:00</t>
  </si>
  <si>
    <t>11/03/2022 00:00:00</t>
  </si>
  <si>
    <t>08/03/2026 00:00:00</t>
  </si>
  <si>
    <t>Fundo de Abastecimento Alimentar de São Paulo</t>
  </si>
  <si>
    <t>78</t>
  </si>
  <si>
    <t>293/SMDHC/2023</t>
  </si>
  <si>
    <t>6074202300067967</t>
  </si>
  <si>
    <t>Contratação de empresa especializada em locação de impressoras corporativas, incluindo a prestação de serviços de manutenção preventiva e corretiva, fornecimento de peças e suprimentos necessários, para atender as necessidades dos equipamentos da Secretaria Municipal de Direito Humanos e Cidadania - SMDHC.</t>
  </si>
  <si>
    <t>29/08/2023 00:00:00</t>
  </si>
  <si>
    <t>12/09/2023 00:00:00</t>
  </si>
  <si>
    <t>28/08/2024 00:00:00</t>
  </si>
  <si>
    <t>28/08/2025 00:00:00</t>
  </si>
  <si>
    <t>33339000</t>
  </si>
  <si>
    <t>065/SMDHC/2023</t>
  </si>
  <si>
    <t>6074202300019210</t>
  </si>
  <si>
    <t>Prestação de serviços de agenciamento de Passagens Aéreas Nacionais, mediante disponibilização de sistema de gestão de viagens corporativas - ATA DE REGISTRO DE PREÇOS n. 003/SEGES-COBES/2021</t>
  </si>
  <si>
    <t>28/03/2023 00:00:00</t>
  </si>
  <si>
    <t>30/03/2023 00:00:00</t>
  </si>
  <si>
    <t>01/07/2026 00:00:00</t>
  </si>
  <si>
    <t>079/SMDHC/2023</t>
  </si>
  <si>
    <t>6074202300020634</t>
  </si>
  <si>
    <t>Prestação de serviços de agenciamento de passagens aéreas, mediante disponibilização de sistema de gestão de viagens corporativas - ATA DE REGISTRO DE PREÇOS nº 004/SEGES-COBES/2021 - Passagens Aéreas Internacionais</t>
  </si>
  <si>
    <t>24/04/2023 00:00:00</t>
  </si>
  <si>
    <t>26/04/2023 00:00:00</t>
  </si>
  <si>
    <t>Dispensa de Licitação</t>
  </si>
  <si>
    <t>9912565743</t>
  </si>
  <si>
    <t>6074202100086755</t>
  </si>
  <si>
    <t>Contratação de empresa para prestação de serviços postais</t>
  </si>
  <si>
    <t>05/02/2022 00:00:00</t>
  </si>
  <si>
    <t>01/02/2025 00:00:00</t>
  </si>
  <si>
    <t>33395000</t>
  </si>
  <si>
    <t>22</t>
  </si>
  <si>
    <t>Termo de Colaboração - Lei Federal 13.019/2014</t>
  </si>
  <si>
    <t>019/2024/SMDHC/CPM</t>
  </si>
  <si>
    <t>6074202400085533</t>
  </si>
  <si>
    <t>Termo de Colaboração. Edital de Chamamento Público Nº CPB/003/2024/SMDHC/CPM. Objeto. Gestão da Casa da Mulher Brasileira, Postos Avançados de Atendimento à Mulher e Unidade Móvel de Atendimento à Mulher.</t>
  </si>
  <si>
    <t>31/10/2024 00:00:00</t>
  </si>
  <si>
    <t>04/11/2024 00:00:00</t>
  </si>
  <si>
    <t>31/10/2029 00:00:00</t>
  </si>
  <si>
    <t>TCL/002/2020/SMDHC</t>
  </si>
  <si>
    <t>6074202000012180</t>
  </si>
  <si>
    <t>Celebração de Termo de Colaboração com a entidade “Associação Franciscana de Solidariedade” -  advindo da seleção de proposta do edital de chamamento público nº dital CPB/005/2020/SMDHC/CPIPTD, para gerenciar o Centro de Referência e Atendimento para Imigrantes (CRAI).</t>
  </si>
  <si>
    <t>19/05/2020 00:00:00</t>
  </si>
  <si>
    <t>03/06/2020 00:00:00</t>
  </si>
  <si>
    <t>26/05/2026 00:00:00</t>
  </si>
  <si>
    <t>009/SMDHC/2023</t>
  </si>
  <si>
    <t>6074202500005183</t>
  </si>
  <si>
    <t>Contratação de empresa especializada na prestação de serviços de Coffee Break, de Brunch e de Kit Lanche - ATA DE REGISTRO DE PREÇOS Nº 009/SMDHC/2023 (LOTE 1 – item 1 e item 2 )– Processo nº 6074.2024/0003669-9</t>
  </si>
  <si>
    <t>24/01/2025 00:00:00</t>
  </si>
  <si>
    <t>26/01/2025 00:00:00</t>
  </si>
  <si>
    <t>6074202500002877</t>
  </si>
  <si>
    <t>prestação de serviços fornecimento de Coffee Break Tipo I para atender os participantes do Dia Nacional do Combate ao Trabalho Escravo realizado pela Coordenação de Políticas para Imigrantes e Promoção do Trabalho Decente.</t>
  </si>
  <si>
    <t>31/01/2025 00:00:00</t>
  </si>
  <si>
    <t>147/SMDHC/2022</t>
  </si>
  <si>
    <t>6074202200028994</t>
  </si>
  <si>
    <t>Contratação de empresa para prestação de serviços de manutenção preventiva e corretiva da Unidade Móvel de atendimento às Mulheres Vitimas de Violência Doméstica, incluindo fornecimento de peças e acessórios</t>
  </si>
  <si>
    <t>02/08/2022 00:00:00</t>
  </si>
  <si>
    <t>05/08/2022 00:00:00</t>
  </si>
  <si>
    <t>02/02/2025 00:00:00</t>
  </si>
  <si>
    <t>62/203/SMDHC/ODH</t>
  </si>
  <si>
    <t>6074202300097688</t>
  </si>
  <si>
    <t>Objeto "Gestão do Núcleos de Atendimentos em Direitos Humanos NDH(s) de São Mateus, São Miguel Paulista e Cidade Tiradentes"</t>
  </si>
  <si>
    <t>30/10/2023 00:00:00</t>
  </si>
  <si>
    <t>31/10/2023 00:00:00</t>
  </si>
  <si>
    <t>01/11/2026 00:00:00</t>
  </si>
  <si>
    <t>61/2023/SMDHC/ODH</t>
  </si>
  <si>
    <t>6074202300097670</t>
  </si>
  <si>
    <t>Parceria. Termo de Colaboração. Edital de Chamamento Público Nº CPB/010/2023/SMDHC/ODH. Projeto "Núcleo de Direitos Humanos Lapa, Núcleo de Direitos Humanos Santana e Núcleo de Direitos Humanos Ipiranga”.</t>
  </si>
  <si>
    <t>06/11/2023 00:00:00</t>
  </si>
  <si>
    <t>13/08/2026 00:00:00</t>
  </si>
  <si>
    <t>63/2023/SMDHC/ODH</t>
  </si>
  <si>
    <t>6074202300097696</t>
  </si>
  <si>
    <t>Parceria. Termo de Colaboração. Edital de Chamamento Público Nº CPB/010/2023/SMDHC/ODH. Projeto " Gestão do Núcleos de Atendimentos em Direitos Humanos NDH(s) do Butantã, Campo Limpo, Jabaquara e Capela do Socorro”.</t>
  </si>
  <si>
    <t>018/SMDHC/2021</t>
  </si>
  <si>
    <t>6074202000057290</t>
  </si>
  <si>
    <t>Contratação de uma empresa especializada na prestação de serviços de manutenção predial, abrangendo as preventivas, corretivas referente à alvenaria, carpintaria, vidros e assistência técnica das instalações elétricas, das hidráulicas, da civil, de telefonia interna, do sistema de detecção de fumaça, de alarme, de combate a incêndio, de iluminação de emergência, de  pára-raios, gás para fogão, ar condicionado e de serviços gerais conexos, com fornecimento de mão de obra, peças e materiais necessários, inclusive ferramentas, equipamentos aparelhagens e acessórios necessários para a execução dos serviços, incluindo eventual necessidade de deslocamento de mobiliários e materiais de suporte necessários, para a Casa da Mulher Brasileira, situada na Rua Vieira Ravasco s/nº, Cambuci, CEP 01518 030, São Paulo – SP</t>
  </si>
  <si>
    <t>09/04/2021 00:00:00</t>
  </si>
  <si>
    <t>27/04/2021 00:00:00</t>
  </si>
  <si>
    <t>19/10/2025 00:00:00</t>
  </si>
  <si>
    <t>TC 018/SMDHC/2022</t>
  </si>
  <si>
    <t xml:space="preserve">Reembolso de materiais que serão substituídos, quando da manutenção da Unidade - MATERIAIS. </t>
  </si>
  <si>
    <t>26/04/2021 00:00:00</t>
  </si>
  <si>
    <t>6074202500002109</t>
  </si>
  <si>
    <t>Contratação de empresa especializada na prestação de serviços de Coffee Break , de Brunch e de Kit Lanche - ATA DE REGISTRO DE PREÇOS Nº 008/SMDHC/2023 (LOTE 1 – item 1 e item 2)– Processo nº 6074.2024/0003669-9</t>
  </si>
  <si>
    <t>33309000</t>
  </si>
  <si>
    <t>028/SMDHC/2020</t>
  </si>
  <si>
    <t>6074202000025363</t>
  </si>
  <si>
    <t>Contratação de empresa especializada para prestação de serviço de empresa especializada na prestação de serviços de manutenção predial, abrangendo as preventivas, corretivas e assistência técnica das instalações elétricas, das hidráulicas, da civil, de telefonia interna, do sistema de detecção de fumaça, de alarme, de combate a incêndio, de iluminação de emergência, de para-raios, ar condicionado e de serviços gerais conexos, com fornecimento estimado de peças e equipamentos, incluindo eventual necessidade de deslocamento de mobiliários e materiais de suporte necessários, nos imóveis de uso dos 52 Conselhos Tutelares do Município de São Paulo, localizados nos endereços constantes no Anexo I, supervisionados pela “Coordenação de Políticas para Crianças e Adolescentes - CPCA” da Secretaria Municipal de Direitos Humanos e Cidadania</t>
  </si>
  <si>
    <t>31/07/2020 00:00:00</t>
  </si>
  <si>
    <t>07/08/2020 00:00:00</t>
  </si>
  <si>
    <t>02/08/2027 00:00:00</t>
  </si>
  <si>
    <t>238/SMDHC/2024</t>
  </si>
  <si>
    <t>6074202400026510</t>
  </si>
  <si>
    <t>Contratação de empresa especializada para a prestação de Serviços de Impressão Corporativa, incluindo a prestação de serviços de manutenção preventiva e corretiva, fornecimento de peças e suprimentos necessários, para atender as necessidades da Secretaria Municipal de Direito Humanos e Cidadania - SMDHC.</t>
  </si>
  <si>
    <t>16/07/2024 00:00:00</t>
  </si>
  <si>
    <t>24/07/2024 00:00:00</t>
  </si>
  <si>
    <t>01/08/2026 00:00:00</t>
  </si>
  <si>
    <t>241/SMDHC/2024</t>
  </si>
  <si>
    <t>6074202400044934</t>
  </si>
  <si>
    <t>Prestação de serviços de comunicação de Voz VoIP para a Secretaria Municipal de Direitos Humanos e Cidadania – SMDHC.</t>
  </si>
  <si>
    <t>01/08/2024 00:00:00</t>
  </si>
  <si>
    <t>06/08/2024 00:00:00</t>
  </si>
  <si>
    <t>01/08/2025 00:00:00</t>
  </si>
  <si>
    <t>64</t>
  </si>
  <si>
    <t>Nota de Empenho-Fornecitº Serviços de Concessionárias de Abast.Público</t>
  </si>
  <si>
    <t>6074202400099151</t>
  </si>
  <si>
    <t>Consumo de Energia Elétrica - Exercício de 2025</t>
  </si>
  <si>
    <t>31/12/2024 00:00:00</t>
  </si>
  <si>
    <t>Recursos (estimados) para o Consumo de Energia Elétrica - Exercício de 2025.</t>
  </si>
  <si>
    <t>6074202400099143</t>
  </si>
  <si>
    <t>002/SMDHC/2025</t>
  </si>
  <si>
    <t>6074202500004810</t>
  </si>
  <si>
    <t>Fornecimento de kits-hidratação para a população em situação de rua durante os dias de operação de Altas Temperaturas</t>
  </si>
  <si>
    <t>29/01/2025 00:00:00</t>
  </si>
  <si>
    <t>27/01/2026 00:00:00</t>
  </si>
  <si>
    <t>333/SMDHC/2020</t>
  </si>
  <si>
    <t>6074202300035836</t>
  </si>
  <si>
    <t>Contratação especializada na Prestação de Serviços Técnicos Especializados de Tecnologia da Informação, pela CONTRATADA, para Sustentação de TIC, para suporte dos negócios da CONTRATANTE, compatíveis com a sua finalidade e relacionados na Proposta Comercial PC-SMDHC-230301-26 – Versão 3.0.</t>
  </si>
  <si>
    <t>01/11/2023 00:00:00</t>
  </si>
  <si>
    <t>07/11/2023 00:00:00</t>
  </si>
  <si>
    <t>31/10/2025 00:00:00</t>
  </si>
  <si>
    <t>6074202400099127</t>
  </si>
  <si>
    <t xml:space="preserve"> Consumo de serviços de Água e Esgoto - Exercício de 2025.</t>
  </si>
  <si>
    <t>334/SMDHC/2023</t>
  </si>
  <si>
    <t>6074202300090888</t>
  </si>
  <si>
    <t>Plataforma de Colaboração e Produtividade.</t>
  </si>
  <si>
    <t>30/06/2026 00:00:00</t>
  </si>
  <si>
    <t>6074202400042915</t>
  </si>
  <si>
    <t xml:space="preserve">Prestação de Serviços de Acesso à Rede Corporativa PMSP e Internet SD-WAN para o suporte dos negócios para a Secretaria Municipal de Direitos Humanos e Cidadania – SMDHC.
 </t>
  </si>
  <si>
    <t>262/SMDHC/2024</t>
  </si>
  <si>
    <t>18/09/2024 00:00:00</t>
  </si>
  <si>
    <t>20/09/2024 00:00:00</t>
  </si>
  <si>
    <t>18/09/2025 00:00:00</t>
  </si>
  <si>
    <t>44529000</t>
  </si>
  <si>
    <t>5</t>
  </si>
  <si>
    <t>Nota de Empenho Fornecimento de Bens de Consumo e/ou Permanente</t>
  </si>
  <si>
    <t>6074202500001595</t>
  </si>
  <si>
    <t>Aquisição de pedestais de aço para televisores.</t>
  </si>
  <si>
    <t>08/02/2025 00:00:00</t>
  </si>
  <si>
    <t>6074202400099119</t>
  </si>
  <si>
    <t>Consumo de Água e Esgoto 2025 Conselho tutelar</t>
  </si>
  <si>
    <t>TLC/004/2020/SMDHC</t>
  </si>
  <si>
    <t>6074202000035504</t>
  </si>
  <si>
    <t>Implantação e gestão do “Centro de Cidadania LGBTI”, na Região Oeste, do “Programa Transcidadania” Regionalizado, estabelecido no Decreto Municipal n. 58.227/2018, bem como a operacionalização de uma “Unidade Móvel” prevista no Programa, pelo período de 24 (vinte e quatro) meses</t>
  </si>
  <si>
    <t>27/08/2020 00:00:00</t>
  </si>
  <si>
    <t>02/09/2020 00:00:00</t>
  </si>
  <si>
    <t>15/08/2025 00:00:00</t>
  </si>
  <si>
    <t>006/2019/SMDHC</t>
  </si>
  <si>
    <t>6074201900015846</t>
  </si>
  <si>
    <t>Celebração de Termo de Colaboração com a entidade “ASSOCIAÇÃO CULTURAL EDUCACIONAL E SOCIAL DYNAMITE - ACESD”, inscrita no CNPJ/MF nº. 07.157.970/0001-44, advindo da seleção de proposta do edital de chamamento público nº CPB/005/2019/SMDHC/CPLGBTI, para gerenciar o Centro de Cidadania Região Norte pelo período de 24 (vinte e quatro) meses.</t>
  </si>
  <si>
    <t>18/07/2019 00:00:00</t>
  </si>
  <si>
    <t>23/07/2019 00:00:00</t>
  </si>
  <si>
    <t>16/08/2025 00:00:00</t>
  </si>
  <si>
    <t>21/24/SMDHC/CPLGBI</t>
  </si>
  <si>
    <t>6074202400105305</t>
  </si>
  <si>
    <t>Parceria. Termo de Colaboração. Objeto: "Gestão do Centro de Referência LGBTI+ Edson Neris e Unidade Móvel LGBTI+ Sul (distrito Campo Limpo) - LOTE 2 , vinculado à Coordenação de Políticas para LGBTI+."</t>
  </si>
  <si>
    <t>19/12/2024 00:00:00</t>
  </si>
  <si>
    <t>23/12/2024 00:00:00</t>
  </si>
  <si>
    <t>19/12/2029 00:00:00</t>
  </si>
  <si>
    <t>23/24/SMDHC/CPLGBTI</t>
  </si>
  <si>
    <t>6074202400105321</t>
  </si>
  <si>
    <t>Parceria. Termo de Colaboração. Edital de Chamamento Público Nº CPB/001/2024/SMDHC/CPLGBTI. Objeto : "Gestão do Centro de Referência LGBTI+ Claudia Wonder e Unidade Móvel LGBTI+ Oeste (distrito Vila Sônia ou Butantã) - LOTE 4."</t>
  </si>
  <si>
    <t>27/12/2024 00:00:00</t>
  </si>
  <si>
    <t>23/12/2029 00:00:00</t>
  </si>
  <si>
    <t>20/24/SMDHC/CPLGBTI</t>
  </si>
  <si>
    <t>6074202400105283</t>
  </si>
  <si>
    <t>Parceria. Termo de Colaboração. Objeto: "Gestão do Centro de Referência LGBTI+ Luana Barbosa dos Reis e Unidade Móvel LGBTI+ Norte (distrito Brasilândia ou Pirituba) - LOTE 1"</t>
  </si>
  <si>
    <t>26/12/2024 00:00:00</t>
  </si>
  <si>
    <t>26/12/2029 00:00:00</t>
  </si>
  <si>
    <t>22/24/SMDHC/CPLGBTI</t>
  </si>
  <si>
    <t>6074202400105313</t>
  </si>
  <si>
    <t>Parceria. Termo de Colaboração. Edital de Chamamento Público Nº CPB/001/2024/SMDHC/CPLGBTI. Objeto: "Gestão do Centro Laura Vermont e Unidade Móvel de Referência em Direitos Humanos e Cidadania LGBTI+ - Lote 3."</t>
  </si>
  <si>
    <t>54/2023/SMDHC/CPM</t>
  </si>
  <si>
    <t>6074202300078993</t>
  </si>
  <si>
    <t>Parceria. Termo de Colaboração. Edital de Chamamento Público Nº CPB/003/2023/SMDHC/CPM. Projeto "Gestão do Centro de Referência e Cidadania da Mulher CRCM - Casa da Mulher Distrito da Zona Oeste - Distrito Barra Funda”</t>
  </si>
  <si>
    <t>29/09/2023 00:00:00</t>
  </si>
  <si>
    <t>04/10/2023 00:00:00</t>
  </si>
  <si>
    <t>26/12/2026 00:00:00</t>
  </si>
  <si>
    <t>53/SMDHC/CPM</t>
  </si>
  <si>
    <t>6074202300078985</t>
  </si>
  <si>
    <t>Parceria. Termo de Colaboração. Edital de Chamamento Público Nº CPB/003/2023/SMDHC/CPM. Projeto "Gestão do Centro de Referência e Cidadania da Mulher CRCM - Casa da Mulher Rua Dr. Bacelar, 20 – Vila Clementino”</t>
  </si>
  <si>
    <t>30/09/2026 00:00:00</t>
  </si>
  <si>
    <t>51/2023/SMDHC/CPM</t>
  </si>
  <si>
    <t>6074202300078969</t>
  </si>
  <si>
    <t>Parceria. Termo de Colaboração. Edital de Chamamento Público Nº CPB/003/2023/SMDHC/CPM, Projeto "Gestão do Centro de Referência e Cidadania da Mulher CRCM - Casa da Mulher de Brasilândia”</t>
  </si>
  <si>
    <t>05/10/2023 00:00:00</t>
  </si>
  <si>
    <t>11/10/2023 00:00:00</t>
  </si>
  <si>
    <t>02/10/2026 00:00:00</t>
  </si>
  <si>
    <t>52/2023/SMDHC/CPM</t>
  </si>
  <si>
    <t>6074202300078977</t>
  </si>
  <si>
    <t>Parceria. Termo de Colaboração. Edital de Chamamento Público Nº CPB/003/2023/SMDHC/CPM. Projeto "Gestão do Centro de Referência e Cidadania da Mulher CRCM - Casa da Mulher Distrito Campo Limpo - Capão Redondo"</t>
  </si>
  <si>
    <t>02/10/2023 00:00:00</t>
  </si>
  <si>
    <t>27/09/2026 00:00:00</t>
  </si>
  <si>
    <t>16/2023/SMDHC/CPM</t>
  </si>
  <si>
    <t>6074202400022337</t>
  </si>
  <si>
    <t>Objeto Gestão do Centro de Referência e Cidadania da Mulher CRCM - Casa da Mulher Itaquera e Casa da Mulher São Miguel.</t>
  </si>
  <si>
    <t>11/04/2024 00:00:00</t>
  </si>
  <si>
    <t>16/04/2024 00:00:00</t>
  </si>
  <si>
    <t>11/04/2027 00:00:00</t>
  </si>
  <si>
    <t>14/2024/SMDHC/CPM</t>
  </si>
  <si>
    <t>6074202400022310</t>
  </si>
  <si>
    <t>Objeto Gestão do Centro de Referência e Cidadania da Mulher CRCM - Casa da Mulher Parelheiros.</t>
  </si>
  <si>
    <t>15/2023/SMDHC/CPM</t>
  </si>
  <si>
    <t>6074202400022329</t>
  </si>
  <si>
    <t>Objeto  Gestão do Centro de Referência e Cidadania da Mulher CRCM - Casa da Mulher Vila Perus e Casa da Mulher Cachoeirinha.</t>
  </si>
  <si>
    <t>17/04/2024 00:00:00</t>
  </si>
  <si>
    <t>06/04/2027 00:00:00</t>
  </si>
  <si>
    <t>17/2024/SMDHC/CPM</t>
  </si>
  <si>
    <t>6074202400022353</t>
  </si>
  <si>
    <t>Objeto  Gestão do Centro de Referência e Cidadania da Mulher CRCM - Casa da Mulher Santo Amaro e Casa da Mulher Grajaú.</t>
  </si>
  <si>
    <t>66/2023/SMDHC/CPIR</t>
  </si>
  <si>
    <t>6074202300110722</t>
  </si>
  <si>
    <t>Termo de Colaboração - Gestão do Centro de Referência de Promoção da Igualdade Racial da Região Norte - Lote 1.</t>
  </si>
  <si>
    <t>05/12/2023 00:00:00</t>
  </si>
  <si>
    <t>06/12/2023 00:00:00</t>
  </si>
  <si>
    <t>05/12/2026 00:00:00</t>
  </si>
  <si>
    <t>068/SMDHC/CPIR</t>
  </si>
  <si>
    <t>6074202300110749</t>
  </si>
  <si>
    <t>Termo de Colaboração - Gestão do Centro de Referência de Promoção da Igualdade Racial da Região Leste - Lote 3.</t>
  </si>
  <si>
    <t>67/2023/SMDHC/CPIR</t>
  </si>
  <si>
    <t>6074202300110730</t>
  </si>
  <si>
    <t>Termo de Colaboração - Gestão do Centro de Referência de Promoção da Igualdade Racial da Região Sul - Lote 2.</t>
  </si>
  <si>
    <t>23</t>
  </si>
  <si>
    <t>Termo de Fomento - Lei Federal 13.019/2014</t>
  </si>
  <si>
    <t>069/2023/SMDHC/CPIR</t>
  </si>
  <si>
    <t>6074202300110757</t>
  </si>
  <si>
    <t>Gestão do Centros de Referência de Promoção da Igualdade Racial da Região Centro e Oeste - Lote 4.</t>
  </si>
  <si>
    <t>059/SMDHC/2023</t>
  </si>
  <si>
    <t>6074202200032010</t>
  </si>
  <si>
    <t>Contratação de empresa especializada na administração e gerenciamento de frota veicular, incluindo motorista, combustível, quilometragem livre, central de chamadas, estacionamento 24 (vinte e quatro) horas, para o atendimento de 05 (cinco) veículos, sendo destes 03 (três) da Coordenação de Promoção da Igualdade Racial – CPIR e 02 (dois) da Coordenação de Políticas paras as Mulheres – CPM, unidades afeitas à Secretaria Municipal de Direitos Humanos e Cidadania – SMDHC</t>
  </si>
  <si>
    <t>08/02/2023 00:00:00</t>
  </si>
  <si>
    <t>10/02/2023 00:00:00</t>
  </si>
  <si>
    <t>09/02/2026 00:00:00</t>
  </si>
  <si>
    <t>336/SMDHC/2024</t>
  </si>
  <si>
    <t>6074202400065419</t>
  </si>
  <si>
    <t>Contratação de empresa especializada na prestação de Serviços de Controle de Pragas Urbanas e Vetores, compreendendo Desinsetização, Desratização e Descupinização em todas as áreas internas e externas adjacentes aos equipamentos da Secretaria Municipal de Direitos Humanos e Cidadania – SMDHC, com fornecimento de todos os materiais, equipamentos e ferramentas necessários.</t>
  </si>
  <si>
    <t>21/10/2024 00:00:00</t>
  </si>
  <si>
    <t>08/11/2024 00:00:00</t>
  </si>
  <si>
    <t>04/12/2025 00:00:00</t>
  </si>
  <si>
    <t>192/SMDHC/2021</t>
  </si>
  <si>
    <t>6074202100037762</t>
  </si>
  <si>
    <t>Contratação de empresa especializada na prestação de serviços contínuos de locação de vagas em garagens cobertas, para a guarda de 43 (quarenta e três) veículos oficiais, automotores pertencentes à Secretaria Municipal de Direitos Humanos e Cidadania – SMDHC.</t>
  </si>
  <si>
    <t>20/08/2021 00:00:00</t>
  </si>
  <si>
    <t>31/08/2021 00:00:00</t>
  </si>
  <si>
    <t>21/08/2025 00:00:00</t>
  </si>
  <si>
    <t>314/SMDHC/2023</t>
  </si>
  <si>
    <t>6074202300027639</t>
  </si>
  <si>
    <t>Contratação de empresa especializada na prestação de serviços contínuos de Controle de Acesso ao Edifício São Joaquim, com efetiva cobertura das portarias, disponibilização de equipamentos de informática, emissão de crachás, e manutenção preventiva e corretiva dos módulos de passagem.</t>
  </si>
  <si>
    <t>15/09/2023 00:00:00</t>
  </si>
  <si>
    <t>22/10/2025 00:00:00</t>
  </si>
  <si>
    <t>33379000</t>
  </si>
  <si>
    <t>Inexigibilidade</t>
  </si>
  <si>
    <t>329/SMDHC/2024</t>
  </si>
  <si>
    <t>6074202300066928</t>
  </si>
  <si>
    <t>Contratação de empresa especializada na Prestação de Serviços de Vigilância e Segurança Patrimonial, com a finalidade de exercer preventivamente a proteção do patrimônio e das pessoas que se encontram nos limites da localidade a ser vigiada, com a efetiva cobertura dos postos dos equipamentos pertencentes à Secretaria Municipal de Direitos Humanos e Cidadania – SMDHC.</t>
  </si>
  <si>
    <t>01/10/2024 00:00:00</t>
  </si>
  <si>
    <t>07/10/2024 00:00:00</t>
  </si>
  <si>
    <t>24/05/2027 00:00:00</t>
  </si>
  <si>
    <t>030/SMDHC/2020</t>
  </si>
  <si>
    <t>6074202000015376</t>
  </si>
  <si>
    <t>Contratação de um Serviço Integrado de Segurança incluindo, em dois lotes, serviços de vigilância e segurança patrimonial armada e vigilância para atender os Centros de Cidadania da Mulher, Centros de Referência da Mulher, Centros de Referência da Igualdade Racial, Centro Público de Direitos Humanos e Economia Solidária, Pólo Cultural José Lewgoy, Centro de Referência da Diversidade, Centro de Cidadania LGBTI – Norte, Centro de Cidadania LGBTI – Zona Leste e Conselhos Tutelares do Município de São Paulo, em conformidade com as disposições do Edital e os seus respectivos anexos.</t>
  </si>
  <si>
    <t>03/08/2020 00:00:00</t>
  </si>
  <si>
    <t>06/08/2020 00:00:00</t>
  </si>
  <si>
    <t>001/2018/SMDHC/CPDDH</t>
  </si>
  <si>
    <t>6074201700007084</t>
  </si>
  <si>
    <t>Constitui objeto do presente colaboração junto à entidade para prestar moradia temporária, apoio psicossocial a crianças, adolescentes e jovens com diagnóstico de câncer ou transplantados de fígado e rins, em tratamento ou acompanhamento, vindos de todo Brasil para serem atendidos nos grandes centros especializados de tratamento do Sistema Único de Saúde/Hospitais Filantrópicos da Cidade de São Paulo, e seus  acompanhantes, ofertando no mínimo 80 vagas por mês, pelo período de 12 (doze ) meses da data de assinatura.</t>
  </si>
  <si>
    <t>27/07/2018 00:00:00</t>
  </si>
  <si>
    <t>02/08/2019 00:00:00</t>
  </si>
  <si>
    <t>25/07/2025 00:00:00</t>
  </si>
  <si>
    <t>6074202500002230</t>
  </si>
  <si>
    <t>Contratação de empresa especializada para a confecção de 10 (dez) unidades de  tapetes  tipo capacho personalizados para as portas de entrada e elevadores .</t>
  </si>
  <si>
    <t>03/04/2025 00:00:00</t>
  </si>
  <si>
    <t>6074202200031731</t>
  </si>
  <si>
    <t>Contratação de empresa especializada na Prestação de Serviços de Vigilância e Segurança Patrimonial, por lotes, com a finalidade de exercer preventivamente a proteção do patrimônio e das pessoas que se encontram nos limites da localidade a ser vigiada, com a efetiva cobertura dos postos dos equipamentos pertencentes à Secretaria Municipal de Direitos Humanos e Cidadania – SMDHC.</t>
  </si>
  <si>
    <t>31/10/2022 00:00:00</t>
  </si>
  <si>
    <t>215/SMDHC/2022</t>
  </si>
  <si>
    <t>09/11/2022 00:00:00</t>
  </si>
  <si>
    <t>17/11/2022 00:00:00</t>
  </si>
  <si>
    <t>06/12/2025 00:00:00</t>
  </si>
  <si>
    <t>506/SMADS/2018</t>
  </si>
  <si>
    <t>6074202000060606</t>
  </si>
  <si>
    <t>Termo de Aditamento com o CENTRO GASPAR GARCIA DE DIREITOS HUMANOS, inscrita no CNPJ sob o nº 59.940.080/0001-08,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t>
  </si>
  <si>
    <t>11/06/2021 00:00:00</t>
  </si>
  <si>
    <t>18/06/2021 00:00:00</t>
  </si>
  <si>
    <t>29/09/2025 00:00:00</t>
  </si>
  <si>
    <t>13/2024/SMHDC/CPPSR</t>
  </si>
  <si>
    <t>6074202400008334</t>
  </si>
  <si>
    <t xml:space="preserve">Parceria. Termo de Colaboração. Edital de Chamamento Público Nº CPB/017/2023/SMDHC/CPPSR. </t>
  </si>
  <si>
    <t>01/04/2024 00:00:00</t>
  </si>
  <si>
    <t>05/04/2024 00:00:00</t>
  </si>
  <si>
    <t>27/03/2027 00:00:00</t>
  </si>
  <si>
    <t>6074202500002966</t>
  </si>
  <si>
    <t>Contratação de empresa para prestação de serviços de Kit Lanche (LOTE 1 – item 1 e item 2) para atender a 122ª Reunião Ordinária do Comitê Intersetorial da Política Municipal para a População em Situação de Rua realizado pela SMDHC/CPDDH/CPPSR/ComitePopRua, pasta desta Secretaria Municipal de Direitos Humanos e Cidadania - ATA DE REGISTRO DE PREÇOS Nº 009/SMDHC/2023</t>
  </si>
  <si>
    <t>06/02/2025 00:00:00</t>
  </si>
  <si>
    <t>218/SMDHC/2022</t>
  </si>
  <si>
    <t>6074202200034161</t>
  </si>
  <si>
    <t>Contratação de empresa especializada na prestação de serviços de manutenção preventiva e corretiva, incluindo lavagem e fornecimento de peças e acessórios, para 05 (cinco) veículos, sendo destes 03 (três) da Coordenação de Promoção da Igualdade Racial – CPIR e 02 (dois) da Coordenação de Políticas para as Mulheres – CPM, unidades afeitas à SMDHC.</t>
  </si>
  <si>
    <t>06/12/2022 00:00:00</t>
  </si>
  <si>
    <t>16/11/2025 00:00:00</t>
  </si>
  <si>
    <t>6074202400101865</t>
  </si>
  <si>
    <t>Aquisição de Materiais de Consumo (Ferramentas) para pequenos reparos e manutenção predial (LOTE 1),  para atender as necessidades da Secretaria Municipal de Direitos Humanos e Cidadania – SMDHC.</t>
  </si>
  <si>
    <t>14/02/2025 00:00:00</t>
  </si>
  <si>
    <t xml:space="preserve">Aquisição de Materiais de Consumo (Ferramentas) para pequenos reparos e manutenção predial(LOTE 2),  para atender as necessidades da Secretaria Municipal de Direitos Humanos e Cidadania – SMDHC.
</t>
  </si>
  <si>
    <t>18/02/2025 00:00:00</t>
  </si>
  <si>
    <t>12/2024/SMDHC/CPPSR</t>
  </si>
  <si>
    <t>6074202400008326</t>
  </si>
  <si>
    <t xml:space="preserve">Termo de Colaboração. Edital de Chamamento Público Nº CPB/017/2023/SMDHC/CPPSR. </t>
  </si>
  <si>
    <t>28/03/2024 00:00:00</t>
  </si>
  <si>
    <t>03/04/2024 00:00:00</t>
  </si>
  <si>
    <t>23/03/2027 00:00:00</t>
  </si>
  <si>
    <t>018/2024/SMDHC/CPPI</t>
  </si>
  <si>
    <t>6074202400084448</t>
  </si>
  <si>
    <t>Termo de Colaboração. Edital de Chamamento Público Nº CPB/002/2024/SMDHC/CPPI. Objeto "Gestão do Centro de Referência de Direitos Humanos e Cidadania da Pessoa Idosa e Posto Avançado de Direitos Humanos e Cidadania da Pessoa Idosa".</t>
  </si>
  <si>
    <t>23/10/2024 00:00:00</t>
  </si>
  <si>
    <t>29/10/2024 00:00:00</t>
  </si>
  <si>
    <t>22/10/2029 00:00:00</t>
  </si>
  <si>
    <t>007/2022/SMDHC/CPJ</t>
  </si>
  <si>
    <t>6074202200048430</t>
  </si>
  <si>
    <t>Termo de Colaboração. Edital CPB/011/2022/SMDHC/CPJ. Projeto: Oferta de cursos de capacitação em empreendedorismo, focados prioritariamente nas juventudes da cidade de São Paulo que empreendem por necessidade e precisam de formação para que expandam e formalizem seus negócios.</t>
  </si>
  <si>
    <t>21/12/2022 00:00:00</t>
  </si>
  <si>
    <t>22/12/2022 00:00:00</t>
  </si>
  <si>
    <t>25/03/2026 00:00:00</t>
  </si>
  <si>
    <t>410/SMADS/2018</t>
  </si>
  <si>
    <t>6074202000060592</t>
  </si>
  <si>
    <t>Termo de Aditamento com a ASSOCIAÇÃO FRANCISCANA DE SOLIDARIEDADE (SEFRAS), inscrita no CNPJ sob o nº 11.861.086/0001-63,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  que tem por objeto a conjugação de esforços e recursos para promover, sob a coordenação e supervisão da Coordenação de Políticas para População em Situação de Rua da Secretaria Municipal de Direitos Humanos e Cidadania (CPPSR/SMDHC) e com apoio do Centro Público de Economia Solidária e Direitos Humanos, a saída qualificada da situação de rua.</t>
  </si>
  <si>
    <t>19/04/2021 00:00:00</t>
  </si>
  <si>
    <t>23/04/2021 00:00:00</t>
  </si>
  <si>
    <t>012/smdhc/2019</t>
  </si>
  <si>
    <t>6074201900011301</t>
  </si>
  <si>
    <t>Contratação de empresa para prestação de Serviço Telefônico Fixo Comutado – STFC (fixo-fixo e fixo-móvel) e de Serviço Móvel Pessoal - SMP (Móvel-Móvel, Móvel-Fixo e dados), nas modalidades Local, Longa Distância Nacional (LDN) e Longa Distância Internacional (LDI) a ser executado de forma contínua</t>
  </si>
  <si>
    <t>07/06/2019 00:00:00</t>
  </si>
  <si>
    <t>12/06/2019 00:00:00</t>
  </si>
  <si>
    <t>06/06/2025 00:00:00</t>
  </si>
  <si>
    <t>29</t>
  </si>
  <si>
    <t>Termo de Contrato para Aquisição de Bens de Consumo e/ou Permanente</t>
  </si>
  <si>
    <t>006/SMDHC/2025</t>
  </si>
  <si>
    <t>6074202500001943</t>
  </si>
  <si>
    <t>Contratação de empresa especializada em confecção de carimbos, para atender as necessidades da Secretaria de Direitos Humanos e Cidadania - SMDHC no exercício de 2025.</t>
  </si>
  <si>
    <t>12/02/2025 00:00:00</t>
  </si>
  <si>
    <t>13/02/2025 00:00:00</t>
  </si>
  <si>
    <t>31/12/2025 00:00:00</t>
  </si>
  <si>
    <t>350/SMDHC/2021</t>
  </si>
  <si>
    <t>6074202100023311</t>
  </si>
  <si>
    <t>Contratação de serviços de infraestrutura de rede com manutenção corretiva, manutenção preventiva, instalações, desinstalações, remanejamentos e execução de projetos em rede de telefonia e lógica, por demanda, na Secretaria Municipal de Direitos Humanos e Cidadania e demais equipamentos externos.</t>
  </si>
  <si>
    <t>15/12/2021 00:00:00</t>
  </si>
  <si>
    <t>18/01/2022 00:00:00</t>
  </si>
  <si>
    <t>14/12/2025 00:00:00</t>
  </si>
  <si>
    <t>074/SMDHC/2020</t>
  </si>
  <si>
    <t>6074202000034311</t>
  </si>
  <si>
    <t>Contratação de empresa especializada para a prestação de serviço de transporte mediante locação de veículo, com manutenção preventiva e corretiva, com condutor, ajudante e combustível, objetivando o deslocamento para apoio a atividades técnico-administrativas para transporte de cargas.</t>
  </si>
  <si>
    <t>24/11/2020 00:00:00</t>
  </si>
  <si>
    <t>28/11/2020 00:00:00</t>
  </si>
  <si>
    <t>23/11/2025 00:00:00</t>
  </si>
  <si>
    <t>6074202500006953</t>
  </si>
  <si>
    <t>Prestação de serviços de Coffee Break Tipo II para atender os participantes do Encontro de Planejamento com as equipes que compõem os Centros de Referência e Promoção da Igualdade Racial CRPIR. realizado pela Coordenação de Promoção da Igualdade Racial.</t>
  </si>
  <si>
    <t>144/SMDHC/2022</t>
  </si>
  <si>
    <t>6074202200038582</t>
  </si>
  <si>
    <t>Prestação de serviços de limpeza e desinfecção de reservatório predial às unidades da Prefeitura do Município de São Paulo - Grupo 1 (Centro) - ATA DE REGISTRO DE PREÇOS N. 002/SEGES-COBES/2022.</t>
  </si>
  <si>
    <t>11/07/2022 00:00:00</t>
  </si>
  <si>
    <t>13/07/2022 00:00:00</t>
  </si>
  <si>
    <t>10/07/2026 00:00:00</t>
  </si>
  <si>
    <t xml:space="preserve"> 004/SMDHC</t>
  </si>
  <si>
    <t>6074202500006473</t>
  </si>
  <si>
    <t>Contratação de Sacolas (ecobag), Squeeze e Camisetas personalizadas para os conferencistas da Conferência Municipal de Promoção da Igualdade Racial de São Paulo – Edição 2025.</t>
  </si>
  <si>
    <t>08/03/2025 00:00:00</t>
  </si>
  <si>
    <t>022/SMDHC/2025</t>
  </si>
  <si>
    <t>Contratação de empresa especializada para a prestação de serviços, sob demanda, de confecção e impressão de material gráfico.</t>
  </si>
  <si>
    <t>28/02/2025 00:00:00</t>
  </si>
  <si>
    <t>05/03/2025 00:00:00</t>
  </si>
  <si>
    <t>30/03/2025 00:00:00</t>
  </si>
  <si>
    <t>062/SMDHC/2023</t>
  </si>
  <si>
    <t>6074202200079130</t>
  </si>
  <si>
    <t xml:space="preserve">Contratação de empresa especializada na prestação de serviços de transporte através de fretamento por micro-ônibus, em caráter eventual, com fornecimento de veículo, condutor, combustível, manutenção preventiva e corretiva, estacionamento e pedágio, objetivando atender às necessidades de deslocamentos coletivos da Secretaria Municipal de Direitos Humanos e Cidadania – SMDHC
 </t>
  </si>
  <si>
    <t>13/03/2023 00:00:00</t>
  </si>
  <si>
    <t>16/03/2023 00:00:00</t>
  </si>
  <si>
    <t>12/03/2026 00:00:00</t>
  </si>
  <si>
    <t>6074202400101873</t>
  </si>
  <si>
    <t>Aquisição de lâmpadas de LED para atender à sede e às unidades afeitas à Secretaria Municipal de Direitos Humanos e Cidadania – SMDHC.</t>
  </si>
  <si>
    <t>16/02/2025 00:00:00</t>
  </si>
  <si>
    <t>6074202500004560</t>
  </si>
  <si>
    <t>Aquisição de Nominata (sem dados) e com (RESERVADO) com vistas ao atendimento da Secretaria Municipal de Direitos Humanos e Cidadania – SMDHC – EDITAL 90013/2025</t>
  </si>
  <si>
    <t>03/02/2025 00:00:00</t>
  </si>
  <si>
    <t>025/SMDHC/2020</t>
  </si>
  <si>
    <t>6074202000015333</t>
  </si>
  <si>
    <t>Contratação de empresa especializada para prestação de serviços de Impressão Corporativa, incluindo a prestação de serviços de manutenção preventiva e corretiva, fornecimento de peças e suprimentos necessários (inclusive papel), para atender as necessidades de todas as 52 (cinquenta e duas) unidades dos Conselhos Tutelares localizados no Município de São Paulo</t>
  </si>
  <si>
    <t>09/07/2020 00:00:00</t>
  </si>
  <si>
    <t>16/07/2020 00:00:00</t>
  </si>
  <si>
    <t>09/07/2026 00:00:00</t>
  </si>
  <si>
    <t>013/SMDHC/2025</t>
  </si>
  <si>
    <t>6074202500004357</t>
  </si>
  <si>
    <t>Aquisição de refrigerador e forno micro-ondas com vistas ao atendimento das necessidades do Edifício São Joaquim, sede da Secretaria Municipal de Direitos Humanos e Cidadania – SMDHC.</t>
  </si>
  <si>
    <t>26/02/2025 00:00:00</t>
  </si>
  <si>
    <t>09/04/2026 00:00:00</t>
  </si>
  <si>
    <t>6074202500000114</t>
  </si>
  <si>
    <t>Aquisição de sacos plásticos transparentes para manipulação de alimentos no Banco de Alimentos, para atender os equipamentos afeitos à Secretaria Municipal de Direitos Humanos e Cidadania - SMDHC.</t>
  </si>
  <si>
    <t>23/02/2025 00:00:00</t>
  </si>
  <si>
    <t>325/SMDHC/2023</t>
  </si>
  <si>
    <t>6074202300072308</t>
  </si>
  <si>
    <t>Prestação de serviços de locação, instalação e manutenção de aparelhos purificadores de água, conforme especificações, requisitos e condições constantes do Anexo I - Termo de Referência, através da ARP Nº 001/SEGES-COBES/2023.</t>
  </si>
  <si>
    <t>26/09/2023 00:00:00</t>
  </si>
  <si>
    <t>30/09/2025 00:00:00</t>
  </si>
  <si>
    <t>141</t>
  </si>
  <si>
    <t>6074202200013237</t>
  </si>
  <si>
    <t xml:space="preserve">Serviços de locação, incluindo a manutenção preventiva e corretiva, bem como o fornecimento e reposição de peças e a instalação de máquinas automatizadas que disponibilizem café expresso e bebidas quentes, cumulada com a venda de doses abrangendo todos os insumos, para atender pelo sistema de livre consumo, para os servidores da Secretaria Municipal de Direitos Humanos e Cidadania – SMDHC, conforme especificações constantes no Termo de Referência - ANEXO I do Edital, </t>
  </si>
  <si>
    <t>30/06/2022 00:00:00</t>
  </si>
  <si>
    <t>07/07/2022 00:00:00</t>
  </si>
  <si>
    <t>31/07/2025 00:00:00</t>
  </si>
  <si>
    <t>325/SMDHC/2022</t>
  </si>
  <si>
    <t>6074202200079920</t>
  </si>
  <si>
    <t>Contratação de empresa especializada na Prestação de Serviços de Locação de Veículos Novos, sendo 01 (um) veículo do Tipo “B”/ Grupo S-1, e 01 (um) veículo do Tipo “C”, em caráter não eventual, sem condutor, quilometragem livre, incluindo, combustível, despesas com pedágios, avarias, multas e manutenção; objetivando atender às necessidades de deslocamentos.</t>
  </si>
  <si>
    <t>23/12/2022 00:00:00</t>
  </si>
  <si>
    <t>27/12/2022 00:00:00</t>
  </si>
  <si>
    <t>23/12/2025 00:00:00</t>
  </si>
  <si>
    <t>012/SMDHC/2025</t>
  </si>
  <si>
    <t>6074202400091860</t>
  </si>
  <si>
    <t>Contratação de empresa especializada na prestação de serviços de manutenção preventiva e corretiva no sistema/aparelho de telefonia PABX (Private Automatic Branch Exchange), pertencente à Secretaria Municipal de Direitos Humanos e Cidadania – SMDHC.</t>
  </si>
  <si>
    <t>20/02/2025 00:00:00</t>
  </si>
  <si>
    <t>03/03/2026 00:00:00</t>
  </si>
  <si>
    <t>6074202400082364</t>
  </si>
  <si>
    <t>Aquisição de 06 (seis) unidades de Paleteira Hidráulica Manual , Rodas Duplas Nylon , 2,5 TON Carrinho Transpalete Hidráulico Manual - 2.500kg e 01 (um) unidade de Paleteira Hidráulica Manual com Balança Digital , Rodas Duplas em Nylon ou PU , 3 TON Carrinho Transpalete com Balança Integrada - 3.000kg, para atender ao Programa Municipal Banco de Alimentos.</t>
  </si>
  <si>
    <t>02/03/2025 00:00:00</t>
  </si>
  <si>
    <t>TC 132/SMDHC/2021</t>
  </si>
  <si>
    <t>6074202100004090</t>
  </si>
  <si>
    <t>Prestação de serviços técnicos especializados de tecnologia da informação, pela PRODAM, para SUSTENÇÃO DE TIC para os Conselhos Tutelares, compatíveis com sua finalidade e relacionados na proposta PCSMDHC-210113-3 Versão 1.1, pelo período de 12 (doze) meses.</t>
  </si>
  <si>
    <t>08/06/2021 00:00:00</t>
  </si>
  <si>
    <t>15/06/2021 00:00:00</t>
  </si>
  <si>
    <t>07/06/2025 00:00:00</t>
  </si>
  <si>
    <t>Tomada de Preços</t>
  </si>
  <si>
    <t>058/SMDHC/2020</t>
  </si>
  <si>
    <t>6074202000035725</t>
  </si>
  <si>
    <t>Ata de Registro de Preços nº ATA/RP 008/SG-COBES/2019- Contratação para prestação de Serviço Telefônico Fixo Comutado (STFC) por meio de entroncamentos digitais e serviços de discagem direta a ramal (DDR) (Item I), aos 52 (cinquenta e dois) Conselhos Tutelares do Município de São Paulo.</t>
  </si>
  <si>
    <t>27/10/2020 00:00:00</t>
  </si>
  <si>
    <t>28/01/2021 00:00:00</t>
  </si>
  <si>
    <t>26/10/2025 00:00:00</t>
  </si>
  <si>
    <t>6074202000029938</t>
  </si>
  <si>
    <t>Contratação de empresa especializada em prestação de serviços de motofrete para as unidades da Prefeitura de São Paulo, com entrega e coleta de pequenas cargas, por meio de motocicletas, com fundamento no disposto na Lei Federal n. 8.666/93, Lei Municipal n. 13.278/02 e o Decreto Municipal n. 44.279/03</t>
  </si>
  <si>
    <t>05/08/2020 00:00:00</t>
  </si>
  <si>
    <t>12/08/2022 00:00:00</t>
  </si>
  <si>
    <t>03/08/2025 00:00:00</t>
  </si>
  <si>
    <t>6074202500006120</t>
  </si>
  <si>
    <t xml:space="preserve">Registro de Preços para a prestação de serviços, sob demanda, de confecção e impressão de material gráfico. - ATA DE REGISTRO DE PREÇOS Nº 001/SMDHC/2024.
 </t>
  </si>
  <si>
    <t>Contratação de empresa especializada para a prestação de serviços, sob demanda, de confecção e impressão de material gráfico - Ata de Registro de Preços nº 001/SMDHC/2024</t>
  </si>
  <si>
    <t>58</t>
  </si>
  <si>
    <t>Termo de Credenciamento</t>
  </si>
  <si>
    <t>007/SMDHC/2025</t>
  </si>
  <si>
    <t>6074202500009324</t>
  </si>
  <si>
    <t>Contratação de Kit Lanches (Lote 03), para a população do distrito do Jardim Pantanal.</t>
  </si>
  <si>
    <t>07/02/2025 00:00:00</t>
  </si>
  <si>
    <t>10/02/2025 00:00:00</t>
  </si>
  <si>
    <t>6074202500006201</t>
  </si>
  <si>
    <t>Pagamento das parcelas do Auxílio Aluguel para Mulheres Vítimas de Violência, por intermédio do BANCO
DO BRASIL S/A.</t>
  </si>
  <si>
    <t>172/SMDHC2023</t>
  </si>
  <si>
    <t>6074202300008030</t>
  </si>
  <si>
    <t>ontratação de empresa especializada na prestação de serviços de manutenção preventiva e corretiva de aparelhos de ar condicionado (unidades externa e interna), incluindo mão de obra, equipamentos, fornecimento de peças e materiais necessários para a execução do presente objeto, para atender a Casa da Mulher Brasileira – CMB, unidade operacional da Coordenação Municipal de Políticas para as Mulheres – CPM.</t>
  </si>
  <si>
    <t>28/07/2023 00:00:00</t>
  </si>
  <si>
    <t>04/08/2023 00:00:00</t>
  </si>
  <si>
    <t>011/SMDHC/2019</t>
  </si>
  <si>
    <t>6074201900011182</t>
  </si>
  <si>
    <t>Pregão Eletrônico nº 011/SMDHC/2019, OFERTA DE COMPRAS nº 801022801002019OC00013, cujo objeto consiste na contratação de empresa especializada na prestação de serviços de Locação de Sistema de PABX com DDR, Serviço de Instalação, Gerenciamento e Manutenção, para atender as necessidades da Secretaria Municipal de Direitos Humanos e Cidadania, conforme especificações constantes no Termo de Referência - ANEXO I do Edital, à empresa: RA TELECOM LTDA, inscrita no CNPJ/MF nº 10.312.101/0001-51, no valor global de R$ 35.990,00 (trinta e cinco mil novecentos e noventa reais) pelo período de 12(doze) meses.</t>
  </si>
  <si>
    <t>06/06/2019 00:00:00</t>
  </si>
  <si>
    <t>08/06/2019 00:00:00</t>
  </si>
  <si>
    <t>04/06/2025 00:00:00</t>
  </si>
  <si>
    <t>152/SMDHC/2024</t>
  </si>
  <si>
    <t>6074202300026080</t>
  </si>
  <si>
    <t>Prestação de Serviços de Transporte, através de Locação de 66 (sessenta e seis) veículos, Tipo “C”, em caráter não eventual, com condutor e quilometragem livre; incluindo, combustível, despesas com pedágios, avarias, multas e manutenção, para atender às necessidades da Secretaria Municipal de Direitos Humanos e Cidadania – SMDHC e de suas Coordenações.</t>
  </si>
  <si>
    <t>30/04/2024 00:00:00</t>
  </si>
  <si>
    <t>12/05/2029 00:00:00</t>
  </si>
  <si>
    <t>001/SMDHC/CPLGBTI+22</t>
  </si>
  <si>
    <t>6074202100045242</t>
  </si>
  <si>
    <t>Edital de Credenciamento nº 003-B/SMDHC/2021 - Programa “Respeito Tem Nome” - Contratação dos serviços cartoriais.</t>
  </si>
  <si>
    <t>13/05/2022 00:00:00</t>
  </si>
  <si>
    <t>14/05/2022 00:00:00</t>
  </si>
  <si>
    <t>12/05/2025 00:00:00</t>
  </si>
  <si>
    <t>033/SMDHC/2020</t>
  </si>
  <si>
    <t>6074202000000751</t>
  </si>
  <si>
    <t>CONTRATAÇÃO DE EMPRESA ESPECIALIZADA EM PRESTAÇÃO DE SERVIÇOS DE LOCAÇÃO DE VEÍCULOS ADAPTADOS, SIMILARES AO MODELO Sprinter, TIPO VAN, COM MOTORISTA, SEGURANÇA PESSOAL, COMBUSTÍVEL e GERADOR DE ENERGIA, COM QUILOMETRAGEM LIVRE e SEGURO.</t>
  </si>
  <si>
    <t>12/08/2020 00:00:00</t>
  </si>
  <si>
    <t>07/08/2025 00:00:00</t>
  </si>
  <si>
    <t>145/SMDHC/2023</t>
  </si>
  <si>
    <t>6074202300030125</t>
  </si>
  <si>
    <t>Contratação de empresa especializada na prestação de serviços de locação de veículos adaptados, com fornecimento de combustível e quilometragem livre, motorista, segurança e seguro para a unidade móvel do Centro de Referência e Atendimento para Imigrantes - CRAI Móvel.</t>
  </si>
  <si>
    <t>16/06/2023 00:00:00</t>
  </si>
  <si>
    <t>19/06/2023 00:00:00</t>
  </si>
  <si>
    <t>15/06/2024 00:00:00</t>
  </si>
  <si>
    <t>008/SMDHC/2025</t>
  </si>
  <si>
    <t>6074202500010705</t>
  </si>
  <si>
    <t xml:space="preserve"> Prestação de serviços, sob demanda, de confecção e impressão de material gráfico. - ATA DE REGISTRO DE PREÇOS Nº 001/SMDHC/2024.</t>
  </si>
  <si>
    <t>14/03/2025 00:00:00</t>
  </si>
  <si>
    <t>027/SMDHC/2019</t>
  </si>
  <si>
    <t>6074201800009402</t>
  </si>
  <si>
    <t>Despacho - 07/08/2019 - Contratação de empresa especializada na prestação de serviço de operação de telefonia fixa, de natureza continuada, com a utilização de equipamento com sistema de Troca Automática de Ramais Privados, designado PABX (Private Automatic Branch Exchange), nas dependências da Casa da Mulher Brasileira – CMB, unidade operacional supervisionada pela “Coordenação Municipal de Políticas para Mulheres” pertencente à Secretaria Municipal de Direitos Humanos e Cidadania - SMDHC.</t>
  </si>
  <si>
    <t>13/08/2019 00:00:00</t>
  </si>
  <si>
    <t>20/08/2019 00:00:00</t>
  </si>
  <si>
    <t>6074202400026081</t>
  </si>
  <si>
    <t>Prestação de Serviços por empresa especializada em locação de Sistema PABX (Private Automatic Branch Exchange), com DDR, incluídos os serviços de instalação, gerenciamento e manutenção, visando atender as necessidades da Secretaria Municipal de Direitos Humanos e Cidadania – SMDHC e da Casa da Mulher Brasileira – CMB.</t>
  </si>
  <si>
    <t>6074202500005973</t>
  </si>
  <si>
    <t xml:space="preserve">Aquisição de 162 (cento e sessenta e dois) unidades de PROTETOR SOLAR FPS 60 LINHA SUN EMBALAGEM DE 1 LITRO. MARCA: ALGSUN </t>
  </si>
  <si>
    <t>17/02/2025 00:00:00</t>
  </si>
  <si>
    <t>30</t>
  </si>
  <si>
    <t>Nota de Empenho para Fornecimento de Serviços</t>
  </si>
  <si>
    <t>6074202400099135</t>
  </si>
  <si>
    <t>Fornecimento de Gás Canalizado - COMGÁS, para atender o Centro Público de Economia Solidária e
 Edifício São Joaquim (SEDE)</t>
  </si>
  <si>
    <t>028/SMDHC/2023</t>
  </si>
  <si>
    <t>6074202300085736</t>
  </si>
  <si>
    <t>Contratação de empresa para prestação de serviços de locação, instalação e manutenção de equipamentos de sistema de sistemas de interação neuro-sensorial para repelência de pombos para atender o CRESAN VILA MARIA.</t>
  </si>
  <si>
    <t>04/12/2023 00:00:00</t>
  </si>
  <si>
    <t>12/12/2023 00:00:00</t>
  </si>
  <si>
    <t>07/01/2026 00:00:00</t>
  </si>
  <si>
    <t>295/SMDHC2023</t>
  </si>
  <si>
    <t>6074202300068360</t>
  </si>
  <si>
    <t xml:space="preserve">Contratação de empresa especializada para prestação de serviços de locação de Sistema PABX (Private Automatic Branch Exchange), com DDR, incluídos os serviços de instalação, gerenciamento e manutenção, visando atender aos equipamentos desta – SMDHC.
 </t>
  </si>
  <si>
    <t>01/09/2023 00:00:00</t>
  </si>
  <si>
    <t>04/09/2023 00:00:00</t>
  </si>
  <si>
    <t>07/09/2025 00:00:00</t>
  </si>
  <si>
    <t>079/SMDHC/2024</t>
  </si>
  <si>
    <t>6074202400004070</t>
  </si>
  <si>
    <t>ontratação de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t>
  </si>
  <si>
    <t>12/03/2024 00:00:00</t>
  </si>
  <si>
    <t>15/03/2024 00:00:00</t>
  </si>
  <si>
    <t>Contratação referente aos reembolsos dos materiais que serão substituídos, quando da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t>
  </si>
  <si>
    <t>322/SMDHC/2021</t>
  </si>
  <si>
    <t>6074202100003884</t>
  </si>
  <si>
    <t>Contratação de prestação de serviços para fornecimento mensal estimado de 52.000 doses de café e outras bebidas quentes, através de 52 (cinquenta e duas) máquinas de autoatendimento para atender aos 52 (cinquenta e dois) Conselhos Tutelares do Município de São Paulo.</t>
  </si>
  <si>
    <t>24/11/2021 00:00:00</t>
  </si>
  <si>
    <t>11/12/2021 00:00:00</t>
  </si>
  <si>
    <t>323/SMDHC/2021</t>
  </si>
  <si>
    <t>345/SMDHC/2024</t>
  </si>
  <si>
    <t>6074202400061685</t>
  </si>
  <si>
    <t>Contratação de empresa especializada na prestação de serviços contínuos de copeiragem, com fornecimento de mão de obra uniformizada, materiais, equipamentos e utensílios necessários ao perfeito atendimento das necessidades da Secretaria Municipal de Direitos Humanos e Cidadania – SMDHC.</t>
  </si>
  <si>
    <t>18/11/2024 00:00:00</t>
  </si>
  <si>
    <t>25/11/2024 00:00:00</t>
  </si>
  <si>
    <t>25/11/2025 00:00:00</t>
  </si>
  <si>
    <t>049/SMDHC/2021</t>
  </si>
  <si>
    <t>6074202100007588</t>
  </si>
  <si>
    <t>Serviço de logística de recebimento e distribuição de refeições no Projeto Rede Cozinha Cidadã da Secretaria Municipal de Direitos Humanos e Cidadania – SMDHC mediante locação de 18 (dezoito) veículos, com fechamento isotérmico para transportar refeições prontas e acondicionadas, com 18 (dezoito) motoristas e 36 (trinta e seis) ajudantes - dois ajudantes por veículo.</t>
  </si>
  <si>
    <t>29/04/2021 00:00:00</t>
  </si>
  <si>
    <t>01/05/2021 00:00:00</t>
  </si>
  <si>
    <t>25/08/2025 00:00:00</t>
  </si>
  <si>
    <t>6074202400101881</t>
  </si>
  <si>
    <t>Aquisição de materiais de consumo para pequenos reparos e manutenção predial, para atender às necessidades das unidades desta Secretaria Municipal de Direitos Humanos e Cidadania – SMDHC.</t>
  </si>
  <si>
    <t>19/03/2025 00:00:00</t>
  </si>
  <si>
    <t>07/03/2025 00:00:00</t>
  </si>
  <si>
    <t>038/2020/SMDHC</t>
  </si>
  <si>
    <t>6074202000030537</t>
  </si>
  <si>
    <t>Contratação de empresa especializada operacionalização e desenvolvimento de todas as atividades para o fornecimento de refeições e desjejuns destinados aos atendimentos do público que se encontra em situação de risco e de extrema vulnerabilidade socioeconômica, que faz uso do alojamento de passagem da Casa da Mulher Brasileira, equipamento de atendimento da Secretaria Municipal de Direitos Humanos e Cidadania - SMDHC, assegurando uma alimentação balanceada e em condições higiênicosanitárias adequadas, conforme especificações constantes no Termo de Referência - ANEXO I do Edital, à empresa CASA BADEN ROTISSERIE LTDA ME, inscrita no CNPJ/MF nº 26.624.602/0001-03</t>
  </si>
  <si>
    <t>21/08/2020 00:00:00</t>
  </si>
  <si>
    <t>03/09/2020 00:00:00</t>
  </si>
  <si>
    <t>12/03/2025 00:00:00</t>
  </si>
  <si>
    <t>037/SMDHC/2020</t>
  </si>
  <si>
    <t>6074202000030464</t>
  </si>
  <si>
    <t>Contratação da empresa TELEFÔNICA BRASIL S/A, inscrita no CNPJ. nº 02.558.157/0001-62, detentora da Ata de Registro de Preços n 008/SG-COBES/2019, para a prestação de Serviço Telefônico Fixo Comutado (STFC) por meio de entroncamentos digitais (links E1 com
sinalização CAS-R2/DTMF) e serviços de discagem direta a ramal (DDR), serviços estes destinados ao tráfego de chamadas locais, de longa distância nacional e de longa distância internacional, pelo período de 12 (doze) meses</t>
  </si>
  <si>
    <t>14/08/2020 00:00:00</t>
  </si>
  <si>
    <t>23/10/2020 00:00:00</t>
  </si>
  <si>
    <t>13/08/2025 00:00:00</t>
  </si>
  <si>
    <t>212/SMDHC</t>
  </si>
  <si>
    <t>6074202200071849</t>
  </si>
  <si>
    <t>Prestação de Serviço por empresa especializada em manutenção preventiva e corretiva de 03 (três) elevadores instalados no prédio Sede da Secretaria Municipal de Direitos Humanos e Cidadania – SMDHC.</t>
  </si>
  <si>
    <t>24/10/2022 00:00:00</t>
  </si>
  <si>
    <t>26/10/2022 00:00:00</t>
  </si>
  <si>
    <t>23/10/2025 00:00:00</t>
  </si>
  <si>
    <t>041/SMDHC/2019</t>
  </si>
  <si>
    <t>6074201800010656</t>
  </si>
  <si>
    <t>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 para o Lote 1</t>
  </si>
  <si>
    <t>02/10/2019 00:00:00</t>
  </si>
  <si>
    <t>09/10/2019 00:00:00</t>
  </si>
  <si>
    <t>30/10/2025 00:00:00</t>
  </si>
  <si>
    <t>042/SMDHC/2019</t>
  </si>
  <si>
    <t>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do Edital - Lote 2</t>
  </si>
  <si>
    <t>03/10/2019 00:00:00</t>
  </si>
  <si>
    <t>09/11/2025 00:00:00</t>
  </si>
  <si>
    <t>6074202500005850</t>
  </si>
  <si>
    <t>Aquisição de tatuagens autoadesivas temporárias personalizadas de transferência a base de água.</t>
  </si>
  <si>
    <t>27/02/2025 00:00:00</t>
  </si>
  <si>
    <t>6074202500008310</t>
  </si>
  <si>
    <t>Aquisição de leques personalizado em papel couche brilho, gramatura: 300gr, frente e verso, medidas: 20x19, cor: na quantidade de 10.000 (dez mil ) unidades, para atender as necessidades da Secretaria Executiva do CMDCA, pasta desta Secretaria Municipal de Direitos Humanos e Cidadania - SMDHC.</t>
  </si>
  <si>
    <t>6074202500005531</t>
  </si>
  <si>
    <t xml:space="preserve"> Contratação de empresa especializada em serviços de confecção, impressão de bonés e viseiras</t>
  </si>
  <si>
    <t xml:space="preserve">Contratação de empresa especializada em serviços de confecção, impressão de bonés e viseiras
 </t>
  </si>
  <si>
    <t>225/SMDHC/2021</t>
  </si>
  <si>
    <t>6074202100030849</t>
  </si>
  <si>
    <t xml:space="preserve"> Contratação de Serviço Telefônico Fixo Comutado – STFC (fixo-fixo e fixo-móvel) e de Serviço Móvel Pessoal - SMP (Móvel-Móvel, Móvel-Fixo e dados), nas modalidades Local, Longa Distância Nacional (LDN) e Longa Distância Internacional (LDI) a ser executado de forma contínua.</t>
  </si>
  <si>
    <t>23/09/2021 00:00:00</t>
  </si>
  <si>
    <t>29/10/2021 00:00:00</t>
  </si>
  <si>
    <t>30/01/2027 00:00:00</t>
  </si>
  <si>
    <t>044/SMDHC/2020</t>
  </si>
  <si>
    <t>6074202000023034</t>
  </si>
  <si>
    <t>Contratação de empresa especializada para prestação de serviços contínuos de Copeiragem e Garçonaria para atender a estrutura administrativa em geral da Casa da Mulher Brasileira, situada na Rua Vieira Ravasco s/n., Cambuci, CEP 01518-030, São Paulo – SP, unidade operacional supervisionada pela Coordenação de Políticas para Mulheres pertencente à Secretaria Municipal de Direitos Humanos</t>
  </si>
  <si>
    <t>10/09/2020 00:00:00</t>
  </si>
  <si>
    <t>19/09/2020 00:00:00</t>
  </si>
  <si>
    <t>08/09/2025 00:00:00</t>
  </si>
  <si>
    <t>6074202500010004</t>
  </si>
  <si>
    <t>Confecção e fornecimento de 15.000 (quinze mil) unidades de pulseiras de identificação em vinil, com pino de fechamento, para a realização do Carnaval Oficial de Rua 2025, atendendo as necessidades da Assessoria Técnica - Eventos, pasta desta Secretaria Municipal de Direitos Humanos e Cidadania-SMDHC.</t>
  </si>
  <si>
    <t>21//SMDHC/2022</t>
  </si>
  <si>
    <t>6074202200064630</t>
  </si>
  <si>
    <t>Contratação de Instituição Financeira para prestação de serviços de pagamento de benefício assistencial referente ao Auxílio-aluguel concedido às mulheres vítimas de violência doméstica no Município de São Paulo, instituído pela Lei nº 17.320/2020, e emissão, às beneficiárias, de cartão magnético, em todas as agências da Instituição Financeira contratada.</t>
  </si>
  <si>
    <t>16/11/2022 00:00:00</t>
  </si>
  <si>
    <t>26/11/2022 00:00:00</t>
  </si>
  <si>
    <t>15/11/2025 00:00:00</t>
  </si>
  <si>
    <t>051/SMDHC/2020</t>
  </si>
  <si>
    <t>6074202000029571</t>
  </si>
  <si>
    <t>O presente pregão tem por objeto a Contratação de empresa especializada no ramo de Tecnologia de Informação para 02 (dois) postos de serviço na Casa da Mulher Brasileira – CMB, situada na Rua Vieira Ravasco s/nº, Cambuci, CEP 01518-030, São Paulo – SP, unidade operacional da Coordenadoria Municipal de Políticas para Mulheres, da Secretaria Municipal de Direitos Humanos e Cidadania – SMDHC, cujas características e especificações técnicas encontram-se descritas no Termo de Referência, ANEXO I deste edital de Pregão.</t>
  </si>
  <si>
    <t>02/10/2020 00:00:00</t>
  </si>
  <si>
    <t>09/10/2020 00:00:00</t>
  </si>
  <si>
    <t>01/10/2025 00:00:00</t>
  </si>
  <si>
    <t>439/SMDHC/2024</t>
  </si>
  <si>
    <t>6074202400056487</t>
  </si>
  <si>
    <t>Contratação de Empresa Especializada na Prestação de Serviços de Transporte, através de Locação de veículos Tipo “C” e Tipo “D”, em caráter não eventual, com condutor e quilometragem livre; incluindo, combustível, despesas com pedágios, avarias, multas e manutenção, para atender às necessidades da unidade operacional supervisionada pela Coordenação de Políticas para Mulheres SMDHC – Casa da Mulher Brasileira.</t>
  </si>
  <si>
    <t>12/12/2024 00:00:00</t>
  </si>
  <si>
    <t>01/01/2030 00:00:00</t>
  </si>
  <si>
    <t>164/SMDHC/2024</t>
  </si>
  <si>
    <t>6074202400025174</t>
  </si>
  <si>
    <t>Prestação de Serviços de RECEPÇÃO para as sedes dos 52 (cinquenta e dois) Conselhos Tutelares do Município de São Paulo.</t>
  </si>
  <si>
    <t>10/06/2024 00:00:00</t>
  </si>
  <si>
    <t>26/06/2024 00:00:00</t>
  </si>
  <si>
    <t>25/01/2027 00:00:00</t>
  </si>
  <si>
    <t>330/SMDHC/2024</t>
  </si>
  <si>
    <t>15/10/2024 00:00:00</t>
  </si>
  <si>
    <t>15/04/2027 00:00:00</t>
  </si>
  <si>
    <t>341/SMDHC/2024</t>
  </si>
  <si>
    <t>6074202400054352</t>
  </si>
  <si>
    <t>Prestação de serviços por Instituição Financeira de serviços de pagamento do benefício referente ao Auxílio Ampara concedido às crianças e adolescentes em situação de orfandade decorrente de feminicídio no Município de São Paulo, instituído pela Lei nº 17.851/2022, e emissão, aos beneficiários, de cartão magnético, em todas as agências da Instituição Financeira, bem como pagamento de benefícios eventuais e/ou emergenciais e a emissão, aos beneficiários.</t>
  </si>
  <si>
    <t>12/11/2024 00:00:00</t>
  </si>
  <si>
    <t>17/10/2029 00:00:00</t>
  </si>
  <si>
    <t>438/SMDHC/2024</t>
  </si>
  <si>
    <t>6074202400020504</t>
  </si>
  <si>
    <t>Prestação de Serviços por empresa especializada em Serviço de Telefonia Fixa Comutada – STFC, por meio de entroncamento digitais (links E1/SIP).</t>
  </si>
  <si>
    <t>23/01/2027 00:00:00</t>
  </si>
  <si>
    <t>024/SMDHC/2020</t>
  </si>
  <si>
    <t>6074202000023344</t>
  </si>
  <si>
    <t>Contratação de empresa especializada na prestação de serviços de gerenciamento de abastecimento de veículos, máquinas e equipamentos, por meio de cartão de pagamento magnético ou microprocessado, pelo período de 12 (doze) meses, pela taxa de administração de -4,75% (quatro inteiros e setenta e cinco centésimos por cento negativos)</t>
  </si>
  <si>
    <t>08/07/2020 00:00:00</t>
  </si>
  <si>
    <t>07/07/2025 00:00:00</t>
  </si>
  <si>
    <t>TC nº 019/SMDHC/2024</t>
  </si>
  <si>
    <t>6074202500004365</t>
  </si>
  <si>
    <t>Fornecimento de mobiliários para escritório - Ata de Registro de Preços nº 008/2024.</t>
  </si>
  <si>
    <t>25/02/2025 00:00:00</t>
  </si>
  <si>
    <t>27/05/2025 00:00:00</t>
  </si>
  <si>
    <t>Concorrência</t>
  </si>
  <si>
    <t>261/SMDHC/2024</t>
  </si>
  <si>
    <t>6074202300065530</t>
  </si>
  <si>
    <t>Contratação de empresa especializada na Prestação de Serviços de Limpeza, Asseio e Conservação Predial, visando à obtenção de adequadas condições de salubridade e higiene, com disponibilização de mão-de-obra, saneantes domissanitários, materiais e equipamentos na sede e nas unidades afeitas à Secretaria Municipal de Direitos Humanos e Cidadania – SMDHC.</t>
  </si>
  <si>
    <t>09/09/2024 00:00:00</t>
  </si>
  <si>
    <t>10/09/2024 00:00:00</t>
  </si>
  <si>
    <t>17/09/2025 00:00:00</t>
  </si>
  <si>
    <t>066//SMDHC/2023</t>
  </si>
  <si>
    <t>6074202200022457</t>
  </si>
  <si>
    <t>Prestação de Serviço Telefônico Fixo Comutado - STFC por meio de linhas diretas não residenciais, destinado ao tráfego de chamadas locais e longa distância nacional, através de plano ilimitado, pelo período de 12 (doze) meses, para atender à Secretaria Municipal de Direitos Humanos e Cidadania - SMDHC e seus equipamentos.</t>
  </si>
  <si>
    <t>03/07/2023 00:00:00</t>
  </si>
  <si>
    <t>27/04/2026 00:00:00</t>
  </si>
  <si>
    <t>6074202500011728</t>
  </si>
  <si>
    <t>Contratação de empresa especializada na prestação de serviços de Coffee Break -  ATA DE REGISTRO DE PREÇOS Nº 008/SMDHC/2023.- Coordenação de Políticas para LGBTI.</t>
  </si>
  <si>
    <t>6074202500012082</t>
  </si>
  <si>
    <t xml:space="preserve"> Contratação de empresa especializada na prestação de serviços de Coffee Break, de Brunch e de Kit Lanche - ATA DE REGISTRO DE PREÇOS Nº 009/SMDHC/2023 (LOTE 1 – item 1 e item 2).</t>
  </si>
  <si>
    <t>6074202500006430</t>
  </si>
  <si>
    <t>Confecção e impressão de material gráfico - Credencial/Crachá e Banner.</t>
  </si>
  <si>
    <t>027/SMDHC/2025</t>
  </si>
  <si>
    <t>28/05/2025 00:00:00</t>
  </si>
  <si>
    <t>245/SMDHC2023</t>
  </si>
  <si>
    <t>6074202300071948</t>
  </si>
  <si>
    <t>Contratação de empresa especializada na prestação de serviços de locação, instalação e manutenção de aparelhos purificadores de água.</t>
  </si>
  <si>
    <t>16/08/2023 00:00:00</t>
  </si>
  <si>
    <t>18/08/2023 00:00:00</t>
  </si>
  <si>
    <t>26/08/2025 00:00:00</t>
  </si>
  <si>
    <t>011/SMDHC/2025</t>
  </si>
  <si>
    <t>6074202500010888</t>
  </si>
  <si>
    <t>Contratação de empresa especializada cujas pessoas trabalhadoras sejam técnicas e aptas em relação às especificidades dos diferentes públicos que compõem grandes eventos e atuam de acordo com as diretrizes da SMDHC no combate às violências de gênero, étnico-raciais, LGBTI+ e demais populações vulneráveis, como crianças e adolescentes.</t>
  </si>
  <si>
    <t>23/04/2025 00:00:00</t>
  </si>
  <si>
    <t>405/SMDHC2023</t>
  </si>
  <si>
    <t>6074202300091884</t>
  </si>
  <si>
    <t xml:space="preserve"> Fornecimento – sob demanda – de garrafões de 20 (vinte) litros de água para Centro de Referência em Segurança Alimentar e Nutricional – CRESAN Vila Maria e do Centro de Referência em Segurança Alimentar e Nutricional – CRESAN Butanta.</t>
  </si>
  <si>
    <t>09/02/2024 00:00:00</t>
  </si>
  <si>
    <t>145/SMDHC/2022</t>
  </si>
  <si>
    <t>6074202100079449</t>
  </si>
  <si>
    <t>Prestação de Serviços de Limpeza, Asseio e Conservação Predial das áreas internas e externas, para atendimento dos 52 (cinquenta e dois) Conselhos Tutelares.</t>
  </si>
  <si>
    <t>12/07/2022 00:00:00</t>
  </si>
  <si>
    <t>14/07/2022 00:00:00</t>
  </si>
  <si>
    <t>11/09/2025 00:00:00</t>
  </si>
  <si>
    <t>286/SMHDC/2021</t>
  </si>
  <si>
    <t>6074202100041158</t>
  </si>
  <si>
    <t>Contratação de empresa especializada em locação de microcomputadores tipo desktop, com estabilizador bivolt para cada equipamento instalado.</t>
  </si>
  <si>
    <t>18/11/2021 00:00:00</t>
  </si>
  <si>
    <t>19/11/2021 00:00:00</t>
  </si>
  <si>
    <t>6074202400110627</t>
  </si>
  <si>
    <t xml:space="preserve">Aquisição na prestação de serviço, fornecimento e instalação de cortinas.
</t>
  </si>
  <si>
    <t>20/03/2025 00:00:00</t>
  </si>
  <si>
    <t>337/SMDHC/2024</t>
  </si>
  <si>
    <t>6074202400073438</t>
  </si>
  <si>
    <t>Prestação de Serviços de Limpeza, Asseio e Conservação Predial das áreas internas e externas, visando à obtenção de adequadas condições de salubridade e higiene, com disponibilização de mão-de-obra em regime de dedicação exclusiva, saneantes domissanitários, materiais e equipamentos, nas unidades pertencentes à SMDHC.</t>
  </si>
  <si>
    <t>01/11/2024 00:00:00</t>
  </si>
  <si>
    <t>06/11/2024 00:00:00</t>
  </si>
  <si>
    <t>02/12/2025 00:00:00</t>
  </si>
  <si>
    <t>048/SMDHC/2020</t>
  </si>
  <si>
    <t>6074202000011893</t>
  </si>
  <si>
    <t>Contratação de empresa especializada em telecomunicação para prestação de serviço de link de acesso à internet com banda de 100MB, para utilização no auditório da Secretaria Municipal de Direitos Humanos e Cidadania.</t>
  </si>
  <si>
    <t>25/09/2022 00:00:00</t>
  </si>
  <si>
    <t>30/09/2022 00:00:00</t>
  </si>
  <si>
    <t>24/09/2025 00:00:00</t>
  </si>
  <si>
    <t>014/SMDHC/2025</t>
  </si>
  <si>
    <t>6074202500004683</t>
  </si>
  <si>
    <t>Prestação de serviços de concepção, organização, produção e execução de eventos com viabilização de infraestrutura e fornecimento de apoio logístico para concepção, e execução de eventos para a Administração Direta durante as ações do Carnaval 2025 na Cidade de São Paulo pela Secretaria Municipal de Direitos Humanos e Cidadania considerando as atividades em Blocos de Rua, Sambódromo e ações na União das Escolas de Samba Paulistanas (UESP).</t>
  </si>
  <si>
    <t>16/03/2025 00:00:00</t>
  </si>
  <si>
    <t>381/SMDHC/2023</t>
  </si>
  <si>
    <t>6074202300069595</t>
  </si>
  <si>
    <t>Contratação de empresa especializada em LOCAÇÃO DE BANHEIROS QUÍMICOS tipo padrão e para portadores de necessidades especiais (PNE) e LAVATÓRIOS MÓVEIS tipo portátil para higienização das mãos, com fornecimento de água, sabonete líquido e toalhas descartáveis, incluindo os serviços de instalação, montagem e desmontagem, ações de manutenção diária, tais como, saneamento de avarias, serviços de limpeza e reposição de insumos.</t>
  </si>
  <si>
    <t>6074202500006457</t>
  </si>
  <si>
    <t>Confecção e impressão de bottons personalizados  para  os conferencistas da Conferência Municipal de Promoção da Igualdade Racial de São Paulo – Edição 2025, atendendo as necessidades do Departamento de Participação Social, pasta desta Secretaria Municipal de Direitos Humanos e Cidadania-SMDHC</t>
  </si>
  <si>
    <t>01/03/2025 00:00:00</t>
  </si>
  <si>
    <t>06/04/2025 00:00:00</t>
  </si>
  <si>
    <t>33319000</t>
  </si>
  <si>
    <t>6074202500003180</t>
  </si>
  <si>
    <t>Aquisição de Troféus para cerimônia do Prêmio de Direitos Humanos Dom Paulo Evaristo Arns, atendendo as necessidades do Departamento de Educação em Direitos Humanos, pasta desta Secretaria Municipal de Direitos Humanos e Cidadania - SMDHC.</t>
  </si>
  <si>
    <t>02/SMDET/2023</t>
  </si>
  <si>
    <t>6064202300002771</t>
  </si>
  <si>
    <t xml:space="preserve">TA 001 - Prestação de serviços de vigilância e segurança patrimonial desarmada, para fazer constar o acréscimo de 03 (três) postos equivalentes ao percentual de 24,92%, correspondente ao valor de R$ 51.997,88 (cinquenta e um mil novecentos e noventa e sete reais e oitenta e oito centavos) - CRM Vila Nova Cachoeirinha e CCM Itaquera - Relacionado ao Termo de Contrato nº 02/2023/SMDET - Contratação 3036/2023
</t>
  </si>
  <si>
    <t>05/01/2024 00:00:00</t>
  </si>
  <si>
    <t>15/01/2024 00:00:00</t>
  </si>
  <si>
    <t>01/03/2026 00:00:00</t>
  </si>
  <si>
    <t>206/SMDHC/2022</t>
  </si>
  <si>
    <t>6074202200034170</t>
  </si>
  <si>
    <t>Contratação de empresa especializada na prestação de serviços de monitoramento e rastreamento veicular via satélite por GPS/GSM/GPRS, compreendendo a instalação de módulos rastreadores em comodato e a disponibilização de software de gerenciamento com acesso via Web para gestão da frota de veículos pertencentes à Secretaria Municipal de Direitos Humanos e Cidadania – SMDHC.</t>
  </si>
  <si>
    <t>25/08/2022 00:00:00</t>
  </si>
  <si>
    <t>27/08/2022 00:00:00</t>
  </si>
  <si>
    <t>24/08/2025 00:00:00</t>
  </si>
  <si>
    <t>6074202500012856</t>
  </si>
  <si>
    <t>Contratação de empresa especializada na prestação de serviços de  Kit Lanche lote 3 -CARNAVAL/2025</t>
  </si>
  <si>
    <t>018/SMDHC/2025</t>
  </si>
  <si>
    <t xml:space="preserve"> Contratação de empresa especializada na prestação de serviços  de Kit Lanche -Carnaval 2025</t>
  </si>
  <si>
    <t>24/02/2025 00:00:00</t>
  </si>
  <si>
    <t>22/03/2025 00:00:00</t>
  </si>
  <si>
    <t>208/SMDHC/2022</t>
  </si>
  <si>
    <t>6074202100055809</t>
  </si>
  <si>
    <t>Prestação de Serviços de Transporte Mediante Locação de Veículo Seminovo (com até três anos), sendo 01 (um) veículo do Tipo “D” (Grupo - D1), em caráter não eventual, com condutor e quilometragem livre, incluindo, combustível, despesas com pedágios, avarias, multas e manutenção, objetivando o deslocamento para apoio das atividades técnico-administrativas da SMDHC.</t>
  </si>
  <si>
    <t>13/09/2022 00:00:00</t>
  </si>
  <si>
    <t>15/09/2022 00:00:00</t>
  </si>
  <si>
    <t>12/09/2025 00:00:00</t>
  </si>
  <si>
    <t>248/SMDHC/2024</t>
  </si>
  <si>
    <t>6074202400050110</t>
  </si>
  <si>
    <t>Prestação de Serviços por empresa especializada em serviços contínuos de lavanderia - Casa da Mulher Brasileira.</t>
  </si>
  <si>
    <t>07/08/2024 00:00:00</t>
  </si>
  <si>
    <t>16/08/2024 00:00:00</t>
  </si>
  <si>
    <t>05/08/2025 00:00:00</t>
  </si>
  <si>
    <t>6074202500010241</t>
  </si>
  <si>
    <t xml:space="preserve">Consumo de serviços de Água e Esgoto - Exercício de 2025 - Casa de Passagem 
</t>
  </si>
  <si>
    <t>6074202500009731</t>
  </si>
  <si>
    <t xml:space="preserve"> Consumo de Água e Esgoto - Casa da Mulher Brasileira - Exercício de 2025.</t>
  </si>
  <si>
    <t>6074202500011051</t>
  </si>
  <si>
    <t>Contratação para fornecimento de Kit Lanche, para atender os participantes da reunião ordinária do COMPISP (Conselho Municipal dos Povos Indígenas do Município de São Paulo), realizada pela Coordenação dos Povos Indígenas, pasta desta Secretaria Municipal de Direitos Humanos e Cidadania.</t>
  </si>
  <si>
    <t>171/SMDHC/2023</t>
  </si>
  <si>
    <t>6074202300034112</t>
  </si>
  <si>
    <t>Prestação de serviços contínuos de copeiragem, com fornecimento de mão de obra uniformizada, materiais, equipamentos e utensílios necessários ao perfeito atendimento das necessidades da Secretaria Municipal de Direitos Humanos e Cidadania – SMDHC.</t>
  </si>
  <si>
    <t>6074202500012732</t>
  </si>
  <si>
    <t>Contratação para fornecimento de Kit Lanche para atender os participantes da 125ª Reunião Ordinária do Comitê Intersetorial da Política para População em Situação de Rua, organizado pelo Comitê Intersetoria de Política Municipal para a População em Situação de Rua, pasta da SMDHC.</t>
  </si>
  <si>
    <t>13/03/2025 00:00:00</t>
  </si>
  <si>
    <t>6074202400087021</t>
  </si>
  <si>
    <t>Serviços por empresa especializada na prestação de serviços de locação de veículos adaptados, com fornecimento de combustível e quilometragem livre, motorista, vigilante e seguro para a Unidade Móvel de Atendimento às Mulheres.</t>
  </si>
  <si>
    <t>020/SMDHC/2025</t>
  </si>
  <si>
    <t>6074202500007283</t>
  </si>
  <si>
    <t>Contratação de empresa especializada em ministrar curso teórico e prático de Brigada de Incêndio, para adequação de segurança nas dependências do Edifício São Joaquim, sede da Secretaria Municipal de Direitos Humanos e Cidadania – SMDHC e para adequação de segurança nas dependências da Casa da Mulher Brasileira – CMB.</t>
  </si>
  <si>
    <t>29/03/2025 00:00:00</t>
  </si>
  <si>
    <t>232/SMDHC/2021</t>
  </si>
  <si>
    <t>6074202100026485</t>
  </si>
  <si>
    <t>Contratação de um Serviço Integrado de Segurança incluindo serviços de vigilância e segurança patrimonial desarmada, para atender a estação pertencente à Ação Vidas no Centro do Município de São Paulo.</t>
  </si>
  <si>
    <t>06/10/2021 00:00:00</t>
  </si>
  <si>
    <t>08/10/2021 00:00:00</t>
  </si>
  <si>
    <t>05/10/2025 00:00:00</t>
  </si>
  <si>
    <t>51</t>
  </si>
  <si>
    <t>Termo de Contrato - Seguradora</t>
  </si>
  <si>
    <t>266/SMDHC/2022</t>
  </si>
  <si>
    <t>6074202200032037</t>
  </si>
  <si>
    <t>Contratação, de empresa especializada na prestação de serviços de fornecimento de Seguro Total, na modalidade compreensiva, para 05 (cinco) veículos, sendo destes 03 (três) da Coordenação de Promoção da Igualdade Racial – CPIR e 02 (dois) da Coordenação de Políticas paras as Mulheres – CPM, unidades afeitas à Secretaria Municipal de Direitos Humanos e Cidadania – SMDHC.</t>
  </si>
  <si>
    <t>25/11/2022 00:00:00</t>
  </si>
  <si>
    <t>28/12/2022 00:00:00</t>
  </si>
  <si>
    <t>24/11/2025 00:00:00</t>
  </si>
  <si>
    <t>032/SMDHC/2022</t>
  </si>
  <si>
    <t>6074202100065367</t>
  </si>
  <si>
    <t>Serviço Telefônico Fixo Comutado – STFC por meio de linhas diretas não residenciais, destinado ao tráfego de chamadas locais e longa distância nacional, pelo período de 12 (doze) meses, para atender a Coordenação de Políticas para as Mulheres e seus equipamentos, afeitos à Secretaria Municipal de Direitos Humanos e Cidadania</t>
  </si>
  <si>
    <t>16/03/2022 00:00:00</t>
  </si>
  <si>
    <t>01/07/2022 00:00:00</t>
  </si>
  <si>
    <t>26/07/2025 00:00:00</t>
  </si>
  <si>
    <t>6074202500013470</t>
  </si>
  <si>
    <t>Contratação de empresa especializada na prestação de serviços de Coffee Break para atender os participantes do evento "Empregabilidade LGBTI" com previsão para ocorrer no dia 25 de fevereiro de 2025, atendendo á solicitação da Coordenação de Políticas para LGBTI, pasta da SMDHC.</t>
  </si>
  <si>
    <t>6074202500003466</t>
  </si>
  <si>
    <t>Aquisição de material de consumo para o exercício de 2025, chás de diversos sabores, adoçante liquido, garrafa térmica, filtro de papel e guardanapo de papel, para atender a sede da Secretaria de Direitos Humanos e Cidadania-SMDHC.</t>
  </si>
  <si>
    <t>429/SMDHC/2024</t>
  </si>
  <si>
    <t>6074202400067390</t>
  </si>
  <si>
    <t>Contratação de empresa especializada na prestação de serviços – de natureza continuada – de controle sanitário integrado no combate a vetores e pragas urbanas (baratas, formigas, pombos, morcegos, dentre outras), compreendendo também a desinsetização, desratização, descupinização e controle ambiental em todas as áreas internas e externas adjacentes à equipamentos pertencentes à Secretaria Municipal de Direitos Humanos e Cidadania – SMDHC.</t>
  </si>
  <si>
    <t>29/11/2024 00:00:00</t>
  </si>
  <si>
    <t>05/12/2024 00:00:00</t>
  </si>
  <si>
    <t>21/01/2026 00:00:00</t>
  </si>
  <si>
    <t>6074202500014387</t>
  </si>
  <si>
    <t>Consumo de Energia Elétrica - Casa de Passagem - Exercício de 2025.</t>
  </si>
  <si>
    <t>070/SMDHC/2020</t>
  </si>
  <si>
    <t>6074202000035890</t>
  </si>
  <si>
    <t>Contratação de empresa especializada para a prestação de serviços de locação e instalação de equipamentos e software (sistema informatizado) necessários e suficientes para o funcionamento de um Circuito Fechado de Televisão – CFTV, incluindo sua manutenção preventiva e corretiva e uma Central de Monitoramento Remoto (período noturno), visando à efetiva cobertura das 52 (cinquenta e duas) sedes dos Conselhos Tutelares, pertencentes à Secretaria Municipal de Direitos Humanos e Cidadania</t>
  </si>
  <si>
    <t>29/10/2020 00:00:00</t>
  </si>
  <si>
    <t>03/12/2020 00:00:00</t>
  </si>
  <si>
    <t>28/10/2025 00:00:00</t>
  </si>
  <si>
    <t>33929000</t>
  </si>
  <si>
    <t>023/SMDHC/2025</t>
  </si>
  <si>
    <t>6074202500011639</t>
  </si>
  <si>
    <t xml:space="preserve"> Contratação de empresa especializada na prestação de serviços de Coffe Break Tipo 1 para os eventos voltados à formação da rede de enfrentamento à violência de gênero, em parceria a Coordenação de Pronto Atendimento Social da Secretaria Municipal de Assistência e Desenvolvimento Social (SMADS) e o Grupo de Atuação Especial de Enfrentamento À Violência Doméstica (GEVID).</t>
  </si>
  <si>
    <t>11/03/2025 00:00:00</t>
  </si>
  <si>
    <t>17/03/2025 00:00:00</t>
  </si>
  <si>
    <t>11/04/2025 00:00:00</t>
  </si>
  <si>
    <t>259/SMDHC/2024</t>
  </si>
  <si>
    <t>6074202400039434</t>
  </si>
  <si>
    <t xml:space="preserve"> Prestação de Serviços, sob demanda, de empresa especializada para elaboração de laudo de avaliação de locação de imóveis</t>
  </si>
  <si>
    <t>26/08/2024 00:00:00</t>
  </si>
  <si>
    <t>29/08/2024 00:00:00</t>
  </si>
  <si>
    <t>026/SMDHC/2025</t>
  </si>
  <si>
    <t>6074202400084430</t>
  </si>
  <si>
    <t>Fornecimento e instalação de 05 (cinco) aparelhos de ar condicionado para o atendimento das necessidades do Edifício Patriarca, sede da Ouvidoria da Secretaria Municipal de Direitos Humanos e Cidadania – SMDHC.</t>
  </si>
  <si>
    <t>07/04/2025 00:00:00</t>
  </si>
  <si>
    <t>059/SMDHC/2020</t>
  </si>
  <si>
    <t>6074202000039615</t>
  </si>
  <si>
    <t>Contratação de empresa especializada para a prestação de serviços de locação de Sistema PABX, com DDR, incluídos os serviços de instalação, gerenciamento e manutenção, visando atender aos 52 (cinquenta e dois) dos Conselhos Tutelares, pertencentes à Secretaria Municipal de Direitos Humanos e Cidadania.</t>
  </si>
  <si>
    <t>03/11/2020 00:00:00</t>
  </si>
  <si>
    <t>11/11/2020 00:00:00</t>
  </si>
  <si>
    <t>02/11/2025 00:00:00</t>
  </si>
  <si>
    <t>024/SMDHC/2025</t>
  </si>
  <si>
    <t>6074202500012872</t>
  </si>
  <si>
    <t>Contratação de licença de acesso ao sistema de pesquisa e comparação de preços praticados pela Administração Pública, denominada BANCO DE PREÇOS.</t>
  </si>
  <si>
    <t>10/03/2025 00:00:00</t>
  </si>
  <si>
    <t>6074202500014476</t>
  </si>
  <si>
    <t>fornecimento de energia elétrica - Casa de Passagem - Exercício de 2025.</t>
  </si>
  <si>
    <t>24/24/SMDHC/CPLGBTI</t>
  </si>
  <si>
    <t>6074202400105330</t>
  </si>
  <si>
    <t>Parceria. Termo de Colaboração. Objeto Gestão do Centro de Referência LGBTI+ Brunna Valin e Unidade Móvel LGBTI+ Centro.</t>
  </si>
  <si>
    <t>6074202500009189</t>
  </si>
  <si>
    <t>Fornecimento de açúcar refinado para o Exercício de 2025- Ata de Registro de Preços nº 001/SEGES-COBES/2025.</t>
  </si>
  <si>
    <t>168/SMDHC/2024</t>
  </si>
  <si>
    <t>6074202400008350</t>
  </si>
  <si>
    <t>Prestação de Serviços por empresa especializada em Controle de Pragas Urbanas e Vetores, compreendendo Desinsetização, Desratização e Descupinização para todas as áreas internas e externas adjacentes aos equipamentos da Secretaria Municipal de Direitos Humanos e Cidadania – SMDHC, com fornecimento de todos os materiais, equipamentos e ferramentas necessários, de acordo com as especificações e condições constantes do ANEXO I do Edital de Pregão.</t>
  </si>
  <si>
    <t>18/06/2024 00:00:00</t>
  </si>
  <si>
    <t>155/SMDHC/2024</t>
  </si>
  <si>
    <t>6074202400019867</t>
  </si>
  <si>
    <t>Contratação de empresa especializada no fornecimento de gás liquefeito de petróleo (GLP) botijão de 45 kg. para as unidades: Casa da Mulher Brasileira e Casa Helenira Rezende, supervisionado pela Coordenação de Políticas para Mulheres.</t>
  </si>
  <si>
    <t>02/05/2024 00:00:00</t>
  </si>
  <si>
    <t>07/05/2024 00:00:00</t>
  </si>
  <si>
    <t>17/05/2025 00:00:00</t>
  </si>
  <si>
    <t>6074202500016185</t>
  </si>
  <si>
    <t>Contratação de empresa especializada na prestação de  serviços de impressão de material gráfico, cartão de visita frente e verso - ATA DE REGISTRO DE PREÇOS Nº 001/SMDHC/2024</t>
  </si>
  <si>
    <t>6074202500016592</t>
  </si>
  <si>
    <t>Contratação de empresa especializada na prestação de serviços de Kit Lanche, para atender os
participantes da Reunião Extraordinária que acontecerá dia 06 de março na Secretaria Municipal de Direitos Humanos e Cidadania (SMDHC), evento esse realizado pela Coordenação dos Povos Indígenas.</t>
  </si>
  <si>
    <t>06/03/2025 00:00:00</t>
  </si>
  <si>
    <t>6074202500018250</t>
  </si>
  <si>
    <t>Contratação de empresa especializada na prestação de serviços de Coffee Break, de Brunch e de Kit Lanche - ATA DE REGISTRO DE PREÇOS Nº 008/SMDHC/2023 - atender aos participantes do Evento "Dia Internacional da Mulher", na Casa da Mulher Brasileira  realizado pela SMDHC/GAB,  Gabinete desta desta Secretaria Municipal de Direitos Humanos e Cidadania.</t>
  </si>
  <si>
    <t>09/03/2025 00:00:00</t>
  </si>
  <si>
    <t>6074202500016649</t>
  </si>
  <si>
    <t xml:space="preserve">Contratação de empresa especializada na prestação de serviços, sob demanda, de confecção e impressão de material gráfico - ATA DE REGISTRO DE PREÇOS Nº 003/SMDHC/2024.
 </t>
  </si>
  <si>
    <t>26/03/2025 00:00:00</t>
  </si>
  <si>
    <t>6074202500016630</t>
  </si>
  <si>
    <t xml:space="preserve">Contratação de empresa especializada na prestação de serviços, sob demanda, de confecção e impressão de material gráfico - ATA DE REGISTRO DE PREÇOS Nº 004/SMDHC/2024 </t>
  </si>
  <si>
    <t>067//SMDHC/2023</t>
  </si>
  <si>
    <t>6074202300013735</t>
  </si>
  <si>
    <t xml:space="preserve"> Prestação de serviços de limpeza e desinfecção de reservatório predial às unidades da Prefeitura do Município de São Paulo - Grupo 1 (Centro)- ATA DE REGISTRO DE PREÇÕS nº 002/SEGES-COBES/2022.</t>
  </si>
  <si>
    <t>06/05/2026 00:00:00</t>
  </si>
  <si>
    <t>6074202500013690</t>
  </si>
  <si>
    <t>Contratação para aquisição de vaso sanitário para caixa acoplada com vistas ao atendimento das necessidades do Edifício São Joaquim, sede da Secretaria Municipal de Direitos Humanos e Cidadania – SMDHC - AVISO DE DISPENSA ELETRÔNICA Nº 90030/2025.</t>
  </si>
  <si>
    <t>Contratação para aquisição de vaso sanitário para caixa acoplada com vistas ao atendimento das
necessidades do Edifício São Joaquim, sede da Secretaria Municipal de Direitos Humanos e Cidadania –
SMDHC - AVISO DE DISPENSA ELETRÔNICA Nº 90030/2025.</t>
  </si>
  <si>
    <t>23/03/2025 00:00:00</t>
  </si>
  <si>
    <t>6074202500012546</t>
  </si>
  <si>
    <t>Contratação para aquisição de 03 (três) unidades de Escadas de Alumínio para atendimento das necessidades da Secretaria Municipal de Direitos Humanos e Cidadania – SMDHC - AVISO DE DISPENSA ELETRÔNICA Nº 90029/2025.</t>
  </si>
  <si>
    <t>028/SMDHC/2025</t>
  </si>
  <si>
    <t>6074202500018021</t>
  </si>
  <si>
    <t>Contratação de empresa especializada na prestação de serviços de Kit Lanche  - ARP nº 009/SMDHC/2023 (LOTE 3).</t>
  </si>
  <si>
    <t>14/01/2026 00:00:00</t>
  </si>
  <si>
    <t>53</t>
  </si>
  <si>
    <t>Nota de Empenho - Multas de Trânsito / Outras</t>
  </si>
  <si>
    <t>6017202500140713</t>
  </si>
  <si>
    <t>Pagamento de Multa de Trânsito Carro Oficial –  FIAT/UNO MILLE FIRE – Placa CMW0326</t>
  </si>
  <si>
    <t>6074202500015111</t>
  </si>
  <si>
    <t>Aquisição de 400 (quatrocentos) unidades de Bloco de Notas com Capa Blocado e 350 (trezentos e cinquenta ) unidades de Folder / 3 Dobra / A4 / horizontal - para o evento Seminário de Comunicação Não Violenta e Justiça Restaurativa.</t>
  </si>
  <si>
    <t>24/03/2025 00:00:00</t>
  </si>
  <si>
    <t>6074202500006767</t>
  </si>
  <si>
    <t>Fornecimento de 01(uma) licença do software Canvas Pro, pelo período de 12 (doze) meses, para o setor de comunicação, para desenvolvimento de projetos na Secretaria de Direitos Humanos e Cidadania.</t>
  </si>
  <si>
    <t>6074202500021278</t>
  </si>
  <si>
    <t>Contratação de empresa especializada na prestação de serviços de Coffee Break, Tipo II&lt; para atender aos participantes da atividade intitulada "Dia Internacional da Mulher" - ATA DE REGISTRO DE PREÇOS Nº 008/SMDHC/2023</t>
  </si>
  <si>
    <t>54</t>
  </si>
  <si>
    <t>Nota de Empenho - Pagamento de Anuidades / Taxas / Impostos</t>
  </si>
  <si>
    <t>6074202500020417</t>
  </si>
  <si>
    <t>Assinatura do jornal O Estado de S.Paulo (digital+impresso) pelo período de 12 (doze) meses.</t>
  </si>
  <si>
    <t>08/04/2026 00:00:00</t>
  </si>
  <si>
    <t>030/SMDHC/2025</t>
  </si>
  <si>
    <t>6074202500013593</t>
  </si>
  <si>
    <t>Contratação do INSTITUTO DE ESTUDOS DE PROTESTO DE TÍTULOS DO BRASIL - SEÇÃO SÃO PAULO - IEPTB - SP para serviços cartoriais voltados para o programa Respeito Tem Nome.</t>
  </si>
  <si>
    <t>31/03/2025 00:00:00</t>
  </si>
  <si>
    <t>08/01/2026 00:00:00</t>
  </si>
  <si>
    <t>6074202500020425</t>
  </si>
  <si>
    <t>Contratação por inexigibilidade de licitação com a EMPRESA FOLHA DA MANHA S.A., inscrita sob CNPJ nº 60.579.703/0001-48, para o fornecimento de 01 (uma) assinatura anual do jornal "Folha de S.Paulo.", impresso de segunda a Domingo + digital diário.</t>
  </si>
  <si>
    <t>6074202500021316</t>
  </si>
  <si>
    <t>Contratação de empresa especializada na prestação de serviços de Kit Lanche para atender aos participantes da Reunião Extraordinária da SMDHC/CPDDH/COPIND.</t>
  </si>
  <si>
    <t>6074202500020875</t>
  </si>
  <si>
    <t>Contratação de empresa especializada na prestação de serviços de Kit Lanche para atender aos participantes da 126ª Reunião Ordinária do Comitê Intersetorial da Política para População em Situação de Rua - ATA DE REGISTRO DE PREÇOS Nº 009/SMDHC/2023</t>
  </si>
  <si>
    <t>6074202500022975</t>
  </si>
  <si>
    <t>Contratação de empresa especializada na prestação de serviços de Coffee Break Tipo I para o evento de mulheres que será celebrado na Assembleia Legislativa do Estado de São Paulo - Alesp - ATA DE REGISTRO DE PREÇOS Nº 008/SMDHC/2023.</t>
  </si>
  <si>
    <t>6074202500020972</t>
  </si>
  <si>
    <t>Contratação de empresa especializada para a prestação de serviços, sob demanda, de confecção e impressão de material gráfico pelo período de 1 (um) mês contados da data da assinatura do contrato.</t>
  </si>
  <si>
    <t>6074202500023335</t>
  </si>
  <si>
    <t>Contratação de empresa especializada na prestação de serviços de Coffee Break, Tipo II, para atender aos participantes do evento "Café com a Coordenadora" de Políticas para LGBTI+, juntamente de outras personalidades importantes da comunidade Trans e Travesti, em comemoração ao dia Internacional da Visibilidade Trans, realizado pela SMDHC/CPDDH/CPLGBTI - Coordenação de Políticas para LGBTI.</t>
  </si>
  <si>
    <t>01/04/2025 00:00:00</t>
  </si>
  <si>
    <t>6074202500008492</t>
  </si>
  <si>
    <t>Aquisição de café torrado e moído embalado em alto vácuo, de qualidade mínima superior.</t>
  </si>
  <si>
    <t>6074202500015332</t>
  </si>
  <si>
    <t>Aquisição de 156 (cento e cinquenta e seis) unidades de Ventiladores de coluna; Potência de 170W;  para o atendimento das dependências dos estabelecimentos que funcionam como sede dos Conselhos Tutelares.</t>
  </si>
  <si>
    <t>18/04/2025 00:00:00</t>
  </si>
  <si>
    <t>6074202500020557</t>
  </si>
  <si>
    <t>Assinatura do jornal O Globo  impresso pelo período de 12 (doze) meses.</t>
  </si>
  <si>
    <t>05/04/2026 00:00:00</t>
  </si>
  <si>
    <t>Assinatura do jornal O Globo digital pelo período de 12 (doze) meses</t>
  </si>
  <si>
    <t>6074202500020433</t>
  </si>
  <si>
    <t>Assinatura do jornal Valor Econômico (digital+impresso) pelo período de 12 (doze) meses</t>
  </si>
  <si>
    <t>6074202500021529</t>
  </si>
  <si>
    <t xml:space="preserve">Aquisição de materiais de limpeza para higienização das instalações, equipamentos e cuidados pessoais dos agentes operacionais do Banco de Alimentos e CRESANs Butantã e Vila Maria
 </t>
  </si>
  <si>
    <t>6074202500020883</t>
  </si>
  <si>
    <t>Aquisição de materiais de papelaria para a equipe disponível no CRESAN Butantã.</t>
  </si>
  <si>
    <t>6074202500021537</t>
  </si>
  <si>
    <t>Aquisição de materiais para manipulação de alimentos no Banco de alimentos, atendendo as necessidades da SMDHC/SESANA/COSAN/CRESAN/VILA, pasta desta Secretaria Municipal de Direitos Humanos e Cidadania-SMDHC.</t>
  </si>
  <si>
    <t>17/04/2025 00:00:00</t>
  </si>
  <si>
    <t>6074202500026199</t>
  </si>
  <si>
    <t>Contratação de empresa especializada na prestação de serviços de Coffee Break, de Brunch e de Kit Lanche - ATA DE REGISTRO DE PREÇOS Nº 008/SMDHC/2023 - para atender aos participantes do evento, referente a atividade intitulada "Integração Serviços de Assistência Social, Direitos Humanos e Órgãos do Sistema de Justiça - Termo de Cooperação Técnica nº 21/2023"</t>
  </si>
  <si>
    <t>035/SMDHC/2025</t>
  </si>
  <si>
    <t>6074202500022843</t>
  </si>
  <si>
    <t>Contratação de empresa para prestação de serviço de relatoria e metodologia incluída mão-de-obra e todos os materiais necessários à execução das atividades previstas para a conferência a ocorrer em 2025.</t>
  </si>
  <si>
    <t>14/04/2025 00:00:00</t>
  </si>
  <si>
    <t>15/04/2025 00:00:00</t>
  </si>
  <si>
    <t>24/07/2025 00:00:00</t>
  </si>
  <si>
    <t>33369000</t>
  </si>
  <si>
    <t>037/SMDHC/2025</t>
  </si>
  <si>
    <t>6074202500022460</t>
  </si>
  <si>
    <t>Contratação de prestação de serviços, de natureza artística, para o “Abril Indígena 2025: “Rodas De Saberes Multiétnicas”.</t>
  </si>
  <si>
    <t>06/05/2025 00:00:00</t>
  </si>
  <si>
    <t>20/04/2025 00:00:00</t>
  </si>
  <si>
    <t>036/SMDHC/2025</t>
  </si>
  <si>
    <t>6074202500022312</t>
  </si>
  <si>
    <t>Contratação de prestação de serviços, de natureza artística, para o “Abril Indígena 2025: “Rodas De Saberes Multiétnicas”</t>
  </si>
  <si>
    <t>10/04/2025 00:00:00</t>
  </si>
  <si>
    <t>19/05/2025 00:00:00</t>
  </si>
  <si>
    <t>040/SMDHC/2025</t>
  </si>
  <si>
    <t>6074202500020786</t>
  </si>
  <si>
    <t>Prestação de serviços, sob demanda, de confecção e impressão de material gráfico. - ATA DE REGISTRO DE PREÇOS Nº 002/SMDHC/2024</t>
  </si>
  <si>
    <t>24/04/2025 00:00:00</t>
  </si>
  <si>
    <t>28/04/2025 00:00:00</t>
  </si>
  <si>
    <t>24/05/2025 00:00:00</t>
  </si>
  <si>
    <t>033/SMDHC/2025</t>
  </si>
  <si>
    <t>6074202500022401</t>
  </si>
  <si>
    <t>Abril Indígena 2025: “Rodas De Saberes Multiétnicas”</t>
  </si>
  <si>
    <t>034/SMDHC/2025</t>
  </si>
  <si>
    <t>6074202500022355</t>
  </si>
  <si>
    <t>042/SMDHC/2025</t>
  </si>
  <si>
    <t>6074202500022398</t>
  </si>
  <si>
    <t xml:space="preserve">Contratação de prestação de serviços, de natureza artística, para o “Abril Indígena 2025: “Rodas De Saberes Multiétnicas”
</t>
  </si>
  <si>
    <t>044/SMDHC/2025</t>
  </si>
  <si>
    <t>6074202500022452</t>
  </si>
  <si>
    <t>Contratação direta por Inexigibilidade de Licitação, do Sr. ADILSON LUIS DO NASCIMENTO, inscrito no CPF sob o nº ***.833.984 - ** , para a prestação de serviços, de natureza artística, para o “Abril Indígena 2025: “Rodas De Saberes Multiétnicas”.</t>
  </si>
  <si>
    <t>046/SMDHC/2025</t>
  </si>
  <si>
    <t>6074202500025214</t>
  </si>
  <si>
    <t>039/SMDHC/2025</t>
  </si>
  <si>
    <t>6074202500022339</t>
  </si>
  <si>
    <t>041/SMDHC/2025</t>
  </si>
  <si>
    <t>6074202500022371</t>
  </si>
  <si>
    <t xml:space="preserve">Prestação de serviços, de natureza artística, para o “Abril Indígena 2025: “Rodas De Saberes Multiétnicas” </t>
  </si>
  <si>
    <t>043/SMDHC/2025</t>
  </si>
  <si>
    <t>6074202500022428</t>
  </si>
  <si>
    <t>Contratação de prestação de serviços, de natureza artística, para o “Abril Indígena 2025: “Rodas De Saberes Multiétnicas, a ser firmado atravès da palestrante Vanuzia Costa Santos - com objetivo de promover a " Roda de Saberes Multiétnicos"</t>
  </si>
  <si>
    <t>038/SMDHC/2025</t>
  </si>
  <si>
    <t>6074202500022320</t>
  </si>
  <si>
    <t xml:space="preserve"> Prestação de serviços, de natureza artística, para o “Abril Indígena 2025: “Rodas De Saberes Multiétnicas”.</t>
  </si>
  <si>
    <t>6074202500016967</t>
  </si>
  <si>
    <t>Contratação de empresa especializada na prestação de serviços de limpeza e desinfecção, preventiva e periódica, de reservatórios de água (caixas d’água), pertencentes aos equipamentos afeitos à Secretaria Municipal de Direitos Humanos e Cidadania – SMDHC.</t>
  </si>
  <si>
    <t xml:space="preserve"> 48/SMDHC/2025</t>
  </si>
  <si>
    <t>6074202500006775</t>
  </si>
  <si>
    <t>Contratação de duas licenças de uso do ChatGPT Plus pelo período de 12 meses, para atender às demandas da instituição em atividades de suporte, automação de tarefas, redação de conteúdo, análise de dados e desenvolvimento de soluções baseadas em inteligência artificial (IA), para atender o departamento de comunicação da Secretaria de Direitos Humanos e Cidadania - SMDHC.</t>
  </si>
  <si>
    <t>08/05/2025 00:00:00</t>
  </si>
  <si>
    <t>16/05/2025 00:00:00</t>
  </si>
  <si>
    <t>20/05/2026 00:00:00</t>
  </si>
  <si>
    <t>050/SMDHC/2025</t>
  </si>
  <si>
    <t>6074202500022363</t>
  </si>
  <si>
    <t xml:space="preserve">Contratação de prestação de serviços, de natureza artística, para o “Abril Indígena 2025: “Rodas De Saberes Multiétnicas” </t>
  </si>
  <si>
    <t>16/04/2025 00:00:00</t>
  </si>
  <si>
    <t>051/SMDHC/2025</t>
  </si>
  <si>
    <t>6074202500022304</t>
  </si>
  <si>
    <t>049/SMDHC/2025</t>
  </si>
  <si>
    <t>6074202500022410</t>
  </si>
  <si>
    <t xml:space="preserve">Contratação de prestação de serviços, de natureza artística, para o “Abril Indígena 2025: “Rodas De Saberes Multiétnicas”.
</t>
  </si>
  <si>
    <t>6074202400109904</t>
  </si>
  <si>
    <t>Contratação de empresa especializada na prestação de serviços de digitalização com conversão de processos físicos em digitais, no formato PDF, compreendendo as operações de preparação, organização, higienização, digitalização, conferência, validação, gestão de qualidade e tratamento, recomposição e com regime de execução por empreitada por preço unitário, com a finalidade de atender às necessidades do Banco de Alimentos, equipamento pertencente à Secretaria Executiva de Segurança Alimentar, Nutricional e de Abastecimento, da Secretaria Municipal de Direitos Humanos e Cidadania – SMDHC.</t>
  </si>
  <si>
    <t>6074202500028515</t>
  </si>
  <si>
    <t xml:space="preserve">Contratação de empresa especializada na prestação de serviços de Coffee Break, - ATA DE REGISTRO DE PREÇOS Nº 008/SMDHC/2023.
 </t>
  </si>
  <si>
    <t>052/SMDHC/2025</t>
  </si>
  <si>
    <t>6074202500022282</t>
  </si>
  <si>
    <t>6074202500027500</t>
  </si>
  <si>
    <t>Contratação de empresa especializada na prestação de serviços de fornecimento de Kit Lanche, para atender os participantes da 127ª Reunião Ordinária do Comitê Intersetorial da Política para População em Situação de Rua - ATA DE REGISTRO DE PREÇOS Nº 009/SMDHC/2023.</t>
  </si>
  <si>
    <t>6074202500029147</t>
  </si>
  <si>
    <t>Fornecimento de kit-lanche para atender aos participantes do lançamento do filme "Inferno de Pedra".</t>
  </si>
  <si>
    <t>053/SMDHC/2025</t>
  </si>
  <si>
    <t>6074202500025303</t>
  </si>
  <si>
    <t>Contratação de empresa especializada na prestação de serviços de fornecimento de 4.000 (quatro mil) kits lanches, para atender os imigrantes vítimas do incêndio do prédio da praça da República</t>
  </si>
  <si>
    <t>13/05/2025 00:00:00</t>
  </si>
  <si>
    <t>6074202500027799</t>
  </si>
  <si>
    <t>Contratação de empresa especializada na prestação de serviços de confecção de material gráfico - ATA DE REGISTRO DE PREÇOS Nº 002/SMDHC/2024.</t>
  </si>
  <si>
    <t>6074202500029597</t>
  </si>
  <si>
    <t>Contratação de empresa especializada na prestação de serviços de confecção de material gráfico - ATA DE REGISTRO DE PREÇOS Nº 002/SMDHC/2024</t>
  </si>
  <si>
    <t>Secretaria Municipal de Cultura</t>
  </si>
  <si>
    <t>25</t>
  </si>
  <si>
    <t>01237-2025-PE</t>
  </si>
  <si>
    <t>6025202500059707</t>
  </si>
  <si>
    <t xml:space="preserve">CONTRATADO: Paulo Henrique Alves (CPF nº 327.762.038-70), conforme Contrato/Declaração de Exclusividade, por intermédio de Produtora Ines Oliveira Ltda, inscrita no CNPJ sob o nº 24.496.217/0001-00
OBJETO: Espetáculo Musical/Show - PH ZABUMBADA - PH ZABUMBADA
PERÍODO DE EXECUÇÃO DOS SERVIÇOS: 27/04/2025 - totalizando 1 (uma) apresentação conforme cronograma:
LOCAL e HORÁRIO: Avenida Vieira de Carvalho
VALOR GLOBAL: R$ 20.000,00 (vinte mil reais), a ser pago após a confirmação da execução dos serviços pela unidade requisitante.
FORMA DE PAGAMENTO: O pagamento se dará no 30º (trigésimo) dia após a data de entrega de toda documentação correta relativa ao pagamento.
DOTAÇÃO ORÇAMENTÁRIA: 34.10.14.122.3024.2.100.3.3.90.39.00.00, conforme Nota de Reserva com Transferência N° 31.804/2025 (124261890)
 </t>
  </si>
  <si>
    <t>29/04/2025 00:00:00</t>
  </si>
  <si>
    <t>01254-2025-PE</t>
  </si>
  <si>
    <t>6025202500060705</t>
  </si>
  <si>
    <t>CONTRATADO: DAVID ASSUNÇÃO LOPES (CPF nº 475.296.998-06), conforme Contrato/Declaração de Exclusividade, por intermédio de Produtora Ines Oliveira Ltda, inscrita no CNPJ sob o nº 24.496.217/0001-00
OBJETO: Espetáculo Musical / Show - Banda 4Jam - Banda4Jam
PERÍODO DE EXECUÇÃO DOS SERVIÇOS: de 27/04/2025 a 18/05/2025 - totalizando 2 apresentações conforme cronograma:</t>
  </si>
  <si>
    <t>18/05/2025 00:00:00</t>
  </si>
  <si>
    <t>6074202500027535</t>
  </si>
  <si>
    <t>Aquisição por Dispensa de Licitação de mesa de canto om vistas ao atendimento das necessidades do Gabinete da Secretaria Municipal de Direitos Humanos e Cidadania – SMDHC.</t>
  </si>
  <si>
    <t>10/05/2025 00:00:00</t>
  </si>
  <si>
    <t>6074202500021502</t>
  </si>
  <si>
    <t>Aquisição, por dispensa de licitação, de 275 (duzentas e setenta e cinco) unidades de toalhas de banho.</t>
  </si>
  <si>
    <t>22/05/2025 00:00:00</t>
  </si>
  <si>
    <t>01258-2025-PE/EM</t>
  </si>
  <si>
    <t>6025202500060640</t>
  </si>
  <si>
    <t>CONTRATADO: Valquiria Affonso Aguilera  (CPF nº 128.934.078-11), conforme Contrato/Declaração de Exclusividade, por intermédio de Produtora Ines Oliveira Ltda, inscrita no CNPJ sob o nº 24.496.217/0001-00
OBJETO: Performance - Cia da Alegria " As Aventuras da Madame Mim Mim" - As Aventuras da Madame Mim Mim
PERÍODO DE EXECUÇÃO DOS SERVIÇOS: de 27/04/2025 a 18/05/2025 - totalizando 2 apresentações conforme cronograma:
LOCAL e HORÁRIO: Avenida Vieira de Carvalho
VALOR GLOBAL: R$ 10.000,00 (dez mil reais), a ser pago após a confirmação da execução dos serviços pela unidade requisitante.
FORMA DE PAGAMENTO: O pagamento se dará no 30º (trigésimo) dia após a data de entrega de toda documentação correta relativa ao pagamento.
DOTAÇÃO ORÇAMENTÁRIA: 34.10.14.122.3024.2.100.3.3.90.39.00.00, conforme nota de reserva com transferência nº 31.804/24</t>
  </si>
  <si>
    <t>6074202500026040</t>
  </si>
  <si>
    <t>Contratação para a prestação de serviços de confecção e impressão frente e verso de 500 (quinhentas ) unidades de Cartão de visita para atender as necessidades do Gabinete desta Secretaria Municipal de Direitos Humanos e Cidadania - ATA DE REGISTRO DE PREÇOS Nº 001/SMDHC/2024</t>
  </si>
  <si>
    <t>01/05/2025 00:00:00</t>
  </si>
  <si>
    <t>6074202500021545</t>
  </si>
  <si>
    <t xml:space="preserve">Aquisição de materiais de limpeza, para atendimento das demandas da CMB
</t>
  </si>
  <si>
    <t>15/05/2025 00:00:00</t>
  </si>
  <si>
    <t>6074202500022983</t>
  </si>
  <si>
    <t>Aquisição de itens para manutenções e reposições de materiais de informática e ferramentas, atendendo as necessidades do Departamento de Tecnologia da Informação e Comunicação - SMDHC.</t>
  </si>
  <si>
    <t>057/SMDHC/2025</t>
  </si>
  <si>
    <t>6074202500030323</t>
  </si>
  <si>
    <t>Apresentação "TORÉ", para V Conferência Municipal de Promoção de Igualdade Racial, com o tema “Igualdade e Democracia: Reparação e Justiça Racial”.</t>
  </si>
  <si>
    <t>25/04/2025 00:00:00</t>
  </si>
  <si>
    <t>25/05/2025 00:00:00</t>
  </si>
  <si>
    <t>059/SMDHC/2025</t>
  </si>
  <si>
    <t>6074202500030501</t>
  </si>
  <si>
    <t>Contratação de intervenção artística de dança étnica de povos ciganos, para V Conferência Municipal de Promoção de Igualdade Racial, com o tema “Igualdade e Democracia: Reparação e Justiça Racial”</t>
  </si>
  <si>
    <t>24/06/2025 00:00:00</t>
  </si>
  <si>
    <t>055/SMDHC/2025</t>
  </si>
  <si>
    <t>6074202500030935</t>
  </si>
  <si>
    <t>23/05/2025 00:00:00</t>
  </si>
  <si>
    <t>6074202500031044</t>
  </si>
  <si>
    <t>Intervenção artística,  para V Conferência Municipal de Promoção de Igualdade Racial, com o tema “Igualdade e Democracia: Reparação e Justiça Racial”</t>
  </si>
  <si>
    <t>061/SMDHC/2025</t>
  </si>
  <si>
    <t>060/SMDHC/2025</t>
  </si>
  <si>
    <t>6074202500030919</t>
  </si>
  <si>
    <t xml:space="preserve">Realização da atividade de dança étnica de povos ciganos para abertura da "V Conferência Municipal de Promoção de Igualdade Racial - Edição 2025.
</t>
  </si>
  <si>
    <t>056/SMDHC/2025</t>
  </si>
  <si>
    <t>6074202500030951</t>
  </si>
  <si>
    <t>Apresentação de dança étnica de povos ciganos, para V Conferência Municipal de Promoção de Igualdade Racial, com o tema “Igualdade e Democracia: Reparação e Justiça Racial”.</t>
  </si>
  <si>
    <t>058/SMDHC/2025</t>
  </si>
  <si>
    <t>6074202500031109</t>
  </si>
  <si>
    <t>Performance voz e violão do cantor Reinaldo Bruno Nascimento para a apresentação artística na V Conferência Municipal de Promoção de Igualdade Racial, com o tema “Igualdade e Democracia: Reparação e Justiça Racial”.</t>
  </si>
  <si>
    <t>062/SMDHC/2025</t>
  </si>
  <si>
    <t>6074202500031095</t>
  </si>
  <si>
    <t>Contratação de Mestre de Cerimônia para V Conferência Municipal de Promoção de Igualdade Racial, com o tema “Igualdade e Democracia: Reparação e Justiça Racial”.</t>
  </si>
  <si>
    <t>26/04/2025 00:00:00</t>
  </si>
  <si>
    <t>6074202500021286</t>
  </si>
  <si>
    <t>Contratação de empresa especializada na prestação de Serviços de Controle de Pragas Urbanas e Vetores para a Casa da Mulher Brasileira - CMB.</t>
  </si>
  <si>
    <t>6074202500026539</t>
  </si>
  <si>
    <t>Contratação para aquisição de itens de higiene pessoal para atendimento das demandas da CMB, pertencente à Secretaria Municipal de Direitos Humanos e Cidadania (SMDHC).</t>
  </si>
  <si>
    <t>03/06/2025 00:00:00</t>
  </si>
  <si>
    <t>6074202500032571</t>
  </si>
  <si>
    <t>Contratação de empresa especializada no fornecimento de serviços de Kit Lanche - ATA DE REGISTRO DE PREÇOS Nº 009/SMDHC/2023</t>
  </si>
  <si>
    <t>6074202500030048</t>
  </si>
  <si>
    <t>Contratação de empresa especializada na prestação de serviços de Coffee Break para atender a atividade intitulada Encontro Pankararu - ATA DE REGISTRO DE PREÇOS Nº 008/SMDHC/2023</t>
  </si>
  <si>
    <t>071/SMDHC/2025</t>
  </si>
  <si>
    <t>6074202500020565</t>
  </si>
  <si>
    <t>Contratação de empresa para a aquisição com fornecimento parcelado de itens de alimentação classificados como Materiais de Consumo, para atendimento da Casa da Mulher Brasileira, pertencente à Secretaria Municipal de Direitos humanos e Cidadania - SMDHC.</t>
  </si>
  <si>
    <t>29/05/2025 00:00:00</t>
  </si>
  <si>
    <t>33418000</t>
  </si>
  <si>
    <t>6074202500023688</t>
  </si>
  <si>
    <t>Pagamento da taxa anual de participação na rede internacional Rainbow Cities Network - RCN - Exercício 2025</t>
  </si>
  <si>
    <t>063/SMDHC/2025</t>
  </si>
  <si>
    <t>6074202500032792</t>
  </si>
  <si>
    <t>Contratação de empresa especializada na prestação de serviços de fornecimento de 4.093 (quatro mil noventa e três) kits lanches, para atender os dias 12, 13,14,15 e 16 de maio 2025 onde serão realizadas atividades nos equipamentos desta Secretaria Municipal de Direitos Humanos e Cidadania-SMDHC.</t>
  </si>
  <si>
    <t>11/06/2025 00:00:00</t>
  </si>
  <si>
    <t>064/SMDHC/2025</t>
  </si>
  <si>
    <t>6074202500027004</t>
  </si>
  <si>
    <t>Confecção e impressão de 5000 (cinco mil) unidades de cartazes A2 (42,0x59,4cm); impressão: frente; cores: 4x) (colorido), papel: couché fosco 170g; acabamento: refile; sem enobrecimento; sem Extras.</t>
  </si>
  <si>
    <t>20/05/2025 00:00:00</t>
  </si>
  <si>
    <t>14/07/2025 00:00:00</t>
  </si>
  <si>
    <t>065/SHDHC/2025</t>
  </si>
  <si>
    <t>6074202500032296</t>
  </si>
  <si>
    <t>Contratação de empresa especializada na prestação de serviços, sob demanda, de confecção e impressão de material gráfico, para o fornecimento de 40 (quarenta) unidades de camisetas personalizadas, 450 (quatrocentos e cinquenta) unidades de Squeeze e de 450 (quatrocentos e cinquenta) unidade de sacolas (ecobag) ecológicas com profundidade e laterais em algodão cru para a IV Conferência Municipal dos Direitos das Pessoas LGBTQIA+.</t>
  </si>
  <si>
    <t>30/05/2025 00:00:00</t>
  </si>
  <si>
    <t>21/07/2025 00:00:00</t>
  </si>
  <si>
    <t>6074202500022010</t>
  </si>
  <si>
    <t xml:space="preserve">Contratação de empresa especializada na prestação de serviços de confecção de material gráfico </t>
  </si>
  <si>
    <t>6074202500033993</t>
  </si>
  <si>
    <t xml:space="preserve">Contratação de empresa especializada na prestação de serviços, sob demanda, de confecção e impressão de material gráfico </t>
  </si>
  <si>
    <t>02/06/2025 00:00:00</t>
  </si>
  <si>
    <t>6074202500001250</t>
  </si>
  <si>
    <t>Aquisição de 05 (cinco) Certificado DigitaL e-CNPJ, para atender as necessidades do FUMCAD, FMID, FAASP, FUMCAF e o gabinete da Secretaria Municipal de Direitos Humanos e Cidadania - SMDHC.</t>
  </si>
  <si>
    <t>6074202500034248</t>
  </si>
  <si>
    <t>Contratação de empresa especializada em serviços gráficos para para a Coordenadoria da Pessoa Idosa - CPPI na realização da  VI Conferência Municipal dos Direitos da Pessoa Idosa , para o atendimento às desta Secretaria Municipal de Direitos Humanos e Cidadania.</t>
  </si>
  <si>
    <t>068/SMDHC/2025</t>
  </si>
  <si>
    <t>6074202500035244</t>
  </si>
  <si>
    <t>Locação de espaço do Centro Universitario das Faculdades Metropolitanas Unidas a para VI Conferência Municipal dos Direitos da Pessoa Idosa, com o tema “Envelhecimento Multicultural e Democracia: Urgência por Equidade, Direitos e Participação”</t>
  </si>
  <si>
    <t>05/06/2025 00:00:00</t>
  </si>
  <si>
    <t>26/05/2025 00:00:00</t>
  </si>
  <si>
    <t>6074202500035686</t>
  </si>
  <si>
    <t>Contratação de empresa especializada na prestação de serviços de fornecimento de  kits lanches, para atender os dias 16, 17 e 18 de maio de 2025, para a VI Conferência Municipal dos Direitos da Pessoa Idosa, organizada por esta Secretaria Municipal de Direitos Humanos e Cidadania-SMDHC.</t>
  </si>
  <si>
    <t>6074202500026083</t>
  </si>
  <si>
    <t>Aquisição de torneiras e demais acessórios .</t>
  </si>
  <si>
    <t>08/06/2025 00:00:00</t>
  </si>
  <si>
    <t>6074202500028558</t>
  </si>
  <si>
    <t>Aquisição de caixas plásticas vazadas.</t>
  </si>
  <si>
    <t>6074202500025001</t>
  </si>
  <si>
    <t xml:space="preserve"> Fornecimento de Gás Liquefeito de Petróleo (GLP) envasado em Botijão (P13 e P45), para o atendimento das necessidades de unidades afetas à SMDHC.</t>
  </si>
  <si>
    <t>6074202500011515</t>
  </si>
  <si>
    <t>Contratação de empresa especializada em Manutenção de Ar condicionado Central marca Hitachi, modelo SPLITÃO 20TR, localizados na rua Libero Badaró, nº 293, 25°andar Blocos A e B, com fornecimento de material, mão de obra e equipamentos.</t>
  </si>
  <si>
    <t>6074202500032350</t>
  </si>
  <si>
    <t>Contratação de empresa especializada de serviço de gráfica para impressão de de 1000 (mil) unidades de livreto Guia de Serviços e Direitos da Pessoa Egressa e Familiares</t>
  </si>
  <si>
    <t>6074202500036194</t>
  </si>
  <si>
    <t>Contratação de empresa especializada na prestação de serviços de fornecimento de kits lanches, para atender onde serão realizadas atividades nos equipamentos desta Secretaria Municipal de Direitos Humanos e Cidadania-SMDHC.</t>
  </si>
  <si>
    <t>6074202500035082</t>
  </si>
  <si>
    <t>Contratação por Dispensa de Licitação, da empresa PRYME VENDAS &amp; SERVICOS LTDA, inscrita no C.N.P.J. sob o nº 49.219.570/0001-66, para a confecção de 20.000 (vinte mil) tatuagens autoadesivas temporárias personalizadas de transferência a base de água cortadas individualmente com película de proteção plástica removível. Em conformidade com o Aviso de Dispensa Eletrônica nº 90053/2025 (SEI 125663912) e em consonância com as especificações detalhadas no Termo de Referência (SEI 125656256) e na proposta apresentada pela contratada (SEI 125962584), com prazo de entrega, dia 23/05/2025.</t>
  </si>
  <si>
    <t>6074202500034256</t>
  </si>
  <si>
    <t xml:space="preserve">Contratação de empresa especializada para a prestação de serviço de relatoria e mediação, incluindo mão-de-obra e todos os materiais necessários à execução das atividades previstas para as conferências a ocorrer em 2025.
 </t>
  </si>
  <si>
    <t>6074202500034280</t>
  </si>
  <si>
    <t xml:space="preserve"> Contratação de empresa especializada na prestação de serviços de Kit Lanche</t>
  </si>
  <si>
    <t>6074202500034744</t>
  </si>
  <si>
    <t>Contratação de empresa especializada na prestação de serviços de Kit Lanche - ATA DE REGISTRO DE PREÇOS Nº 009/SMDHC/2023</t>
  </si>
  <si>
    <t>150/SMDHC/2025</t>
  </si>
  <si>
    <t>6074202500036020</t>
  </si>
  <si>
    <t>Contratação de Mestre de Cerimônia para abertura da "IV Conferência Municipal dos Direitos das Pessoas LGBTQIA+ de São Paulo"</t>
  </si>
  <si>
    <t>21/05/2025 00:00:00</t>
  </si>
  <si>
    <t>22/06/2025 00:00:00</t>
  </si>
  <si>
    <t>6074202500036720</t>
  </si>
  <si>
    <t>Contratação de intervenção artística - Cantora para a "IV Conferência Municipal dos Direitos das Pessoas LGBTQIA+ de São Paulo".</t>
  </si>
  <si>
    <t>151/SMDHC/2025</t>
  </si>
  <si>
    <t>6074202500036739</t>
  </si>
  <si>
    <t>Contratação de serviços de mixagem e som - DJ, para a "IV Conferência Municipal dos Direitos das Pessoas LGBTQIA+ de São Paulo"</t>
  </si>
  <si>
    <t>20/06/2025 00:00:00</t>
  </si>
  <si>
    <t>159/SMDHC/2025</t>
  </si>
  <si>
    <t>6074202500006686</t>
  </si>
  <si>
    <t>Aquisição de equipamentos audiovisuais e de áudio para o departamento de comunicação da Secretaria Municipal de Direitos Humanos e Cidadania - SMDHC.</t>
  </si>
  <si>
    <t>27/05/2026 00:00:00</t>
  </si>
  <si>
    <t>158/SMDHC/2025</t>
  </si>
  <si>
    <t>6074202500037433</t>
  </si>
  <si>
    <t>Contratação de apresentação artística para a "IV Conferência Municipal dos Direitos das Pessoas LGBTQIA+ de São Paulo.</t>
  </si>
  <si>
    <t xml:space="preserve">157/SMDHC/2025 </t>
  </si>
  <si>
    <t>6074202500037492</t>
  </si>
  <si>
    <t>Contratação de apresentação artística para a IV Conferência Municipal dos Direitos das Pessoas LGBTQIA+ de São Paulo.</t>
  </si>
  <si>
    <t>156/SMDHC/2025</t>
  </si>
  <si>
    <t>6074202500037336</t>
  </si>
  <si>
    <t>Contratação de apresentação artística, para a IV Conferência Municipal dos Direitos das Pessoas LGBTQIA+ de São Paulo.</t>
  </si>
  <si>
    <t>21/06/2025 00:00:00</t>
  </si>
  <si>
    <t>6074202500036755</t>
  </si>
  <si>
    <t>154/SMDHC/2025</t>
  </si>
  <si>
    <t>155/SMDHC/2025</t>
  </si>
  <si>
    <t>6074202500036321</t>
  </si>
  <si>
    <t>Contratação de apresentação artística, para a IV Conferência Municipal dos Direitos das Pessoas LGBTQIA+ de São Paulo</t>
  </si>
  <si>
    <t>152/SMDHC/2025</t>
  </si>
  <si>
    <t>6074202500036747</t>
  </si>
  <si>
    <t>Contratação de intervenção artística - Cantora, para a "IV Conferência Municipal dos Direitos das Pessoas LGBTQIA+ de São Paulo"</t>
  </si>
  <si>
    <t>6074202500036763</t>
  </si>
  <si>
    <t>6074202500035139</t>
  </si>
  <si>
    <t>Contratação de empresa especializada na prestação de serviços de Kit Lanche</t>
  </si>
  <si>
    <t>6074202500037638</t>
  </si>
  <si>
    <t>Contratação de empresa especializada na prestação de serviços de fornecimento de kits lanches para a IV Conferência Municipal dos Direitos da Pessoa LGBTQIA+.</t>
  </si>
  <si>
    <t>6074202500036348</t>
  </si>
  <si>
    <t>Contratação de empresa especializada na prestação de serviços de confecção de material gráfico - ATA DE REGISTRO DE PREÇO nº 001/SMDHC/2024</t>
  </si>
  <si>
    <t>428/SMDHC/2024</t>
  </si>
  <si>
    <t>6074202400069252</t>
  </si>
  <si>
    <t>Contratação de estudos técnicos e assessoria para a elaboração do Diagnóstico Técnico Legal e Plano de Ação com objetivo de diagnosticar as necessidades legais, executivas e adequações físicas para obtenção do Auto de Vistoria do Corpo de Bombeiros (AVCB) das 52 (cinquenta e dois) edificações dos Conselhos Tutelares do Município de São Paulo da Secretaria Municipal de Direitos Humanos e Cidadania - SMDHC.</t>
  </si>
  <si>
    <t>16/07/2025 00:00:00</t>
  </si>
  <si>
    <t>6074202500009413</t>
  </si>
  <si>
    <t>Aquisição de agasalhos, roupas e vestuários de inverno, por meio de Ata de Registro de Preços, visando atender às necessidades da Coordenação de Políticas para População em Situação de Rua da Secretaria Municipal de Direitos Humanos e Cidadania (SMDHC).</t>
  </si>
  <si>
    <t>6074202500036429</t>
  </si>
  <si>
    <t>Fornecimento de agasalhos, roupas e vestuários de inverno, por meio de Ata de Registro de Preços, visando atender às necessidades da Coordenação de Políticas para População em Situação de Rua</t>
  </si>
  <si>
    <t>Fornecimento de agasalhos, roupas e vestuários de inverno, por meio de Ata de Registro de Preços, visando atender às necessidades da Coordenação de Políticas para População em Situação de Rua Ata de Registro de Preços 004/SMDHC/2023.</t>
  </si>
  <si>
    <t>6074202500009707</t>
  </si>
  <si>
    <t>Fornecimento de agasalhos, roupas e vestuários de inverno, por meio de Ata de Registro de Preços, visando atender às necessidades da Coordenação de Políticas para População em Situação de Rua - Ata de Registro de Preços 006/SMDHC/2023.</t>
  </si>
  <si>
    <t>163/SMDHC/2025</t>
  </si>
  <si>
    <t>6074202500037409</t>
  </si>
  <si>
    <t>Contratação de empresa especializada em capacitação profissionais para atender mulheres vítimas de violência, assédio e importunação sexual durante a Virada Cultural de São Paulo, ofertando atendimento humanizado e qualificado, orientações gerais sobre os seus direitos, promovendo espaços seguros e acolhedores, e de respeito e proteção às ampliando o alcance do Programa Protocolo "Não Se Cale".</t>
  </si>
  <si>
    <t>10/06/2025 00:00:00</t>
  </si>
  <si>
    <t>6074202500036500</t>
  </si>
  <si>
    <t>6074202500033578</t>
  </si>
  <si>
    <t xml:space="preserve">Aquisição, por Dispensa de Licitação, de itens de copa. </t>
  </si>
  <si>
    <t>6074202500037840</t>
  </si>
  <si>
    <t>Contratação de empresa especializada na prestação de serviços de confecção de material gráfico - ATA DE REGISTRO DE PREÇOS Nº 001/SMDHC/2024</t>
  </si>
  <si>
    <t>23/06/2025 00:00:00</t>
  </si>
  <si>
    <t>6074202500035333</t>
  </si>
  <si>
    <t>Contratação de empresa especializada na prestação de serviços de Coffee Break -Ata de Registro de Preços nº 008/SMDHC/2023</t>
  </si>
  <si>
    <t>6074202500029309</t>
  </si>
  <si>
    <t>Contratação de empresa especializada na prestação de serviços de Coffee Break - ATA DE REGISTRO DE PREÇOS Nº 008/SMDHC/2023</t>
  </si>
  <si>
    <t>6074202500035910</t>
  </si>
  <si>
    <t>Aquisição, por Dispensa de Licitação, de material de construção.</t>
  </si>
  <si>
    <t>40/2025/SMDHC/CPM</t>
  </si>
  <si>
    <t>6074202500029759</t>
  </si>
  <si>
    <t>Parceria. Termo de Fomento. Emenda Parlamentar. Projeto "Aracne".</t>
  </si>
  <si>
    <t>09/08/2025 00:00:00</t>
  </si>
  <si>
    <t>6074202500041040</t>
  </si>
  <si>
    <t>Contração de kits lanche para a 4ª Edição da Virada ODS 2025.</t>
  </si>
  <si>
    <t>164/SMDHC/2025</t>
  </si>
  <si>
    <t>6074202500042267</t>
  </si>
  <si>
    <t>Contratação de palestrante para Virada ODS 2025: “Contação de Historias do povo Guarani Mbyá”.</t>
  </si>
  <si>
    <t>06/07/2025 00:00:00</t>
  </si>
  <si>
    <t>6074202500033349</t>
  </si>
  <si>
    <t>Fornecimento de 60 (sessenta) coletes operacionais personalizados, a serem utilizados pelos(as) servidores(as) da Secretaria Municipal de Direitos Humanos e Cidadania de São Paulo, com o objetivo de padronizar a identificação visual nas ações de campo e assim garantir maior segurança e profissionalismo no atendimento às demandas da Pasta.</t>
  </si>
  <si>
    <t>6074202500034043</t>
  </si>
  <si>
    <t>Pagamento débito multa - Inscrito em Dívida Ativa - ausência do Certificado de Licença do Corpo de Bombeiro- imóvel Conselho Tutelar Brasilândia- Despesa de Exercícios Anteriores - DEA</t>
  </si>
  <si>
    <t>27/10/2023 00:00:00</t>
  </si>
  <si>
    <t>6074202500033594</t>
  </si>
  <si>
    <t>Aquisição, por Dispensa de Licitação, de itens de alimentação.</t>
  </si>
  <si>
    <t>6074202500029716</t>
  </si>
  <si>
    <t>Termo de Fomento. Emenda Parlamentar. Projeto "Metamorfose"</t>
  </si>
  <si>
    <t>6074202500042933</t>
  </si>
  <si>
    <t>Contratação de empresa especializada na prestação de serviços de Coffee Break - ATA DE REGISTRO DE PREÇO nº 008/SMDHC/2023</t>
  </si>
  <si>
    <t>6074202500042399</t>
  </si>
  <si>
    <t>Contratação de empresa especializada na prestação de serviços de Coffee Break para atender ao evento de "Miss Brasil Diversidade 2025 (A VOZ DO SOCIAL)" - ATA DE REGISTRO DE PREÇO nº 008/SMDHC/2023.</t>
  </si>
  <si>
    <t>17/06/2025 00:00:00</t>
  </si>
  <si>
    <t>6074202400040246</t>
  </si>
  <si>
    <t>TELEFONICA BRASIL S.A- Despesa de Exercícios Anteriores - DEA Transferido de Unidade.
Contratação Original 348/2023  Encerrada na Unidade de Origem Anterior. 
Decreto de Transferência 62.361 de 04 de Maio/2023</t>
  </si>
  <si>
    <t>31/12/2023 00:00:00</t>
  </si>
  <si>
    <t>6074202400060808</t>
  </si>
  <si>
    <t>Elaboração De Material Técnico Para Desapropriação, Os Imóveis Particulares Que Especifica, Situados No Distrito Do Bom Retiro, Subprefeitura Da Sé, Necessários À Implantação De Equipamento Público.</t>
  </si>
  <si>
    <t>6074202500044332</t>
  </si>
  <si>
    <t>Contratação de empresa especializada na prestação de serviços de Kit Lanche para reunião com coordenadores e servidores - ATA DE REGISTRO DE PREÇOS Nº 009/SMDHC/2023</t>
  </si>
  <si>
    <t>14/06/2025 00:00:00</t>
  </si>
  <si>
    <t>6025202500121410</t>
  </si>
  <si>
    <t>CONTRATADO: JULIANA MARTINS SANTOS (CPF nº 394.737.728-23), conforme Contrato/Declaração de Exclusividade, por intermédio de 28.168.057 Juliana Martins Santos, inscrita no CNPJ sob o nº 54.166.008/0001-51
OBJETO: Cultura Popular: Bloco de Carnaval - Raizes do Samba - 24° Feira da Diversidade LGBT+
PERÍODO DE EXECUÇÃO DOS SERVIÇOS: 19/06/2025 - totalizando 1 apresentação conforme cronograma:</t>
  </si>
  <si>
    <t xml:space="preserve"> 03292-2025-PE</t>
  </si>
  <si>
    <t>6025202500122387</t>
  </si>
  <si>
    <t xml:space="preserve">19/06/2025 a 22/06/2025 -  Av. Mário de Andrade, 664 - Intervenção Artística - Reginaldo Aguilera LGBTQIA+ - Palavra Corpo Memória
 </t>
  </si>
  <si>
    <t>6025202500121259</t>
  </si>
  <si>
    <t>19/06/2025   - Cultura Popular: Bloco de Carnaval - Mocidade Unida da Mooca - 24° Feira da Diversidade LGBT+</t>
  </si>
  <si>
    <t>6074202500042801</t>
  </si>
  <si>
    <t>Contratação de empresa especializada para o fornecimento de 650 (seiscentos e cinquenta) unidades de sacolas (ecobag), 650 (seiscentos e cinquenta) unidades de squeeze e 50 (cinquenta) unidades de camisetas personalizadas, para os conferencistas da VI Conferência Municipal de Políticas para as Mulheres.</t>
  </si>
  <si>
    <t>6025202500123260</t>
  </si>
  <si>
    <t>CONTRATADO: LUARA DOS SANTOS FIDELIS (CPF nº 433.597.278-43), conforme Contrato/Declaração de Exclusividade, por intermédio de DOG MUSIC LAB PRODUCOES LTDA, inscrita no CNPJ sob o nº 35.646.556/0001-34
OBJETO: Espetáculo Musical/Show - Boombeat - 24° Feira da Diversidade LGBT+
PERÍODO DE EXECUÇÃO DOS SERVIÇOS:19/06/2025 - totalizando 1 apresentação conforme cronograma:
LOCAL e HORÁRIO: Av. Mário de Andrade, 664 - 17:40h às 18:40h
VALOR GLOBAL: R$ 2.000,00 (dois mil reais), a ser pago após a confirmação da execução dos serviços pela unidade requisitante.
FORMA DE PAGAMENTO: O pagamento se dará no 30º (trigésimo) dia após a data de entrega de toda documentação correta relativa ao pagamento.</t>
  </si>
  <si>
    <t>6025202500122158</t>
  </si>
  <si>
    <t>19/06/2025 a 22/06/2025 - Av. Mário de Andrade, 664 -  Performance - Leticia Goes - Espelhos da Verdade</t>
  </si>
  <si>
    <t>03269-2025-PE</t>
  </si>
  <si>
    <t>6025202500121860</t>
  </si>
  <si>
    <t>19/06/2025 a 22/06/2025 - Av. Mário de Andrade, 664 -  Performance - Leandro Junior - 24 Feira Cultural LGBT 2025</t>
  </si>
  <si>
    <t>6025202500122425</t>
  </si>
  <si>
    <t>19/06/2025 a 22/06/2025 -  Performance - Cia da Alegria As Aventuras da Madame Mim Mim" LGBT - As Aventuras da Madame Mim Mim</t>
  </si>
  <si>
    <t>6025202500121682</t>
  </si>
  <si>
    <t xml:space="preserve">19/06/2025 - Av. Mário de Andrade, 664 - 16:00h às 17:00h - Performance - Coletivo Drag Memória - 24 Feira da Diversidade LGBT+
 </t>
  </si>
  <si>
    <t>6025202500122328</t>
  </si>
  <si>
    <t>22/06/2025 - Av. Paulista, 1578 - 10:00h às 11:00h - Performance - Daniel Pires - 24ª Feira Cultural LGBT 2025 Parada do Orgulho LGBT+ 2025</t>
  </si>
  <si>
    <t>6025202500122077</t>
  </si>
  <si>
    <t>19/06/2025 a 22/06/2025 - Av. Mário de Andrade, 664 -  Performance - Patricia Maruccio - Presença e Performance</t>
  </si>
  <si>
    <t>6025202500122115</t>
  </si>
  <si>
    <t>CONTRATADO: Alexsander Vaz do Nascimento (CPF nº135.919.878-40), conforme Contrato/Declaração de Exclusividade, por intermédio de 28.168.057 Juliana Martins Santos, inscrita no CNPJ sob o nº 28.168.057/0001-13
OBJETO: Performance - Lysa Bombom - 24° Feira da Diversidade LGBT+
PERÍODO DE EXECUÇÃO DOS SERVIÇOS:19/06/2025 - totalizando 1 apresentação conforme cronograma:
LOCAL e HORÁRIO: Av. Mário de Andrade, 664 - 16:00h às 20:00h</t>
  </si>
  <si>
    <t>03244-2025-PE</t>
  </si>
  <si>
    <t>6025202500121321</t>
  </si>
  <si>
    <t xml:space="preserve"> 22/06/2025 - Av. Paulista, 1578 - 13:10h às 14:10h - Espetáculo Musical / Show - Laksmi e Banda - Show Terra</t>
  </si>
  <si>
    <t>25/06/2025 00:00:00</t>
  </si>
  <si>
    <t>6025202500122107</t>
  </si>
  <si>
    <t>CONTRATADO: JULIANA MARTINS SANTOS (CPF nº 394.737.728-23), conforme Contrato/Declaração de Exclusividade, por intermédio de 28.168.057 Juliana Martins Santos, inscrita no CNPJ sob o nº 28.168.057/0001-13
OBJETO: Cultura popular : Maracatu, jongo, congadas e similares - Abada Capoeira Show - 24 Feira da Diversidade LGBT+
PERÍODO DE EXECUÇÃO DOS SERVIÇOS:19/06/2025 - totalizando 1 apresentação conforme cronograma:</t>
  </si>
  <si>
    <t>6025202500122867</t>
  </si>
  <si>
    <t xml:space="preserve">CONTRATADO: GIULIA LAGES BODERONE (CPF nº 162.485.517-23), conforme Contrato/Declaração de Exclusividade, por intermédio de 53.105.869 GIULIA LAGES BODERONE, inscrita no CNPJ sob o nº 53.105.869/0001-67
OBJETO: Espetáculo Musical / Show - Giulia Boderone - 24° Feira da Diversidade LGBT+
PERÍODO DE EXECUÇÃO DOS SERVIÇOS:19/06/2025 - totalizando 1 apresentação conforme cronograma:
 </t>
  </si>
  <si>
    <t>6025202500123693</t>
  </si>
  <si>
    <t>19/06/2025 - Av. Mário de Andrade, 664 - 17:00h às 18:00h - Performance - Aline Gior - 24° Feira da Diversidade LGBT+</t>
  </si>
  <si>
    <t>6025202500122565</t>
  </si>
  <si>
    <t>CONTRATADO: MILENA FONSECA FONTES (CPF nº 334.735.118-54), conforme Contrato/Declaração de Exclusividade, por intermédio de 41.882.509 Milena Fonseca Fontes, inscrita no CNPJ sob o nº 41.882.509/0001-92
OBJETO: Espetáculo Musical / Show - Bloco Siriricando - Show Bloco Siriricando
PERÍODO DE EXECUÇÃO DOS SERVIÇOS:19/06/2025 - totalizando 1 apresentação conforme cronograma:</t>
  </si>
  <si>
    <t>: 03270-2025-PE</t>
  </si>
  <si>
    <t>6025202500121950</t>
  </si>
  <si>
    <t>CONTRATADO: ANDRÉ ARAÚJO (CPF nº 331.401.868-19), conforme Contrato/Declaração de Exclusividade, por intermédio de 46.250.182 Valquiria Affonso Aguilera, inscrita no CNPJ sob o nº 46.250.182/0001-50
OBJETO: Intervenção artística - cultura popular - Andre Araujo - Feira LGBT 2025
PERÍODO DE EXECUÇÃO DOS SERVIÇOS: de 19/06/2025 a 22/06/2025 - totalizando 2 apresentações conforme cronograma::</t>
  </si>
  <si>
    <t xml:space="preserve"> 03243-2025-PE</t>
  </si>
  <si>
    <t>6025202500121348</t>
  </si>
  <si>
    <t xml:space="preserve"> 22/06/2025 -  Espetáculo Musical / Show - Analu Caldas - Show Maré Raízes</t>
  </si>
  <si>
    <t>6025202500123740</t>
  </si>
  <si>
    <t>CONTRATADO: HIAGO TRINDADE DE SOUSA CRUZ (CPF nº 407.175.238-61), conforme Contrato/Declaração de Exclusividade, por intermédio de HIAGO TRINDADE DE SOUSA CRUZ 40717523861, inscrita no CNPJ sob o nº 28.859.354/0001-05
OBJETO: Espetáculo Musical / Show - As Cheers - 24° Feira da Diversidade LGBT+
PERÍODO DE EXECUÇÃO DOS SERVIÇOS:19/06/2025 - totalizando 1 apresentação conforme cronograma:
LOCAL e HORÁRIO: Av. Mário de Andrade, 664 - 17:00h às 18:00h
VALOR GLOBAL: R$ 3.000,00 (três mil reais), a ser pago após a confirmação da execução dos serviços pela unidade requisitante.
FORMA DE PAGAMENTO: O pagamento se dará no 30º (trigésimo) dia após a data de entrega de toda documentação correta relativa ao pagamento.</t>
  </si>
  <si>
    <t>6025202500122573</t>
  </si>
  <si>
    <t>19/06/2025 - Performance - Coletivo Drag Resistencia - 24 Feira da Diversidade LGBT+</t>
  </si>
  <si>
    <t>6025202500123545</t>
  </si>
  <si>
    <t>19/06/2025 - Av. Mário de Andrade, 664 - 14:00h às 15:00h - Performance - Dafny Delano - 24° Feira da Diversidade LGBT+</t>
  </si>
  <si>
    <t>6025202500123332</t>
  </si>
  <si>
    <t>19/06/2025 a 22/06/2025 -  Espetáculo Musical / Show - Neide Nazaré - Vivência Musical: Forró e Equidade - Vivência Musical - Forró e Equidade</t>
  </si>
  <si>
    <t>6025202500123391</t>
  </si>
  <si>
    <t>CONTRATADO: GUSTAVO DOS SANTOS ANDRADE (CPF nº 461.845.438-57), conforme Contrato/Declaração de Exclusividade, por intermédio de 50.947.198 GUSTAVO DOS SANTOS ANDRADE, inscrita no CNPJ sob o nº 50.947.198/0001-93
OBJETO: Performance - Satanaja Vermillion - 24ª Feira da Diversidade – PARADA LGBT+ SP
PERÍODO DE EXECUÇÃO DOS SERVIÇOS:19/06/2025 - totalizando 1 apresentação conforme cronograma:
LOCAL e HORÁRIO: Av. Mário de Andrade, 664 - 15:00h às 16:00h
VALOR GLOBAL: R$ 1.000,00 (hum mil reais), a ser pago após a confirmação da execução dos serviços pela unidade requisitante.
FORMA DE PAGAMENTO: O pagamento se dará no 30º (trigésimo) dia após a data de entrega de toda documentação correta relativa ao pagamento.</t>
  </si>
  <si>
    <t>03284-2025-PE</t>
  </si>
  <si>
    <t>6025202500122166</t>
  </si>
  <si>
    <t>19/06/2025 - Av. Mário de Andrade, 664 - 14:40h às 15:40h - Espetáculo Musical / Show - Marco Santos - 24ª Feira Cultural LGBT 2025 Parada do Orgulho LGBT+ 2025</t>
  </si>
  <si>
    <t>18/06/2025 00:00:00</t>
  </si>
  <si>
    <t>6025202500122719</t>
  </si>
  <si>
    <t>19/06/2025 - Espetáculo Musical / Show - Gidaia - 24° Feira da Diversidade LGBT+</t>
  </si>
  <si>
    <t>6025202500123367</t>
  </si>
  <si>
    <t>19/06/2025 - Espetáculo Musical/Show - Beto Marden e Banda - Será um Grito Musical</t>
  </si>
  <si>
    <t>6025202500122239</t>
  </si>
  <si>
    <t>19/06/2025 a 22/06/2025 - Performance - Erick Quadros - Corpos em Cena: Resistência e Poesia</t>
  </si>
  <si>
    <t>6025202500122603</t>
  </si>
  <si>
    <t>19/06/2025 a 22/06/2025 -  Av. Mário de Andrade, 664 - Espetáculo Musical / Show - Ana Dutra - 24° Feira Cultura LGBT 2025</t>
  </si>
  <si>
    <t>6025202500121720</t>
  </si>
  <si>
    <t>19/06/2025 - Performance - Coletivo Drag Futuro - 24 Feira da Diversidade LGBT+</t>
  </si>
  <si>
    <t xml:space="preserve"> 03253-2025-PE</t>
  </si>
  <si>
    <t>6025202500121364</t>
  </si>
  <si>
    <t>19/06/2025 -  Av. Mário de Andrade, 664 - 14:40h às 15:40h - Performance - Grupo de Capoeira Guerreiros da ilha - Grupo de Capoeira Guerreiros da ilha</t>
  </si>
  <si>
    <t>6025202500123766</t>
  </si>
  <si>
    <t xml:space="preserve">CONTRATADO: ANA FLÁVIA NUNES COUTINHO (CPF nº 470.230.338-40), conforme Contrato/Declaração de Exclusividade, por intermédio de Diversidade Projetos LTDA, inscrita no CNPJ sob o nº 30.707.925/0001-38
OBJETO: Espetáculo Musical / Show - Forro Sapatão - 24° Feira da Diversidade LGBT+
PERÍODO DE EXECUÇÃO DOS SERVIÇOS:19/06/2025 - totalizando 1 apresentação conforme cronograma:
 </t>
  </si>
  <si>
    <t>6025202500121542</t>
  </si>
  <si>
    <t>19/06/2025 a 22/06/2025 - Av. Mário de Andrade, 664 - Espetáculo Musical/Show - Trio Malaquias Evento LGBTQIA - 24° Feira Cultura LGBT 2025</t>
  </si>
  <si>
    <t>6025202500123626</t>
  </si>
  <si>
    <t>CONTRATADO: TAMARA FERREIRA FONSECA (CPF nº 135.045.807-47), conforme Contrato/Declaração de Exclusividade, por intermédio de TAMARA F FONSECA - ANGEL SHOWS, inscrita no CNPJ sob o nº 21.467.775/0001-41
OBJETO: Espetáculo Musical / Show - Tamara Angel - 24 Feira da Diversidade LGBT+
PERÍODO DE EXECUÇÃO DOS SERVIÇOS:19/06/2025 - totalizando 1 apresentação conforme cronograma:</t>
  </si>
  <si>
    <t>6025202500123855</t>
  </si>
  <si>
    <t>CONTRATADO: MARCELO DELFINO DA SILVA (CPF nº 349.260.958-90), conforme Contrato/Declaração de Exclusividade, por intermédio de Marcelo Delfino da Silva 34926095890, inscrita no CNPJ sob o nº 45.065.820/0001-08
OBJETO: Espetáculo Musical / Show - Batucada do Nasce - Batucada do Nasce
PERÍODO DE EXECUÇÃO DOS SERVIÇOS:19/06/2025 - totalizando 1 apresentação conforme cronograma:
LOCAL e HORÁRIO: Av. Mário de Andrade, 664 - 14:00h às 15:00h</t>
  </si>
  <si>
    <t xml:space="preserve"> 03291-2025-PE</t>
  </si>
  <si>
    <t>6025202500122263</t>
  </si>
  <si>
    <t>19/06/2025 a 22/06/2025 - Espetáculo Musical / Show - Alexandre Jesus 24 Feira LGBT 2025 - 24° Feira Cultura LGBT 2025</t>
  </si>
  <si>
    <t>6025202500122026</t>
  </si>
  <si>
    <t>19/06/2025  -  Performance - Xênia Star - 24° Feira da Diversidade LGBT+</t>
  </si>
  <si>
    <t>6025202500123634</t>
  </si>
  <si>
    <t>19/06/2025 - Performance - Antara Gold - 24° Feira da Diversidade LGBT+</t>
  </si>
  <si>
    <t>6025202500122220</t>
  </si>
  <si>
    <t>19/06/2025 a 22/06/2025 - Performance - Giovana Tome - 24ª Feira Cultural LGBT 2025 Parada do Orgulho LGBT+ 2025</t>
  </si>
  <si>
    <t>03278-2025-PE</t>
  </si>
  <si>
    <t>6025202500122182</t>
  </si>
  <si>
    <t>19/06/2025 a 22/06/2025 - Espetáculo Musical / Show - NATHALIA CORTE - Nathalia Corte</t>
  </si>
  <si>
    <t>6025202500121550</t>
  </si>
  <si>
    <t>19/06/2025 -  Performance - RODA DE CAPOEIRA MESTRE PIT BULL - 24ª Feira Cultural LGBT 2025 Parada do Orgulho LGBT+ 2025</t>
  </si>
  <si>
    <t>03248-2025 PE</t>
  </si>
  <si>
    <t>6025202500121330</t>
  </si>
  <si>
    <t>19/06/2025 - Espetáculo Musical/Show - PH ZABUMBADA - PH ZABUMBADA</t>
  </si>
  <si>
    <t>6025202500121313</t>
  </si>
  <si>
    <t>19/06/2025 a 22/06/2025  - Performance - Bruna Alves LGBTQIA+ - 24ª Feira Cultural LGBT 2025 e Parada do Orgulho LGBT+ 2025</t>
  </si>
  <si>
    <t>6025202500121305</t>
  </si>
  <si>
    <t>19/06/2025 a 22/06/2025 - Av. Mário de Andrade, 664 - Performance - Juan Ferreira LGBTQIA+ - Vozes Visíveis</t>
  </si>
  <si>
    <t>6025202500123359</t>
  </si>
  <si>
    <t xml:space="preserve">CONTRATADO: ALBERT ROGGENBUCK NETO (CPF nº 734.837.966-49), conforme Contrato/Declaração de Exclusividade, por intermédio de 18.266.990/0001-70 Albert Roggenbuck Neto, inscrita no CNPJ sob o nº 18.266.990/0001-70
OBJETO: Performance - Esquadrão das Drags - Feira da Cultural da Diversidade LGBT+
PERÍODO DE EXECUÇÃO DOS SERVIÇOS:19/06/2025 - totalizando 1 apresentação conforme cronograma:
 </t>
  </si>
  <si>
    <t>6025202500121518</t>
  </si>
  <si>
    <t xml:space="preserve">19/06/2025 - Av. Mário de Andrade, 664 - 16:50h às 17:50h - Espetáculo Musical / Show - Samuel de Abreu 24 Feira LGBT 2025 - 24° Feira Cultura LGBT 2025
 </t>
  </si>
  <si>
    <t>6025202500123898</t>
  </si>
  <si>
    <t>19/06/2025  - Espetáculo Musical / Show - Worta Ziagio - 24° Feira da Diversidade LGBT+</t>
  </si>
  <si>
    <t>6025202500122190</t>
  </si>
  <si>
    <t>CONTRATADO: EDUARDO NOBEL ALVES (CPF nº 483.124.118-01), conforme Contrato/Declaração de Exclusividade, por intermédio de PRODUTORA SUPERATIVA LTDA, inscrita no CNPJ sob o nº 01.811.101/0001-05
OBJETO: Performance - Eduardo Nobel - Poema em Movimento
PERÍODO DE EXECUÇÃO DOS SERVIÇOS:de 19/06/2025 a 22/06/2025 - totalizando 2 apresentações conforme cronograma:
quinta-feira: 19/06/2025 (1 apresentação)
Carga Horária: 01:00 horas
Horário: 14:40 às 15:40
Classificação etária: LIVRE (L)
Local: Av. Mário de Andrade, 664
domingo: 22/06/2025 (1 apresentação)
Carga Horária: 01:00 horas
Horário: 15:00 às 16:00
Classificação etária: LIVRE (L)
Local: Av. Paulista, 1578
VALOR GLOBAL: R$ 14.200,00 (quatorze mil e duzentos reais), a ser pago após a confirmação da execução dos serviços pela unidade requisitante.
FORMA DE PAGAMENTO: O pagamento se dará no 30º (trigésimo) dia após a data de entrega de toda documentação correta relativa ao pagamento.</t>
  </si>
  <si>
    <t>6074202500043611</t>
  </si>
  <si>
    <t>Fornecimento de 100 (cem) unidades de kits lanches, destinados ao atendimento da 129ª Reunião Ordinária do Comitê Intersetorial da Política Municipal para a População em Situação de Rua.</t>
  </si>
  <si>
    <t>6025202500121399</t>
  </si>
  <si>
    <t>19/06/2025 - Av. Mário de Andrade, 664 - 12:20h às 13:20h - Performance - Grupo de Capoeira Quilombolas de luz - 24ª Feira Cultural LGBT 2025 Parada do Orgulho LGBT+ 2025</t>
  </si>
  <si>
    <t>6025202500123570</t>
  </si>
  <si>
    <t>19/06/2025 - Espetáculo Musical / Show - Trajano - Pocket show "Trança" – Trajano (voz e violão)</t>
  </si>
  <si>
    <t>6025202500124789</t>
  </si>
  <si>
    <t>CONTRATADO: LETÍCIA GOMES DE ALMEIDA (CPF nº 292.578.418-63), conforme Contrato/Declaração de Exclusividade, por intermédio de 27.770.432 Letícia Gomes de Almeida, inscrita no CNPJ sob o nº 27.770.432/0001-38
OBJETO: Performance - Letícia Venturine - 24ª Feira da Diversidade do Orgulho LGBTQIA+ (19/06/2025)
PERÍODO DE EXECUÇÃO DOS SERVIÇOS: 19/06/2025 - totalizando 1 apresentação conforme cronograma:
LOCAL e HORÁRIO: Av. Mário de Andrade, 664 - 19:20h às 20:20h
VALOR GLOBAL: R$ 1.500,00 (hum mil e quinhentos reais), a ser pago após a confirmação da execução dos serviços pela unidade requisitante.
FORMA DE PAGAMENTO: O pagamento se dará no 30º (trigésimo) dia após a data de entrega de toda documentação correta relativa ao pagamento.</t>
  </si>
  <si>
    <t>03287-2025-PE</t>
  </si>
  <si>
    <t>6025202500122557</t>
  </si>
  <si>
    <t xml:space="preserve"> 22/06/2025 - Av. Paulista, 1578 - 15:00h às 16:00h - Espetáculo Musical/Show - Nicolau Araujo Evento Festa Junina - 24° Feira Cultura LGBT 2025</t>
  </si>
  <si>
    <t>6025202500124878</t>
  </si>
  <si>
    <t>CONTRATADO: MARILIA GABRIELA CORREA (CPF nº 379.121.658-94), conforme Contrato/Declaração de Exclusividade, por intermédio de 13.072.024 LAZARO OLIVEIRA DE SOUZA, inscrita no CNPJ sob o nº 13.072.024/0001-06
OBJETO: Espetáculo Musical/Show - Marília Corrêa - 24º Feira Cultural LGBT 2025
PERÍODO DE EXECUÇÃO DOS SERVIÇOS: 19/06/2025 - totalizando 1 apresentação conforme cronograma:
LOCAL e HORÁRIO: Av. Mário de Andrade, 664 - 16:50h às 17:50h
VALOR GLOBAL: R$ 1.000,00 (hum mil reais), a ser pago após a confirmação da execução dos serviços pela unidade requisitante.
FORMA DE PAGAMENTO: O pagamento se dará no 30º (trigésimo) dia após a data de entrega de toda documentação correta relativa ao pagamento.</t>
  </si>
  <si>
    <t>6025202500123421</t>
  </si>
  <si>
    <t>22/06/2025 -  Performance - Mariana Neves - Grito Invisível</t>
  </si>
  <si>
    <t>6074202500044723</t>
  </si>
  <si>
    <t>Prestação de serviços, sob demanda, de confecção e impressão de material gráfico - ATA DE REGISTRO DE PREÇO nº 001/SMDHC/2024</t>
  </si>
  <si>
    <t>03265-2025-PE</t>
  </si>
  <si>
    <t>6025202500121607</t>
  </si>
  <si>
    <t xml:space="preserve">19/06/2025 a 22/06/2025 - Av. Mário de Andrade, 664 e Av. Paulista, 1578, com datas e horários previstos na proposta - Espetáculo Musical / Show - Marie Gabriella - SHOW ÁGUAS - MARIE GABRIELLA
 </t>
  </si>
  <si>
    <t>6025202500124762</t>
  </si>
  <si>
    <t>CONTRATADO: JULIANA BARBOSA DE ARAUJO (CPF nº 078.216.804-35), conforme Contrato/Declaração de Exclusividade, por intermédio de VIXE-VERSA PRODUCOES CULTURAIS LTDA, inscrita no CNPJ sob o nº 17.290.720/0001-31
OBJETO: Espetáculo Musical / Show - Juliana Linhares - Juliana Linhares
PERÍODO DE EXECUÇÃO DOS SERVIÇOS: 19/06/2025 - totalizando 1 apresentação conforme cronograma:
LOCAL e HORÁRIO: Av. Mário de Andrade, 664 - 11:00h às 12:00h
VALOR GLOBAL: R$ 9.000,00 (nove mil reais), a ser pago após a confirmação da execução dos serviços pela unidade requisitante.
FORMA DE PAGAMENTO: O pagamento se dará no 30º (trigésimo) dia após a data de entrega de toda documentação correta relativa ao pagamento.</t>
  </si>
  <si>
    <t>6074202500044456</t>
  </si>
  <si>
    <t>Prestação de serviços de Coffee Break II, para atender 150 (cento e cinquenta) pessoas participantes da cerimônia de entrega do Prêmio Luísa Mahin - Edição 2025.</t>
  </si>
  <si>
    <t>6074202500039800</t>
  </si>
  <si>
    <t>Aquisição, por Dispensa de Licitação, de Cordões para crachás personalizados.</t>
  </si>
  <si>
    <t>6025202500124614</t>
  </si>
  <si>
    <t>CONTRATADO: LUIS RODRIGO MOISSOPOULOS CALDAS (CPF nº 114.344.138-96), nome artístico “Kiko Caldas” e os demais integrantes do grupo, conforme Contrato/Declaração de Exclusividade (127875131), por intermédio de ACAS CULTURAL, EVENTOS E PRODUCOES ARTISTICAS LTDA, inscrita no CNPJ sob o nº 60.516.694/0001-46.
OBJETO: Artes Cênicas - Intervenção Artística - CIA K - CIRCO AÉREO
PERÍODO DE EXECUÇÃO DOS SERVIÇOS: 22/06/2025 - totalizando 4 apresentações conforme cronograma:</t>
  </si>
  <si>
    <t>Rótulos de Linha</t>
  </si>
  <si>
    <t>Total Geral</t>
  </si>
  <si>
    <t>Soma de valTotal</t>
  </si>
  <si>
    <t>Soma de valMensal</t>
  </si>
  <si>
    <t>Soma de valAnual</t>
  </si>
  <si>
    <t>Expirado</t>
  </si>
  <si>
    <t>Vigente</t>
  </si>
  <si>
    <t>(Tudo)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</si>
</sst>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6">
    <dxf>
      <numFmt numFmtId="0" formatCode="General"/>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de Sousa Faita" refreshedDate="45839.687608449072" createdVersion="8" refreshedVersion="8" minRefreshableVersion="3" recordCount="394" xr:uid="{6AFB7EB2-E51F-4F3C-B3AC-CCC0D477C92A}">
  <cacheSource type="worksheet">
    <worksheetSource name="Tabela1"/>
  </cacheSource>
  <cacheFields count="36">
    <cacheField name="codEmpresa" numFmtId="0">
      <sharedItems/>
    </cacheField>
    <cacheField name="txtDescricaoOrgao" numFmtId="0">
      <sharedItems/>
    </cacheField>
    <cacheField name="codOrgao" numFmtId="0">
      <sharedItems/>
    </cacheField>
    <cacheField name="UO" numFmtId="0">
      <sharedItems/>
    </cacheField>
    <cacheField name="Funcao" numFmtId="0">
      <sharedItems containsSemiMixedTypes="0" containsString="0" containsNumber="1" containsInteger="1" minValue="8" maxValue="14"/>
    </cacheField>
    <cacheField name="SubFuncao" numFmtId="0">
      <sharedItems containsSemiMixedTypes="0" containsString="0" containsNumber="1" containsInteger="1" minValue="122" maxValue="605"/>
    </cacheField>
    <cacheField name="Programa" numFmtId="0">
      <sharedItems containsSemiMixedTypes="0" containsString="0" containsNumber="1" containsInteger="1" minValue="3007" maxValue="3024"/>
    </cacheField>
    <cacheField name="ProjAtiv" numFmtId="0">
      <sharedItems containsSemiMixedTypes="0" containsString="0" containsNumber="1" containsInteger="1" minValue="2051" maxValue="6178" count="22">
        <n v="2100"/>
        <n v="2053"/>
        <n v="4470"/>
        <n v="2431"/>
        <n v="4318"/>
        <n v="6178"/>
        <n v="4326"/>
        <n v="4321"/>
        <n v="4330"/>
        <n v="4334"/>
        <n v="4332"/>
        <n v="2157"/>
        <n v="2171"/>
        <n v="2051"/>
        <n v="4328"/>
        <n v="4329"/>
        <n v="2818"/>
        <n v="4319"/>
        <n v="4320"/>
        <n v="4333"/>
        <n v="4322"/>
        <n v="2142"/>
      </sharedItems>
    </cacheField>
    <cacheField name="Despesa" numFmtId="0">
      <sharedItems/>
    </cacheField>
    <cacheField name="codTipoContratacao" numFmtId="0">
      <sharedItems/>
    </cacheField>
    <cacheField name="txtTipoContratacao" numFmtId="0">
      <sharedItems/>
    </cacheField>
    <cacheField name="codModalidade" numFmtId="0">
      <sharedItems containsSemiMixedTypes="0" containsString="0" containsNumber="1" containsInteger="1" minValue="3" maxValue="12"/>
    </cacheField>
    <cacheField name="txtDescricaoModalidade" numFmtId="0">
      <sharedItems/>
    </cacheField>
    <cacheField name="anoContrato" numFmtId="0">
      <sharedItems containsSemiMixedTypes="0" containsString="0" containsNumber="1" containsInteger="1" minValue="2018" maxValue="2025"/>
    </cacheField>
    <cacheField name="codContrato" numFmtId="0">
      <sharedItems containsSemiMixedTypes="0" containsString="0" containsNumber="1" containsInteger="1" minValue="185" maxValue="42334"/>
    </cacheField>
    <cacheField name="numOriginalContrato" numFmtId="0">
      <sharedItems containsBlank="1"/>
    </cacheField>
    <cacheField name="codProcesso" numFmtId="0">
      <sharedItems/>
    </cacheField>
    <cacheField name="txtObjetoContrato" numFmtId="0">
      <sharedItems longText="1"/>
    </cacheField>
    <cacheField name="datAssinaturaContrato" numFmtId="0">
      <sharedItems containsBlank="1"/>
    </cacheField>
    <cacheField name="datPublicacaoContrato" numFmtId="0">
      <sharedItems containsBlank="1"/>
    </cacheField>
    <cacheField name="datVigencia" numFmtId="0">
      <sharedItems containsBlank="1"/>
    </cacheField>
    <cacheField name="VigenciaMeses" numFmtId="0">
      <sharedItems containsSemiMixedTypes="0" containsString="0" containsNumber="1" containsInteger="1" minValue="0" maxValue="85" count="34">
        <n v="62"/>
        <n v="60"/>
        <n v="24"/>
        <n v="36"/>
        <n v="39"/>
        <n v="12"/>
        <n v="61"/>
        <n v="31"/>
        <n v="33"/>
        <n v="73"/>
        <n v="32"/>
        <n v="50"/>
        <n v="38"/>
        <n v="52"/>
        <n v="74"/>
        <n v="85"/>
        <n v="13"/>
        <n v="48"/>
        <n v="65"/>
        <n v="0"/>
        <n v="2"/>
        <n v="1"/>
        <n v="25"/>
        <n v="37"/>
        <n v="55"/>
        <n v="3"/>
        <n v="30"/>
        <n v="10"/>
        <n v="40"/>
        <n v="18"/>
        <n v="26"/>
        <n v="9"/>
        <n v="7"/>
        <n v="67"/>
      </sharedItems>
    </cacheField>
    <cacheField name="situacaoContrato" numFmtId="0">
      <sharedItems count="2">
        <s v="Vigente"/>
        <s v="Expirado"/>
      </sharedItems>
    </cacheField>
    <cacheField name="valPrincipal" numFmtId="8">
      <sharedItems containsSemiMixedTypes="0" containsString="0" containsNumber="1" minValue="100" maxValue="60551377.200000003"/>
    </cacheField>
    <cacheField name="valReajustes" numFmtId="8">
      <sharedItems containsSemiMixedTypes="0" containsString="0" containsNumber="1" minValue="0" maxValue="4619318.18"/>
    </cacheField>
    <cacheField name="valAditamentos" numFmtId="8">
      <sharedItems containsSemiMixedTypes="0" containsString="0" containsNumber="1" minValue="0" maxValue="34428020"/>
    </cacheField>
    <cacheField name="valAnulacao" numFmtId="8">
      <sharedItems containsSemiMixedTypes="0" containsString="0" containsNumber="1" minValue="0" maxValue="1054300"/>
    </cacheField>
    <cacheField name="valTotal" numFmtId="8">
      <sharedItems containsSemiMixedTypes="0" containsString="0" containsNumber="1" minValue="0" maxValue="62172879.760000005"/>
    </cacheField>
    <cacheField name="valMensal" numFmtId="8">
      <sharedItems containsSemiMixedTypes="0" containsString="0" containsNumber="1" minValue="0" maxValue="1550575"/>
    </cacheField>
    <cacheField name="valAnual" numFmtId="8">
      <sharedItems containsSemiMixedTypes="0" containsString="0" containsNumber="1" minValue="0" maxValue="18606900"/>
    </cacheField>
    <cacheField name="valTotalEmpenhado" numFmtId="8">
      <sharedItems containsSemiMixedTypes="0" containsString="0" containsNumber="1" minValue="0" maxValue="39675591.399999999"/>
    </cacheField>
    <cacheField name="valAnuladoEmpenho" numFmtId="8">
      <sharedItems containsSemiMixedTypes="0" containsString="0" containsNumber="1" minValue="0" maxValue="7950406.8499999996"/>
    </cacheField>
    <cacheField name="valEmpenhadoLiquido" numFmtId="8">
      <sharedItems containsSemiMixedTypes="0" containsString="0" containsNumber="1" minValue="0" maxValue="39675583"/>
    </cacheField>
    <cacheField name="valLiquidado" numFmtId="8">
      <sharedItems containsSemiMixedTypes="0" containsString="0" containsNumber="1" minValue="0" maxValue="39675583"/>
    </cacheField>
    <cacheField name="valPago" numFmtId="8">
      <sharedItems containsSemiMixedTypes="0" containsString="0" containsNumber="1" minValue="0" maxValue="39675583"/>
    </cacheField>
    <cacheField name="datExtraca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
  <r>
    <s v="01"/>
    <s v="Secretaria Municipal de Direitos Humanos e Cidadania"/>
    <s v="34"/>
    <s v="10"/>
    <n v="14"/>
    <n v="122"/>
    <n v="3024"/>
    <x v="0"/>
    <s v="33399000"/>
    <s v="2"/>
    <s v="Termo de Contrato - Serviços"/>
    <n v="12"/>
    <s v="Pregão"/>
    <n v="2024"/>
    <n v="9352"/>
    <s v="152/SMDHC/2024"/>
    <s v="6074202300026080"/>
    <s v="Prestação de Serviços de Transporte, através de Locação de 66 (sessenta e seis) veículos, Tipo “C”, em caráter não eventual, com condutor e quilometragem livre; incluindo, combustível, despesas com pedágios, avarias, multas e manutenção, para atender às necessidades da Secretaria Municipal de Direitos Humanos e Cidadania – SMDHC e de suas Coordenações."/>
    <s v="05/04/2024 00:00:00"/>
    <s v="30/04/2024 00:00:00"/>
    <s v="12/05/2029 00:00:00"/>
    <x v="0"/>
    <x v="0"/>
    <n v="60551377.200000003"/>
    <n v="0"/>
    <n v="1621502.56"/>
    <n v="0"/>
    <n v="62172879.760000005"/>
    <n v="1002788.3832258065"/>
    <n v="12033460.598709678"/>
    <n v="19664731.09"/>
    <n v="5393264.5800000001"/>
    <n v="14271466.51"/>
    <n v="10075765.460000001"/>
    <n v="9194069.7799999993"/>
    <s v="01-07-2025"/>
  </r>
  <r>
    <s v="01"/>
    <s v="Secretaria Municipal de Direitos Humanos e Cidadania"/>
    <s v="34"/>
    <s v="10"/>
    <n v="14"/>
    <n v="422"/>
    <n v="3013"/>
    <x v="1"/>
    <s v="33395000"/>
    <s v="22"/>
    <s v="Termo de Colaboração - Lei Federal 13.019/2014"/>
    <n v="8"/>
    <s v="Não Aplicável"/>
    <n v="2024"/>
    <n v="35771"/>
    <s v="019/2024/SMDHC/CPM"/>
    <s v="6074202400085533"/>
    <s v="Termo de Colaboração. Edital de Chamamento Público Nº CPB/003/2024/SMDHC/CPM. Objeto. Gestão da Casa da Mulher Brasileira, Postos Avançados de Atendimento à Mulher e Unidade Móvel de Atendimento à Mulher."/>
    <s v="31/10/2024 00:00:00"/>
    <s v="04/11/2024 00:00:00"/>
    <s v="31/10/2029 00:00:00"/>
    <x v="1"/>
    <x v="0"/>
    <n v="29261923.18"/>
    <n v="0"/>
    <n v="0"/>
    <n v="0"/>
    <n v="29261923.18"/>
    <n v="487698.71966666664"/>
    <n v="5852384.6359999999"/>
    <n v="4081736.16"/>
    <n v="82650.899999999994"/>
    <n v="3999085.26"/>
    <n v="3901589.74"/>
    <n v="3901589.74"/>
    <s v="01-07-2025"/>
  </r>
  <r>
    <s v="01"/>
    <s v="Secretaria Municipal de Direitos Humanos e Cidadania"/>
    <s v="34"/>
    <s v="10"/>
    <n v="8"/>
    <n v="605"/>
    <n v="3016"/>
    <x v="2"/>
    <s v="33399000"/>
    <s v="2"/>
    <s v="Termo de Contrato - Serviços"/>
    <n v="12"/>
    <s v="Pregão"/>
    <n v="2023"/>
    <n v="33116"/>
    <s v="381/SMDHC/2023"/>
    <s v="6074202300069595"/>
    <s v="Contratação de empresa especializada em LOCAÇÃO DE BANHEIROS QUÍMICOS tipo padrão e para portadores de necessidades especiais (PNE) e LAVATÓRIOS MÓVEIS tipo portátil para higienização das mãos, com fornecimento de água, sabonete líquido e toalhas descartáveis, incluindo os serviços de instalação, montagem e desmontagem, ações de manutenção diária, tais como, saneamento de avarias, serviços de limpeza e reposição de insumos."/>
    <s v="31/10/2023 00:00:00"/>
    <s v="07/11/2023 00:00:00"/>
    <s v="09/11/2025 00:00:00"/>
    <x v="2"/>
    <x v="0"/>
    <n v="18606900"/>
    <n v="0"/>
    <n v="18606900"/>
    <n v="0"/>
    <n v="37213800"/>
    <n v="1550575"/>
    <n v="18606900"/>
    <n v="31129056.84"/>
    <n v="773569.34"/>
    <n v="30355487.5"/>
    <n v="25524850"/>
    <n v="25524850"/>
    <s v="01-07-2025"/>
  </r>
  <r>
    <s v="01"/>
    <s v="Secretaria Municipal de Direitos Humanos e Cidadania"/>
    <s v="34"/>
    <s v="10"/>
    <n v="14"/>
    <n v="422"/>
    <n v="3013"/>
    <x v="3"/>
    <s v="33395000"/>
    <s v="22"/>
    <s v="Termo de Colaboração - Lei Federal 13.019/2014"/>
    <n v="8"/>
    <s v="Não Aplicável"/>
    <n v="2024"/>
    <n v="9176"/>
    <s v="12/2024/SMDHC/CPPSR"/>
    <s v="6074202400008326"/>
    <s v="Termo de Colaboração. Edital de Chamamento Público Nº CPB/017/2023/SMDHC/CPPSR. "/>
    <s v="28/03/2024 00:00:00"/>
    <s v="03/04/2024 00:00:00"/>
    <s v="23/03/2027 00:00:00"/>
    <x v="3"/>
    <x v="0"/>
    <n v="16304045.5"/>
    <n v="0"/>
    <n v="0"/>
    <n v="0"/>
    <n v="16304045.5"/>
    <n v="452890.15277777775"/>
    <n v="5434681.833333333"/>
    <n v="8547828.3100000005"/>
    <n v="769037.64"/>
    <n v="7778790.6699999999"/>
    <n v="6679123.2300000004"/>
    <n v="6679123.2300000004"/>
    <s v="01-07-2025"/>
  </r>
  <r>
    <s v="01"/>
    <s v="Secretaria Municipal de Direitos Humanos e Cidadania"/>
    <s v="34"/>
    <s v="10"/>
    <n v="14"/>
    <n v="422"/>
    <n v="3013"/>
    <x v="3"/>
    <s v="33395000"/>
    <s v="22"/>
    <s v="Termo de Colaboração - Lei Federal 13.019/2014"/>
    <n v="8"/>
    <s v="Não Aplicável"/>
    <n v="2024"/>
    <n v="9156"/>
    <s v="13/2024/SMHDC/CPPSR"/>
    <s v="6074202400008334"/>
    <s v="Parceria. Termo de Colaboração. Edital de Chamamento Público Nº CPB/017/2023/SMDHC/CPPSR. "/>
    <s v="01/04/2024 00:00:00"/>
    <s v="05/04/2024 00:00:00"/>
    <s v="27/03/2027 00:00:00"/>
    <x v="3"/>
    <x v="0"/>
    <n v="14272370.550000001"/>
    <n v="0"/>
    <n v="0"/>
    <n v="0"/>
    <n v="14272370.550000001"/>
    <n v="396454.73750000005"/>
    <n v="4757456.8500000006"/>
    <n v="8428383.9800000004"/>
    <n v="4207217.51"/>
    <n v="4221166.47"/>
    <n v="3056500.29"/>
    <n v="3056500.29"/>
    <s v="01-07-2025"/>
  </r>
  <r>
    <s v="01"/>
    <s v="Secretaria Municipal de Direitos Humanos e Cidadania"/>
    <s v="34"/>
    <s v="10"/>
    <n v="14"/>
    <n v="422"/>
    <n v="3018"/>
    <x v="4"/>
    <s v="33395000"/>
    <s v="22"/>
    <s v="Termo de Colaboração - Lei Federal 13.019/2014"/>
    <n v="8"/>
    <s v="Não Aplicável"/>
    <n v="2022"/>
    <n v="36535"/>
    <s v="007/2022/SMDHC/CPJ"/>
    <s v="6074202200048430"/>
    <s v="Termo de Colaboração. Edital CPB/011/2022/SMDHC/CPJ. Projeto: Oferta de cursos de capacitação em empreendedorismo, focados prioritariamente nas juventudes da cidade de São Paulo que empreendem por necessidade e precisam de formação para que expandam e formalizem seus negócios."/>
    <s v="21/12/2022 00:00:00"/>
    <s v="22/12/2022 00:00:00"/>
    <s v="25/03/2026 00:00:00"/>
    <x v="4"/>
    <x v="0"/>
    <n v="14027720"/>
    <n v="0"/>
    <n v="34428020"/>
    <n v="0"/>
    <n v="48455740"/>
    <n v="1242454.8717948718"/>
    <n v="14909458.46153846"/>
    <n v="39675591.399999999"/>
    <n v="8.4"/>
    <n v="39675583"/>
    <n v="39675583"/>
    <n v="39675583"/>
    <s v="01-07-2025"/>
  </r>
  <r>
    <s v="01"/>
    <s v="Secretaria Municipal de Direitos Humanos e Cidadania"/>
    <s v="34"/>
    <s v="10"/>
    <n v="14"/>
    <n v="422"/>
    <n v="3013"/>
    <x v="5"/>
    <s v="33395000"/>
    <s v="22"/>
    <s v="Termo de Colaboração - Lei Federal 13.019/2014"/>
    <n v="8"/>
    <s v="Não Aplicável"/>
    <n v="2024"/>
    <n v="9969"/>
    <s v="16/2023/SMDHC/CPM"/>
    <s v="6074202400022337"/>
    <s v="Objeto Gestão do Centro de Referência e Cidadania da Mulher CRCM - Casa da Mulher Itaquera e Casa da Mulher São Miguel."/>
    <s v="11/04/2024 00:00:00"/>
    <s v="16/04/2024 00:00:00"/>
    <s v="11/04/2027 00:00:00"/>
    <x v="3"/>
    <x v="0"/>
    <n v="11313942.029999999"/>
    <n v="0"/>
    <n v="0"/>
    <n v="0"/>
    <n v="11313942.029999999"/>
    <n v="314276.16749999998"/>
    <n v="3771314.01"/>
    <n v="5844042.0199999996"/>
    <n v="0.05"/>
    <n v="5844041.9699999997"/>
    <n v="5844041.9699999997"/>
    <n v="5844041.9699999997"/>
    <s v="01-07-2025"/>
  </r>
  <r>
    <s v="01"/>
    <s v="Secretaria Municipal de Direitos Humanos e Cidadania"/>
    <s v="34"/>
    <s v="10"/>
    <n v="14"/>
    <n v="422"/>
    <n v="3018"/>
    <x v="6"/>
    <s v="33395000"/>
    <s v="23"/>
    <s v="Termo de Fomento - Lei Federal 13.019/2014"/>
    <n v="8"/>
    <s v="Não Aplicável"/>
    <n v="2024"/>
    <n v="42334"/>
    <s v="24/24/SMDHC/CPLGBTI"/>
    <s v="6074202400105330"/>
    <s v="Parceria. Termo de Colaboração. Objeto Gestão do Centro de Referência LGBTI+ Brunna Valin e Unidade Móvel LGBTI+ Centro."/>
    <s v="26/12/2024 00:00:00"/>
    <s v="27/12/2024 00:00:00"/>
    <s v="26/12/2029 00:00:00"/>
    <x v="1"/>
    <x v="0"/>
    <n v="10990283.77"/>
    <n v="0"/>
    <n v="0"/>
    <n v="0"/>
    <n v="10990283.77"/>
    <n v="183171.39616666667"/>
    <n v="2198056.7540000002"/>
    <n v="1316244.44"/>
    <n v="0"/>
    <n v="1316244.44"/>
    <n v="1095174.27"/>
    <n v="1095174.27"/>
    <s v="01-07-2025"/>
  </r>
  <r>
    <s v="01"/>
    <s v="Secretaria Municipal de Direitos Humanos e Cidadania"/>
    <s v="34"/>
    <s v="10"/>
    <n v="14"/>
    <n v="422"/>
    <n v="3018"/>
    <x v="6"/>
    <s v="33395000"/>
    <s v="22"/>
    <s v="Termo de Colaboração - Lei Federal 13.019/2014"/>
    <n v="8"/>
    <s v="Não Aplicável"/>
    <n v="2024"/>
    <n v="40397"/>
    <s v="23/24/SMDHC/CPLGBTI"/>
    <s v="6074202400105321"/>
    <s v="Parceria. Termo de Colaboração. Edital de Chamamento Público Nº CPB/001/2024/SMDHC/CPLGBTI. Objeto : &quot;Gestão do Centro de Referência LGBTI+ Claudia Wonder e Unidade Móvel LGBTI+ Oeste (distrito Vila Sônia ou Butantã) - LOTE 4.&quot;"/>
    <s v="23/12/2024 00:00:00"/>
    <s v="27/12/2024 00:00:00"/>
    <s v="23/12/2029 00:00:00"/>
    <x v="1"/>
    <x v="0"/>
    <n v="10973446.390000001"/>
    <n v="0"/>
    <n v="0"/>
    <n v="0"/>
    <n v="10973446.390000001"/>
    <n v="182890.77316666668"/>
    <n v="2194689.2779999999"/>
    <n v="1552248.17"/>
    <n v="173029.58"/>
    <n v="1379218.59"/>
    <n v="1206189"/>
    <n v="1206189"/>
    <s v="01-07-2025"/>
  </r>
  <r>
    <s v="01"/>
    <s v="Secretaria Municipal de Direitos Humanos e Cidadania"/>
    <s v="34"/>
    <s v="10"/>
    <n v="14"/>
    <n v="422"/>
    <n v="3018"/>
    <x v="6"/>
    <s v="33395000"/>
    <s v="22"/>
    <s v="Termo de Colaboração - Lei Federal 13.019/2014"/>
    <n v="8"/>
    <s v="Não Aplicável"/>
    <n v="2024"/>
    <n v="40416"/>
    <s v="21/24/SMDHC/CPLGBI"/>
    <s v="6074202400105305"/>
    <s v="Parceria. Termo de Colaboração. Objeto: &quot;Gestão do Centro de Referência LGBTI+ Edson Neris e Unidade Móvel LGBTI+ Sul (distrito Campo Limpo) - LOTE 2 , vinculado à Coordenação de Políticas para LGBTI+.&quot;"/>
    <s v="19/12/2024 00:00:00"/>
    <s v="23/12/2024 00:00:00"/>
    <s v="19/12/2029 00:00:00"/>
    <x v="1"/>
    <x v="0"/>
    <n v="10734226.390000001"/>
    <n v="0"/>
    <n v="0"/>
    <n v="0"/>
    <n v="10734226.390000001"/>
    <n v="178903.77316666668"/>
    <n v="2146845.2779999999"/>
    <n v="1357574.09"/>
    <n v="160813.62"/>
    <n v="1196760.47"/>
    <n v="1035946.85"/>
    <n v="1035946.85"/>
    <s v="01-07-2025"/>
  </r>
  <r>
    <s v="01"/>
    <s v="Secretaria Municipal de Direitos Humanos e Cidadania"/>
    <s v="34"/>
    <s v="10"/>
    <n v="14"/>
    <n v="422"/>
    <n v="3013"/>
    <x v="5"/>
    <s v="33395000"/>
    <s v="22"/>
    <s v="Termo de Colaboração - Lei Federal 13.019/2014"/>
    <n v="8"/>
    <s v="Não Aplicável"/>
    <n v="2024"/>
    <n v="9982"/>
    <s v="15/2023/SMDHC/CPM"/>
    <s v="6074202400022329"/>
    <s v="Objeto  Gestão do Centro de Referência e Cidadania da Mulher CRCM - Casa da Mulher Vila Perus e Casa da Mulher Cachoeirinha."/>
    <s v="11/04/2024 00:00:00"/>
    <s v="17/04/2024 00:00:00"/>
    <s v="06/04/2027 00:00:00"/>
    <x v="3"/>
    <x v="0"/>
    <n v="10661243.34"/>
    <n v="0"/>
    <n v="0"/>
    <n v="0"/>
    <n v="10661243.34"/>
    <n v="296145.64833333332"/>
    <n v="3553747.78"/>
    <n v="7699673.5199999996"/>
    <n v="1953884.81"/>
    <n v="5745788.71"/>
    <n v="5745788.71"/>
    <n v="5745788.71"/>
    <s v="01-07-2025"/>
  </r>
  <r>
    <s v="01"/>
    <s v="Secretaria Municipal de Direitos Humanos e Cidadania"/>
    <s v="34"/>
    <s v="10"/>
    <n v="14"/>
    <n v="422"/>
    <n v="3013"/>
    <x v="5"/>
    <s v="33395000"/>
    <s v="22"/>
    <s v="Termo de Colaboração - Lei Federal 13.019/2014"/>
    <n v="8"/>
    <s v="Não Aplicável"/>
    <n v="2024"/>
    <n v="10136"/>
    <s v="17/2024/SMDHC/CPM"/>
    <s v="6074202400022353"/>
    <s v="Objeto  Gestão do Centro de Referência e Cidadania da Mulher CRCM - Casa da Mulher Santo Amaro e Casa da Mulher Grajaú."/>
    <s v="11/04/2024 00:00:00"/>
    <s v="17/04/2024 00:00:00"/>
    <s v="11/04/2027 00:00:00"/>
    <x v="3"/>
    <x v="0"/>
    <n v="10661243.34"/>
    <n v="0"/>
    <n v="0"/>
    <n v="0"/>
    <n v="10661243.34"/>
    <n v="296145.64833333332"/>
    <n v="3553747.78"/>
    <n v="5642023.2699999996"/>
    <n v="427625.04"/>
    <n v="5214398.2300000004"/>
    <n v="5214398.2300000004"/>
    <n v="5214398.2300000004"/>
    <s v="01-07-2025"/>
  </r>
  <r>
    <s v="01"/>
    <s v="Secretaria Municipal de Direitos Humanos e Cidadania"/>
    <s v="34"/>
    <s v="10"/>
    <n v="14"/>
    <n v="422"/>
    <n v="3018"/>
    <x v="6"/>
    <s v="33395000"/>
    <s v="22"/>
    <s v="Termo de Colaboração - Lei Federal 13.019/2014"/>
    <n v="8"/>
    <s v="Não Aplicável"/>
    <n v="2024"/>
    <n v="40399"/>
    <s v="22/24/SMDHC/CPLGBTI"/>
    <s v="6074202400105313"/>
    <s v="Parceria. Termo de Colaboração. Edital de Chamamento Público Nº CPB/001/2024/SMDHC/CPLGBTI. Objeto: &quot;Gestão do Centro Laura Vermont e Unidade Móvel de Referência em Direitos Humanos e Cidadania LGBTI+ - Lote 3.&quot;"/>
    <s v="19/12/2024 00:00:00"/>
    <s v="23/12/2024 00:00:00"/>
    <s v="19/12/2029 00:00:00"/>
    <x v="1"/>
    <x v="0"/>
    <n v="10634446.390000001"/>
    <n v="0"/>
    <n v="0"/>
    <n v="0"/>
    <n v="10634446.390000001"/>
    <n v="177240.77316666668"/>
    <n v="2126889.2779999999"/>
    <n v="1389012.99"/>
    <n v="272954.51"/>
    <n v="1116058.48"/>
    <n v="1116058.48"/>
    <n v="1116058.48"/>
    <s v="01-07-2025"/>
  </r>
  <r>
    <s v="01"/>
    <s v="Secretaria Municipal de Direitos Humanos e Cidadania"/>
    <s v="34"/>
    <s v="10"/>
    <n v="14"/>
    <n v="422"/>
    <n v="3018"/>
    <x v="6"/>
    <s v="33395000"/>
    <s v="22"/>
    <s v="Termo de Colaboração - Lei Federal 13.019/2014"/>
    <n v="8"/>
    <s v="Não Aplicável"/>
    <n v="2024"/>
    <n v="40431"/>
    <s v="20/24/SMDHC/CPLGBTI"/>
    <s v="6074202400105283"/>
    <s v="Parceria. Termo de Colaboração. Objeto: &quot;Gestão do Centro de Referência LGBTI+ Luana Barbosa dos Reis e Unidade Móvel LGBTI+ Norte (distrito Brasilândia ou Pirituba) - LOTE 1&quot;"/>
    <s v="26/12/2024 00:00:00"/>
    <s v="27/12/2024 00:00:00"/>
    <s v="26/12/2029 00:00:00"/>
    <x v="1"/>
    <x v="0"/>
    <n v="10499746.390000001"/>
    <n v="0"/>
    <n v="0"/>
    <n v="0"/>
    <n v="10499746.390000001"/>
    <n v="174995.77316666668"/>
    <n v="2099949.2779999999"/>
    <n v="1400634.17"/>
    <n v="118486.96"/>
    <n v="1282147.21"/>
    <n v="1115910.03"/>
    <n v="1115910.03"/>
    <s v="01-07-2025"/>
  </r>
  <r>
    <s v="01"/>
    <s v="Secretaria Municipal de Direitos Humanos e Cidadania"/>
    <s v="34"/>
    <s v="10"/>
    <n v="14"/>
    <n v="422"/>
    <n v="3023"/>
    <x v="7"/>
    <s v="33399000"/>
    <s v="2"/>
    <s v="Termo de Contrato - Serviços"/>
    <n v="12"/>
    <s v="Pregão"/>
    <n v="2025"/>
    <n v="1139"/>
    <s v="002/SMDHC/2025"/>
    <s v="6074202500004810"/>
    <s v="Fornecimento de kits-hidratação para a população em situação de rua durante os dias de operação de Altas Temperaturas"/>
    <s v="27/01/2025 00:00:00"/>
    <s v="29/01/2025 00:00:00"/>
    <s v="27/01/2026 00:00:00"/>
    <x v="5"/>
    <x v="0"/>
    <n v="10374000"/>
    <n v="0"/>
    <n v="0"/>
    <n v="0"/>
    <n v="10374000"/>
    <n v="864500"/>
    <n v="10374000"/>
    <n v="10608767.35"/>
    <n v="7950406.8499999996"/>
    <n v="2658360.5"/>
    <n v="2057510"/>
    <n v="2057510"/>
    <s v="01-07-2025"/>
  </r>
  <r>
    <s v="01"/>
    <s v="Secretaria Municipal de Direitos Humanos e Cidadania"/>
    <s v="34"/>
    <s v="10"/>
    <n v="14"/>
    <n v="422"/>
    <n v="3007"/>
    <x v="8"/>
    <s v="33395000"/>
    <s v="22"/>
    <s v="Termo de Colaboração - Lei Federal 13.019/2014"/>
    <n v="8"/>
    <s v="Não Aplicável"/>
    <n v="2024"/>
    <n v="34998"/>
    <s v="018/2024/SMDHC/CPPI"/>
    <s v="6074202400084448"/>
    <s v="Termo de Colaboração. Edital de Chamamento Público Nº CPB/002/2024/SMDHC/CPPI. Objeto &quot;Gestão do Centro de Referência de Direitos Humanos e Cidadania da Pessoa Idosa e Posto Avançado de Direitos Humanos e Cidadania da Pessoa Idosa&quot;."/>
    <s v="23/10/2024 00:00:00"/>
    <s v="29/10/2024 00:00:00"/>
    <s v="22/10/2029 00:00:00"/>
    <x v="1"/>
    <x v="0"/>
    <n v="9999124.3399999999"/>
    <n v="0"/>
    <n v="0"/>
    <n v="0"/>
    <n v="9999124.3399999999"/>
    <n v="166652.07233333334"/>
    <n v="1999824.8680000002"/>
    <n v="1884124.57"/>
    <n v="0"/>
    <n v="1884124.57"/>
    <n v="1406771.65"/>
    <n v="1406771.65"/>
    <s v="01-07-2025"/>
  </r>
  <r>
    <s v="01"/>
    <s v="Secretaria Municipal de Direitos Humanos e Cidadania"/>
    <s v="34"/>
    <s v="10"/>
    <n v="14"/>
    <n v="422"/>
    <n v="3013"/>
    <x v="1"/>
    <s v="33399000"/>
    <s v="2"/>
    <s v="Termo de Contrato - Serviços"/>
    <n v="12"/>
    <s v="Pregão"/>
    <n v="2024"/>
    <n v="39287"/>
    <s v="439/SMDHC/2024"/>
    <s v="6074202400056487"/>
    <s v="Contratação de Empresa Especializada na Prestação de Serviços de Transporte, através de Locação de veículos Tipo “C” e Tipo “D”, em caráter não eventual, com condutor e quilometragem livre; incluindo, combustível, despesas com pedágios, avarias, multas e manutenção, para atender às necessidades da unidade operacional supervisionada pela Coordenação de Políticas para Mulheres SMDHC – Casa da Mulher Brasileira."/>
    <s v="12/12/2024 00:00:00"/>
    <s v="23/12/2024 00:00:00"/>
    <s v="01/01/2030 00:00:00"/>
    <x v="6"/>
    <x v="0"/>
    <n v="6840000"/>
    <n v="0"/>
    <n v="0"/>
    <n v="0"/>
    <n v="6840000"/>
    <n v="112131.14754098361"/>
    <n v="1345573.7704918033"/>
    <n v="927200"/>
    <n v="114000"/>
    <n v="813200"/>
    <n v="471200"/>
    <n v="357200"/>
    <s v="01-07-2025"/>
  </r>
  <r>
    <s v="01"/>
    <s v="Secretaria Municipal de Direitos Humanos e Cidadania"/>
    <s v="34"/>
    <s v="10"/>
    <n v="14"/>
    <n v="422"/>
    <n v="3018"/>
    <x v="9"/>
    <s v="33395000"/>
    <s v="23"/>
    <s v="Termo de Fomento - Lei Federal 13.019/2014"/>
    <n v="8"/>
    <s v="Não Aplicável"/>
    <n v="2023"/>
    <n v="37613"/>
    <s v="069/2023/SMDHC/CPIR"/>
    <s v="6074202300110757"/>
    <s v="Gestão do Centros de Referência de Promoção da Igualdade Racial da Região Centro e Oeste - Lote 4."/>
    <s v="05/12/2023 00:00:00"/>
    <s v="06/12/2023 00:00:00"/>
    <s v="05/12/2026 00:00:00"/>
    <x v="3"/>
    <x v="0"/>
    <n v="6760192.3700000001"/>
    <n v="0"/>
    <n v="0"/>
    <n v="0"/>
    <n v="6760192.3700000001"/>
    <n v="187783.12138888889"/>
    <n v="2253397.4566666665"/>
    <n v="4538290.38"/>
    <n v="594844.81000000006"/>
    <n v="3943445.57"/>
    <n v="3380096.2"/>
    <n v="3380096.2"/>
    <s v="01-07-2025"/>
  </r>
  <r>
    <s v="01"/>
    <s v="Secretaria Municipal de Direitos Humanos e Cidadania"/>
    <s v="34"/>
    <s v="10"/>
    <n v="14"/>
    <n v="122"/>
    <n v="3018"/>
    <x v="10"/>
    <s v="33395000"/>
    <s v="22"/>
    <s v="Termo de Colaboração - Lei Federal 13.019/2014"/>
    <n v="8"/>
    <s v="Não Aplicável"/>
    <n v="2023"/>
    <n v="33095"/>
    <s v="62/203/SMDHC/ODH"/>
    <s v="6074202300097688"/>
    <s v="Objeto &quot;Gestão do Núcleos de Atendimentos em Direitos Humanos NDH(s) de São Mateus, São Miguel Paulista e Cidade Tiradentes&quot;"/>
    <s v="30/10/2023 00:00:00"/>
    <s v="31/10/2023 00:00:00"/>
    <s v="01/11/2026 00:00:00"/>
    <x v="3"/>
    <x v="0"/>
    <n v="6726968.0499999998"/>
    <n v="0"/>
    <n v="0"/>
    <n v="0"/>
    <n v="6726968.0499999998"/>
    <n v="186860.22361111111"/>
    <n v="2242322.6833333336"/>
    <n v="3958188.8"/>
    <n v="186575.42"/>
    <n v="3771613.38"/>
    <n v="3211887.13"/>
    <n v="3211887.13"/>
    <s v="01-07-2025"/>
  </r>
  <r>
    <s v="01"/>
    <s v="Secretaria Municipal de Direitos Humanos e Cidadania"/>
    <s v="34"/>
    <s v="10"/>
    <n v="14"/>
    <n v="122"/>
    <n v="3018"/>
    <x v="10"/>
    <s v="33395000"/>
    <s v="22"/>
    <s v="Termo de Colaboração - Lei Federal 13.019/2014"/>
    <n v="8"/>
    <s v="Não Aplicável"/>
    <n v="2023"/>
    <n v="33101"/>
    <s v="63/2023/SMDHC/ODH"/>
    <s v="6074202300097696"/>
    <s v="Parceria. Termo de Colaboração. Edital de Chamamento Público Nº CPB/010/2023/SMDHC/ODH. Projeto &quot; Gestão do Núcleos de Atendimentos em Direitos Humanos NDH(s) do Butantã, Campo Limpo, Jabaquara e Capela do Socorro”."/>
    <s v="30/10/2023 00:00:00"/>
    <s v="31/10/2023 00:00:00"/>
    <s v="01/11/2026 00:00:00"/>
    <x v="3"/>
    <x v="0"/>
    <n v="6726968.0499999998"/>
    <n v="0"/>
    <n v="0"/>
    <n v="0"/>
    <n v="6726968.0499999998"/>
    <n v="186860.22361111111"/>
    <n v="2242322.6833333336"/>
    <n v="3958188.8"/>
    <n v="186575.42"/>
    <n v="3771613.38"/>
    <n v="3211887.13"/>
    <n v="3211887.13"/>
    <s v="01-07-2025"/>
  </r>
  <r>
    <s v="01"/>
    <s v="Secretaria Municipal de Direitos Humanos e Cidadania"/>
    <s v="34"/>
    <s v="10"/>
    <n v="14"/>
    <n v="422"/>
    <n v="3018"/>
    <x v="9"/>
    <s v="33395000"/>
    <s v="22"/>
    <s v="Termo de Colaboração - Lei Federal 13.019/2014"/>
    <n v="8"/>
    <s v="Não Aplicável"/>
    <n v="2023"/>
    <n v="37790"/>
    <s v="67/2023/SMDHC/CPIR"/>
    <s v="6074202300110730"/>
    <s v="Termo de Colaboração - Gestão do Centro de Referência de Promoção da Igualdade Racial da Região Sul - Lote 2."/>
    <s v="05/12/2023 00:00:00"/>
    <s v="06/12/2023 00:00:00"/>
    <s v="05/12/2026 00:00:00"/>
    <x v="3"/>
    <x v="0"/>
    <n v="6597624.29"/>
    <n v="0"/>
    <n v="0"/>
    <n v="0"/>
    <n v="6597624.29"/>
    <n v="183267.34138888889"/>
    <n v="2199208.0966666667"/>
    <n v="4155457.01"/>
    <n v="306842.86"/>
    <n v="3848614.15"/>
    <n v="3298812.12"/>
    <n v="3298812.12"/>
    <s v="01-07-2025"/>
  </r>
  <r>
    <s v="01"/>
    <s v="Secretaria Municipal de Direitos Humanos e Cidadania"/>
    <s v="34"/>
    <s v="10"/>
    <n v="14"/>
    <n v="422"/>
    <n v="3018"/>
    <x v="9"/>
    <s v="33395000"/>
    <s v="22"/>
    <s v="Termo de Colaboração - Lei Federal 13.019/2014"/>
    <n v="8"/>
    <s v="Não Aplicável"/>
    <n v="2023"/>
    <n v="37869"/>
    <s v="66/2023/SMDHC/CPIR"/>
    <s v="6074202300110722"/>
    <s v="Termo de Colaboração - Gestão do Centro de Referência de Promoção da Igualdade Racial da Região Norte - Lote 1."/>
    <s v="05/12/2023 00:00:00"/>
    <s v="06/12/2023 00:00:00"/>
    <s v="05/12/2026 00:00:00"/>
    <x v="3"/>
    <x v="0"/>
    <n v="6423004.4900000002"/>
    <n v="0"/>
    <n v="0"/>
    <n v="0"/>
    <n v="6423004.4900000002"/>
    <n v="178416.7913888889"/>
    <n v="2141001.4966666671"/>
    <n v="4483232.7"/>
    <n v="914896.9"/>
    <n v="3568335.8"/>
    <n v="3211502.22"/>
    <n v="3211502.22"/>
    <s v="01-07-2025"/>
  </r>
  <r>
    <s v="01"/>
    <s v="Secretaria Municipal de Direitos Humanos e Cidadania"/>
    <s v="34"/>
    <s v="10"/>
    <n v="14"/>
    <n v="422"/>
    <n v="3018"/>
    <x v="9"/>
    <s v="33395000"/>
    <s v="22"/>
    <s v="Termo de Colaboração - Lei Federal 13.019/2014"/>
    <n v="8"/>
    <s v="Não Aplicável"/>
    <n v="2023"/>
    <n v="37726"/>
    <s v="068/SMDHC/CPIR"/>
    <s v="6074202300110749"/>
    <s v="Termo de Colaboração - Gestão do Centro de Referência de Promoção da Igualdade Racial da Região Leste - Lote 3."/>
    <s v="05/12/2023 00:00:00"/>
    <s v="06/12/2023 00:00:00"/>
    <s v="05/12/2026 00:00:00"/>
    <x v="3"/>
    <x v="0"/>
    <n v="6106129.8700000001"/>
    <n v="0"/>
    <n v="0"/>
    <n v="0"/>
    <n v="6106129.8700000001"/>
    <n v="169614.71861111111"/>
    <n v="2035376.6233333333"/>
    <n v="3392294.39"/>
    <n v="0"/>
    <n v="3392294.39"/>
    <n v="3053064.95"/>
    <n v="3053064.95"/>
    <s v="01-07-2025"/>
  </r>
  <r>
    <s v="01"/>
    <s v="Secretaria Municipal de Direitos Humanos e Cidadania"/>
    <s v="34"/>
    <s v="10"/>
    <n v="14"/>
    <n v="422"/>
    <n v="3013"/>
    <x v="5"/>
    <s v="33395000"/>
    <s v="22"/>
    <s v="Termo de Colaboração - Lei Federal 13.019/2014"/>
    <n v="8"/>
    <s v="Não Aplicável"/>
    <n v="2023"/>
    <n v="29695"/>
    <s v="54/2023/SMDHC/CPM"/>
    <s v="6074202300078993"/>
    <s v="Parceria. Termo de Colaboração. Edital de Chamamento Público Nº CPB/003/2023/SMDHC/CPM. Projeto &quot;Gestão do Centro de Referência e Cidadania da Mulher CRCM - Casa da Mulher Distrito da Zona Oeste - Distrito Barra Funda”"/>
    <s v="29/09/2023 00:00:00"/>
    <s v="04/10/2023 00:00:00"/>
    <s v="26/12/2026 00:00:00"/>
    <x v="4"/>
    <x v="0"/>
    <n v="6012103.6500000004"/>
    <n v="0"/>
    <n v="0"/>
    <n v="0"/>
    <n v="6012103.6500000004"/>
    <n v="154156.50384615385"/>
    <n v="1849878.0461538462"/>
    <n v="4051983.56"/>
    <n v="0.15"/>
    <n v="4051983.41"/>
    <n v="4051983.41"/>
    <n v="4051983.41"/>
    <s v="01-07-2025"/>
  </r>
  <r>
    <s v="01"/>
    <s v="Secretaria Municipal de Direitos Humanos e Cidadania"/>
    <s v="34"/>
    <s v="10"/>
    <n v="14"/>
    <n v="243"/>
    <n v="3013"/>
    <x v="11"/>
    <s v="33399000"/>
    <s v="2"/>
    <s v="Termo de Contrato - Serviços"/>
    <n v="12"/>
    <s v="Pregão"/>
    <n v="2024"/>
    <n v="16869"/>
    <s v="164/SMDHC/2024"/>
    <s v="6074202400025174"/>
    <s v="Prestação de Serviços de RECEPÇÃO para as sedes dos 52 (cinquenta e dois) Conselhos Tutelares do Município de São Paulo."/>
    <s v="10/06/2024 00:00:00"/>
    <s v="26/06/2024 00:00:00"/>
    <s v="25/01/2027 00:00:00"/>
    <x v="7"/>
    <x v="0"/>
    <n v="5903248.5"/>
    <n v="0"/>
    <n v="0"/>
    <n v="0"/>
    <n v="5903248.5"/>
    <n v="190427.37096774194"/>
    <n v="2285128.4516129033"/>
    <n v="1364306.32"/>
    <n v="973051.84"/>
    <n v="391254.48"/>
    <n v="391254.48"/>
    <n v="391254.48"/>
    <s v="01-07-2025"/>
  </r>
  <r>
    <s v="01"/>
    <s v="Secretaria Municipal de Direitos Humanos e Cidadania"/>
    <s v="34"/>
    <s v="10"/>
    <n v="14"/>
    <n v="243"/>
    <n v="3013"/>
    <x v="11"/>
    <s v="33399000"/>
    <s v="2"/>
    <s v="Termo de Contrato - Serviços"/>
    <n v="12"/>
    <s v="Pregão"/>
    <n v="2024"/>
    <n v="32863"/>
    <s v="330/SMDHC/2024"/>
    <s v="6074202400025174"/>
    <s v="Prestação de Serviços de RECEPÇÃO para as sedes dos 52 (cinquenta e dois) Conselhos Tutelares do Município de São Paulo."/>
    <s v="07/10/2024 00:00:00"/>
    <s v="15/10/2024 00:00:00"/>
    <s v="15/04/2027 00:00:00"/>
    <x v="7"/>
    <x v="0"/>
    <n v="5903248.5"/>
    <n v="0"/>
    <n v="260066.76"/>
    <n v="0"/>
    <n v="6163315.2599999998"/>
    <n v="198816.62129032257"/>
    <n v="2385799.4554838706"/>
    <n v="2544133.5099999998"/>
    <n v="65591.649999999994"/>
    <n v="2478541.86"/>
    <n v="1539326.5"/>
    <n v="1320879.32"/>
    <s v="01-07-2025"/>
  </r>
  <r>
    <s v="01"/>
    <s v="Secretaria Municipal de Direitos Humanos e Cidadania"/>
    <s v="34"/>
    <s v="10"/>
    <n v="14"/>
    <n v="422"/>
    <n v="3013"/>
    <x v="5"/>
    <s v="33395000"/>
    <s v="22"/>
    <s v="Termo de Colaboração - Lei Federal 13.019/2014"/>
    <n v="8"/>
    <s v="Não Aplicável"/>
    <n v="2023"/>
    <n v="29552"/>
    <s v="52/2023/SMDHC/CPM"/>
    <s v="6074202300078977"/>
    <s v="Parceria. Termo de Colaboração. Edital de Chamamento Público Nº CPB/003/2023/SMDHC/CPM. Projeto &quot;Gestão do Centro de Referência e Cidadania da Mulher CRCM - Casa da Mulher Distrito Campo Limpo - Capão Redondo&quot;"/>
    <s v="29/09/2023 00:00:00"/>
    <s v="02/10/2023 00:00:00"/>
    <s v="27/09/2026 00:00:00"/>
    <x v="3"/>
    <x v="0"/>
    <n v="5678779.6500000004"/>
    <n v="0"/>
    <n v="0"/>
    <n v="0"/>
    <n v="5678779.6500000004"/>
    <n v="157743.87916666668"/>
    <n v="1892926.5500000003"/>
    <n v="3999324.24"/>
    <n v="383433.61"/>
    <n v="3615890.63"/>
    <n v="3615890.63"/>
    <n v="3615890.63"/>
    <s v="01-07-2025"/>
  </r>
  <r>
    <s v="01"/>
    <s v="Secretaria Municipal de Direitos Humanos e Cidadania"/>
    <s v="34"/>
    <s v="10"/>
    <n v="14"/>
    <n v="422"/>
    <n v="3013"/>
    <x v="5"/>
    <s v="33395000"/>
    <s v="22"/>
    <s v="Termo de Colaboração - Lei Federal 13.019/2014"/>
    <n v="8"/>
    <s v="Não Aplicável"/>
    <n v="2023"/>
    <n v="29524"/>
    <s v="53/SMDHC/CPM"/>
    <s v="6074202300078985"/>
    <s v="Parceria. Termo de Colaboração. Edital de Chamamento Público Nº CPB/003/2023/SMDHC/CPM. Projeto &quot;Gestão do Centro de Referência e Cidadania da Mulher CRCM - Casa da Mulher Rua Dr. Bacelar, 20 – Vila Clementino”"/>
    <s v="29/09/2023 00:00:00"/>
    <s v="04/10/2023 00:00:00"/>
    <s v="30/09/2026 00:00:00"/>
    <x v="3"/>
    <x v="0"/>
    <n v="5513779.7699999996"/>
    <n v="0"/>
    <n v="0"/>
    <n v="0"/>
    <n v="5513779.7699999996"/>
    <n v="153160.54916666666"/>
    <n v="1837926.5899999999"/>
    <n v="3842316.3"/>
    <n v="119456.82"/>
    <n v="3722859.48"/>
    <n v="3722859.48"/>
    <n v="3722859.48"/>
    <s v="01-07-2025"/>
  </r>
  <r>
    <s v="01"/>
    <s v="Secretaria Municipal de Direitos Humanos e Cidadania"/>
    <s v="34"/>
    <s v="10"/>
    <n v="14"/>
    <n v="122"/>
    <n v="3018"/>
    <x v="10"/>
    <s v="33395000"/>
    <s v="22"/>
    <s v="Termo de Colaboração - Lei Federal 13.019/2014"/>
    <n v="8"/>
    <s v="Não Aplicável"/>
    <n v="2023"/>
    <n v="33112"/>
    <s v="61/2023/SMDHC/ODH"/>
    <s v="6074202300097670"/>
    <s v="Parceria. Termo de Colaboração. Edital de Chamamento Público Nº CPB/010/2023/SMDHC/ODH. Projeto &quot;Núcleo de Direitos Humanos Lapa, Núcleo de Direitos Humanos Santana e Núcleo de Direitos Humanos Ipiranga”."/>
    <s v="30/10/2023 00:00:00"/>
    <s v="06/11/2023 00:00:00"/>
    <s v="13/08/2026 00:00:00"/>
    <x v="8"/>
    <x v="0"/>
    <n v="5380551"/>
    <n v="0"/>
    <n v="0"/>
    <n v="0"/>
    <n v="5380551"/>
    <n v="163047"/>
    <n v="1956564"/>
    <n v="3865057.88"/>
    <n v="865181.93"/>
    <n v="2999875.95"/>
    <n v="2552380.65"/>
    <n v="2552380.65"/>
    <s v="01-07-2025"/>
  </r>
  <r>
    <s v="01"/>
    <s v="Secretaria Municipal de Direitos Humanos e Cidadania"/>
    <s v="34"/>
    <s v="10"/>
    <n v="14"/>
    <n v="422"/>
    <n v="3013"/>
    <x v="5"/>
    <s v="33395000"/>
    <s v="22"/>
    <s v="Termo de Colaboração - Lei Federal 13.019/2014"/>
    <n v="8"/>
    <s v="Não Aplicável"/>
    <n v="2024"/>
    <n v="10115"/>
    <s v="14/2024/SMDHC/CPM"/>
    <s v="6074202400022310"/>
    <s v="Objeto Gestão do Centro de Referência e Cidadania da Mulher CRCM - Casa da Mulher Parelheiros."/>
    <s v="11/04/2024 00:00:00"/>
    <s v="16/04/2024 00:00:00"/>
    <s v="11/04/2027 00:00:00"/>
    <x v="3"/>
    <x v="0"/>
    <n v="5330621.67"/>
    <n v="0"/>
    <n v="0"/>
    <n v="0"/>
    <n v="5330621.67"/>
    <n v="148072.82416666666"/>
    <n v="1776873.89"/>
    <n v="2720760.5"/>
    <n v="0.02"/>
    <n v="2720760.48"/>
    <n v="2720760.48"/>
    <n v="2720760.48"/>
    <s v="01-07-2025"/>
  </r>
  <r>
    <s v="01"/>
    <s v="Secretaria Municipal de Direitos Humanos e Cidadania"/>
    <s v="34"/>
    <s v="10"/>
    <n v="14"/>
    <n v="243"/>
    <n v="3013"/>
    <x v="11"/>
    <s v="33379000"/>
    <s v="2"/>
    <s v="Termo de Contrato - Serviços"/>
    <n v="12"/>
    <s v="Pregão"/>
    <n v="2020"/>
    <n v="14453"/>
    <s v="030/SMDHC/2020"/>
    <s v="6074202000015376"/>
    <s v="Contratação de um Serviço Integrado de Segurança incluindo, em dois lotes, serviços de vigilância e segurança patrimonial armada e vigilância para atender os Centros de Cidadania da Mulher, Centros de Referência da Mulher, Centros de Referência da Igualdade Racial, Centro Público de Direitos Humanos e Economia Solidária, Pólo Cultural José Lewgoy, Centro de Referência da Diversidade, Centro de Cidadania LGBTI – Norte, Centro de Cidadania LGBTI – Zona Leste e Conselhos Tutelares do Município de São Paulo, em conformidade com as disposições do Edital e os seus respectivos anexos."/>
    <s v="03/08/2020 00:00:00"/>
    <s v="06/08/2020 00:00:00"/>
    <s v="01/08/2025 00:00:00"/>
    <x v="1"/>
    <x v="0"/>
    <n v="4547566.08"/>
    <n v="4619318.18"/>
    <n v="23594128.710000001"/>
    <n v="0"/>
    <n v="32761012.969999999"/>
    <n v="546016.88283333334"/>
    <n v="6552202.5940000005"/>
    <n v="38550736.119999997"/>
    <n v="6021268.0899999999"/>
    <n v="32529468.030000001"/>
    <n v="30673064.559999999"/>
    <n v="30673064.559999999"/>
    <s v="01-07-2025"/>
  </r>
  <r>
    <s v="01"/>
    <s v="Secretaria Municipal de Direitos Humanos e Cidadania"/>
    <s v="34"/>
    <s v="10"/>
    <n v="14"/>
    <n v="126"/>
    <n v="3024"/>
    <x v="12"/>
    <s v="33409000"/>
    <s v="2"/>
    <s v="Termo de Contrato - Serviços"/>
    <n v="6"/>
    <s v="Dispensa de Licitação"/>
    <n v="2023"/>
    <n v="32745"/>
    <s v="333/SMDHC/2020"/>
    <s v="6074202300035836"/>
    <s v="Contratação especializada na Prestação de Serviços Técnicos Especializados de Tecnologia da Informação, pela CONTRATADA, para Sustentação de TIC, para suporte dos negócios da CONTRATANTE, compatíveis com a sua finalidade e relacionados na Proposta Comercial PC-SMDHC-230301-26 – Versão 3.0."/>
    <s v="01/11/2023 00:00:00"/>
    <s v="07/11/2023 00:00:00"/>
    <s v="31/10/2025 00:00:00"/>
    <x v="2"/>
    <x v="0"/>
    <n v="3973115.56"/>
    <n v="159622.9"/>
    <n v="4019685.56"/>
    <n v="0"/>
    <n v="8152424.0199999996"/>
    <n v="339684.33416666667"/>
    <n v="4076212.01"/>
    <n v="6143113.2699999996"/>
    <n v="940140.47"/>
    <n v="5202972.8"/>
    <n v="4570080"/>
    <n v="4299140.75"/>
    <s v="01-07-2025"/>
  </r>
  <r>
    <s v="01"/>
    <s v="Secretaria Municipal de Direitos Humanos e Cidadania"/>
    <s v="34"/>
    <s v="10"/>
    <n v="14"/>
    <n v="422"/>
    <n v="3013"/>
    <x v="5"/>
    <s v="33395000"/>
    <s v="22"/>
    <s v="Termo de Colaboração - Lei Federal 13.019/2014"/>
    <n v="8"/>
    <s v="Não Aplicável"/>
    <n v="2023"/>
    <n v="30130"/>
    <s v="51/2023/SMDHC/CPM"/>
    <s v="6074202300078969"/>
    <s v="Parceria. Termo de Colaboração. Edital de Chamamento Público Nº CPB/003/2023/SMDHC/CPM, Projeto &quot;Gestão do Centro de Referência e Cidadania da Mulher CRCM - Casa da Mulher de Brasilândia”"/>
    <s v="05/10/2023 00:00:00"/>
    <s v="11/10/2023 00:00:00"/>
    <s v="02/10/2026 00:00:00"/>
    <x v="3"/>
    <x v="0"/>
    <n v="3907158.25"/>
    <n v="0"/>
    <n v="0"/>
    <n v="0"/>
    <n v="3907158.25"/>
    <n v="108532.17361111111"/>
    <n v="1302386.0833333333"/>
    <n v="2690897.17"/>
    <n v="119523.69"/>
    <n v="2571373.48"/>
    <n v="2571373.4700000002"/>
    <n v="2571373.4700000002"/>
    <s v="01-07-2025"/>
  </r>
  <r>
    <s v="01"/>
    <s v="Secretaria Municipal de Direitos Humanos e Cidadania"/>
    <s v="34"/>
    <s v="10"/>
    <n v="14"/>
    <n v="422"/>
    <n v="3018"/>
    <x v="13"/>
    <s v="33395000"/>
    <s v="22"/>
    <s v="Termo de Colaboração - Lei Federal 13.019/2014"/>
    <n v="8"/>
    <s v="Não Aplicável"/>
    <n v="2020"/>
    <n v="8367"/>
    <s v="TCL/002/2020/SMDHC"/>
    <s v="6074202000012180"/>
    <s v="Celebração de Termo de Colaboração com a entidade “Associação Franciscana de Solidariedade” -  advindo da seleção de proposta do edital de chamamento público nº dital CPB/005/2020/SMDHC/CPIPTD, para gerenciar o Centro de Referência e Atendimento para Imigrantes (CRAI)."/>
    <s v="19/05/2020 00:00:00"/>
    <s v="03/06/2020 00:00:00"/>
    <s v="26/05/2026 00:00:00"/>
    <x v="9"/>
    <x v="0"/>
    <n v="3388569.69"/>
    <n v="0"/>
    <n v="6302425.54"/>
    <n v="0"/>
    <n v="9690995.2300000004"/>
    <n v="132753.35931506849"/>
    <n v="1593040.311780822"/>
    <n v="9058620.5800000001"/>
    <n v="471486.23"/>
    <n v="8587134.3499999996"/>
    <n v="7848541.9100000001"/>
    <n v="7848541.9100000001"/>
    <s v="01-07-2025"/>
  </r>
  <r>
    <s v="01"/>
    <s v="Secretaria Municipal de Direitos Humanos e Cidadania"/>
    <s v="34"/>
    <s v="10"/>
    <n v="14"/>
    <n v="422"/>
    <n v="3007"/>
    <x v="8"/>
    <s v="33379000"/>
    <s v="2"/>
    <s v="Termo de Contrato - Serviços"/>
    <n v="7"/>
    <s v="Inexigibilidade"/>
    <n v="2024"/>
    <n v="30342"/>
    <s v="329/SMDHC/2024"/>
    <s v="6074202300066928"/>
    <s v="Contratação de empresa especializada na Prestação de Serviços de Vigilância e Segurança Patrimonial, com a finalidade de exercer preventivamente a proteção do patrimônio e das pessoas que se encontram nos limites da localidade a ser vigiada, com a efetiva cobertura dos postos dos equipamentos pertencentes à Secretaria Municipal de Direitos Humanos e Cidadania – SMDHC."/>
    <s v="01/10/2024 00:00:00"/>
    <s v="07/10/2024 00:00:00"/>
    <s v="24/05/2027 00:00:00"/>
    <x v="10"/>
    <x v="0"/>
    <n v="3089646"/>
    <n v="0"/>
    <n v="0"/>
    <n v="0"/>
    <n v="3089646"/>
    <n v="96551.4375"/>
    <n v="1158617.25"/>
    <n v="1056547.44"/>
    <n v="454920.64"/>
    <n v="601626.80000000005"/>
    <n v="544544.68999999994"/>
    <n v="544544.68999999994"/>
    <s v="01-07-2025"/>
  </r>
  <r>
    <s v="01"/>
    <s v="Secretaria Municipal de Direitos Humanos e Cidadania"/>
    <s v="34"/>
    <s v="10"/>
    <n v="14"/>
    <n v="422"/>
    <n v="3013"/>
    <x v="1"/>
    <s v="33379000"/>
    <s v="2"/>
    <s v="Termo de Contrato - Serviços"/>
    <n v="12"/>
    <s v="Pregão"/>
    <n v="2025"/>
    <n v="13466"/>
    <m/>
    <s v="6074202300066928"/>
    <s v="Contratação de empresa especializada na Prestação de Serviços de Vigilância e Segurança Patrimonial, com a finalidade de exercer preventivamente a proteção do patrimônio e das pessoas que se encontram nos limites da localidade a ser vigiada, com a efetiva cobertura dos postos dos equipamentos pertencentes à Secretaria Municipal de Direitos Humanos e Cidadania – SMDHC."/>
    <m/>
    <m/>
    <m/>
    <x v="5"/>
    <x v="1"/>
    <n v="3089645.4"/>
    <n v="0"/>
    <n v="0"/>
    <n v="0"/>
    <n v="3089645.4"/>
    <n v="257470.44999999998"/>
    <n v="3089645.4"/>
    <n v="607720.41"/>
    <n v="24991"/>
    <n v="582729.41"/>
    <n v="0"/>
    <n v="0"/>
    <s v="01-07-2025"/>
  </r>
  <r>
    <s v="01"/>
    <s v="Secretaria Municipal de Direitos Humanos e Cidadania"/>
    <s v="34"/>
    <s v="10"/>
    <n v="14"/>
    <n v="243"/>
    <n v="3013"/>
    <x v="11"/>
    <s v="33399000"/>
    <s v="2"/>
    <s v="Termo de Contrato - Serviços"/>
    <n v="12"/>
    <s v="Pregão"/>
    <n v="2021"/>
    <n v="21847"/>
    <s v="286/SMHDC/2021"/>
    <s v="6074202100041158"/>
    <s v="Contratação de empresa especializada em locação de microcomputadores tipo desktop, com estabilizador bivolt para cada equipamento instalado."/>
    <s v="18/11/2021 00:00:00"/>
    <s v="19/11/2021 00:00:00"/>
    <s v="01/01/2026 00:00:00"/>
    <x v="11"/>
    <x v="0"/>
    <n v="2882880"/>
    <n v="321235.20000000001"/>
    <n v="960960"/>
    <n v="0"/>
    <n v="4165075.2"/>
    <n v="83301.504000000001"/>
    <n v="999618.04799999995"/>
    <n v="4418402.22"/>
    <n v="393609.29"/>
    <n v="4024792.93"/>
    <n v="3510366.53"/>
    <n v="3417954.73"/>
    <s v="01-07-2025"/>
  </r>
  <r>
    <s v="01"/>
    <s v="Secretaria Municipal de Direitos Humanos e Cidadania"/>
    <s v="34"/>
    <s v="10"/>
    <n v="14"/>
    <n v="243"/>
    <n v="3013"/>
    <x v="11"/>
    <s v="33399000"/>
    <s v="2"/>
    <s v="Termo de Contrato - Serviços"/>
    <n v="12"/>
    <s v="Pregão"/>
    <n v="2022"/>
    <n v="16811"/>
    <s v="145/SMDHC/2022"/>
    <s v="6074202100079449"/>
    <s v="Prestação de Serviços de Limpeza, Asseio e Conservação Predial das áreas internas e externas, para atendimento dos 52 (cinquenta e dois) Conselhos Tutelares."/>
    <s v="12/07/2022 00:00:00"/>
    <s v="14/07/2022 00:00:00"/>
    <s v="11/09/2025 00:00:00"/>
    <x v="12"/>
    <x v="0"/>
    <n v="2772866.88"/>
    <n v="362951.3"/>
    <n v="7041379.7999999998"/>
    <n v="0"/>
    <n v="10177197.98"/>
    <n v="267820.99947368423"/>
    <n v="3213851.9936842108"/>
    <n v="11012596.470000001"/>
    <n v="1075545.33"/>
    <n v="9937051.1400000006"/>
    <n v="8857894.9800000004"/>
    <n v="8857894.9800000004"/>
    <s v="01-07-2025"/>
  </r>
  <r>
    <s v="01"/>
    <s v="Secretaria Municipal de Direitos Humanos e Cidadania"/>
    <s v="34"/>
    <s v="10"/>
    <n v="14"/>
    <n v="422"/>
    <n v="3013"/>
    <x v="3"/>
    <s v="33395000"/>
    <s v="22"/>
    <s v="Termo de Colaboração - Lei Federal 13.019/2014"/>
    <n v="8"/>
    <s v="Não Aplicável"/>
    <n v="2021"/>
    <n v="10879"/>
    <s v="506/SMADS/2018"/>
    <s v="6074202000060606"/>
    <s v="Termo de Aditamento com o CENTRO GASPAR GARCIA DE DIREITOS HUMANOS, inscrita no CNPJ sob o nº 59.940.080/0001-08,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
    <s v="11/06/2021 00:00:00"/>
    <s v="18/06/2021 00:00:00"/>
    <s v="29/09/2025 00:00:00"/>
    <x v="13"/>
    <x v="0"/>
    <n v="2381378.06"/>
    <n v="0"/>
    <n v="1713296.07"/>
    <n v="0"/>
    <n v="4094674.13"/>
    <n v="78743.733269230768"/>
    <n v="944924.79923076928"/>
    <n v="4445695.41"/>
    <n v="351021.28"/>
    <n v="4094674.13"/>
    <n v="3867995.73"/>
    <n v="3867995.73"/>
    <s v="01-07-2025"/>
  </r>
  <r>
    <s v="01"/>
    <s v="Secretaria Municipal de Direitos Humanos e Cidadania"/>
    <s v="34"/>
    <s v="10"/>
    <n v="14"/>
    <n v="422"/>
    <n v="3013"/>
    <x v="5"/>
    <s v="33399000"/>
    <s v="2"/>
    <s v="Termo de Contrato - Serviços"/>
    <n v="4"/>
    <s v="Concorrência"/>
    <n v="2024"/>
    <n v="29365"/>
    <s v="261/SMDHC/2024"/>
    <s v="6074202300065530"/>
    <s v="Contratação de empresa especializada na Prestação de Serviços de Limpeza, Asseio e Conservação Predial, visando à obtenção de adequadas condições de salubridade e higiene, com disponibilização de mão-de-obra, saneantes domissanitários, materiais e equipamentos na sede e nas unidades afeitas à Secretaria Municipal de Direitos Humanos e Cidadania – SMDHC."/>
    <s v="09/09/2024 00:00:00"/>
    <s v="10/09/2024 00:00:00"/>
    <s v="17/09/2025 00:00:00"/>
    <x v="5"/>
    <x v="0"/>
    <n v="1912763.64"/>
    <n v="0"/>
    <n v="33821.4"/>
    <n v="0"/>
    <n v="1946585.0399999998"/>
    <n v="162215.41999999998"/>
    <n v="1946585.0399999998"/>
    <n v="1785554.53"/>
    <n v="74971.28"/>
    <n v="1710583.25"/>
    <n v="1130596.1299999999"/>
    <n v="972700.23"/>
    <s v="01-07-2025"/>
  </r>
  <r>
    <s v="01"/>
    <s v="Secretaria Municipal de Direitos Humanos e Cidadania"/>
    <s v="34"/>
    <s v="10"/>
    <n v="14"/>
    <n v="422"/>
    <n v="3018"/>
    <x v="6"/>
    <s v="33395000"/>
    <s v="22"/>
    <s v="Termo de Colaboração - Lei Federal 13.019/2014"/>
    <n v="8"/>
    <s v="Não Aplicável"/>
    <n v="2019"/>
    <n v="16821"/>
    <s v="006/2019/SMDHC"/>
    <s v="6074201900015846"/>
    <s v="Celebração de Termo de Colaboração com a entidade “ASSOCIAÇÃO CULTURAL EDUCACIONAL E SOCIAL DYNAMITE - ACESD”, inscrita no CNPJ/MF nº. 07.157.970/0001-44, advindo da seleção de proposta do edital de chamamento público nº CPB/005/2019/SMDHC/CPLGBTI, para gerenciar o Centro de Cidadania Região Norte pelo período de 24 (vinte e quatro) meses."/>
    <s v="18/07/2019 00:00:00"/>
    <s v="23/07/2019 00:00:00"/>
    <s v="16/08/2025 00:00:00"/>
    <x v="14"/>
    <x v="0"/>
    <n v="1897214.75"/>
    <n v="0"/>
    <n v="4661064.38"/>
    <n v="0"/>
    <n v="6558279.1299999999"/>
    <n v="88625.393648648649"/>
    <n v="1063504.7237837838"/>
    <n v="7293277.8899999997"/>
    <n v="965855.38"/>
    <n v="6327422.5099999998"/>
    <n v="6327422.5099999998"/>
    <n v="6327422.5099999998"/>
    <s v="01-07-2025"/>
  </r>
  <r>
    <s v="01"/>
    <s v="Secretaria Municipal de Direitos Humanos e Cidadania"/>
    <s v="34"/>
    <s v="10"/>
    <n v="14"/>
    <n v="422"/>
    <n v="3023"/>
    <x v="7"/>
    <s v="33399000"/>
    <s v="2"/>
    <s v="Termo de Contrato - Serviços"/>
    <n v="6"/>
    <s v="Dispensa de Licitação"/>
    <n v="2025"/>
    <n v="13644"/>
    <m/>
    <s v="6074202500034256"/>
    <s v="Contratação de empresa especializada para a prestação de serviço de relatoria e mediação, incluindo mão-de-obra e todos os materiais necessários à execução das atividades previstas para as conferências a ocorrer em 2025._x000a__x000a_ "/>
    <m/>
    <m/>
    <m/>
    <x v="5"/>
    <x v="1"/>
    <n v="1789215.04"/>
    <n v="0"/>
    <n v="0"/>
    <n v="0"/>
    <n v="1789215.04"/>
    <n v="149101.25333333333"/>
    <n v="1789215.04"/>
    <n v="900000"/>
    <n v="450000"/>
    <n v="450000"/>
    <n v="0"/>
    <n v="0"/>
    <s v="01-07-2025"/>
  </r>
  <r>
    <s v="01"/>
    <s v="Secretaria Municipal de Direitos Humanos e Cidadania"/>
    <s v="34"/>
    <s v="10"/>
    <n v="14"/>
    <n v="126"/>
    <n v="3024"/>
    <x v="12"/>
    <s v="33409000"/>
    <s v="2"/>
    <s v="Termo de Contrato - Serviços"/>
    <n v="6"/>
    <s v="Dispensa de Licitação"/>
    <n v="2024"/>
    <n v="30364"/>
    <s v="262/SMDHC/2024"/>
    <s v="6074202400042915"/>
    <s v="Prestação de Serviços de Acesso à Rede Corporativa PMSP e Internet SD-WAN para o suporte dos negócios para a Secretaria Municipal de Direitos Humanos e Cidadania – SMDHC._x000a__x000a_ "/>
    <s v="18/09/2024 00:00:00"/>
    <s v="20/09/2024 00:00:00"/>
    <s v="18/09/2025 00:00:00"/>
    <x v="5"/>
    <x v="0"/>
    <n v="1652562.8"/>
    <n v="0"/>
    <n v="0"/>
    <n v="0"/>
    <n v="1652562.8"/>
    <n v="137713.56666666668"/>
    <n v="1652562.8000000003"/>
    <n v="1561997.5"/>
    <n v="576098.49"/>
    <n v="985899.01"/>
    <n v="181780.83"/>
    <n v="80791.48"/>
    <s v="01-07-2025"/>
  </r>
  <r>
    <s v="01"/>
    <s v="Secretaria Municipal de Direitos Humanos e Cidadania"/>
    <s v="34"/>
    <s v="10"/>
    <n v="14"/>
    <n v="422"/>
    <n v="3018"/>
    <x v="6"/>
    <s v="33395000"/>
    <s v="22"/>
    <s v="Termo de Colaboração - Lei Federal 13.019/2014"/>
    <n v="8"/>
    <s v="Não Aplicável"/>
    <n v="2020"/>
    <n v="16119"/>
    <s v="TLC/004/2020/SMDHC"/>
    <s v="6074202000035504"/>
    <s v="Implantação e gestão do “Centro de Cidadania LGBTI”, na Região Oeste, do “Programa Transcidadania” Regionalizado, estabelecido no Decreto Municipal n. 58.227/2018, bem como a operacionalização de uma “Unidade Móvel” prevista no Programa, pelo período de 24 (vinte e quatro) meses"/>
    <s v="27/08/2020 00:00:00"/>
    <s v="02/09/2020 00:00:00"/>
    <s v="15/08/2025 00:00:00"/>
    <x v="1"/>
    <x v="0"/>
    <n v="1621392.96"/>
    <n v="0"/>
    <n v="2708214.33"/>
    <n v="0"/>
    <n v="4329607.29"/>
    <n v="72160.121499999994"/>
    <n v="865921.45799999987"/>
    <n v="5413200.8700000001"/>
    <n v="1251035.44"/>
    <n v="4162165.43"/>
    <n v="4162165.43"/>
    <n v="4162165.43"/>
    <s v="01-07-2025"/>
  </r>
  <r>
    <s v="01"/>
    <s v="Secretaria Municipal de Direitos Humanos e Cidadania"/>
    <s v="34"/>
    <s v="10"/>
    <n v="14"/>
    <n v="422"/>
    <n v="3018"/>
    <x v="6"/>
    <s v="33399000"/>
    <s v="2"/>
    <s v="Termo de Contrato - Serviços"/>
    <n v="12"/>
    <s v="Pregão"/>
    <n v="2020"/>
    <n v="14496"/>
    <s v="033/SMDHC/2020"/>
    <s v="6074202000000751"/>
    <s v="CONTRATAÇÃO DE EMPRESA ESPECIALIZADA EM PRESTAÇÃO DE SERVIÇOS DE LOCAÇÃO DE VEÍCULOS ADAPTADOS, SIMILARES AO MODELO Sprinter, TIPO VAN, COM MOTORISTA, SEGURANÇA PESSOAL, COMBUSTÍVEL e GERADOR DE ENERGIA, COM QUILOMETRAGEM LIVRE e SEGURO."/>
    <s v="06/08/2020 00:00:00"/>
    <s v="12/08/2020 00:00:00"/>
    <s v="07/08/2025 00:00:00"/>
    <x v="1"/>
    <x v="0"/>
    <n v="1545600"/>
    <n v="603841.79"/>
    <n v="2740220"/>
    <n v="0"/>
    <n v="4889661.79"/>
    <n v="81494.363166666662"/>
    <n v="977932.35800000001"/>
    <n v="4991579.04"/>
    <n v="245476.68"/>
    <n v="4746102.3600000003"/>
    <n v="4435155.01"/>
    <n v="4435155.01"/>
    <s v="01-07-2025"/>
  </r>
  <r>
    <s v="01"/>
    <s v="Secretaria Municipal de Direitos Humanos e Cidadania"/>
    <s v="34"/>
    <s v="10"/>
    <n v="14"/>
    <n v="422"/>
    <n v="3013"/>
    <x v="3"/>
    <s v="33395000"/>
    <s v="22"/>
    <s v="Termo de Colaboração - Lei Federal 13.019/2014"/>
    <n v="8"/>
    <s v="Não Aplicável"/>
    <n v="2021"/>
    <n v="7511"/>
    <s v="410/SMADS/2018"/>
    <s v="6074202000060592"/>
    <s v="Termo de Aditamento com a ASSOCIAÇÃO FRANCISCANA DE SOLIDARIEDADE (SEFRAS), inscrita no CNPJ sob o nº 11.861.086/0001-63,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  que tem por objeto a conjugação de esforços e recursos para promover, sob a coordenação e supervisão da Coordenação de Políticas para População em Situação de Rua da Secretaria Municipal de Direitos Humanos e Cidadania (CPPSR/SMDHC) e com apoio do Centro Público de Economia Solidária e Direitos Humanos, a saída qualificada da situação de rua."/>
    <s v="19/04/2021 00:00:00"/>
    <s v="23/04/2021 00:00:00"/>
    <s v="15/08/2025 00:00:00"/>
    <x v="13"/>
    <x v="0"/>
    <n v="1510937.4"/>
    <n v="0"/>
    <n v="1287634.4099999999"/>
    <n v="0"/>
    <n v="2798571.8099999996"/>
    <n v="53818.688653846148"/>
    <n v="645824.26384615374"/>
    <n v="3645826.7"/>
    <n v="847435.49"/>
    <n v="2798391.21"/>
    <n v="2798391.21"/>
    <n v="2798391.21"/>
    <s v="01-07-2025"/>
  </r>
  <r>
    <s v="01"/>
    <s v="Secretaria Municipal de Direitos Humanos e Cidadania"/>
    <s v="34"/>
    <s v="10"/>
    <n v="8"/>
    <n v="605"/>
    <n v="3016"/>
    <x v="2"/>
    <s v="33399000"/>
    <s v="2"/>
    <s v="Termo de Contrato - Serviços"/>
    <n v="12"/>
    <s v="Pregão"/>
    <n v="2021"/>
    <n v="8320"/>
    <s v="049/SMDHC/2021"/>
    <s v="6074202100007588"/>
    <s v="Serviço de logística de recebimento e distribuição de refeições no Projeto Rede Cozinha Cidadã da Secretaria Municipal de Direitos Humanos e Cidadania – SMDHC mediante locação de 18 (dezoito) veículos, com fechamento isotérmico para transportar refeições prontas e acondicionadas, com 18 (dezoito) motoristas e 36 (trinta e seis) ajudantes - dois ajudantes por veículo."/>
    <s v="29/04/2021 00:00:00"/>
    <s v="01/05/2021 00:00:00"/>
    <s v="25/08/2025 00:00:00"/>
    <x v="13"/>
    <x v="0"/>
    <n v="1189394.82"/>
    <n v="930125.15"/>
    <n v="9053127.3100000005"/>
    <n v="0"/>
    <n v="11172647.280000001"/>
    <n v="214858.60153846157"/>
    <n v="2578303.2184615387"/>
    <n v="11486807.039999999"/>
    <n v="1676895.28"/>
    <n v="9809911.7599999998"/>
    <n v="8670746.2400000002"/>
    <n v="8670746.2400000002"/>
    <s v="01-07-2025"/>
  </r>
  <r>
    <s v="01"/>
    <s v="Secretaria Municipal de Direitos Humanos e Cidadania"/>
    <s v="34"/>
    <s v="10"/>
    <n v="8"/>
    <n v="243"/>
    <n v="3013"/>
    <x v="14"/>
    <s v="33395000"/>
    <s v="23"/>
    <s v="Termo de Fomento - Lei Federal 13.019/2014"/>
    <n v="8"/>
    <s v="Não Aplicável"/>
    <n v="2018"/>
    <n v="18372"/>
    <s v="001/2018/SMDHC/CPDDH"/>
    <s v="6074201700007084"/>
    <s v="Constitui objeto do presente colaboração junto à entidade para prestar moradia temporária, apoio psicossocial a crianças, adolescentes e jovens com diagnóstico de câncer ou transplantados de fígado e rins, em tratamento ou acompanhamento, vindos de todo Brasil para serem atendidos nos grandes centros especializados de tratamento do Sistema Único de Saúde/Hospitais Filantrópicos da Cidade de São Paulo, e seus  acompanhantes, ofertando no mínimo 80 vagas por mês, pelo período de 12 (doze ) meses da data de assinatura."/>
    <s v="27/07/2018 00:00:00"/>
    <s v="02/08/2019 00:00:00"/>
    <s v="25/07/2025 00:00:00"/>
    <x v="15"/>
    <x v="0"/>
    <n v="1167461.76"/>
    <n v="0"/>
    <n v="7004770.6200000001"/>
    <n v="0"/>
    <n v="8172232.3799999999"/>
    <n v="96143.91035294118"/>
    <n v="1153726.9242352941"/>
    <n v="8853251.3699999992"/>
    <n v="681019.36"/>
    <n v="8172232.0099999998"/>
    <n v="8172232.0099999998"/>
    <n v="8172232.0099999998"/>
    <s v="01-07-2025"/>
  </r>
  <r>
    <s v="01"/>
    <s v="Secretaria Municipal de Direitos Humanos e Cidadania"/>
    <s v="34"/>
    <s v="10"/>
    <n v="14"/>
    <n v="422"/>
    <n v="3013"/>
    <x v="1"/>
    <s v="33399000"/>
    <s v="2"/>
    <s v="Termo de Contrato - Serviços"/>
    <n v="12"/>
    <s v="Pregão"/>
    <n v="2024"/>
    <n v="35367"/>
    <s v="337/SMDHC/2024"/>
    <s v="6074202400073438"/>
    <s v="Prestação de Serviços de Limpeza, Asseio e Conservação Predial das áreas internas e externas, visando à obtenção de adequadas condições de salubridade e higiene, com disponibilização de mão-de-obra em regime de dedicação exclusiva, saneantes domissanitários, materiais e equipamentos, nas unidades pertencentes à SMDHC."/>
    <s v="01/11/2024 00:00:00"/>
    <s v="06/11/2024 00:00:00"/>
    <s v="02/12/2025 00:00:00"/>
    <x v="16"/>
    <x v="0"/>
    <n v="1161857.8799999999"/>
    <n v="0"/>
    <n v="0"/>
    <n v="0"/>
    <n v="1161857.8799999999"/>
    <n v="89373.683076923073"/>
    <n v="1072484.1969230769"/>
    <n v="1358759.34"/>
    <n v="221862.24"/>
    <n v="1136897.1000000001"/>
    <n v="552730.77"/>
    <n v="455909.28"/>
    <s v="01-07-2025"/>
  </r>
  <r>
    <s v="01"/>
    <s v="Secretaria Municipal de Direitos Humanos e Cidadania"/>
    <s v="34"/>
    <s v="10"/>
    <n v="14"/>
    <n v="243"/>
    <n v="3013"/>
    <x v="11"/>
    <s v="33399000"/>
    <s v="2"/>
    <s v="Termo de Contrato - Serviços"/>
    <n v="12"/>
    <s v="Pregão"/>
    <n v="2021"/>
    <n v="24655"/>
    <s v="350/SMDHC/2021"/>
    <s v="6074202100023311"/>
    <s v="Contratação de serviços de infraestrutura de rede com manutenção corretiva, manutenção preventiva, instalações, desinstalações, remanejamentos e execução de projetos em rede de telefonia e lógica, por demanda, na Secretaria Municipal de Direitos Humanos e Cidadania e demais equipamentos externos."/>
    <s v="15/12/2021 00:00:00"/>
    <s v="18/01/2022 00:00:00"/>
    <s v="14/12/2025 00:00:00"/>
    <x v="17"/>
    <x v="0"/>
    <n v="1159527.6599999999"/>
    <n v="173929.14"/>
    <n v="3767984.47"/>
    <n v="0"/>
    <n v="5101441.2699999996"/>
    <n v="106280.02645833332"/>
    <n v="1275360.3174999999"/>
    <n v="5055259.71"/>
    <n v="1045580.36"/>
    <n v="4009679.35"/>
    <n v="3473228.9"/>
    <n v="3306221.04"/>
    <s v="01-07-2025"/>
  </r>
  <r>
    <s v="01"/>
    <s v="Secretaria Municipal de Direitos Humanos e Cidadania"/>
    <s v="34"/>
    <s v="10"/>
    <n v="14"/>
    <n v="422"/>
    <n v="3007"/>
    <x v="8"/>
    <s v="33379000"/>
    <s v="2"/>
    <s v="Termo de Contrato - Serviços"/>
    <n v="12"/>
    <s v="Pregão"/>
    <n v="2021"/>
    <n v="19273"/>
    <s v="232/SMDHC/2021"/>
    <s v="6074202100026485"/>
    <s v="Contratação de um Serviço Integrado de Segurança incluindo serviços de vigilância e segurança patrimonial desarmada, para atender a estação pertencente à Ação Vidas no Centro do Município de São Paulo."/>
    <s v="06/10/2021 00:00:00"/>
    <s v="08/10/2021 00:00:00"/>
    <s v="05/10/2025 00:00:00"/>
    <x v="17"/>
    <x v="0"/>
    <n v="1109970"/>
    <n v="301997.68"/>
    <n v="3043704.96"/>
    <n v="0"/>
    <n v="4455672.6399999997"/>
    <n v="92826.513333333321"/>
    <n v="1113918.1599999999"/>
    <n v="3956253.09"/>
    <n v="254199.18"/>
    <n v="3702053.91"/>
    <n v="3599942.55"/>
    <n v="3599942.55"/>
    <s v="01-07-2025"/>
  </r>
  <r>
    <s v="01"/>
    <s v="Secretaria Municipal de Direitos Humanos e Cidadania"/>
    <s v="34"/>
    <s v="10"/>
    <n v="14"/>
    <n v="422"/>
    <n v="3013"/>
    <x v="5"/>
    <s v="33309000"/>
    <s v="29"/>
    <s v="Termo de Contrato para Aquisição de Bens de Consumo e/ou Permanente"/>
    <n v="12"/>
    <s v="Pregão"/>
    <n v="2025"/>
    <n v="14539"/>
    <m/>
    <s v="6074202500009413"/>
    <s v="Aquisição de agasalhos, roupas e vestuários de inverno, por meio de Ata de Registro de Preços, visando atender às necessidades da Coordenação de Políticas para População em Situação de Rua da Secretaria Municipal de Direitos Humanos e Cidadania (SMDHC)."/>
    <m/>
    <m/>
    <m/>
    <x v="5"/>
    <x v="1"/>
    <n v="1054300"/>
    <n v="0"/>
    <n v="0"/>
    <n v="1054300"/>
    <n v="0"/>
    <n v="0"/>
    <n v="0"/>
    <n v="120000"/>
    <n v="120000"/>
    <n v="0"/>
    <n v="0"/>
    <n v="0"/>
    <s v="01-07-2025"/>
  </r>
  <r>
    <s v="01"/>
    <s v="Secretaria Municipal de Direitos Humanos e Cidadania"/>
    <s v="34"/>
    <s v="10"/>
    <n v="14"/>
    <n v="422"/>
    <n v="3013"/>
    <x v="5"/>
    <s v="33309000"/>
    <s v="29"/>
    <s v="Termo de Contrato para Aquisição de Bens de Consumo e/ou Permanente"/>
    <n v="12"/>
    <s v="Pregão"/>
    <n v="2025"/>
    <n v="14554"/>
    <m/>
    <s v="6074202500009413"/>
    <s v="Aquisição de agasalhos, roupas e vestuários de inverno, por meio de Ata de Registro de Preços, visando atender às necessidades da Coordenação de Políticas para População em Situação de Rua da Secretaria Municipal de Direitos Humanos e Cidadania (SMDHC)."/>
    <m/>
    <m/>
    <m/>
    <x v="5"/>
    <x v="1"/>
    <n v="1054300"/>
    <n v="0"/>
    <n v="0"/>
    <n v="0"/>
    <n v="1054300"/>
    <n v="87858.333333333328"/>
    <n v="1054300"/>
    <n v="120000"/>
    <n v="0"/>
    <n v="120000"/>
    <n v="0"/>
    <n v="0"/>
    <s v="01-07-2025"/>
  </r>
  <r>
    <s v="01"/>
    <s v="Secretaria Municipal de Direitos Humanos e Cidadania"/>
    <s v="34"/>
    <s v="10"/>
    <n v="14"/>
    <n v="122"/>
    <n v="3024"/>
    <x v="0"/>
    <s v="33399000"/>
    <s v="2"/>
    <s v="Termo de Contrato - Serviços"/>
    <n v="12"/>
    <s v="Pregão"/>
    <n v="2021"/>
    <n v="22768"/>
    <s v="323/SMDHC/2021"/>
    <s v="6074202100003884"/>
    <s v="Contratação de prestação de serviços para fornecimento mensal estimado de 52.000 doses de café e outras bebidas quentes, através de 52 (cinquenta e duas) máquinas de autoatendimento para atender aos 52 (cinquenta e dois) Conselhos Tutelares do Município de São Paulo."/>
    <s v="24/11/2021 00:00:00"/>
    <s v="11/12/2021 00:00:00"/>
    <s v="23/11/2025 00:00:00"/>
    <x v="17"/>
    <x v="0"/>
    <n v="973800"/>
    <n v="292143.35999999999"/>
    <n v="2921400"/>
    <n v="0"/>
    <n v="4187343.36"/>
    <n v="87236.319999999992"/>
    <n v="1046835.8399999999"/>
    <n v="3188360.2"/>
    <n v="1590638.41"/>
    <n v="1597721.79"/>
    <n v="1248416.48"/>
    <n v="1248416.48"/>
    <s v="01-07-2025"/>
  </r>
  <r>
    <s v="01"/>
    <s v="Secretaria Municipal de Direitos Humanos e Cidadania"/>
    <s v="34"/>
    <s v="10"/>
    <n v="14"/>
    <n v="243"/>
    <n v="3013"/>
    <x v="11"/>
    <s v="33399000"/>
    <s v="2"/>
    <s v="Termo de Contrato - Serviços"/>
    <n v="12"/>
    <s v="Pregão"/>
    <n v="2021"/>
    <n v="18248"/>
    <s v="225/SMDHC/2021"/>
    <s v="6074202100030849"/>
    <s v=" Contratação de Serviço Telefônico Fixo Comutado – STFC (fixo-fixo e fixo-móvel) e de Serviço Móvel Pessoal - SMP (Móvel-Móvel, Móvel-Fixo e dados), nas modalidades Local, Longa Distância Nacional (LDN) e Longa Distância Internacional (LDI) a ser executado de forma contínua."/>
    <s v="23/09/2021 00:00:00"/>
    <s v="29/10/2021 00:00:00"/>
    <s v="30/01/2027 00:00:00"/>
    <x v="18"/>
    <x v="0"/>
    <n v="927260.4"/>
    <n v="0"/>
    <n v="927260.4"/>
    <n v="0"/>
    <n v="1854520.8"/>
    <n v="28531.08923076923"/>
    <n v="342373.07076923078"/>
    <n v="1829277.34"/>
    <n v="416879.87"/>
    <n v="1412397.47"/>
    <n v="1166097.51"/>
    <n v="1166097.51"/>
    <s v="01-07-2025"/>
  </r>
  <r>
    <s v="01"/>
    <s v="Secretaria Municipal de Direitos Humanos e Cidadania"/>
    <s v="34"/>
    <s v="10"/>
    <n v="14"/>
    <n v="243"/>
    <n v="3013"/>
    <x v="11"/>
    <s v="33399000"/>
    <s v="2"/>
    <s v="Termo de Contrato - Serviços"/>
    <n v="12"/>
    <s v="Pregão"/>
    <n v="2020"/>
    <n v="14321"/>
    <s v="028/SMDHC/2020"/>
    <s v="6074202000025363"/>
    <s v="Contratação de empresa especializada para prestação de serviço de empresa especializada na prestação de serviços de manutenção predial, abrangendo as preventivas, corretivas e assistência técnica das instalações elétricas, das hidráulicas, da civil, de telefonia interna, do sistema de detecção de fumaça, de alarme, de combate a incêndio, de iluminação de emergência, de para-raios, ar condicionado e de serviços gerais conexos, com fornecimento estimado de peças e equipamentos, incluindo eventual necessidade de deslocamento de mobiliários e materiais de suporte necessários, nos imóveis de uso dos 52 Conselhos Tutelares do Município de São Paulo, localizados nos endereços constantes no Anexo I, supervisionados pela “Coordenação de Políticas para Crianças e Adolescentes - CPCA” da Secretaria Municipal de Direitos Humanos e Cidadania"/>
    <s v="31/07/2020 00:00:00"/>
    <s v="07/08/2020 00:00:00"/>
    <s v="02/08/2027 00:00:00"/>
    <x v="15"/>
    <x v="0"/>
    <n v="816999.92"/>
    <n v="803424.44"/>
    <n v="5449623.4000000004"/>
    <n v="0"/>
    <n v="7070047.7599999998"/>
    <n v="83177.032470588238"/>
    <n v="998124.38964705891"/>
    <n v="7454279.29"/>
    <n v="549850.74"/>
    <n v="6904428.5499999998"/>
    <n v="6748969.04"/>
    <n v="6576553.7000000002"/>
    <s v="01-07-2025"/>
  </r>
  <r>
    <s v="01"/>
    <s v="Secretaria Municipal de Direitos Humanos e Cidadania"/>
    <s v="34"/>
    <s v="10"/>
    <n v="14"/>
    <n v="122"/>
    <n v="3024"/>
    <x v="0"/>
    <s v="33399000"/>
    <s v="58"/>
    <s v="Termo de Credenciamento"/>
    <n v="12"/>
    <s v="Pregão"/>
    <n v="2025"/>
    <n v="3135"/>
    <s v="007/SMDHC/2025"/>
    <s v="6074202500009324"/>
    <s v="Contratação de Kit Lanches (Lote 03), para a população do distrito do Jardim Pantanal."/>
    <s v="07/02/2025 00:00:00"/>
    <s v="10/02/2025 00:00:00"/>
    <s v="20/02/2025 00:00:00"/>
    <x v="19"/>
    <x v="0"/>
    <n v="753600"/>
    <n v="0"/>
    <n v="0"/>
    <n v="0"/>
    <n v="753600"/>
    <n v="753600"/>
    <n v="9043200"/>
    <n v="753600"/>
    <n v="409204.8"/>
    <n v="344395.2"/>
    <n v="344395.2"/>
    <n v="344395.2"/>
    <s v="01-07-2025"/>
  </r>
  <r>
    <s v="01"/>
    <s v="Secretaria Municipal de Direitos Humanos e Cidadania"/>
    <s v="34"/>
    <s v="10"/>
    <n v="14"/>
    <n v="422"/>
    <n v="3018"/>
    <x v="9"/>
    <s v="33379000"/>
    <s v="2"/>
    <s v="Termo de Contrato - Serviços"/>
    <n v="12"/>
    <s v="Pregão"/>
    <n v="2022"/>
    <n v="31010"/>
    <m/>
    <s v="6074202200031731"/>
    <s v="Contratação de empresa especializada na Prestação de Serviços de Vigilância e Segurança Patrimonial, por lotes, com a finalidade de exercer preventivamente a proteção do patrimônio e das pessoas que se encontram nos limites da localidade a ser vigiada, com a efetiva cobertura dos postos dos equipamentos pertencentes à Secretaria Municipal de Direitos Humanos e Cidadania – SMDHC."/>
    <m/>
    <m/>
    <s v="31/10/2022 00:00:00"/>
    <x v="5"/>
    <x v="0"/>
    <n v="747999.84"/>
    <n v="0"/>
    <n v="0"/>
    <n v="0"/>
    <n v="747999.84"/>
    <n v="62333.32"/>
    <n v="747999.84"/>
    <n v="124666.64"/>
    <n v="124666.64"/>
    <n v="0"/>
    <n v="0"/>
    <n v="0"/>
    <s v="01-07-2025"/>
  </r>
  <r>
    <s v="01"/>
    <s v="Secretaria Municipal de Direitos Humanos e Cidadania"/>
    <s v="34"/>
    <s v="10"/>
    <n v="14"/>
    <n v="422"/>
    <n v="3013"/>
    <x v="5"/>
    <s v="33399000"/>
    <s v="2"/>
    <s v="Termo de Contrato - Serviços"/>
    <n v="6"/>
    <s v="Dispensa de Licitação"/>
    <n v="2023"/>
    <n v="1892"/>
    <s v="059/SMDHC/2023"/>
    <s v="6074202200032010"/>
    <s v="Contratação de empresa especializada na administração e gerenciamento de frota veicular, incluindo motorista, combustível, quilometragem livre, central de chamadas, estacionamento 24 (vinte e quatro) horas, para o atendimento de 05 (cinco) veículos, sendo destes 03 (três) da Coordenação de Promoção da Igualdade Racial – CPIR e 02 (dois) da Coordenação de Políticas paras as Mulheres – CPM, unidades afeitas à Secretaria Municipal de Direitos Humanos e Cidadania – SMDHC"/>
    <s v="08/02/2023 00:00:00"/>
    <s v="10/02/2023 00:00:00"/>
    <s v="09/02/2026 00:00:00"/>
    <x v="3"/>
    <x v="0"/>
    <n v="707616"/>
    <n v="74678.759999999995"/>
    <n v="1415232"/>
    <n v="0"/>
    <n v="2197526.7599999998"/>
    <n v="61042.409999999996"/>
    <n v="732508.91999999993"/>
    <n v="1963358.45"/>
    <n v="44285.42"/>
    <n v="1919073.03"/>
    <n v="1671014.35"/>
    <n v="1607579.12"/>
    <s v="01-07-2025"/>
  </r>
  <r>
    <s v="01"/>
    <s v="Secretaria Municipal de Direitos Humanos e Cidadania"/>
    <s v="34"/>
    <s v="10"/>
    <n v="14"/>
    <n v="244"/>
    <n v="3013"/>
    <x v="15"/>
    <s v="33489000"/>
    <s v="55"/>
    <s v="Nota de Empenho Transferência Valores para Cta Única-Tesouro Municipal"/>
    <n v="8"/>
    <s v="Não Aplicável"/>
    <n v="2025"/>
    <n v="1650"/>
    <m/>
    <s v="6074202500006201"/>
    <s v="Pagamento das parcelas do Auxílio Aluguel para Mulheres Vítimas de Violência, por intermédio do BANCO_x000a_DO BRASIL S/A."/>
    <m/>
    <m/>
    <s v="01/01/2026 00:00:00"/>
    <x v="5"/>
    <x v="0"/>
    <n v="695200"/>
    <n v="0"/>
    <n v="2843600"/>
    <n v="0"/>
    <n v="3538800"/>
    <n v="294900"/>
    <n v="3538800"/>
    <n v="3538800"/>
    <n v="0"/>
    <n v="3538800"/>
    <n v="3473200"/>
    <n v="3473200"/>
    <s v="01-07-2025"/>
  </r>
  <r>
    <s v="01"/>
    <s v="Secretaria Municipal de Direitos Humanos e Cidadania"/>
    <s v="34"/>
    <s v="10"/>
    <n v="14"/>
    <n v="243"/>
    <n v="3013"/>
    <x v="11"/>
    <s v="33399000"/>
    <s v="2"/>
    <s v="Termo de Contrato - Serviços"/>
    <n v="6"/>
    <s v="Dispensa de Licitação"/>
    <n v="2024"/>
    <n v="35667"/>
    <s v="341/SMDHC/2024"/>
    <s v="6074202400054352"/>
    <s v="Prestação de serviços por Instituição Financeira de serviços de pagamento do benefício referente ao Auxílio Ampara concedido às crianças e adolescentes em situação de orfandade decorrente de feminicídio no Município de São Paulo, instituído pela Lei nº 17.851/2022, e emissão, aos beneficiários, de cartão magnético, em todas as agências da Instituição Financeira, bem como pagamento de benefícios eventuais e/ou emergenciais e a emissão, aos beneficiários."/>
    <s v="12/11/2024 00:00:00"/>
    <s v="18/11/2024 00:00:00"/>
    <s v="17/10/2029 00:00:00"/>
    <x v="1"/>
    <x v="0"/>
    <n v="685000"/>
    <n v="0"/>
    <n v="0"/>
    <n v="0"/>
    <n v="685000"/>
    <n v="11416.666666666666"/>
    <n v="137000"/>
    <n v="78671.5"/>
    <n v="52901.5"/>
    <n v="25770"/>
    <n v="4575.5"/>
    <n v="3805.5"/>
    <s v="01-07-2025"/>
  </r>
  <r>
    <s v="01"/>
    <s v="Secretaria Municipal de Direitos Humanos e Cidadania"/>
    <s v="34"/>
    <s v="10"/>
    <n v="14"/>
    <n v="122"/>
    <n v="3024"/>
    <x v="0"/>
    <s v="33399000"/>
    <s v="2"/>
    <s v="Termo de Contrato - Serviços"/>
    <n v="6"/>
    <s v="Dispensa de Licitação"/>
    <n v="2022"/>
    <n v="1379"/>
    <s v="9912565743"/>
    <s v="6074202100086755"/>
    <s v="Contratação de empresa para prestação de serviços postais"/>
    <s v="05/02/2022 00:00:00"/>
    <s v="05/02/2022 00:00:00"/>
    <s v="01/02/2025 00:00:00"/>
    <x v="3"/>
    <x v="0"/>
    <n v="636000"/>
    <n v="0"/>
    <n v="1272000"/>
    <n v="0"/>
    <n v="1908000"/>
    <n v="53000"/>
    <n v="636000"/>
    <n v="2221000"/>
    <n v="1291284.0900000001"/>
    <n v="929715.91"/>
    <n v="770995.76"/>
    <n v="770995.76"/>
    <s v="01-07-2025"/>
  </r>
  <r>
    <s v="01"/>
    <s v="Secretaria Municipal de Direitos Humanos e Cidadania"/>
    <s v="34"/>
    <s v="10"/>
    <n v="14"/>
    <n v="422"/>
    <n v="3013"/>
    <x v="5"/>
    <s v="33399000"/>
    <s v="2"/>
    <s v="Termo de Contrato - Serviços"/>
    <n v="7"/>
    <s v="Inexigibilidade"/>
    <n v="2025"/>
    <n v="4104"/>
    <s v="011/SMDHC/2025"/>
    <s v="6074202500010888"/>
    <s v="Contratação de empresa especializada cujas pessoas trabalhadoras sejam técnicas e aptas em relação às especificidades dos diferentes públicos que compõem grandes eventos e atuam de acordo com as diretrizes da SMDHC no combate às violências de gênero, étnico-raciais, LGBTI+ e demais populações vulneráveis, como crianças e adolescentes."/>
    <s v="13/02/2025 00:00:00"/>
    <s v="18/02/2025 00:00:00"/>
    <s v="23/04/2025 00:00:00"/>
    <x v="20"/>
    <x v="0"/>
    <n v="624433"/>
    <n v="0"/>
    <n v="0"/>
    <n v="0"/>
    <n v="624433"/>
    <n v="312216.5"/>
    <n v="3746598"/>
    <n v="624433"/>
    <n v="0"/>
    <n v="624433"/>
    <n v="624433"/>
    <n v="624433"/>
    <s v="01-07-2025"/>
  </r>
  <r>
    <s v="01"/>
    <s v="Secretaria Municipal de Direitos Humanos e Cidadania"/>
    <s v="34"/>
    <s v="10"/>
    <n v="14"/>
    <n v="422"/>
    <n v="3013"/>
    <x v="5"/>
    <s v="33399000"/>
    <s v="2"/>
    <s v="Termo de Contrato - Serviços"/>
    <n v="6"/>
    <s v="Dispensa de Licitação"/>
    <n v="2025"/>
    <n v="4219"/>
    <s v="014/SMDHC/2025"/>
    <s v="6074202500004683"/>
    <s v="Prestação de serviços de concepção, organização, produção e execução de eventos com viabilização de infraestrutura e fornecimento de apoio logístico para concepção, e execução de eventos para a Administração Direta durante as ações do Carnaval 2025 na Cidade de São Paulo pela Secretaria Municipal de Direitos Humanos e Cidadania considerando as atividades em Blocos de Rua, Sambódromo e ações na União das Escolas de Samba Paulistanas (UESP)."/>
    <s v="14/02/2025 00:00:00"/>
    <s v="20/02/2025 00:00:00"/>
    <s v="16/03/2025 00:00:00"/>
    <x v="21"/>
    <x v="0"/>
    <n v="580289.27"/>
    <n v="0"/>
    <n v="0"/>
    <n v="0"/>
    <n v="580289.27"/>
    <n v="580289.27"/>
    <n v="6963471.2400000002"/>
    <n v="580289.27"/>
    <n v="0"/>
    <n v="580289.27"/>
    <n v="261130.17"/>
    <n v="261130.17"/>
    <s v="01-07-2025"/>
  </r>
  <r>
    <s v="01"/>
    <s v="Secretaria Municipal de Direitos Humanos e Cidadania"/>
    <s v="34"/>
    <s v="10"/>
    <n v="14"/>
    <n v="422"/>
    <n v="3013"/>
    <x v="3"/>
    <s v="33399000"/>
    <s v="64"/>
    <s v="Nota de Empenho-Fornecitº Serviços de Concessionárias de Abast.Público"/>
    <n v="6"/>
    <s v="Dispensa de Licitação"/>
    <n v="2025"/>
    <n v="185"/>
    <m/>
    <s v="6074202400099127"/>
    <s v=" Consumo de serviços de Água e Esgoto - Exercício de 2025."/>
    <m/>
    <m/>
    <s v="01/01/2026 00:00:00"/>
    <x v="5"/>
    <x v="0"/>
    <n v="570000"/>
    <n v="0"/>
    <n v="80000"/>
    <n v="0"/>
    <n v="650000"/>
    <n v="54166.666666666664"/>
    <n v="650000"/>
    <n v="650000"/>
    <n v="12331.43"/>
    <n v="637668.56999999995"/>
    <n v="130083.78"/>
    <n v="125382.85"/>
    <s v="01-07-2025"/>
  </r>
  <r>
    <s v="01"/>
    <s v="Secretaria Municipal de Direitos Humanos e Cidadania"/>
    <s v="34"/>
    <s v="10"/>
    <n v="14"/>
    <n v="243"/>
    <n v="3013"/>
    <x v="11"/>
    <s v="33409000"/>
    <s v="2"/>
    <s v="Termo de Contrato - Serviços"/>
    <n v="6"/>
    <s v="Dispensa de Licitação"/>
    <n v="2021"/>
    <n v="10724"/>
    <s v="TC 132/SMDHC/2021"/>
    <s v="6074202100004090"/>
    <s v="Prestação de serviços técnicos especializados de tecnologia da informação, pela PRODAM, para SUSTENÇÃO DE TIC para os Conselhos Tutelares, compatíveis com sua finalidade e relacionados na proposta PCSMDHC-210113-3 Versão 1.1, pelo período de 12 (doze) meses."/>
    <s v="08/06/2021 00:00:00"/>
    <s v="15/06/2021 00:00:00"/>
    <s v="07/06/2025 00:00:00"/>
    <x v="17"/>
    <x v="0"/>
    <n v="548858"/>
    <n v="281243.57"/>
    <n v="1646574"/>
    <n v="0"/>
    <n v="2476675.5700000003"/>
    <n v="51597.40770833334"/>
    <n v="619168.89250000007"/>
    <n v="2606308.23"/>
    <n v="833069.87"/>
    <n v="1773238.36"/>
    <n v="1650056.71"/>
    <n v="1623847.29"/>
    <s v="01-07-2025"/>
  </r>
  <r>
    <s v="01"/>
    <s v="Secretaria Municipal de Direitos Humanos e Cidadania"/>
    <s v="34"/>
    <s v="10"/>
    <n v="14"/>
    <n v="422"/>
    <n v="3013"/>
    <x v="3"/>
    <s v="33399000"/>
    <s v="64"/>
    <s v="Nota de Empenho-Fornecitº Serviços de Concessionárias de Abast.Público"/>
    <n v="6"/>
    <s v="Dispensa de Licitação"/>
    <n v="2025"/>
    <n v="188"/>
    <m/>
    <s v="6074202400099151"/>
    <s v="Consumo de Energia Elétrica - Exercício de 2025"/>
    <m/>
    <m/>
    <s v="31/12/2024 00:00:00"/>
    <x v="5"/>
    <x v="0"/>
    <n v="540000"/>
    <n v="0"/>
    <n v="30000"/>
    <n v="0"/>
    <n v="570000"/>
    <n v="47500"/>
    <n v="570000"/>
    <n v="892500"/>
    <n v="341714.89"/>
    <n v="550785.11"/>
    <n v="151164.49"/>
    <n v="150784.07999999999"/>
    <s v="01-07-2025"/>
  </r>
  <r>
    <s v="01"/>
    <s v="Secretaria Municipal de Direitos Humanos e Cidadania"/>
    <s v="34"/>
    <s v="10"/>
    <n v="14"/>
    <n v="422"/>
    <n v="3013"/>
    <x v="3"/>
    <s v="33399000"/>
    <s v="64"/>
    <s v="Nota de Empenho-Fornecitº Serviços de Concessionárias de Abast.Público"/>
    <n v="6"/>
    <s v="Dispensa de Licitação"/>
    <n v="2025"/>
    <n v="1097"/>
    <m/>
    <s v="6074202400099151"/>
    <s v="Recursos (estimados) para o Consumo de Energia Elétrica - Exercício de 2025."/>
    <m/>
    <m/>
    <m/>
    <x v="5"/>
    <x v="1"/>
    <n v="540000"/>
    <n v="0"/>
    <n v="0"/>
    <n v="0"/>
    <n v="540000"/>
    <n v="45000"/>
    <n v="540000"/>
    <n v="30000"/>
    <n v="30000"/>
    <n v="0"/>
    <n v="0"/>
    <n v="0"/>
    <s v="01-07-2025"/>
  </r>
  <r>
    <s v="01"/>
    <s v="Secretaria Municipal de Direitos Humanos e Cidadania"/>
    <s v="34"/>
    <s v="10"/>
    <n v="14"/>
    <n v="422"/>
    <n v="3013"/>
    <x v="1"/>
    <s v="33399000"/>
    <s v="2"/>
    <s v="Termo de Contrato - Serviços"/>
    <n v="8"/>
    <s v="Não Aplicável"/>
    <n v="2019"/>
    <n v="23178"/>
    <s v="041/SMDHC/2019"/>
    <s v="6074201800010656"/>
    <s v="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 para o Lote 1"/>
    <s v="02/10/2019 00:00:00"/>
    <s v="09/10/2019 00:00:00"/>
    <s v="30/10/2025 00:00:00"/>
    <x v="14"/>
    <x v="0"/>
    <n v="539863.19999999995"/>
    <n v="518700.6"/>
    <n v="2699316"/>
    <n v="0"/>
    <n v="3757879.8"/>
    <n v="50782.159459459457"/>
    <n v="609385.91351351351"/>
    <n v="4059724.84"/>
    <n v="835516.96"/>
    <n v="3224207.88"/>
    <n v="3224207.88"/>
    <n v="3224207.88"/>
    <s v="01-07-2025"/>
  </r>
  <r>
    <s v="01"/>
    <s v="Secretaria Municipal de Direitos Humanos e Cidadania"/>
    <s v="34"/>
    <s v="10"/>
    <n v="14"/>
    <n v="126"/>
    <n v="3024"/>
    <x v="12"/>
    <s v="33409000"/>
    <s v="2"/>
    <s v="Termo de Contrato - Serviços"/>
    <n v="12"/>
    <s v="Pregão"/>
    <n v="2024"/>
    <n v="22235"/>
    <s v="238/SMDHC/2024"/>
    <s v="6074202400026510"/>
    <s v="Contratação de empresa especializada para a prestação de Serviços de Impressão Corporativa, incluindo a prestação de serviços de manutenção preventiva e corretiva, fornecimento de peças e suprimentos necessários, para atender as necessidades da Secretaria Municipal de Direito Humanos e Cidadania - SMDHC."/>
    <s v="16/07/2024 00:00:00"/>
    <s v="24/07/2024 00:00:00"/>
    <s v="01/08/2026 00:00:00"/>
    <x v="2"/>
    <x v="0"/>
    <n v="506030.4"/>
    <n v="0"/>
    <n v="0"/>
    <n v="0"/>
    <n v="506030.4"/>
    <n v="21084.600000000002"/>
    <n v="253015.2"/>
    <n v="199965.3"/>
    <n v="70747.72"/>
    <n v="129217.58"/>
    <n v="89948.36"/>
    <n v="89948.36"/>
    <s v="01-07-2025"/>
  </r>
  <r>
    <s v="01"/>
    <s v="Secretaria Municipal de Direitos Humanos e Cidadania"/>
    <s v="34"/>
    <s v="10"/>
    <n v="14"/>
    <n v="122"/>
    <n v="3024"/>
    <x v="0"/>
    <s v="33309000"/>
    <s v="2"/>
    <s v="Termo de Contrato - Serviços"/>
    <n v="12"/>
    <s v="Pregão"/>
    <n v="2023"/>
    <n v="26849"/>
    <s v="314/SMDHC/2023"/>
    <s v="6074202300027639"/>
    <s v="Contratação de empresa especializada na prestação de serviços contínuos de Controle de Acesso ao Edifício São Joaquim, com efetiva cobertura das portarias, disponibilização de equipamentos de informática, emissão de crachás, e manutenção preventiva e corretiva dos módulos de passagem."/>
    <s v="12/09/2023 00:00:00"/>
    <s v="15/09/2023 00:00:00"/>
    <s v="22/10/2025 00:00:00"/>
    <x v="22"/>
    <x v="0"/>
    <n v="471600"/>
    <n v="18417.560000000001"/>
    <n v="517781.7"/>
    <n v="0"/>
    <n v="1007799.26"/>
    <n v="40311.970399999998"/>
    <n v="483743.64480000001"/>
    <n v="1074641.02"/>
    <n v="78529.63"/>
    <n v="996111.39"/>
    <n v="728709.2"/>
    <n v="728709.2"/>
    <s v="01-07-2025"/>
  </r>
  <r>
    <s v="01"/>
    <s v="Secretaria Municipal de Direitos Humanos e Cidadania"/>
    <s v="34"/>
    <s v="10"/>
    <n v="14"/>
    <n v="126"/>
    <n v="3024"/>
    <x v="12"/>
    <s v="33409000"/>
    <s v="2"/>
    <s v="Termo de Contrato - Serviços"/>
    <n v="6"/>
    <s v="Dispensa de Licitação"/>
    <n v="2023"/>
    <n v="32733"/>
    <s v="334/SMDHC/2023"/>
    <s v="6074202300090888"/>
    <s v="Plataforma de Colaboração e Produtividade."/>
    <s v="01/11/2023 00:00:00"/>
    <s v="07/11/2023 00:00:00"/>
    <s v="30/06/2026 00:00:00"/>
    <x v="10"/>
    <x v="0"/>
    <n v="412521.12"/>
    <n v="16510.650000000001"/>
    <n v="933945.62"/>
    <n v="0"/>
    <n v="1362977.3900000001"/>
    <n v="42593.043437500004"/>
    <n v="511116.52125000005"/>
    <n v="870570.48"/>
    <n v="127314.33"/>
    <n v="743256.15"/>
    <n v="596376.30000000005"/>
    <n v="562152.41"/>
    <s v="01-07-2025"/>
  </r>
  <r>
    <s v="01"/>
    <s v="Secretaria Municipal de Direitos Humanos e Cidadania"/>
    <s v="34"/>
    <s v="10"/>
    <n v="14"/>
    <n v="122"/>
    <n v="3024"/>
    <x v="0"/>
    <s v="33399000"/>
    <s v="2"/>
    <s v="Termo de Contrato - Serviços"/>
    <n v="12"/>
    <s v="Pregão"/>
    <n v="2023"/>
    <n v="21250"/>
    <s v="172/SMDHC2023"/>
    <s v="6074202300008030"/>
    <s v="ontratação de empresa especializada na prestação de serviços de manutenção preventiva e corretiva de aparelhos de ar condicionado (unidades externa e interna), incluindo mão de obra, equipamentos, fornecimento de peças e materiais necessários para a execução do presente objeto, para atender a Casa da Mulher Brasileira – CMB, unidade operacional da Coordenação Municipal de Políticas para as Mulheres – CPM."/>
    <s v="28/07/2023 00:00:00"/>
    <s v="04/08/2023 00:00:00"/>
    <s v="15/08/2025 00:00:00"/>
    <x v="2"/>
    <x v="0"/>
    <n v="381600"/>
    <n v="0"/>
    <n v="386670.63"/>
    <n v="0"/>
    <n v="768270.63"/>
    <n v="32011.276249999999"/>
    <n v="384135.315"/>
    <n v="784170.39"/>
    <n v="15900"/>
    <n v="768270.39"/>
    <n v="683699.78"/>
    <n v="651899.79"/>
    <s v="01-07-2025"/>
  </r>
  <r>
    <s v="01"/>
    <s v="Secretaria Municipal de Direitos Humanos e Cidadania"/>
    <s v="34"/>
    <s v="10"/>
    <n v="14"/>
    <n v="122"/>
    <n v="3024"/>
    <x v="0"/>
    <s v="33399000"/>
    <s v="2"/>
    <s v="Termo de Contrato - Serviços"/>
    <n v="12"/>
    <s v="Pregão"/>
    <n v="2023"/>
    <n v="3724"/>
    <s v="062/SMDHC/2023"/>
    <s v="6074202200079130"/>
    <s v="Contratação de empresa especializada na prestação de serviços de transporte através de fretamento por micro-ônibus, em caráter eventual, com fornecimento de veículo, condutor, combustível, manutenção preventiva e corretiva, estacionamento e pedágio, objetivando atender às necessidades de deslocamentos coletivos da Secretaria Municipal de Direitos Humanos e Cidadania – SMDHC_x000a__x000a_ "/>
    <s v="13/03/2023 00:00:00"/>
    <s v="16/03/2023 00:00:00"/>
    <s v="12/03/2026 00:00:00"/>
    <x v="3"/>
    <x v="0"/>
    <n v="376460.79999999999"/>
    <n v="17016"/>
    <n v="752921.59999999998"/>
    <n v="0"/>
    <n v="1146398.3999999999"/>
    <n v="31844.399999999998"/>
    <n v="382132.8"/>
    <n v="982025.27"/>
    <n v="270719.95"/>
    <n v="711305.32"/>
    <n v="594530.68000000005"/>
    <n v="594530.68000000005"/>
    <s v="01-07-2025"/>
  </r>
  <r>
    <s v="01"/>
    <s v="Secretaria Municipal de Direitos Humanos e Cidadania"/>
    <s v="34"/>
    <s v="10"/>
    <n v="14"/>
    <n v="422"/>
    <n v="3013"/>
    <x v="5"/>
    <s v="33399000"/>
    <s v="2"/>
    <s v="Termo de Contrato - Serviços"/>
    <n v="12"/>
    <s v="Pregão"/>
    <n v="2024"/>
    <n v="42114"/>
    <m/>
    <s v="6074202400087021"/>
    <s v="Serviços por empresa especializada na prestação de serviços de locação de veículos adaptados, com fornecimento de combustível e quilometragem livre, motorista, vigilante e seguro para a Unidade Móvel de Atendimento às Mulheres."/>
    <m/>
    <m/>
    <m/>
    <x v="5"/>
    <x v="1"/>
    <n v="343000"/>
    <n v="0"/>
    <n v="0"/>
    <n v="0"/>
    <n v="343000"/>
    <n v="28583.333333333332"/>
    <n v="343000"/>
    <n v="337283.29"/>
    <n v="7622.22"/>
    <n v="329661.07"/>
    <n v="0"/>
    <n v="0"/>
    <s v="01-07-2025"/>
  </r>
  <r>
    <s v="01"/>
    <s v="Secretaria Municipal de Direitos Humanos e Cidadania"/>
    <s v="34"/>
    <s v="10"/>
    <n v="14"/>
    <n v="422"/>
    <n v="3018"/>
    <x v="13"/>
    <s v="33399000"/>
    <s v="2"/>
    <s v="Termo de Contrato - Serviços"/>
    <n v="12"/>
    <s v="Pregão"/>
    <n v="2023"/>
    <n v="15971"/>
    <s v="145/SMDHC/2023"/>
    <s v="6074202300030125"/>
    <s v="Contratação de empresa especializada na prestação de serviços de locação de veículos adaptados, com fornecimento de combustível e quilometragem livre, motorista, segurança e seguro para a unidade móvel do Centro de Referência e Atendimento para Imigrantes - CRAI Móvel."/>
    <s v="16/06/2023 00:00:00"/>
    <s v="19/06/2023 00:00:00"/>
    <s v="15/06/2024 00:00:00"/>
    <x v="5"/>
    <x v="0"/>
    <n v="327600"/>
    <n v="10166.52"/>
    <n v="1310400"/>
    <n v="0"/>
    <n v="1648166.52"/>
    <n v="137347.21"/>
    <n v="1648166.52"/>
    <n v="726894.61"/>
    <n v="133940.17000000001"/>
    <n v="592954.43999999994"/>
    <n v="506304.89"/>
    <n v="506304.89"/>
    <s v="01-07-2025"/>
  </r>
  <r>
    <s v="01"/>
    <s v="Secretaria Municipal de Direitos Humanos e Cidadania"/>
    <s v="34"/>
    <s v="10"/>
    <n v="14"/>
    <n v="422"/>
    <n v="3018"/>
    <x v="9"/>
    <s v="33379000"/>
    <s v="2"/>
    <s v="Termo de Contrato - Serviços"/>
    <n v="12"/>
    <s v="Pregão"/>
    <n v="2022"/>
    <n v="31014"/>
    <s v="215/SMDHC/2022"/>
    <s v="6074202200031731"/>
    <s v="Contratação de empresa especializada na Prestação de Serviços de Vigilância e Segurança Patrimonial, por lotes, com a finalidade de exercer preventivamente a proteção do patrimônio e das pessoas que se encontram nos limites da localidade a ser vigiada, com a efetiva cobertura dos postos dos equipamentos pertencentes à Secretaria Municipal de Direitos Humanos e Cidadania – SMDHC."/>
    <s v="09/11/2022 00:00:00"/>
    <s v="17/11/2022 00:00:00"/>
    <s v="06/12/2025 00:00:00"/>
    <x v="5"/>
    <x v="0"/>
    <n v="317999.88"/>
    <n v="33911.279999999999"/>
    <n v="635999.86"/>
    <n v="0"/>
    <n v="987911.02"/>
    <n v="82325.918333333335"/>
    <n v="987911.02"/>
    <n v="1377134.79"/>
    <n v="392168.58"/>
    <n v="984966.21"/>
    <n v="780207.94"/>
    <n v="780207.94"/>
    <s v="01-07-2025"/>
  </r>
  <r>
    <s v="01"/>
    <s v="Secretaria Municipal de Direitos Humanos e Cidadania"/>
    <s v="34"/>
    <s v="10"/>
    <n v="14"/>
    <n v="422"/>
    <n v="3013"/>
    <x v="1"/>
    <s v="33399000"/>
    <s v="2"/>
    <s v="Termo de Contrato - Serviços"/>
    <n v="12"/>
    <s v="Pregão"/>
    <n v="2024"/>
    <n v="25656"/>
    <s v="248/SMDHC/2024"/>
    <s v="6074202400050110"/>
    <s v="Prestação de Serviços por empresa especializada em serviços contínuos de lavanderia - Casa da Mulher Brasileira."/>
    <s v="07/08/2024 00:00:00"/>
    <s v="16/08/2024 00:00:00"/>
    <s v="05/08/2025 00:00:00"/>
    <x v="5"/>
    <x v="0"/>
    <n v="306000"/>
    <n v="0"/>
    <n v="0"/>
    <n v="0"/>
    <n v="306000"/>
    <n v="25500"/>
    <n v="306000"/>
    <n v="145250"/>
    <n v="118195"/>
    <n v="27055"/>
    <n v="12339.7"/>
    <n v="12339.7"/>
    <s v="01-07-2025"/>
  </r>
  <r>
    <s v="01"/>
    <s v="Secretaria Municipal de Direitos Humanos e Cidadania"/>
    <s v="34"/>
    <s v="10"/>
    <n v="14"/>
    <n v="422"/>
    <n v="3013"/>
    <x v="1"/>
    <s v="33399000"/>
    <s v="64"/>
    <s v="Nota de Empenho-Fornecitº Serviços de Concessionárias de Abast.Público"/>
    <n v="7"/>
    <s v="Inexigibilidade"/>
    <n v="2025"/>
    <n v="4777"/>
    <m/>
    <s v="6074202500009731"/>
    <s v=" Consumo de Água e Esgoto - Casa da Mulher Brasileira - Exercício de 2025."/>
    <m/>
    <m/>
    <s v="01/01/2026 00:00:00"/>
    <x v="5"/>
    <x v="0"/>
    <n v="300000"/>
    <n v="0"/>
    <n v="0"/>
    <n v="0"/>
    <n v="300000"/>
    <n v="25000"/>
    <n v="300000"/>
    <n v="600000"/>
    <n v="300000"/>
    <n v="300000"/>
    <n v="64720.49"/>
    <n v="63914.57"/>
    <s v="01-07-2025"/>
  </r>
  <r>
    <s v="01"/>
    <s v="Secretaria Municipal de Direitos Humanos e Cidadania"/>
    <s v="34"/>
    <s v="10"/>
    <n v="14"/>
    <n v="422"/>
    <n v="3013"/>
    <x v="5"/>
    <s v="33399000"/>
    <s v="2"/>
    <s v="Termo de Contrato - Serviços"/>
    <n v="12"/>
    <s v="Pregão"/>
    <n v="2022"/>
    <n v="31664"/>
    <s v="21//SMDHC/2022"/>
    <s v="6074202200064630"/>
    <s v="Contratação de Instituição Financeira para prestação de serviços de pagamento de benefício assistencial referente ao Auxílio-aluguel concedido às mulheres vítimas de violência doméstica no Município de São Paulo, instituído pela Lei nº 17.320/2020, e emissão, às beneficiárias, de cartão magnético, em todas as agências da Instituição Financeira contratada."/>
    <s v="16/11/2022 00:00:00"/>
    <s v="26/11/2022 00:00:00"/>
    <s v="15/11/2025 00:00:00"/>
    <x v="3"/>
    <x v="0"/>
    <n v="294000"/>
    <n v="11760"/>
    <n v="588000"/>
    <n v="0"/>
    <n v="893760"/>
    <n v="24826.666666666668"/>
    <n v="297920"/>
    <n v="867189.05"/>
    <n v="151260.06"/>
    <n v="715928.99"/>
    <n v="582360.86"/>
    <n v="536691.34"/>
    <s v="01-07-2025"/>
  </r>
  <r>
    <s v="01"/>
    <s v="Secretaria Municipal de Direitos Humanos e Cidadania"/>
    <s v="34"/>
    <s v="10"/>
    <n v="14"/>
    <n v="122"/>
    <n v="3024"/>
    <x v="0"/>
    <s v="33399000"/>
    <s v="2"/>
    <s v="Termo de Contrato - Serviços"/>
    <n v="12"/>
    <s v="Pregão"/>
    <n v="2022"/>
    <n v="15764"/>
    <s v="141"/>
    <s v="6074202200013237"/>
    <s v="Serviços de locação, incluindo a manutenção preventiva e corretiva, bem como o fornecimento e reposição de peças e a instalação de máquinas automatizadas que disponibilizem café expresso e bebidas quentes, cumulada com a venda de doses abrangendo todos os insumos, para atender pelo sistema de livre consumo, para os servidores da Secretaria Municipal de Direitos Humanos e Cidadania – SMDHC, conforme especificações constantes no Termo de Referência - ANEXO I do Edital, "/>
    <s v="30/06/2022 00:00:00"/>
    <s v="07/07/2022 00:00:00"/>
    <s v="31/07/2025 00:00:00"/>
    <x v="23"/>
    <x v="0"/>
    <n v="267709.68"/>
    <n v="35314.29"/>
    <n v="712478.88"/>
    <n v="0"/>
    <n v="1015502.85"/>
    <n v="27446.022972972973"/>
    <n v="329352.27567567566"/>
    <n v="992723.61"/>
    <n v="186075.59"/>
    <n v="806648.02"/>
    <n v="720718.41"/>
    <n v="696312.9"/>
    <s v="01-07-2025"/>
  </r>
  <r>
    <s v="01"/>
    <s v="Secretaria Municipal de Direitos Humanos e Cidadania"/>
    <s v="34"/>
    <s v="10"/>
    <n v="14"/>
    <n v="243"/>
    <n v="3013"/>
    <x v="11"/>
    <s v="33399000"/>
    <s v="2"/>
    <s v="Termo de Contrato - Serviços"/>
    <n v="12"/>
    <s v="Pregão"/>
    <n v="2020"/>
    <n v="21258"/>
    <s v="070/SMDHC/2020"/>
    <s v="6074202000035890"/>
    <s v="Contratação de empresa especializada para a prestação de serviços de locação e instalação de equipamentos e software (sistema informatizado) necessários e suficientes para o funcionamento de um Circuito Fechado de Televisão – CFTV, incluindo sua manutenção preventiva e corretiva e uma Central de Monitoramento Remoto (período noturno), visando à efetiva cobertura das 52 (cinquenta e duas) sedes dos Conselhos Tutelares, pertencentes à Secretaria Municipal de Direitos Humanos e Cidadania"/>
    <s v="29/10/2020 00:00:00"/>
    <s v="03/12/2020 00:00:00"/>
    <s v="28/10/2025 00:00:00"/>
    <x v="1"/>
    <x v="0"/>
    <n v="228600"/>
    <n v="159114.84"/>
    <n v="901113.6"/>
    <n v="0"/>
    <n v="1288828.44"/>
    <n v="21480.473999999998"/>
    <n v="257765.68799999997"/>
    <n v="1302410.01"/>
    <n v="41031.230000000003"/>
    <n v="1261378.78"/>
    <n v="1147100.8600000001"/>
    <n v="1123936.42"/>
    <s v="01-07-2025"/>
  </r>
  <r>
    <s v="01"/>
    <s v="Secretaria Municipal de Direitos Humanos e Cidadania"/>
    <s v="34"/>
    <s v="10"/>
    <n v="14"/>
    <n v="422"/>
    <n v="3013"/>
    <x v="5"/>
    <s v="33399000"/>
    <s v="2"/>
    <s v="Termo de Contrato - Serviços"/>
    <n v="12"/>
    <s v="Pregão"/>
    <n v="2022"/>
    <n v="24727"/>
    <s v="208/SMDHC/2022"/>
    <s v="6074202100055809"/>
    <s v="Prestação de Serviços de Transporte Mediante Locação de Veículo Seminovo (com até três anos), sendo 01 (um) veículo do Tipo “D” (Grupo - D1), em caráter não eventual, com condutor e quilometragem livre, incluindo, combustível, despesas com pedágios, avarias, multas e manutenção, objetivando o deslocamento para apoio das atividades técnico-administrativas da SMDHC."/>
    <s v="13/09/2022 00:00:00"/>
    <s v="15/09/2022 00:00:00"/>
    <s v="12/09/2025 00:00:00"/>
    <x v="3"/>
    <x v="0"/>
    <n v="222806.16"/>
    <n v="22773.119999999999"/>
    <n v="445612.32"/>
    <n v="0"/>
    <n v="691191.6"/>
    <n v="19199.766666666666"/>
    <n v="230397.2"/>
    <n v="693060.42"/>
    <n v="25817.25"/>
    <n v="667243.17000000004"/>
    <n v="582687.68999999994"/>
    <n v="582687.68999999994"/>
    <s v="01-07-2025"/>
  </r>
  <r>
    <s v="01"/>
    <s v="Secretaria Municipal de Direitos Humanos e Cidadania"/>
    <s v="34"/>
    <s v="10"/>
    <n v="14"/>
    <n v="422"/>
    <n v="3013"/>
    <x v="1"/>
    <s v="33399000"/>
    <s v="2"/>
    <s v="Termo de Contrato - Serviços"/>
    <n v="12"/>
    <s v="Pregão"/>
    <n v="2021"/>
    <n v="6410"/>
    <s v="018/SMDHC/2021"/>
    <s v="6074202000057290"/>
    <s v="Contratação de uma empresa especializada na prestação de serviços de manutenção predial, abrangendo as preventivas, corretivas referente à alvenaria, carpintaria, vidros e assistência técnica das instalações elétricas, das hidráulicas, da civil, de telefonia interna, do sistema de detecção de fumaça, de alarme, de combate a incêndio, de iluminação de emergência, de  pára-raios, gás para fogão, ar condicionado e de serviços gerais conexos, com fornecimento de mão de obra, peças e materiais necessários, inclusive ferramentas, equipamentos aparelhagens e acessórios necessários para a execução dos serviços, incluindo eventual necessidade de deslocamento de mobiliários e materiais de suporte necessários, para a Casa da Mulher Brasileira, situada na Rua Vieira Ravasco s/nº, Cambuci, CEP 01518 030, São Paulo – SP"/>
    <s v="09/04/2021 00:00:00"/>
    <s v="27/04/2021 00:00:00"/>
    <s v="19/10/2025 00:00:00"/>
    <x v="24"/>
    <x v="0"/>
    <n v="221515.82"/>
    <n v="152169.95000000001"/>
    <n v="979875.65"/>
    <n v="0"/>
    <n v="1353561.42"/>
    <n v="24610.207636363633"/>
    <n v="295322.49163636361"/>
    <n v="1673497.58"/>
    <n v="342890.95"/>
    <n v="1330606.6299999999"/>
    <n v="1216225.1599999999"/>
    <n v="1214319.93"/>
    <s v="01-07-2025"/>
  </r>
  <r>
    <s v="01"/>
    <s v="Secretaria Municipal de Direitos Humanos e Cidadania"/>
    <s v="34"/>
    <s v="10"/>
    <n v="14"/>
    <n v="243"/>
    <n v="3013"/>
    <x v="11"/>
    <s v="33399000"/>
    <s v="64"/>
    <s v="Nota de Empenho-Fornecitº Serviços de Concessionárias de Abast.Público"/>
    <n v="6"/>
    <s v="Dispensa de Licitação"/>
    <n v="2025"/>
    <n v="191"/>
    <m/>
    <s v="6074202400099143"/>
    <s v="Consumo de Energia Elétrica - Exercício de 2025"/>
    <m/>
    <m/>
    <s v="01/01/2026 00:00:00"/>
    <x v="5"/>
    <x v="0"/>
    <n v="210000"/>
    <n v="0"/>
    <n v="0"/>
    <n v="0"/>
    <n v="210000"/>
    <n v="17500"/>
    <n v="210000"/>
    <n v="210000"/>
    <n v="0"/>
    <n v="210000"/>
    <n v="69722.59"/>
    <n v="69544.960000000006"/>
    <s v="01-07-2025"/>
  </r>
  <r>
    <s v="01"/>
    <s v="Secretaria Municipal de Direitos Humanos e Cidadania"/>
    <s v="34"/>
    <s v="10"/>
    <n v="14"/>
    <n v="122"/>
    <n v="3024"/>
    <x v="0"/>
    <s v="44529000"/>
    <s v="29"/>
    <s v="Termo de Contrato para Aquisição de Bens de Consumo e/ou Permanente"/>
    <n v="12"/>
    <s v="Pregão"/>
    <n v="2025"/>
    <n v="3961"/>
    <s v="TC nº 019/SMDHC/2024"/>
    <s v="6074202500004365"/>
    <s v="Fornecimento de mobiliários para escritório - Ata de Registro de Preços nº 008/2024."/>
    <s v="25/02/2025 00:00:00"/>
    <s v="27/02/2025 00:00:00"/>
    <s v="27/05/2025 00:00:00"/>
    <x v="25"/>
    <x v="0"/>
    <n v="208000"/>
    <n v="0"/>
    <n v="0"/>
    <n v="0"/>
    <n v="208000"/>
    <n v="69333.333333333328"/>
    <n v="832000"/>
    <n v="208000"/>
    <n v="0"/>
    <n v="208000"/>
    <n v="208000"/>
    <n v="208000"/>
    <s v="01-07-2025"/>
  </r>
  <r>
    <s v="01"/>
    <s v="Secretaria Municipal de Direitos Humanos e Cidadania"/>
    <s v="34"/>
    <s v="10"/>
    <n v="14"/>
    <n v="243"/>
    <n v="3013"/>
    <x v="11"/>
    <s v="33399000"/>
    <s v="64"/>
    <s v="Nota de Empenho-Fornecitº Serviços de Concessionárias de Abast.Público"/>
    <n v="6"/>
    <s v="Dispensa de Licitação"/>
    <n v="2025"/>
    <n v="1399"/>
    <m/>
    <s v="6074202400099119"/>
    <s v="Consumo de Água e Esgoto 2025 Conselho tutelar"/>
    <m/>
    <m/>
    <s v="01/01/2026 00:00:00"/>
    <x v="5"/>
    <x v="0"/>
    <n v="200000"/>
    <n v="0"/>
    <n v="0"/>
    <n v="0"/>
    <n v="200000"/>
    <n v="16666.666666666668"/>
    <n v="200000"/>
    <n v="200000"/>
    <n v="0"/>
    <n v="200000"/>
    <n v="52892.87"/>
    <n v="39590.120000000003"/>
    <s v="01-07-2025"/>
  </r>
  <r>
    <s v="01"/>
    <s v="Secretaria Municipal de Direitos Humanos e Cidadania"/>
    <s v="34"/>
    <s v="10"/>
    <n v="14"/>
    <n v="422"/>
    <n v="3013"/>
    <x v="5"/>
    <s v="33399000"/>
    <s v="64"/>
    <s v="Nota de Empenho-Fornecitº Serviços de Concessionárias de Abast.Público"/>
    <n v="6"/>
    <s v="Dispensa de Licitação"/>
    <n v="2025"/>
    <n v="4763"/>
    <m/>
    <s v="6074202500010241"/>
    <s v="Consumo de serviços de Água e Esgoto - Exercício de 2025 - Casa de Passagem _x000a_"/>
    <m/>
    <m/>
    <s v="31/12/2025 00:00:00"/>
    <x v="5"/>
    <x v="0"/>
    <n v="200000"/>
    <n v="0"/>
    <n v="0"/>
    <n v="0"/>
    <n v="200000"/>
    <n v="16666.666666666668"/>
    <n v="200000"/>
    <n v="200000"/>
    <n v="0"/>
    <n v="200000"/>
    <n v="53704.36"/>
    <n v="53031.6"/>
    <s v="01-07-2025"/>
  </r>
  <r>
    <s v="01"/>
    <s v="Secretaria Municipal de Direitos Humanos e Cidadania"/>
    <s v="34"/>
    <s v="10"/>
    <n v="14"/>
    <n v="122"/>
    <n v="3024"/>
    <x v="0"/>
    <s v="33399000"/>
    <s v="2"/>
    <s v="Termo de Contrato - Serviços"/>
    <n v="12"/>
    <s v="Pregão"/>
    <n v="2025"/>
    <n v="13480"/>
    <m/>
    <s v="6074202500035686"/>
    <s v="Contratação de empresa especializada na prestação de serviços de fornecimento de  kits lanches, para atender os dias 16, 17 e 18 de maio de 2025, para a VI Conferência Municipal dos Direitos da Pessoa Idosa, organizada por esta Secretaria Municipal de Direitos Humanos e Cidadania-SMDHC."/>
    <m/>
    <m/>
    <m/>
    <x v="5"/>
    <x v="1"/>
    <n v="191364.16"/>
    <n v="0"/>
    <n v="0"/>
    <n v="0"/>
    <n v="191364.16"/>
    <n v="15947.013333333334"/>
    <n v="191364.16"/>
    <n v="191364.16"/>
    <n v="0"/>
    <n v="191364.16"/>
    <n v="0"/>
    <n v="0"/>
    <s v="01-07-2025"/>
  </r>
  <r>
    <s v="01"/>
    <s v="Secretaria Municipal de Direitos Humanos e Cidadania"/>
    <s v="34"/>
    <s v="10"/>
    <n v="14"/>
    <n v="422"/>
    <n v="3013"/>
    <x v="1"/>
    <s v="33399000"/>
    <s v="2"/>
    <s v="Termo de Contrato - Serviços"/>
    <n v="12"/>
    <s v="Pregão"/>
    <n v="2020"/>
    <n v="16851"/>
    <s v="044/SMDHC/2020"/>
    <s v="6074202000023034"/>
    <s v="Contratação de empresa especializada para prestação de serviços contínuos de Copeiragem e Garçonaria para atender a estrutura administrativa em geral da Casa da Mulher Brasileira, situada na Rua Vieira Ravasco s/n., Cambuci, CEP 01518-030, São Paulo – SP, unidade operacional supervisionada pela Coordenação de Políticas para Mulheres pertencente à Secretaria Municipal de Direitos Humanos"/>
    <s v="10/09/2020 00:00:00"/>
    <s v="19/09/2020 00:00:00"/>
    <s v="08/09/2025 00:00:00"/>
    <x v="1"/>
    <x v="0"/>
    <n v="186533.76000000001"/>
    <n v="149469.07999999999"/>
    <n v="746135.04000000004"/>
    <n v="0"/>
    <n v="1082137.8799999999"/>
    <n v="18035.631333333331"/>
    <n v="216427.57599999997"/>
    <n v="1410423.06"/>
    <n v="338644.79"/>
    <n v="1071778.27"/>
    <n v="987097.12"/>
    <n v="987097.12"/>
    <s v="01-07-2025"/>
  </r>
  <r>
    <s v="01"/>
    <s v="Secretaria Municipal de Direitos Humanos e Cidadania"/>
    <s v="34"/>
    <s v="10"/>
    <n v="8"/>
    <n v="605"/>
    <n v="3016"/>
    <x v="2"/>
    <s v="33399000"/>
    <s v="2"/>
    <s v="Termo de Contrato - Serviços"/>
    <n v="12"/>
    <s v="Pregão"/>
    <n v="2023"/>
    <n v="36584"/>
    <s v="028/SMDHC/2023"/>
    <s v="6074202300085736"/>
    <s v="Contratação de empresa para prestação de serviços de locação, instalação e manutenção de equipamentos de sistema de sistemas de interação neuro-sensorial para repelência de pombos para atender o CRESAN VILA MARIA."/>
    <s v="04/12/2023 00:00:00"/>
    <s v="12/12/2023 00:00:00"/>
    <s v="07/01/2026 00:00:00"/>
    <x v="22"/>
    <x v="0"/>
    <n v="183594"/>
    <n v="5607.36"/>
    <n v="118548"/>
    <n v="0"/>
    <n v="307749.36"/>
    <n v="12309.974399999999"/>
    <n v="147719.69279999999"/>
    <n v="392925.33"/>
    <n v="95164"/>
    <n v="297761.33"/>
    <n v="204644.81"/>
    <n v="204644.81"/>
    <s v="01-07-2025"/>
  </r>
  <r>
    <s v="01"/>
    <s v="Secretaria Municipal de Direitos Humanos e Cidadania"/>
    <s v="34"/>
    <s v="10"/>
    <n v="14"/>
    <n v="422"/>
    <n v="3013"/>
    <x v="1"/>
    <s v="33399000"/>
    <s v="64"/>
    <s v="Nota de Empenho-Fornecitº Serviços de Concessionárias de Abast.Público"/>
    <n v="7"/>
    <s v="Inexigibilidade"/>
    <n v="2025"/>
    <n v="5475"/>
    <m/>
    <s v="6074202500014387"/>
    <s v="Consumo de Energia Elétrica - Casa de Passagem - Exercício de 2025."/>
    <m/>
    <m/>
    <s v="01/01/2026 00:00:00"/>
    <x v="5"/>
    <x v="0"/>
    <n v="180000"/>
    <n v="0"/>
    <n v="0"/>
    <n v="0"/>
    <n v="180000"/>
    <n v="15000"/>
    <n v="180000"/>
    <n v="180000"/>
    <n v="0"/>
    <n v="180000"/>
    <n v="75758.73"/>
    <n v="62908.5"/>
    <s v="01-07-2025"/>
  </r>
  <r>
    <s v="01"/>
    <s v="Secretaria Municipal de Direitos Humanos e Cidadania"/>
    <s v="34"/>
    <s v="10"/>
    <n v="14"/>
    <n v="122"/>
    <n v="3024"/>
    <x v="0"/>
    <s v="33399000"/>
    <s v="2"/>
    <s v="Termo de Contrato - Serviços"/>
    <n v="12"/>
    <s v="Pregão"/>
    <n v="2024"/>
    <n v="39264"/>
    <s v="438/SMDHC/2024"/>
    <s v="6074202400020504"/>
    <s v="Prestação de Serviços por empresa especializada em Serviço de Telefonia Fixa Comutada – STFC, por meio de entroncamento digitais (links E1/SIP)."/>
    <s v="12/12/2024 00:00:00"/>
    <s v="23/12/2024 00:00:00"/>
    <s v="23/01/2027 00:00:00"/>
    <x v="22"/>
    <x v="0"/>
    <n v="171000"/>
    <n v="0"/>
    <n v="0"/>
    <n v="0"/>
    <n v="171000"/>
    <n v="6840"/>
    <n v="82080"/>
    <n v="86989.25"/>
    <n v="8614.25"/>
    <n v="78375"/>
    <n v="14324.25"/>
    <n v="0"/>
    <s v="01-07-2025"/>
  </r>
  <r>
    <s v="01"/>
    <s v="Secretaria Municipal de Direitos Humanos e Cidadania"/>
    <s v="34"/>
    <s v="10"/>
    <n v="14"/>
    <n v="126"/>
    <n v="3024"/>
    <x v="12"/>
    <s v="33409000"/>
    <s v="2"/>
    <s v="Termo de Contrato - Serviços"/>
    <n v="6"/>
    <s v="Dispensa de Licitação"/>
    <n v="2024"/>
    <n v="23762"/>
    <s v="241/SMDHC/2024"/>
    <s v="6074202400044934"/>
    <s v="Prestação de serviços de comunicação de Voz VoIP para a Secretaria Municipal de Direitos Humanos e Cidadania – SMDHC."/>
    <s v="01/08/2024 00:00:00"/>
    <s v="06/08/2024 00:00:00"/>
    <s v="01/08/2025 00:00:00"/>
    <x v="5"/>
    <x v="0"/>
    <n v="169136"/>
    <n v="0"/>
    <n v="0"/>
    <n v="0"/>
    <n v="169136"/>
    <n v="14094.666666666666"/>
    <n v="169136"/>
    <n v="118580.99"/>
    <n v="25231.14"/>
    <n v="93349.85"/>
    <n v="69263.22"/>
    <n v="65716.44"/>
    <s v="01-07-2025"/>
  </r>
  <r>
    <s v="01"/>
    <s v="Secretaria Municipal de Direitos Humanos e Cidadania"/>
    <s v="34"/>
    <s v="10"/>
    <n v="14"/>
    <n v="122"/>
    <n v="3024"/>
    <x v="0"/>
    <s v="33399000"/>
    <s v="2"/>
    <s v="Termo de Contrato - Serviços"/>
    <n v="12"/>
    <s v="Pregão"/>
    <n v="2022"/>
    <n v="36434"/>
    <s v="325/SMDHC/2022"/>
    <s v="6074202200079920"/>
    <s v="Contratação de empresa especializada na Prestação de Serviços de Locação de Veículos Novos, sendo 01 (um) veículo do Tipo “B”/ Grupo S-1, e 01 (um) veículo do Tipo “C”, em caráter não eventual, sem condutor, quilometragem livre, incluindo, combustível, despesas com pedágios, avarias, multas e manutenção; objetivando atender às necessidades de deslocamentos."/>
    <s v="23/12/2022 00:00:00"/>
    <s v="27/12/2022 00:00:00"/>
    <s v="23/12/2025 00:00:00"/>
    <x v="3"/>
    <x v="0"/>
    <n v="156457.07999999999"/>
    <n v="19245.599999999999"/>
    <n v="312914.15999999997"/>
    <n v="0"/>
    <n v="488616.83999999997"/>
    <n v="13572.689999999999"/>
    <n v="162872.27999999997"/>
    <n v="434071.38"/>
    <n v="18535.2"/>
    <n v="415536.18"/>
    <n v="359220.12"/>
    <n v="359220.12"/>
    <s v="01-07-2025"/>
  </r>
  <r>
    <s v="01"/>
    <s v="Secretaria Municipal de Direitos Humanos e Cidadania"/>
    <s v="34"/>
    <s v="10"/>
    <n v="14"/>
    <n v="422"/>
    <n v="3013"/>
    <x v="1"/>
    <s v="33399000"/>
    <s v="2"/>
    <s v="Termo de Contrato - Serviços"/>
    <n v="12"/>
    <s v="Pregão"/>
    <n v="2020"/>
    <n v="18241"/>
    <s v="051/SMDHC/2020"/>
    <s v="6074202000029571"/>
    <s v="O presente pregão tem por objeto a Contratação de empresa especializada no ramo de Tecnologia de Informação para 02 (dois) postos de serviço na Casa da Mulher Brasileira – CMB, situada na Rua Vieira Ravasco s/nº, Cambuci, CEP 01518-030, São Paulo – SP, unidade operacional da Coordenadoria Municipal de Políticas para Mulheres, da Secretaria Municipal de Direitos Humanos e Cidadania – SMDHC, cujas características e especificações técnicas encontram-se descritas no Termo de Referência, ANEXO I deste edital de Pregão."/>
    <s v="02/10/2020 00:00:00"/>
    <s v="09/10/2020 00:00:00"/>
    <s v="01/10/2025 00:00:00"/>
    <x v="1"/>
    <x v="0"/>
    <n v="156000"/>
    <n v="120365.16"/>
    <n v="624000"/>
    <n v="0"/>
    <n v="900365.16"/>
    <n v="15006.086000000001"/>
    <n v="180073.03200000001"/>
    <n v="1303831.3799999999"/>
    <n v="408616.12"/>
    <n v="895215.26"/>
    <n v="829315.8"/>
    <n v="812977.09"/>
    <s v="01-07-2025"/>
  </r>
  <r>
    <s v="01"/>
    <s v="Secretaria Municipal de Direitos Humanos e Cidadania"/>
    <s v="34"/>
    <s v="10"/>
    <n v="14"/>
    <n v="122"/>
    <n v="3024"/>
    <x v="0"/>
    <s v="33399000"/>
    <s v="41"/>
    <s v="Nota de Empenho de Serviços com fornecimento de materiais / peças"/>
    <n v="12"/>
    <s v="Pregão"/>
    <n v="2020"/>
    <n v="23150"/>
    <s v="074/SMDHC/2020"/>
    <s v="6074202000034311"/>
    <s v="Contratação de empresa especializada para a prestação de serviço de transporte mediante locação de veículo, com manutenção preventiva e corretiva, com condutor, ajudante e combustível, objetivando o deslocamento para apoio a atividades técnico-administrativas para transporte de cargas."/>
    <s v="24/11/2020 00:00:00"/>
    <s v="28/11/2020 00:00:00"/>
    <s v="23/11/2025 00:00:00"/>
    <x v="1"/>
    <x v="0"/>
    <n v="154560"/>
    <n v="141557.16"/>
    <n v="811440"/>
    <n v="0"/>
    <n v="1107557.1600000001"/>
    <n v="18459.286000000004"/>
    <n v="221511.43200000003"/>
    <n v="1307095.23"/>
    <n v="264795.46000000002"/>
    <n v="1042299.77"/>
    <n v="925911.42"/>
    <n v="905728.47"/>
    <s v="01-07-2025"/>
  </r>
  <r>
    <s v="01"/>
    <s v="Secretaria Municipal de Direitos Humanos e Cidadania"/>
    <s v="34"/>
    <s v="10"/>
    <n v="14"/>
    <n v="422"/>
    <n v="3013"/>
    <x v="5"/>
    <s v="33399000"/>
    <s v="2"/>
    <s v="Termo de Contrato - Serviços"/>
    <n v="12"/>
    <s v="Pregão"/>
    <n v="2022"/>
    <n v="18776"/>
    <s v="147/SMDHC/2022"/>
    <s v="6074202200028994"/>
    <s v="Contratação de empresa para prestação de serviços de manutenção preventiva e corretiva da Unidade Móvel de atendimento às Mulheres Vitimas de Violência Doméstica, incluindo fornecimento de peças e acessórios"/>
    <s v="02/08/2022 00:00:00"/>
    <s v="05/08/2022 00:00:00"/>
    <s v="02/02/2025 00:00:00"/>
    <x v="26"/>
    <x v="0"/>
    <n v="148800"/>
    <n v="2232"/>
    <n v="223200"/>
    <n v="0"/>
    <n v="374232"/>
    <n v="12474.4"/>
    <n v="149692.79999999999"/>
    <n v="436434.27"/>
    <n v="265618.98"/>
    <n v="170815.29"/>
    <n v="106377.49"/>
    <n v="106377.49"/>
    <s v="01-07-2025"/>
  </r>
  <r>
    <s v="01"/>
    <s v="Secretaria Municipal de Direitos Humanos e Cidadania"/>
    <s v="34"/>
    <s v="10"/>
    <n v="14"/>
    <n v="122"/>
    <n v="3024"/>
    <x v="0"/>
    <s v="33399000"/>
    <s v="2"/>
    <s v="Termo de Contrato - Serviços"/>
    <n v="12"/>
    <s v="Pregão"/>
    <n v="2024"/>
    <n v="39239"/>
    <m/>
    <s v="6074202400026081"/>
    <s v="Prestação de Serviços por empresa especializada em locação de Sistema PABX (Private Automatic Branch Exchange), com DDR, incluídos os serviços de instalação, gerenciamento e manutenção, visando atender as necessidades da Secretaria Municipal de Direitos Humanos e Cidadania – SMDHC e da Casa da Mulher Brasileira – CMB."/>
    <m/>
    <m/>
    <m/>
    <x v="5"/>
    <x v="1"/>
    <n v="144540"/>
    <n v="0"/>
    <n v="0"/>
    <n v="0"/>
    <n v="144540"/>
    <n v="12045"/>
    <n v="144540"/>
    <n v="47109.33"/>
    <n v="2944.33"/>
    <n v="44165"/>
    <n v="0"/>
    <n v="0"/>
    <s v="01-07-2025"/>
  </r>
  <r>
    <s v="01"/>
    <s v="Secretaria Municipal de Direitos Humanos e Cidadania"/>
    <s v="34"/>
    <s v="10"/>
    <n v="14"/>
    <n v="422"/>
    <n v="3013"/>
    <x v="1"/>
    <s v="33399000"/>
    <s v="2"/>
    <s v="Termo de Contrato - Serviços"/>
    <n v="8"/>
    <s v="Não Aplicável"/>
    <n v="2019"/>
    <n v="23189"/>
    <s v="042/SMDHC/2019"/>
    <s v="6074201800010656"/>
    <s v="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do Edital - Lote 2"/>
    <s v="03/10/2019 00:00:00"/>
    <s v="09/10/2019 00:00:00"/>
    <s v="09/11/2025 00:00:00"/>
    <x v="14"/>
    <x v="0"/>
    <n v="139920"/>
    <n v="134435.04999999999"/>
    <n v="699600"/>
    <n v="0"/>
    <n v="973955.05"/>
    <n v="13161.554729729731"/>
    <n v="157938.65675675677"/>
    <n v="1065239.77"/>
    <n v="222997.8"/>
    <n v="842241.97"/>
    <n v="841882.21"/>
    <n v="841882.21"/>
    <s v="01-07-2025"/>
  </r>
  <r>
    <s v="01"/>
    <s v="Secretaria Municipal de Direitos Humanos e Cidadania"/>
    <s v="34"/>
    <s v="10"/>
    <n v="14"/>
    <n v="122"/>
    <n v="3024"/>
    <x v="0"/>
    <s v="33399000"/>
    <s v="2"/>
    <s v="Termo de Contrato - Serviços"/>
    <n v="12"/>
    <s v="Pregão"/>
    <n v="2024"/>
    <n v="36788"/>
    <s v="345/SMDHC/2024"/>
    <s v="6074202400061685"/>
    <s v="Contratação de empresa especializada na prestação de serviços contínuos de copeiragem, com fornecimento de mão de obra uniformizada, materiais, equipamentos e utensílios necessários ao perfeito atendimento das necessidades da Secretaria Municipal de Direitos Humanos e Cidadania – SMDHC."/>
    <s v="18/11/2024 00:00:00"/>
    <s v="25/11/2024 00:00:00"/>
    <s v="25/11/2025 00:00:00"/>
    <x v="5"/>
    <x v="0"/>
    <n v="130729.32"/>
    <n v="0"/>
    <n v="0"/>
    <n v="0"/>
    <n v="130729.32"/>
    <n v="10894.11"/>
    <n v="130729.32"/>
    <n v="141986.57"/>
    <n v="11257.25"/>
    <n v="130729.32"/>
    <n v="56649.37"/>
    <n v="56649.37"/>
    <s v="01-07-2025"/>
  </r>
  <r>
    <s v="01"/>
    <s v="Secretaria Municipal de Direitos Humanos e Cidadania"/>
    <s v="34"/>
    <s v="10"/>
    <n v="14"/>
    <n v="422"/>
    <n v="3018"/>
    <x v="6"/>
    <s v="33399000"/>
    <s v="58"/>
    <s v="Termo de Credenciamento"/>
    <n v="6"/>
    <s v="Dispensa de Licitação"/>
    <n v="2022"/>
    <n v="10026"/>
    <s v="001/SMDHC/CPLGBTI+22"/>
    <s v="6074202100045242"/>
    <s v="Edital de Credenciamento nº 003-B/SMDHC/2021 - Programa “Respeito Tem Nome” - Contratação dos serviços cartoriais."/>
    <s v="13/05/2022 00:00:00"/>
    <s v="14/05/2022 00:00:00"/>
    <s v="12/05/2025 00:00:00"/>
    <x v="3"/>
    <x v="0"/>
    <n v="127333.79"/>
    <n v="0"/>
    <n v="254667.58"/>
    <n v="0"/>
    <n v="382001.37"/>
    <n v="10611.149166666666"/>
    <n v="127333.79"/>
    <n v="510526.26"/>
    <n v="413463.03999999998"/>
    <n v="97063.22"/>
    <n v="82142.7"/>
    <n v="82142.7"/>
    <s v="01-07-2025"/>
  </r>
  <r>
    <s v="01"/>
    <s v="Secretaria Municipal de Direitos Humanos e Cidadania"/>
    <s v="34"/>
    <s v="10"/>
    <n v="14"/>
    <n v="122"/>
    <n v="3024"/>
    <x v="0"/>
    <s v="33399000"/>
    <s v="2"/>
    <s v="Termo de Contrato - Serviços"/>
    <n v="12"/>
    <s v="Pregão"/>
    <n v="2025"/>
    <n v="7922"/>
    <s v="028/SMDHC/2025"/>
    <s v="6074202500018021"/>
    <s v="Contratação de empresa especializada na prestação de serviços de Kit Lanche  - ARP nº 009/SMDHC/2023 (LOTE 3)."/>
    <s v="14/03/2025 00:00:00"/>
    <s v="17/03/2025 00:00:00"/>
    <s v="14/01/2026 00:00:00"/>
    <x v="27"/>
    <x v="0"/>
    <n v="125600"/>
    <n v="0"/>
    <n v="0"/>
    <n v="0"/>
    <n v="125600"/>
    <n v="12560"/>
    <n v="150720"/>
    <n v="125600"/>
    <n v="0"/>
    <n v="125600"/>
    <n v="35168"/>
    <n v="22608"/>
    <s v="01-07-2025"/>
  </r>
  <r>
    <s v="01"/>
    <s v="Secretaria Municipal de Direitos Humanos e Cidadania"/>
    <s v="34"/>
    <s v="10"/>
    <n v="14"/>
    <n v="422"/>
    <n v="3013"/>
    <x v="5"/>
    <s v="33309000"/>
    <s v="29"/>
    <s v="Termo de Contrato para Aquisição de Bens de Consumo e/ou Permanente"/>
    <n v="12"/>
    <s v="Pregão"/>
    <n v="2025"/>
    <n v="14553"/>
    <m/>
    <s v="6074202500009707"/>
    <s v="Fornecimento de agasalhos, roupas e vestuários de inverno, por meio de Ata de Registro de Preços, visando atender às necessidades da Coordenação de Políticas para População em Situação de Rua - Ata de Registro de Preços 006/SMDHC/2023."/>
    <m/>
    <m/>
    <m/>
    <x v="5"/>
    <x v="1"/>
    <n v="123280"/>
    <n v="0"/>
    <n v="0"/>
    <n v="0"/>
    <n v="123280"/>
    <n v="10273.333333333334"/>
    <n v="123280"/>
    <n v="30000"/>
    <n v="0"/>
    <n v="30000"/>
    <n v="0"/>
    <n v="0"/>
    <s v="01-07-2025"/>
  </r>
  <r>
    <s v="01"/>
    <s v="Secretaria Municipal de Direitos Humanos e Cidadania"/>
    <s v="34"/>
    <s v="10"/>
    <n v="8"/>
    <n v="605"/>
    <n v="3016"/>
    <x v="2"/>
    <s v="33399000"/>
    <s v="2"/>
    <s v="Termo de Contrato - Serviços"/>
    <n v="6"/>
    <s v="Dispensa de Licitação"/>
    <n v="2022"/>
    <n v="5253"/>
    <s v="032/SMDHC/2022"/>
    <s v="6074202100065367"/>
    <s v="Serviço Telefônico Fixo Comutado – STFC por meio de linhas diretas não residenciais, destinado ao tráfego de chamadas locais e longa distância nacional, pelo período de 12 (doze) meses, para atender a Coordenação de Políticas para as Mulheres e seus equipamentos, afeitos à Secretaria Municipal de Direitos Humanos e Cidadania"/>
    <s v="16/03/2022 00:00:00"/>
    <s v="01/07/2022 00:00:00"/>
    <s v="26/07/2025 00:00:00"/>
    <x v="28"/>
    <x v="0"/>
    <n v="120020.4"/>
    <n v="0"/>
    <n v="240040.8"/>
    <n v="0"/>
    <n v="360061.19999999995"/>
    <n v="9001.5299999999988"/>
    <n v="108018.35999999999"/>
    <n v="214891.36"/>
    <n v="172147.67"/>
    <n v="42743.69"/>
    <n v="28509.25"/>
    <n v="28346.67"/>
    <s v="01-07-2025"/>
  </r>
  <r>
    <s v="01"/>
    <s v="Secretaria Municipal de Direitos Humanos e Cidadania"/>
    <s v="34"/>
    <s v="10"/>
    <n v="14"/>
    <n v="243"/>
    <n v="3013"/>
    <x v="11"/>
    <s v="33339000"/>
    <s v="2"/>
    <s v="Termo de Contrato - Serviços"/>
    <n v="12"/>
    <s v="Pregão"/>
    <n v="2023"/>
    <n v="6548"/>
    <s v="065/SMDHC/2023"/>
    <s v="6074202300019210"/>
    <s v="Prestação de serviços de agenciamento de Passagens Aéreas Nacionais, mediante disponibilização de sistema de gestão de viagens corporativas - ATA DE REGISTRO DE PREÇOS n. 003/SEGES-COBES/2021"/>
    <s v="28/03/2023 00:00:00"/>
    <s v="30/03/2023 00:00:00"/>
    <s v="01/07/2026 00:00:00"/>
    <x v="4"/>
    <x v="0"/>
    <n v="120000"/>
    <n v="0"/>
    <n v="240000"/>
    <n v="0"/>
    <n v="360000"/>
    <n v="9230.7692307692305"/>
    <n v="110769.23076923077"/>
    <n v="392850.32"/>
    <n v="225199.16"/>
    <n v="167651.16"/>
    <n v="162321.25"/>
    <n v="162321.25"/>
    <s v="01-07-2025"/>
  </r>
  <r>
    <s v="01"/>
    <s v="Secretaria Municipal de Cultura"/>
    <s v="25"/>
    <s v="10"/>
    <n v="14"/>
    <n v="422"/>
    <n v="3018"/>
    <x v="6"/>
    <s v="33399000"/>
    <s v="2"/>
    <s v="Termo de Contrato - Serviços"/>
    <n v="7"/>
    <s v="Inexigibilidade"/>
    <n v="2025"/>
    <n v="16912"/>
    <s v="03265-2025-PE"/>
    <s v="6025202500121607"/>
    <s v="19/06/2025 a 22/06/2025 - Av. Mário de Andrade, 664 e Av. Paulista, 1578, com datas e horários previstos na proposta - Espetáculo Musical / Show - Marie Gabriella - SHOW ÁGUAS - MARIE GABRIELLA_x000a__x000a_ "/>
    <s v="18/06/2025 00:00:00"/>
    <s v="25/06/2025 00:00:00"/>
    <s v="22/06/2025 00:00:00"/>
    <x v="19"/>
    <x v="0"/>
    <n v="120000"/>
    <n v="0"/>
    <n v="0"/>
    <n v="0"/>
    <n v="120000"/>
    <n v="120000"/>
    <n v="1440000"/>
    <n v="120000"/>
    <n v="0"/>
    <n v="120000"/>
    <n v="0"/>
    <n v="0"/>
    <s v="01-07-2025"/>
  </r>
  <r>
    <s v="01"/>
    <s v="Secretaria Municipal de Direitos Humanos e Cidadania"/>
    <s v="34"/>
    <s v="10"/>
    <n v="14"/>
    <n v="422"/>
    <n v="3013"/>
    <x v="5"/>
    <s v="33399000"/>
    <s v="2"/>
    <s v="Termo de Contrato - Serviços"/>
    <n v="12"/>
    <s v="Pregão"/>
    <n v="2023"/>
    <n v="21153"/>
    <s v="171/SMDHC/2023"/>
    <s v="6074202300034112"/>
    <s v="Prestação de serviços contínuos de copeiragem, com fornecimento de mão de obra uniformizada, materiais, equipamentos e utensílios necessários ao perfeito atendimento das necessidades da Secretaria Municipal de Direitos Humanos e Cidadania – SMDHC."/>
    <s v="28/07/2023 00:00:00"/>
    <s v="04/08/2023 00:00:00"/>
    <s v="01/02/2025 00:00:00"/>
    <x v="29"/>
    <x v="0"/>
    <n v="118800"/>
    <n v="1764.2"/>
    <n v="59400"/>
    <n v="0"/>
    <n v="179964.2"/>
    <n v="9998.0111111111109"/>
    <n v="119976.13333333333"/>
    <n v="258834.18"/>
    <n v="86790"/>
    <n v="172044.18"/>
    <n v="170345.18"/>
    <n v="170345.18"/>
    <s v="01-07-2025"/>
  </r>
  <r>
    <s v="01"/>
    <s v="Secretaria Municipal de Direitos Humanos e Cidadania"/>
    <s v="34"/>
    <s v="10"/>
    <n v="14"/>
    <n v="126"/>
    <n v="3024"/>
    <x v="12"/>
    <s v="33409000"/>
    <s v="2"/>
    <s v="Termo de Contrato - Serviços"/>
    <n v="12"/>
    <s v="Pregão"/>
    <n v="2023"/>
    <n v="26119"/>
    <s v="293/SMDHC/2023"/>
    <s v="6074202300067967"/>
    <s v="Contratação de empresa especializada em locação de impressoras corporativas, incluindo a prestação de serviços de manutenção preventiva e corretiva, fornecimento de peças e suprimentos necessários, para atender as necessidades dos equipamentos da Secretaria Municipal de Direito Humanos e Cidadania - SMDHC."/>
    <s v="29/08/2023 00:00:00"/>
    <s v="12/09/2023 00:00:00"/>
    <s v="28/08/2025 00:00:00"/>
    <x v="5"/>
    <x v="0"/>
    <n v="117265.32"/>
    <n v="5679.51"/>
    <n v="159487.21"/>
    <n v="0"/>
    <n v="282432.03999999998"/>
    <n v="23536.00333333333"/>
    <n v="282432.03999999998"/>
    <n v="255870.46"/>
    <n v="108938.68"/>
    <n v="146931.78"/>
    <n v="102324.79"/>
    <n v="102324.79"/>
    <s v="01-07-2025"/>
  </r>
  <r>
    <s v="01"/>
    <s v="Secretaria Municipal de Direitos Humanos e Cidadania"/>
    <s v="34"/>
    <s v="10"/>
    <n v="14"/>
    <n v="422"/>
    <n v="3018"/>
    <x v="9"/>
    <s v="33399000"/>
    <s v="2"/>
    <s v="Termo de Contrato - Serviços"/>
    <n v="12"/>
    <s v="Pregão"/>
    <n v="2022"/>
    <n v="31724"/>
    <s v="218/SMDHC/2022"/>
    <s v="6074202200034161"/>
    <s v="Contratação de empresa especializada na prestação de serviços de manutenção preventiva e corretiva, incluindo lavagem e fornecimento de peças e acessórios, para 05 (cinco) veículos, sendo destes 03 (três) da Coordenação de Promoção da Igualdade Racial – CPIR e 02 (dois) da Coordenação de Políticas para as Mulheres – CPM, unidades afeitas à SMDHC."/>
    <s v="17/11/2022 00:00:00"/>
    <s v="06/12/2022 00:00:00"/>
    <s v="16/11/2025 00:00:00"/>
    <x v="3"/>
    <x v="0"/>
    <n v="113400"/>
    <n v="4503.6000000000004"/>
    <n v="226800"/>
    <n v="0"/>
    <n v="344703.6"/>
    <n v="9575.0999999999985"/>
    <n v="114901.19999999998"/>
    <n v="295141.44"/>
    <n v="86193.38"/>
    <n v="208948.06"/>
    <n v="150510.35"/>
    <n v="121095.22"/>
    <s v="01-07-2025"/>
  </r>
  <r>
    <s v="01"/>
    <s v="Secretaria Municipal de Direitos Humanos e Cidadania"/>
    <s v="34"/>
    <s v="10"/>
    <n v="14"/>
    <n v="122"/>
    <n v="3024"/>
    <x v="0"/>
    <s v="33399000"/>
    <s v="2"/>
    <s v="Termo de Contrato - Serviços"/>
    <n v="12"/>
    <s v="Pregão"/>
    <n v="2025"/>
    <n v="250"/>
    <s v="003/SMDHC/2025"/>
    <s v="6074202400089385"/>
    <s v="Prestação de Serviços por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
    <s v="27/01/2025 00:00:00"/>
    <s v="30/01/2025 00:00:00"/>
    <s v="16/02/2030 00:00:00"/>
    <x v="6"/>
    <x v="0"/>
    <n v="111996"/>
    <n v="0"/>
    <n v="0"/>
    <n v="0"/>
    <n v="111996"/>
    <n v="1836"/>
    <n v="22032"/>
    <n v="17857.14"/>
    <n v="0"/>
    <n v="17857.14"/>
    <n v="4790.9399999999996"/>
    <n v="2924.34"/>
    <s v="01-07-2025"/>
  </r>
  <r>
    <s v="01"/>
    <s v="Secretaria Municipal de Direitos Humanos e Cidadania"/>
    <s v="34"/>
    <s v="10"/>
    <n v="14"/>
    <n v="422"/>
    <n v="3013"/>
    <x v="1"/>
    <s v="33399000"/>
    <s v="2"/>
    <s v="Termo de Contrato - Serviços"/>
    <n v="12"/>
    <s v="Pregão"/>
    <n v="2020"/>
    <n v="15588"/>
    <s v="038/2020/SMDHC"/>
    <s v="6074202000030537"/>
    <s v="Contratação de empresa especializada operacionalização e desenvolvimento de todas as atividades para o fornecimento de refeições e desjejuns destinados aos atendimentos do público que se encontra em situação de risco e de extrema vulnerabilidade socioeconômica, que faz uso do alojamento de passagem da Casa da Mulher Brasileira, equipamento de atendimento da Secretaria Municipal de Direitos Humanos e Cidadania - SMDHC, assegurando uma alimentação balanceada e em condições higiênicosanitárias adequadas, conforme especificações constantes no Termo de Referência - ANEXO I do Edital, à empresa CASA BADEN ROTISSERIE LTDA ME, inscrita no CNPJ/MF nº 26.624.602/0001-03"/>
    <s v="21/08/2020 00:00:00"/>
    <s v="03/09/2020 00:00:00"/>
    <s v="12/03/2025 00:00:00"/>
    <x v="24"/>
    <x v="0"/>
    <n v="107784"/>
    <n v="32076"/>
    <n v="377244"/>
    <n v="0"/>
    <n v="517104"/>
    <n v="9401.8909090909092"/>
    <n v="112822.69090909092"/>
    <n v="711666.6"/>
    <n v="202599.6"/>
    <n v="509067"/>
    <n v="509067"/>
    <n v="509067"/>
    <s v="01-07-2025"/>
  </r>
  <r>
    <s v="01"/>
    <s v="Secretaria Municipal de Direitos Humanos e Cidadania"/>
    <s v="34"/>
    <s v="10"/>
    <n v="14"/>
    <n v="126"/>
    <n v="3024"/>
    <x v="12"/>
    <s v="33409000"/>
    <s v="2"/>
    <s v="Termo de Contrato - Serviços"/>
    <n v="12"/>
    <s v="Pregão"/>
    <n v="2022"/>
    <n v="4726"/>
    <s v="030/SMDHC/2022"/>
    <s v="6074202100075184"/>
    <s v="Contratação de empresa especializada para a prestação de serviços continuados de locação de Computadores de uso Corporativos  para suprir a necessidade da Secretaria Municipal de Direitos Humanos e Cidadania, conforme especificações"/>
    <s v="09/03/2022 00:00:00"/>
    <s v="11/03/2022 00:00:00"/>
    <s v="08/03/2026 00:00:00"/>
    <x v="17"/>
    <x v="0"/>
    <n v="104719.8"/>
    <n v="42851.95"/>
    <n v="376991.28"/>
    <n v="0"/>
    <n v="524563.03"/>
    <n v="10928.396458333335"/>
    <n v="131140.75750000001"/>
    <n v="491450.09"/>
    <n v="20441.84"/>
    <n v="471008.25"/>
    <n v="382439.61"/>
    <n v="370951.83"/>
    <s v="01-07-2025"/>
  </r>
  <r>
    <s v="01"/>
    <s v="Secretaria Municipal de Direitos Humanos e Cidadania"/>
    <s v="34"/>
    <s v="10"/>
    <n v="14"/>
    <n v="243"/>
    <n v="3013"/>
    <x v="11"/>
    <s v="33399000"/>
    <s v="2"/>
    <s v="Termo de Contrato - Serviços"/>
    <n v="3"/>
    <s v="Tomada de Preços"/>
    <n v="2020"/>
    <n v="16833"/>
    <s v="058/SMDHC/2020"/>
    <s v="6074202000035725"/>
    <s v="Ata de Registro de Preços nº ATA/RP 008/SG-COBES/2019- Contratação para prestação de Serviço Telefônico Fixo Comutado (STFC) por meio de entroncamentos digitais e serviços de discagem direta a ramal (DDR) (Item I), aos 52 (cinquenta e dois) Conselhos Tutelares do Município de São Paulo."/>
    <s v="27/10/2020 00:00:00"/>
    <s v="28/01/2021 00:00:00"/>
    <s v="26/10/2025 00:00:00"/>
    <x v="1"/>
    <x v="0"/>
    <n v="102953.76"/>
    <n v="0"/>
    <n v="435606"/>
    <n v="0"/>
    <n v="538559.76"/>
    <n v="8975.996000000001"/>
    <n v="107711.95200000002"/>
    <n v="466110.39"/>
    <n v="176627.3"/>
    <n v="289483.09000000003"/>
    <n v="267238.12"/>
    <n v="261944.9"/>
    <s v="01-07-2025"/>
  </r>
  <r>
    <s v="01"/>
    <s v="Secretaria Municipal de Direitos Humanos e Cidadania"/>
    <s v="34"/>
    <s v="10"/>
    <n v="14"/>
    <n v="122"/>
    <n v="3024"/>
    <x v="0"/>
    <s v="33399000"/>
    <s v="2"/>
    <s v="Termo de Contrato - Serviços"/>
    <n v="12"/>
    <s v="Pregão"/>
    <n v="2025"/>
    <n v="12987"/>
    <s v="063/SMDHC/2025"/>
    <s v="6074202500032792"/>
    <s v="Contratação de empresa especializada na prestação de serviços de fornecimento de 4.093 (quatro mil noventa e três) kits lanches, para atender os dias 12, 13,14,15 e 16 de maio 2025 onde serão realizadas atividades nos equipamentos desta Secretaria Municipal de Direitos Humanos e Cidadania-SMDHC."/>
    <s v="12/05/2025 00:00:00"/>
    <s v="16/05/2025 00:00:00"/>
    <s v="11/06/2025 00:00:00"/>
    <x v="21"/>
    <x v="0"/>
    <n v="102816.16"/>
    <n v="0"/>
    <n v="0"/>
    <n v="0"/>
    <n v="102816.16"/>
    <n v="102816.16"/>
    <n v="1233793.92"/>
    <n v="102816.16"/>
    <n v="0"/>
    <n v="102816.16"/>
    <n v="102816.16"/>
    <n v="102816.16"/>
    <s v="01-07-2025"/>
  </r>
  <r>
    <s v="01"/>
    <s v="Secretaria Municipal de Cultura"/>
    <s v="25"/>
    <s v="10"/>
    <n v="14"/>
    <n v="422"/>
    <n v="3018"/>
    <x v="6"/>
    <s v="33399000"/>
    <s v="2"/>
    <s v="Termo de Contrato - Serviços"/>
    <n v="7"/>
    <s v="Inexigibilidade"/>
    <n v="2025"/>
    <n v="16935"/>
    <m/>
    <s v="6025202500124614"/>
    <s v="CONTRATADO: LUIS RODRIGO MOISSOPOULOS CALDAS (CPF nº 114.344.138-96), nome artístico “Kiko Caldas” e os demais integrantes do grupo, conforme Contrato/Declaração de Exclusividade (127875131), por intermédio de ACAS CULTURAL, EVENTOS E PRODUCOES ARTISTICAS LTDA, inscrita no CNPJ sob o nº 60.516.694/0001-46._x000a__x000a_ _x000a__x000a_OBJETO: Artes Cênicas - Intervenção Artística - CIA K - CIRCO AÉREO_x000a__x000a_ _x000a__x000a_PERÍODO DE EXECUÇÃO DOS SERVIÇOS: 22/06/2025 - totalizando 4 apresentações conforme cronograma:"/>
    <m/>
    <m/>
    <m/>
    <x v="5"/>
    <x v="1"/>
    <n v="101415.84"/>
    <n v="0"/>
    <n v="0"/>
    <n v="0"/>
    <n v="101415.84"/>
    <n v="8451.32"/>
    <n v="101415.84"/>
    <n v="101415.84"/>
    <n v="0"/>
    <n v="101415.84"/>
    <n v="0"/>
    <n v="0"/>
    <s v="01-07-2025"/>
  </r>
  <r>
    <s v="01"/>
    <s v="Secretaria Municipal de Direitos Humanos e Cidadania"/>
    <s v="34"/>
    <s v="10"/>
    <n v="14"/>
    <n v="122"/>
    <n v="3024"/>
    <x v="0"/>
    <s v="33399000"/>
    <s v="29"/>
    <s v="Termo de Contrato para Aquisição de Bens de Consumo e/ou Permanente"/>
    <n v="12"/>
    <s v="Pregão"/>
    <n v="2025"/>
    <n v="11279"/>
    <s v="053/SMDHC/2025"/>
    <s v="6074202500025303"/>
    <s v="Contratação de empresa especializada na prestação de serviços de fornecimento de 4.000 (quatro mil) kits lanches, para atender os imigrantes vítimas do incêndio do prédio da praça da República"/>
    <s v="17/04/2025 00:00:00"/>
    <s v="13/05/2025 00:00:00"/>
    <s v="17/05/2025 00:00:00"/>
    <x v="21"/>
    <x v="0"/>
    <n v="100480"/>
    <n v="0"/>
    <n v="0"/>
    <n v="0"/>
    <n v="100480"/>
    <n v="100480"/>
    <n v="1205760"/>
    <n v="100480"/>
    <n v="0"/>
    <n v="100480"/>
    <n v="100480"/>
    <n v="100480"/>
    <s v="01-07-2025"/>
  </r>
  <r>
    <s v="01"/>
    <s v="Secretaria Municipal de Direitos Humanos e Cidadania"/>
    <s v="34"/>
    <s v="10"/>
    <n v="14"/>
    <n v="122"/>
    <n v="3024"/>
    <x v="0"/>
    <s v="33339000"/>
    <s v="2"/>
    <s v="Termo de Contrato - Serviços"/>
    <n v="12"/>
    <s v="Pregão"/>
    <n v="2023"/>
    <n v="10549"/>
    <s v="079/SMDHC/2023"/>
    <s v="6074202300020634"/>
    <s v="Prestação de serviços de agenciamento de passagens aéreas, mediante disponibilização de sistema de gestão de viagens corporativas - ATA DE REGISTRO DE PREÇOS nº 004/SEGES-COBES/2021 - Passagens Aéreas Internacionais"/>
    <s v="24/04/2023 00:00:00"/>
    <s v="26/04/2023 00:00:00"/>
    <s v="01/07/2026 00:00:00"/>
    <x v="12"/>
    <x v="0"/>
    <n v="100000"/>
    <n v="0"/>
    <n v="200000"/>
    <n v="0"/>
    <n v="300000"/>
    <n v="7894.7368421052633"/>
    <n v="94736.84210526316"/>
    <n v="340222.57"/>
    <n v="131388.20000000001"/>
    <n v="208834.37"/>
    <n v="143808.82999999999"/>
    <n v="143808.82999999999"/>
    <s v="01-07-2025"/>
  </r>
  <r>
    <s v="01"/>
    <s v="Secretaria Municipal de Direitos Humanos e Cidadania"/>
    <s v="34"/>
    <s v="10"/>
    <n v="14"/>
    <n v="244"/>
    <n v="3013"/>
    <x v="15"/>
    <s v="33395000"/>
    <s v="23"/>
    <s v="Termo de Fomento - Lei Federal 13.019/2014"/>
    <n v="8"/>
    <s v="Não Aplicável"/>
    <n v="2025"/>
    <n v="15985"/>
    <m/>
    <s v="6074202500029716"/>
    <s v="Termo de Fomento. Emenda Parlamentar. Projeto &quot;Metamorfose&quot;"/>
    <m/>
    <m/>
    <m/>
    <x v="5"/>
    <x v="1"/>
    <n v="100000"/>
    <n v="0"/>
    <n v="0"/>
    <n v="0"/>
    <n v="100000"/>
    <n v="8333.3333333333339"/>
    <n v="100000"/>
    <n v="100000"/>
    <n v="0"/>
    <n v="100000"/>
    <n v="0"/>
    <n v="0"/>
    <s v="01-07-2025"/>
  </r>
  <r>
    <s v="01"/>
    <s v="Secretaria Municipal de Direitos Humanos e Cidadania"/>
    <s v="34"/>
    <s v="10"/>
    <n v="8"/>
    <n v="243"/>
    <n v="3013"/>
    <x v="14"/>
    <s v="33489000"/>
    <s v="55"/>
    <s v="Nota de Empenho Transferência Valores para Cta Única-Tesouro Municipal"/>
    <n v="8"/>
    <s v="Não Aplicável"/>
    <n v="2025"/>
    <n v="482"/>
    <m/>
    <s v="6074202400106042"/>
    <s v="Pagamento do Auxílio Ampara Exercício 2025, por intermédio do Banco do Brasil."/>
    <m/>
    <m/>
    <s v="01/01/2026 00:00:00"/>
    <x v="5"/>
    <x v="0"/>
    <n v="99200"/>
    <n v="0"/>
    <n v="519250"/>
    <n v="0"/>
    <n v="618450"/>
    <n v="51537.5"/>
    <n v="618450"/>
    <n v="618450"/>
    <n v="0"/>
    <n v="618450"/>
    <n v="618450"/>
    <n v="618450"/>
    <s v="01-07-2025"/>
  </r>
  <r>
    <s v="01"/>
    <s v="Secretaria Municipal de Direitos Humanos e Cidadania"/>
    <s v="34"/>
    <s v="10"/>
    <n v="14"/>
    <n v="122"/>
    <n v="3024"/>
    <x v="0"/>
    <s v="33399000"/>
    <s v="2"/>
    <s v="Termo de Contrato - Serviços"/>
    <n v="12"/>
    <s v="Pregão"/>
    <n v="2021"/>
    <n v="22767"/>
    <s v="322/SMDHC/2021"/>
    <s v="6074202100003884"/>
    <s v="Contratação de prestação de serviços para fornecimento mensal estimado de 52.000 doses de café e outras bebidas quentes, através de 52 (cinquenta e duas) máquinas de autoatendimento para atender aos 52 (cinquenta e dois) Conselhos Tutelares do Município de São Paulo."/>
    <s v="24/11/2021 00:00:00"/>
    <s v="11/12/2021 00:00:00"/>
    <s v="23/11/2025 00:00:00"/>
    <x v="17"/>
    <x v="0"/>
    <n v="95760"/>
    <n v="35984.61"/>
    <n v="324209.65999999997"/>
    <n v="0"/>
    <n v="455954.26999999996"/>
    <n v="9499.0472916666658"/>
    <n v="113988.56749999999"/>
    <n v="385724.58"/>
    <n v="197325.89"/>
    <n v="188398.69"/>
    <n v="141973.51"/>
    <n v="141973.51"/>
    <s v="01-07-2025"/>
  </r>
  <r>
    <s v="01"/>
    <s v="Secretaria Municipal de Direitos Humanos e Cidadania"/>
    <s v="34"/>
    <s v="10"/>
    <n v="14"/>
    <n v="122"/>
    <n v="3024"/>
    <x v="0"/>
    <s v="33399000"/>
    <s v="2"/>
    <s v="Termo de Contrato - Serviços"/>
    <n v="12"/>
    <s v="Pregão"/>
    <n v="2025"/>
    <n v="14411"/>
    <s v="159/SMDHC/2025"/>
    <s v="6074202500037638"/>
    <s v="Contratação de empresa especializada na prestação de serviços de fornecimento de kits lanches para a IV Conferência Municipal dos Direitos da Pessoa LGBTQIA+."/>
    <s v="23/05/2025 00:00:00"/>
    <s v="30/05/2025 00:00:00"/>
    <s v="22/06/2025 00:00:00"/>
    <x v="21"/>
    <x v="0"/>
    <n v="95682.08"/>
    <n v="0"/>
    <n v="0"/>
    <n v="0"/>
    <n v="95682.08"/>
    <n v="95682.08"/>
    <n v="1148184.96"/>
    <n v="95682.08"/>
    <n v="0"/>
    <n v="95682.08"/>
    <n v="95682.08"/>
    <n v="0"/>
    <s v="01-07-2025"/>
  </r>
  <r>
    <s v="01"/>
    <s v="Secretaria Municipal de Direitos Humanos e Cidadania"/>
    <s v="34"/>
    <s v="10"/>
    <n v="14"/>
    <n v="243"/>
    <n v="3013"/>
    <x v="11"/>
    <s v="33409000"/>
    <s v="2"/>
    <s v="Termo de Contrato - Serviços"/>
    <n v="12"/>
    <s v="Pregão"/>
    <n v="2020"/>
    <n v="11093"/>
    <s v="025/SMDHC/2020"/>
    <s v="6074202000015333"/>
    <s v="Contratação de empresa especializada para prestação de serviços de Impressão Corporativa, incluindo a prestação de serviços de manutenção preventiva e corretiva, fornecimento de peças e suprimentos necessários (inclusive papel), para atender as necessidades de todas as 52 (cinquenta e duas) unidades dos Conselhos Tutelares localizados no Município de São Paulo"/>
    <s v="09/07/2020 00:00:00"/>
    <s v="16/07/2020 00:00:00"/>
    <s v="09/07/2026 00:00:00"/>
    <x v="9"/>
    <x v="0"/>
    <n v="90136.8"/>
    <n v="41606.28"/>
    <n v="564980.53"/>
    <n v="0"/>
    <n v="696723.6100000001"/>
    <n v="9544.1590410958925"/>
    <n v="114529.90849315071"/>
    <n v="648900.6"/>
    <n v="24059.91"/>
    <n v="624840.68999999994"/>
    <n v="544071.68000000005"/>
    <n v="533242.80000000005"/>
    <s v="01-07-2025"/>
  </r>
  <r>
    <s v="01"/>
    <s v="Secretaria Municipal de Direitos Humanos e Cidadania"/>
    <s v="34"/>
    <s v="10"/>
    <n v="14"/>
    <n v="243"/>
    <n v="3013"/>
    <x v="11"/>
    <s v="33399000"/>
    <s v="2"/>
    <s v="Termo de Contrato - Serviços"/>
    <n v="12"/>
    <s v="Pregão"/>
    <n v="2020"/>
    <n v="21214"/>
    <s v="059/SMDHC/2020"/>
    <s v="6074202000039615"/>
    <s v="Contratação de empresa especializada para a prestação de serviços de locação de Sistema PABX, com DDR, incluídos os serviços de instalação, gerenciamento e manutenção, visando atender aos 52 (cinquenta e dois) dos Conselhos Tutelares, pertencentes à Secretaria Municipal de Direitos Humanos e Cidadania."/>
    <s v="03/11/2020 00:00:00"/>
    <s v="11/11/2020 00:00:00"/>
    <s v="02/11/2025 00:00:00"/>
    <x v="1"/>
    <x v="0"/>
    <n v="80000"/>
    <n v="57846.61"/>
    <n v="309528.96000000002"/>
    <n v="0"/>
    <n v="447375.57"/>
    <n v="7456.2595000000001"/>
    <n v="89475.114000000001"/>
    <n v="532243.31999999995"/>
    <n v="131625.31"/>
    <n v="400618.01"/>
    <n v="359691.09"/>
    <n v="351613.41"/>
    <s v="01-07-2025"/>
  </r>
  <r>
    <s v="01"/>
    <s v="Secretaria Municipal de Direitos Humanos e Cidadania"/>
    <s v="34"/>
    <s v="10"/>
    <n v="14"/>
    <n v="122"/>
    <n v="3024"/>
    <x v="0"/>
    <s v="33399000"/>
    <s v="2"/>
    <s v="Termo de Contrato - Serviços"/>
    <n v="7"/>
    <s v="Inexigibilidade"/>
    <n v="2025"/>
    <n v="14560"/>
    <s v="163/SMDHC/2025"/>
    <s v="6074202500037409"/>
    <s v="Contratação de empresa especializada em capacitação profissionais para atender mulheres vítimas de violência, assédio e importunação sexual durante a Virada Cultural de São Paulo, ofertando atendimento humanizado e qualificado, orientações gerais sobre os seus direitos, promovendo espaços seguros e acolhedores, e de respeito e proteção às ampliando o alcance do Programa Protocolo &quot;Não Se Cale&quot;."/>
    <s v="23/05/2025 00:00:00"/>
    <s v="10/06/2025 00:00:00"/>
    <s v="27/05/2025 00:00:00"/>
    <x v="19"/>
    <x v="0"/>
    <n v="80000"/>
    <n v="0"/>
    <n v="0"/>
    <n v="0"/>
    <n v="80000"/>
    <n v="80000"/>
    <n v="960000"/>
    <n v="80000"/>
    <n v="0"/>
    <n v="80000"/>
    <n v="80000"/>
    <n v="80000"/>
    <s v="01-07-2025"/>
  </r>
  <r>
    <s v="01"/>
    <s v="Secretaria Municipal de Direitos Humanos e Cidadania"/>
    <s v="34"/>
    <s v="10"/>
    <n v="14"/>
    <n v="122"/>
    <n v="3024"/>
    <x v="0"/>
    <s v="33399000"/>
    <s v="2"/>
    <s v="Termo de Contrato - Serviços"/>
    <n v="8"/>
    <s v="Não Aplicável"/>
    <n v="2020"/>
    <n v="14535"/>
    <s v="030/SMDHC/2020"/>
    <s v="6074202000029938"/>
    <s v="Contratação de empresa especializada em prestação de serviços de motofrete para as unidades da Prefeitura de São Paulo, com entrega e coleta de pequenas cargas, por meio de motocicletas, com fundamento no disposto na Lei Federal n. 8.666/93, Lei Municipal n. 13.278/02 e o Decreto Municipal n. 44.279/03"/>
    <s v="05/08/2020 00:00:00"/>
    <s v="12/08/2022 00:00:00"/>
    <s v="03/08/2025 00:00:00"/>
    <x v="1"/>
    <x v="0"/>
    <n v="71520"/>
    <n v="64296.24"/>
    <n v="286080"/>
    <n v="0"/>
    <n v="421896.24"/>
    <n v="7031.6040000000003"/>
    <n v="84379.248000000007"/>
    <n v="402815.26"/>
    <n v="1701.06"/>
    <n v="401114.2"/>
    <n v="376400.16"/>
    <n v="376400.16"/>
    <s v="01-07-2025"/>
  </r>
  <r>
    <s v="01"/>
    <s v="Secretaria Municipal de Direitos Humanos e Cidadania"/>
    <s v="34"/>
    <s v="10"/>
    <n v="14"/>
    <n v="243"/>
    <n v="3013"/>
    <x v="11"/>
    <s v="33399000"/>
    <s v="2"/>
    <s v="Termo de Contrato - Serviços"/>
    <n v="12"/>
    <s v="Pregão"/>
    <n v="2021"/>
    <n v="15405"/>
    <s v="192/SMDHC/2021"/>
    <s v="6074202100037762"/>
    <s v="Contratação de empresa especializada na prestação de serviços contínuos de locação de vagas em garagens cobertas, para a guarda de 43 (quarenta e três) veículos oficiais, automotores pertencentes à Secretaria Municipal de Direitos Humanos e Cidadania – SMDHC."/>
    <s v="20/08/2021 00:00:00"/>
    <s v="31/08/2021 00:00:00"/>
    <s v="21/08/2025 00:00:00"/>
    <x v="17"/>
    <x v="0"/>
    <n v="71179.62"/>
    <n v="39773.339999999997"/>
    <n v="411565.77"/>
    <n v="0"/>
    <n v="522518.73"/>
    <n v="10885.806875"/>
    <n v="130629.6825"/>
    <n v="579356"/>
    <n v="91078.36"/>
    <n v="488277.64"/>
    <n v="471396.4"/>
    <n v="464985.8"/>
    <s v="01-07-2025"/>
  </r>
  <r>
    <s v="01"/>
    <s v="Secretaria Municipal de Direitos Humanos e Cidadania"/>
    <s v="34"/>
    <s v="10"/>
    <n v="14"/>
    <n v="422"/>
    <n v="3013"/>
    <x v="5"/>
    <s v="33399000"/>
    <s v="58"/>
    <s v="Termo de Credenciamento"/>
    <n v="12"/>
    <s v="Pregão"/>
    <n v="2025"/>
    <n v="4714"/>
    <m/>
    <s v="6074202500012856"/>
    <s v="Contratação de empresa especializada na prestação de serviços de  Kit Lanche lote 3 -CARNAVAL/2025"/>
    <m/>
    <m/>
    <m/>
    <x v="5"/>
    <x v="1"/>
    <n v="65613.440000000002"/>
    <n v="0"/>
    <n v="0"/>
    <n v="65613.440000000002"/>
    <n v="0"/>
    <n v="0"/>
    <n v="0"/>
    <n v="65613.440000000002"/>
    <n v="65613.440000000002"/>
    <n v="0"/>
    <n v="0"/>
    <n v="0"/>
    <s v="01-07-2025"/>
  </r>
  <r>
    <s v="01"/>
    <s v="Secretaria Municipal de Direitos Humanos e Cidadania"/>
    <s v="34"/>
    <s v="10"/>
    <n v="14"/>
    <n v="422"/>
    <n v="3013"/>
    <x v="5"/>
    <s v="33399000"/>
    <s v="2"/>
    <s v="Termo de Contrato - Serviços"/>
    <n v="12"/>
    <s v="Pregão"/>
    <n v="2025"/>
    <n v="4847"/>
    <s v="018/SMDHC/2025"/>
    <s v="6074202500012856"/>
    <s v=" Contratação de empresa especializada na prestação de serviços  de Kit Lanche -Carnaval 2025"/>
    <s v="20/02/2025 00:00:00"/>
    <s v="24/02/2025 00:00:00"/>
    <s v="22/03/2025 00:00:00"/>
    <x v="5"/>
    <x v="0"/>
    <n v="65613.440000000002"/>
    <n v="0"/>
    <n v="0"/>
    <n v="0"/>
    <n v="65613.440000000002"/>
    <n v="5467.7866666666669"/>
    <n v="65613.440000000002"/>
    <n v="65613.440000000002"/>
    <n v="0"/>
    <n v="65613.440000000002"/>
    <n v="65613.440000000002"/>
    <n v="65613.440000000002"/>
    <s v="01-07-2025"/>
  </r>
  <r>
    <s v="01"/>
    <s v="Secretaria Municipal de Direitos Humanos e Cidadania"/>
    <s v="34"/>
    <s v="10"/>
    <n v="8"/>
    <n v="605"/>
    <n v="3016"/>
    <x v="2"/>
    <s v="33399000"/>
    <s v="2"/>
    <s v="Termo de Contrato - Serviços"/>
    <n v="12"/>
    <s v="Pregão"/>
    <n v="2025"/>
    <n v="13641"/>
    <m/>
    <s v="6074202500011515"/>
    <s v="Contratação de empresa especializada em Manutenção de Ar condicionado Central marca Hitachi, modelo SPLITÃO 20TR, localizados na rua Libero Badaró, nº 293, 25°andar Blocos A e B, com fornecimento de material, mão de obra e equipamentos."/>
    <m/>
    <m/>
    <m/>
    <x v="5"/>
    <x v="1"/>
    <n v="63258"/>
    <n v="0"/>
    <n v="0"/>
    <n v="0"/>
    <n v="63258"/>
    <n v="5271.5"/>
    <n v="63258"/>
    <n v="63258"/>
    <n v="0"/>
    <n v="63258"/>
    <n v="0"/>
    <n v="0"/>
    <s v="01-07-2025"/>
  </r>
  <r>
    <s v="01"/>
    <s v="Secretaria Municipal de Direitos Humanos e Cidadania"/>
    <s v="34"/>
    <s v="10"/>
    <n v="14"/>
    <n v="122"/>
    <n v="3024"/>
    <x v="0"/>
    <s v="44529000"/>
    <s v="29"/>
    <s v="Termo de Contrato para Aquisição de Bens de Consumo e/ou Permanente"/>
    <n v="12"/>
    <s v="Pregão"/>
    <n v="2025"/>
    <n v="6678"/>
    <s v="026/SMDHC/2025"/>
    <s v="6074202400084430"/>
    <s v="Fornecimento e instalação de 05 (cinco) aparelhos de ar condicionado para o atendimento das necessidades do Edifício Patriarca, sede da Ouvidoria da Secretaria Municipal de Direitos Humanos e Cidadania – SMDHC."/>
    <s v="12/03/2025 00:00:00"/>
    <s v="13/03/2025 00:00:00"/>
    <s v="07/04/2025 00:00:00"/>
    <x v="19"/>
    <x v="0"/>
    <n v="62000"/>
    <n v="0"/>
    <n v="0"/>
    <n v="0"/>
    <n v="62000"/>
    <n v="62000"/>
    <n v="744000"/>
    <n v="62000"/>
    <n v="0"/>
    <n v="62000"/>
    <n v="62000"/>
    <n v="62000"/>
    <s v="01-07-2025"/>
  </r>
  <r>
    <s v="01"/>
    <s v="Secretaria Municipal de Direitos Humanos e Cidadania"/>
    <s v="34"/>
    <s v="10"/>
    <n v="14"/>
    <n v="422"/>
    <n v="3013"/>
    <x v="1"/>
    <s v="33399000"/>
    <s v="2"/>
    <s v="Termo de Contrato - Serviços"/>
    <n v="12"/>
    <s v="Pregão"/>
    <n v="2021"/>
    <n v="10319"/>
    <s v="TC 018/SMDHC/2022"/>
    <s v="6074202000057290"/>
    <s v="Reembolso de materiais que serão substituídos, quando da manutenção da Unidade - MATERIAIS. "/>
    <s v="26/04/2021 00:00:00"/>
    <s v="27/04/2021 00:00:00"/>
    <s v="19/10/2025 00:00:00"/>
    <x v="24"/>
    <x v="0"/>
    <n v="55378.95"/>
    <n v="0"/>
    <n v="267077.52"/>
    <n v="0"/>
    <n v="322456.47000000003"/>
    <n v="5862.8449090909098"/>
    <n v="70354.138909090922"/>
    <n v="383823.46"/>
    <n v="61433.32"/>
    <n v="322390.14"/>
    <n v="295120.57"/>
    <n v="295120.57"/>
    <s v="01-07-2025"/>
  </r>
  <r>
    <s v="01"/>
    <s v="Secretaria Municipal de Direitos Humanos e Cidadania"/>
    <s v="34"/>
    <s v="10"/>
    <n v="14"/>
    <n v="422"/>
    <n v="3013"/>
    <x v="5"/>
    <s v="33399000"/>
    <s v="64"/>
    <s v="Nota de Empenho-Fornecitº Serviços de Concessionárias de Abast.Público"/>
    <n v="6"/>
    <s v="Dispensa de Licitação"/>
    <n v="2025"/>
    <n v="6881"/>
    <m/>
    <s v="6074202500014476"/>
    <s v="fornecimento de energia elétrica - Casa de Passagem - Exercício de 2025."/>
    <m/>
    <m/>
    <s v="01/01/2026 00:00:00"/>
    <x v="5"/>
    <x v="0"/>
    <n v="54000"/>
    <n v="0"/>
    <n v="0"/>
    <n v="0"/>
    <n v="54000"/>
    <n v="4500"/>
    <n v="54000"/>
    <n v="54000"/>
    <n v="0"/>
    <n v="54000"/>
    <n v="12891.97"/>
    <n v="12857.93"/>
    <s v="01-07-2025"/>
  </r>
  <r>
    <s v="01"/>
    <s v="Secretaria Municipal de Direitos Humanos e Cidadania"/>
    <s v="34"/>
    <s v="10"/>
    <n v="14"/>
    <n v="422"/>
    <n v="3013"/>
    <x v="5"/>
    <s v="33309000"/>
    <s v="29"/>
    <s v="Termo de Contrato para Aquisição de Bens de Consumo e/ou Permanente"/>
    <n v="12"/>
    <s v="Pregão"/>
    <n v="2025"/>
    <n v="14546"/>
    <m/>
    <s v="6074202500036429"/>
    <s v="Fornecimento de agasalhos, roupas e vestuários de inverno, por meio de Ata de Registro de Preços, visando atender às necessidades da Coordenação de Políticas para População em Situação de Rua"/>
    <m/>
    <m/>
    <m/>
    <x v="5"/>
    <x v="1"/>
    <n v="52000"/>
    <n v="0"/>
    <n v="0"/>
    <n v="52000"/>
    <n v="0"/>
    <n v="0"/>
    <n v="0"/>
    <n v="10000"/>
    <n v="10000"/>
    <n v="0"/>
    <n v="0"/>
    <n v="0"/>
    <s v="01-07-2025"/>
  </r>
  <r>
    <s v="01"/>
    <s v="Secretaria Municipal de Direitos Humanos e Cidadania"/>
    <s v="34"/>
    <s v="10"/>
    <n v="14"/>
    <n v="422"/>
    <n v="3013"/>
    <x v="5"/>
    <s v="33309000"/>
    <s v="29"/>
    <s v="Termo de Contrato para Aquisição de Bens de Consumo e/ou Permanente"/>
    <n v="12"/>
    <s v="Pregão"/>
    <n v="2025"/>
    <n v="14552"/>
    <m/>
    <s v="6074202500036429"/>
    <s v="Fornecimento de agasalhos, roupas e vestuários de inverno, por meio de Ata de Registro de Preços, visando atender às necessidades da Coordenação de Políticas para População em Situação de Rua Ata de Registro de Preços 004/SMDHC/2023."/>
    <m/>
    <m/>
    <m/>
    <x v="5"/>
    <x v="1"/>
    <n v="52000"/>
    <n v="0"/>
    <n v="0"/>
    <n v="0"/>
    <n v="52000"/>
    <n v="4333.333333333333"/>
    <n v="52000"/>
    <n v="10000"/>
    <n v="0"/>
    <n v="10000"/>
    <n v="0"/>
    <n v="0"/>
    <s v="01-07-2025"/>
  </r>
  <r>
    <s v="01"/>
    <s v="Secretaria Municipal de Direitos Humanos e Cidadania"/>
    <s v="34"/>
    <s v="10"/>
    <n v="8"/>
    <n v="605"/>
    <n v="3016"/>
    <x v="2"/>
    <s v="33379000"/>
    <s v="2"/>
    <s v="Termo de Contrato - Serviços"/>
    <n v="12"/>
    <s v="Pregão"/>
    <n v="2024"/>
    <n v="594"/>
    <s v="02/SMDET/2023"/>
    <s v="6064202300002771"/>
    <s v="TA 001 - Prestação de serviços de vigilância e segurança patrimonial desarmada, para fazer constar o acréscimo de 03 (três) postos equivalentes ao percentual de 24,92%, correspondente ao valor de R$ 51.997,88 (cinquenta e um mil novecentos e noventa e sete reais e oitenta e oito centavos) - CRM Vila Nova Cachoeirinha e CCM Itaquera - Relacionado ao Termo de Contrato nº 02/2023/SMDET - Contratação 3036/2023_x000a_"/>
    <s v="05/01/2024 00:00:00"/>
    <s v="15/01/2024 00:00:00"/>
    <s v="01/03/2026 00:00:00"/>
    <x v="30"/>
    <x v="0"/>
    <n v="51997.88"/>
    <n v="182992.92"/>
    <n v="3180772.8"/>
    <n v="0"/>
    <n v="3415763.5999999996"/>
    <n v="131375.52307692307"/>
    <n v="1576506.2769230767"/>
    <n v="5296596.0999999996"/>
    <n v="1981662.4"/>
    <n v="3314933.7"/>
    <n v="2178372.92"/>
    <n v="2178372.92"/>
    <s v="01-07-2025"/>
  </r>
  <r>
    <s v="01"/>
    <s v="Secretaria Municipal de Direitos Humanos e Cidadania"/>
    <s v="34"/>
    <s v="10"/>
    <n v="14"/>
    <n v="126"/>
    <n v="3011"/>
    <x v="16"/>
    <s v="33409000"/>
    <s v="2"/>
    <s v="Termo de Contrato - Serviços"/>
    <n v="12"/>
    <s v="Pregão"/>
    <n v="2020"/>
    <n v="18117"/>
    <s v="048/SMDHC/2020"/>
    <s v="6074202000011893"/>
    <s v="Contratação de empresa especializada em telecomunicação para prestação de serviço de link de acesso à internet com banda de 100MB, para utilização no auditório da Secretaria Municipal de Direitos Humanos e Cidadania."/>
    <s v="25/09/2022 00:00:00"/>
    <s v="30/09/2022 00:00:00"/>
    <s v="24/09/2025 00:00:00"/>
    <x v="3"/>
    <x v="0"/>
    <n v="51780"/>
    <n v="2021.54"/>
    <n v="213935.83"/>
    <n v="0"/>
    <n v="267737.37"/>
    <n v="7437.1491666666661"/>
    <n v="89245.79"/>
    <n v="254637.5"/>
    <n v="19308.63"/>
    <n v="235328.87"/>
    <n v="229355.16"/>
    <n v="229355.16"/>
    <s v="01-07-2025"/>
  </r>
  <r>
    <s v="01"/>
    <s v="Secretaria Municipal de Cultura"/>
    <s v="25"/>
    <s v="10"/>
    <n v="14"/>
    <n v="122"/>
    <n v="3024"/>
    <x v="0"/>
    <s v="33399000"/>
    <s v="2"/>
    <s v="Termo de Contrato - Serviços"/>
    <n v="7"/>
    <s v="Inexigibilidade"/>
    <n v="2025"/>
    <n v="11534"/>
    <s v="01254-2025-PE"/>
    <s v="6025202500060705"/>
    <s v="CONTRATADO: DAVID ASSUNÇÃO LOPES (CPF nº 475.296.998-06), conforme Contrato/Declaração de Exclusividade, por intermédio de Produtora Ines Oliveira Ltda, inscrita no CNPJ sob o nº 24.496.217/0001-00_x000a_OBJETO: Espetáculo Musical / Show - Banda 4Jam - Banda4Jam_x000a_PERÍODO DE EXECUÇÃO DOS SERVIÇOS: de 27/04/2025 a 18/05/2025 - totalizando 2 apresentações conforme cronograma:"/>
    <s v="24/04/2025 00:00:00"/>
    <s v="28/04/2025 00:00:00"/>
    <s v="18/05/2025 00:00:00"/>
    <x v="19"/>
    <x v="0"/>
    <n v="50000"/>
    <n v="0"/>
    <n v="0"/>
    <n v="0"/>
    <n v="50000"/>
    <n v="50000"/>
    <n v="600000"/>
    <n v="50000"/>
    <n v="0"/>
    <n v="50000"/>
    <n v="50000"/>
    <n v="50000"/>
    <s v="01-07-2025"/>
  </r>
  <r>
    <s v="01"/>
    <s v="Secretaria Municipal de Direitos Humanos e Cidadania"/>
    <s v="34"/>
    <s v="10"/>
    <n v="14"/>
    <n v="244"/>
    <n v="3013"/>
    <x v="15"/>
    <s v="33395000"/>
    <s v="23"/>
    <s v="Termo de Fomento - Lei Federal 13.019/2014"/>
    <n v="8"/>
    <s v="Não Aplicável"/>
    <n v="2025"/>
    <n v="15560"/>
    <s v="40/2025/SMDHC/CPM"/>
    <s v="6074202500029759"/>
    <s v="Parceria. Termo de Fomento. Emenda Parlamentar. Projeto &quot;Aracne&quot;."/>
    <s v="06/06/2025 00:00:00"/>
    <s v="11/06/2025 00:00:00"/>
    <s v="09/08/2025 00:00:00"/>
    <x v="20"/>
    <x v="0"/>
    <n v="50000"/>
    <n v="0"/>
    <n v="0"/>
    <n v="0"/>
    <n v="50000"/>
    <n v="25000"/>
    <n v="300000"/>
    <n v="50000"/>
    <n v="0"/>
    <n v="50000"/>
    <n v="50000"/>
    <n v="50000"/>
    <s v="01-07-2025"/>
  </r>
  <r>
    <s v="01"/>
    <s v="Secretaria Municipal de Direitos Humanos e Cidadania"/>
    <s v="34"/>
    <s v="10"/>
    <n v="14"/>
    <n v="422"/>
    <n v="3018"/>
    <x v="6"/>
    <s v="33399000"/>
    <s v="2"/>
    <s v="Termo de Contrato - Serviços"/>
    <n v="7"/>
    <s v="Inexigibilidade"/>
    <n v="2025"/>
    <n v="8756"/>
    <s v="030/SMDHC/2025"/>
    <s v="6074202500013593"/>
    <s v="Contratação do INSTITUTO DE ESTUDOS DE PROTESTO DE TÍTULOS DO BRASIL - SEÇÃO SÃO PAULO - IEPTB - SP para serviços cartoriais voltados para o programa Respeito Tem Nome."/>
    <s v="26/03/2025 00:00:00"/>
    <s v="31/03/2025 00:00:00"/>
    <s v="08/01/2026 00:00:00"/>
    <x v="31"/>
    <x v="0"/>
    <n v="45720"/>
    <n v="0"/>
    <n v="0"/>
    <n v="0"/>
    <n v="45720"/>
    <n v="5080"/>
    <n v="60960"/>
    <n v="45720"/>
    <n v="0"/>
    <n v="45720"/>
    <n v="10858.3"/>
    <n v="10858.3"/>
    <s v="01-07-2025"/>
  </r>
  <r>
    <s v="01"/>
    <s v="Secretaria Municipal de Direitos Humanos e Cidadania"/>
    <s v="34"/>
    <s v="10"/>
    <n v="14"/>
    <n v="243"/>
    <n v="3013"/>
    <x v="11"/>
    <s v="33399000"/>
    <s v="2"/>
    <s v="Termo de Contrato - Serviços"/>
    <n v="12"/>
    <s v="Pregão"/>
    <n v="2024"/>
    <n v="27770"/>
    <s v="259/SMDHC/2024"/>
    <s v="6074202400039434"/>
    <s v=" Prestação de Serviços, sob demanda, de empresa especializada para elaboração de laudo de avaliação de locação de imóveis"/>
    <s v="26/08/2024 00:00:00"/>
    <s v="29/08/2024 00:00:00"/>
    <s v="26/08/2025 00:00:00"/>
    <x v="5"/>
    <x v="0"/>
    <n v="39996"/>
    <n v="0"/>
    <n v="0"/>
    <n v="0"/>
    <n v="39996"/>
    <n v="3333"/>
    <n v="39996"/>
    <n v="66104.5"/>
    <n v="37617"/>
    <n v="28487.5"/>
    <n v="5233"/>
    <n v="4758"/>
    <s v="01-07-2025"/>
  </r>
  <r>
    <s v="01"/>
    <s v="Secretaria Municipal de Direitos Humanos e Cidadania"/>
    <s v="34"/>
    <s v="10"/>
    <n v="14"/>
    <n v="243"/>
    <n v="3013"/>
    <x v="11"/>
    <s v="33399000"/>
    <s v="2"/>
    <s v="Termo de Contrato - Serviços"/>
    <n v="12"/>
    <s v="Pregão"/>
    <n v="2023"/>
    <n v="23852"/>
    <s v="245/SMDHC2023"/>
    <s v="6074202300071948"/>
    <s v="Contratação de empresa especializada na prestação de serviços de locação, instalação e manutenção de aparelhos purificadores de água."/>
    <s v="16/08/2023 00:00:00"/>
    <s v="18/08/2023 00:00:00"/>
    <s v="26/08/2025 00:00:00"/>
    <x v="2"/>
    <x v="0"/>
    <n v="39936"/>
    <n v="1260.48"/>
    <n v="39936"/>
    <n v="0"/>
    <n v="81132.48000000001"/>
    <n v="3380.5200000000004"/>
    <n v="40566.240000000005"/>
    <n v="84174.45"/>
    <n v="10839.86"/>
    <n v="73334.59"/>
    <n v="62566.04"/>
    <n v="59335.040000000001"/>
    <s v="01-07-2025"/>
  </r>
  <r>
    <s v="01"/>
    <s v="Secretaria Municipal de Direitos Humanos e Cidadania"/>
    <s v="34"/>
    <s v="10"/>
    <n v="14"/>
    <n v="122"/>
    <n v="3024"/>
    <x v="0"/>
    <s v="33399000"/>
    <s v="2"/>
    <s v="Termo de Contrato - Serviços"/>
    <n v="8"/>
    <s v="Não Aplicável"/>
    <n v="2019"/>
    <n v="14295"/>
    <s v="012/smdhc/2019"/>
    <s v="6074201900011301"/>
    <s v="Contratação de empresa para prestação de Serviço Telefônico Fixo Comutado – STFC (fixo-fixo e fixo-móvel) e de Serviço Móvel Pessoal - SMP (Móvel-Móvel, Móvel-Fixo e dados), nas modalidades Local, Longa Distância Nacional (LDN) e Longa Distância Internacional (LDI) a ser executado de forma contínua"/>
    <s v="07/06/2019 00:00:00"/>
    <s v="12/06/2019 00:00:00"/>
    <s v="06/06/2025 00:00:00"/>
    <x v="9"/>
    <x v="0"/>
    <n v="39498"/>
    <n v="0"/>
    <n v="78996"/>
    <n v="0"/>
    <n v="118494"/>
    <n v="1623.2054794520548"/>
    <n v="19478.465753424658"/>
    <n v="126221.03"/>
    <n v="74003.12"/>
    <n v="52217.91"/>
    <n v="45060.41"/>
    <n v="45060.41"/>
    <s v="01-07-2025"/>
  </r>
  <r>
    <s v="01"/>
    <s v="Secretaria Municipal de Direitos Humanos e Cidadania"/>
    <s v="34"/>
    <s v="10"/>
    <n v="14"/>
    <n v="422"/>
    <n v="3013"/>
    <x v="5"/>
    <s v="33309000"/>
    <s v="29"/>
    <s v="Termo de Contrato para Aquisição de Bens de Consumo e/ou Permanente"/>
    <n v="12"/>
    <s v="Pregão"/>
    <n v="2025"/>
    <n v="9738"/>
    <m/>
    <s v="6074202500008492"/>
    <s v="Aquisição de café torrado e moído embalado em alto vácuo, de qualidade mínima superior."/>
    <m/>
    <m/>
    <m/>
    <x v="5"/>
    <x v="1"/>
    <n v="38815.199999999997"/>
    <n v="0"/>
    <n v="0"/>
    <n v="0"/>
    <n v="38815.199999999997"/>
    <n v="3234.6"/>
    <n v="38815.199999999997"/>
    <n v="38815.199999999997"/>
    <n v="0"/>
    <n v="38815.199999999997"/>
    <n v="0"/>
    <n v="0"/>
    <s v="01-07-2025"/>
  </r>
  <r>
    <s v="01"/>
    <s v="Secretaria Municipal de Direitos Humanos e Cidadania"/>
    <s v="34"/>
    <s v="10"/>
    <n v="14"/>
    <n v="422"/>
    <n v="3013"/>
    <x v="1"/>
    <s v="33309000"/>
    <s v="29"/>
    <s v="Termo de Contrato para Aquisição de Bens de Consumo e/ou Permanente"/>
    <n v="6"/>
    <s v="Dispensa de Licitação"/>
    <n v="2024"/>
    <n v="11198"/>
    <s v="155/SMDHC/2024"/>
    <s v="6074202400019867"/>
    <s v="Contratação de empresa especializada no fornecimento de gás liquefeito de petróleo (GLP) botijão de 45 kg. para as unidades: Casa da Mulher Brasileira e Casa Helenira Rezende, supervisionado pela Coordenação de Políticas para Mulheres."/>
    <s v="02/05/2024 00:00:00"/>
    <s v="07/05/2024 00:00:00"/>
    <s v="17/05/2025 00:00:00"/>
    <x v="5"/>
    <x v="0"/>
    <n v="38304"/>
    <n v="0"/>
    <n v="9576"/>
    <n v="0"/>
    <n v="47880"/>
    <n v="3990"/>
    <n v="47880"/>
    <n v="65435.28"/>
    <n v="36308.28"/>
    <n v="29127"/>
    <n v="7581"/>
    <n v="7581"/>
    <s v="01-07-2025"/>
  </r>
  <r>
    <s v="01"/>
    <s v="Secretaria Municipal de Direitos Humanos e Cidadania"/>
    <s v="34"/>
    <s v="10"/>
    <n v="14"/>
    <n v="122"/>
    <n v="3024"/>
    <x v="0"/>
    <s v="33399000"/>
    <s v="2"/>
    <s v="Termo de Contrato - Serviços"/>
    <n v="12"/>
    <s v="Pregão"/>
    <n v="2019"/>
    <n v="14086"/>
    <s v="011/SMDHC/2019"/>
    <s v="6074201900011182"/>
    <s v="Pregão Eletrônico nº 011/SMDHC/2019, OFERTA DE COMPRAS nº 801022801002019OC00013, cujo objeto consiste na contratação de empresa especializada na prestação de serviços de Locação de Sistema de PABX com DDR, Serviço de Instalação, Gerenciamento e Manutenção, para atender as necessidades da Secretaria Municipal de Direitos Humanos e Cidadania, conforme especificações constantes no Termo de Referência - ANEXO I do Edital, à empresa: RA TELECOM LTDA, inscrita no CNPJ/MF nº 10.312.101/0001-51, no valor global de R$ 35.990,00 (trinta e cinco mil novecentos e noventa reais) pelo período de 12(doze) meses."/>
    <s v="06/06/2019 00:00:00"/>
    <s v="08/06/2019 00:00:00"/>
    <s v="04/06/2025 00:00:00"/>
    <x v="9"/>
    <x v="0"/>
    <n v="35990"/>
    <n v="32673.96"/>
    <n v="174000"/>
    <n v="0"/>
    <n v="242663.96"/>
    <n v="3324.1638356164381"/>
    <n v="39889.966027397255"/>
    <n v="320646.53999999998"/>
    <n v="85909.25"/>
    <n v="234737.29"/>
    <n v="234108.63"/>
    <n v="230336.58"/>
    <s v="01-07-2025"/>
  </r>
  <r>
    <s v="01"/>
    <s v="Secretaria Municipal de Direitos Humanos e Cidadania"/>
    <s v="34"/>
    <s v="10"/>
    <n v="14"/>
    <n v="243"/>
    <n v="3013"/>
    <x v="11"/>
    <s v="33309000"/>
    <s v="5"/>
    <s v="Nota de Empenho Fornecimento de Bens de Consumo e/ou Permanente"/>
    <n v="6"/>
    <s v="Dispensa de Licitação"/>
    <n v="2025"/>
    <n v="9773"/>
    <m/>
    <s v="6074202500015332"/>
    <s v="Aquisição de 156 (cento e cinquenta e seis) unidades de Ventiladores de coluna; Potência de 170W;  para o atendimento das dependências dos estabelecimentos que funcionam como sede dos Conselhos Tutelares."/>
    <m/>
    <m/>
    <s v="18/04/2025 00:00:00"/>
    <x v="5"/>
    <x v="0"/>
    <n v="35412"/>
    <n v="0"/>
    <n v="0"/>
    <n v="0"/>
    <n v="35412"/>
    <n v="2951"/>
    <n v="35412"/>
    <n v="35412"/>
    <n v="0"/>
    <n v="35412"/>
    <n v="35412"/>
    <n v="35412"/>
    <s v="01-07-2025"/>
  </r>
  <r>
    <s v="01"/>
    <s v="Secretaria Municipal de Direitos Humanos e Cidadania"/>
    <s v="34"/>
    <s v="10"/>
    <n v="14"/>
    <n v="422"/>
    <n v="3018"/>
    <x v="9"/>
    <s v="33399000"/>
    <s v="2"/>
    <s v="Termo de Contrato - Serviços"/>
    <n v="6"/>
    <s v="Dispensa de Licitação"/>
    <n v="2023"/>
    <n v="6172"/>
    <s v="066//SMDHC/2023"/>
    <s v="6074202200022457"/>
    <s v="Prestação de Serviço Telefônico Fixo Comutado - STFC por meio de linhas diretas não residenciais, destinado ao tráfego de chamadas locais e longa distância nacional, através de plano ilimitado, pelo período de 12 (doze) meses, para atender à Secretaria Municipal de Direitos Humanos e Cidadania - SMDHC e seus equipamentos."/>
    <s v="30/03/2023 00:00:00"/>
    <s v="03/07/2023 00:00:00"/>
    <s v="27/04/2026 00:00:00"/>
    <x v="23"/>
    <x v="0"/>
    <n v="32868"/>
    <n v="0"/>
    <n v="26056"/>
    <n v="0"/>
    <n v="58924"/>
    <n v="1592.5405405405406"/>
    <n v="19110.486486486487"/>
    <n v="75898.7"/>
    <n v="65190.7"/>
    <n v="10708"/>
    <n v="4379.12"/>
    <n v="3214.97"/>
    <s v="01-07-2025"/>
  </r>
  <r>
    <s v="01"/>
    <s v="Secretaria Municipal de Direitos Humanos e Cidadania"/>
    <s v="34"/>
    <s v="10"/>
    <n v="14"/>
    <n v="122"/>
    <n v="3024"/>
    <x v="0"/>
    <s v="33399000"/>
    <s v="2"/>
    <s v="Termo de Contrato - Serviços"/>
    <n v="6"/>
    <s v="Dispensa de Licitação"/>
    <n v="2024"/>
    <n v="6745"/>
    <s v="079/SMDHC/2024"/>
    <s v="6074202400004070"/>
    <s v="ontratação de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 v="12/03/2024 00:00:00"/>
    <s v="15/03/2024 00:00:00"/>
    <s v="14/03/2025 00:00:00"/>
    <x v="5"/>
    <x v="0"/>
    <n v="32400"/>
    <n v="0"/>
    <n v="0"/>
    <n v="0"/>
    <n v="32400"/>
    <n v="2700"/>
    <n v="32400"/>
    <n v="33570"/>
    <n v="1170"/>
    <n v="32400"/>
    <n v="32400"/>
    <n v="32400"/>
    <s v="01-07-2025"/>
  </r>
  <r>
    <s v="01"/>
    <s v="Secretaria Municipal de Direitos Humanos e Cidadania"/>
    <s v="34"/>
    <s v="10"/>
    <n v="8"/>
    <n v="605"/>
    <n v="3016"/>
    <x v="2"/>
    <s v="33309000"/>
    <s v="5"/>
    <s v="Nota de Empenho Fornecimento de Bens de Consumo e/ou Permanente"/>
    <n v="6"/>
    <s v="Dispensa de Licitação"/>
    <n v="2025"/>
    <n v="13470"/>
    <m/>
    <s v="6074202500028558"/>
    <s v="Aquisição de caixas plásticas vazadas."/>
    <m/>
    <m/>
    <m/>
    <x v="5"/>
    <x v="1"/>
    <n v="31900"/>
    <n v="0"/>
    <n v="0"/>
    <n v="0"/>
    <n v="31900"/>
    <n v="2658.3333333333335"/>
    <n v="31900"/>
    <n v="31900"/>
    <n v="0"/>
    <n v="31900"/>
    <n v="0"/>
    <n v="0"/>
    <s v="01-07-2025"/>
  </r>
  <r>
    <s v="01"/>
    <s v="Secretaria Municipal de Cultura"/>
    <s v="25"/>
    <s v="10"/>
    <n v="14"/>
    <n v="422"/>
    <n v="3018"/>
    <x v="6"/>
    <s v="33399000"/>
    <s v="2"/>
    <s v="Termo de Contrato - Serviços"/>
    <n v="7"/>
    <s v="Inexigibilidade"/>
    <n v="2025"/>
    <n v="16770"/>
    <m/>
    <s v="6025202500122603"/>
    <s v="19/06/2025 a 22/06/2025 -  Av. Mário de Andrade, 664 - Espetáculo Musical / Show - Ana Dutra - 24° Feira Cultura LGBT 2025"/>
    <m/>
    <m/>
    <m/>
    <x v="5"/>
    <x v="1"/>
    <n v="31200"/>
    <n v="0"/>
    <n v="0"/>
    <n v="0"/>
    <n v="31200"/>
    <n v="2600"/>
    <n v="31200"/>
    <n v="31200"/>
    <n v="0"/>
    <n v="31200"/>
    <n v="0"/>
    <n v="0"/>
    <s v="01-07-2025"/>
  </r>
  <r>
    <s v="01"/>
    <s v="Secretaria Municipal de Direitos Humanos e Cidadania"/>
    <s v="34"/>
    <s v="10"/>
    <n v="14"/>
    <n v="422"/>
    <n v="3013"/>
    <x v="1"/>
    <s v="33309000"/>
    <s v="5"/>
    <s v="Nota de Empenho Fornecimento de Bens de Consumo e/ou Permanente"/>
    <n v="6"/>
    <s v="Dispensa de Licitação"/>
    <n v="2025"/>
    <n v="11743"/>
    <m/>
    <s v="6074202500022983"/>
    <s v="Aquisição de itens para manutenções e reposições de materiais de informática e ferramentas, atendendo as necessidades do Departamento de Tecnologia da Informação e Comunicação - SMDHC."/>
    <m/>
    <m/>
    <s v="15/05/2025 00:00:00"/>
    <x v="5"/>
    <x v="0"/>
    <n v="30000"/>
    <n v="0"/>
    <n v="0"/>
    <n v="0"/>
    <n v="30000"/>
    <n v="2500"/>
    <n v="30000"/>
    <n v="30000"/>
    <n v="0"/>
    <n v="30000"/>
    <n v="30000"/>
    <n v="30000"/>
    <s v="01-07-2025"/>
  </r>
  <r>
    <s v="01"/>
    <s v="Secretaria Municipal de Direitos Humanos e Cidadania"/>
    <s v="34"/>
    <s v="10"/>
    <n v="14"/>
    <n v="122"/>
    <n v="3024"/>
    <x v="0"/>
    <s v="33309000"/>
    <s v="41"/>
    <s v="Nota de Empenho de Serviços com fornecimento de materiais / peças"/>
    <n v="12"/>
    <s v="Pregão"/>
    <n v="2025"/>
    <n v="13073"/>
    <m/>
    <s v="6074202500033993"/>
    <s v="Contratação de empresa especializada na prestação de serviços, sob demanda, de confecção e impressão de material gráfico "/>
    <m/>
    <m/>
    <s v="02/06/2025 00:00:00"/>
    <x v="5"/>
    <x v="0"/>
    <n v="28000"/>
    <n v="0"/>
    <n v="0"/>
    <n v="0"/>
    <n v="28000"/>
    <n v="2333.3333333333335"/>
    <n v="28000"/>
    <n v="28000"/>
    <n v="0"/>
    <n v="28000"/>
    <n v="28000"/>
    <n v="28000"/>
    <s v="01-07-2025"/>
  </r>
  <r>
    <s v="01"/>
    <s v="Secretaria Municipal de Direitos Humanos e Cidadania"/>
    <s v="34"/>
    <s v="10"/>
    <n v="14"/>
    <n v="422"/>
    <n v="3013"/>
    <x v="1"/>
    <s v="33309000"/>
    <s v="29"/>
    <s v="Termo de Contrato para Aquisição de Bens de Consumo e/ou Permanente"/>
    <n v="6"/>
    <s v="Dispensa de Licitação"/>
    <n v="2025"/>
    <n v="15829"/>
    <m/>
    <s v="6074202500033594"/>
    <s v="Aquisição, por Dispensa de Licitação, de itens de alimentação."/>
    <m/>
    <m/>
    <m/>
    <x v="5"/>
    <x v="1"/>
    <n v="26199.65"/>
    <n v="0"/>
    <n v="0"/>
    <n v="0"/>
    <n v="26199.65"/>
    <n v="2183.3041666666668"/>
    <n v="26199.65"/>
    <n v="26199.65"/>
    <n v="0"/>
    <n v="26199.65"/>
    <n v="0"/>
    <n v="0"/>
    <s v="01-07-2025"/>
  </r>
  <r>
    <s v="01"/>
    <s v="Secretaria Municipal de Direitos Humanos e Cidadania"/>
    <s v="34"/>
    <s v="10"/>
    <n v="14"/>
    <n v="122"/>
    <n v="3024"/>
    <x v="0"/>
    <s v="33399000"/>
    <s v="2"/>
    <s v="Termo de Contrato - Serviços"/>
    <n v="12"/>
    <s v="Pregão"/>
    <n v="2022"/>
    <n v="29091"/>
    <s v="212/SMDHC"/>
    <s v="6074202200071849"/>
    <s v="Prestação de Serviço por empresa especializada em manutenção preventiva e corretiva de 03 (três) elevadores instalados no prédio Sede da Secretaria Municipal de Direitos Humanos e Cidadania – SMDHC."/>
    <s v="24/10/2022 00:00:00"/>
    <s v="26/10/2022 00:00:00"/>
    <s v="23/10/2025 00:00:00"/>
    <x v="3"/>
    <x v="0"/>
    <n v="25320"/>
    <n v="1005.24"/>
    <n v="50640"/>
    <n v="0"/>
    <n v="76965.240000000005"/>
    <n v="2137.9233333333336"/>
    <n v="25655.08"/>
    <n v="77459.679999999993"/>
    <n v="3499.77"/>
    <n v="73959.91"/>
    <n v="61309.17"/>
    <n v="61309.17"/>
    <s v="01-07-2025"/>
  </r>
  <r>
    <s v="01"/>
    <s v="Secretaria Municipal de Direitos Humanos e Cidadania"/>
    <s v="34"/>
    <s v="10"/>
    <n v="14"/>
    <n v="122"/>
    <n v="3024"/>
    <x v="0"/>
    <s v="33399000"/>
    <s v="30"/>
    <s v="Nota de Empenho para Fornecimento de Serviços"/>
    <n v="6"/>
    <s v="Dispensa de Licitação"/>
    <n v="2025"/>
    <n v="3373"/>
    <m/>
    <s v="6074202400099135"/>
    <s v="Fornecimento de Gás Canalizado - COMGÁS, para atender o Centro Público de Economia Solidária e_x000a_ Edifício São Joaquim (SEDE)"/>
    <m/>
    <m/>
    <s v="01/01/2026 00:00:00"/>
    <x v="5"/>
    <x v="0"/>
    <n v="25000"/>
    <n v="0"/>
    <n v="0"/>
    <n v="0"/>
    <n v="25000"/>
    <n v="2083.3333333333335"/>
    <n v="25000"/>
    <n v="25000"/>
    <n v="668.66"/>
    <n v="24331.34"/>
    <n v="1271.6199999999999"/>
    <n v="1271.6199999999999"/>
    <s v="01-07-2025"/>
  </r>
  <r>
    <s v="01"/>
    <s v="Secretaria Municipal de Direitos Humanos e Cidadania"/>
    <s v="34"/>
    <s v="10"/>
    <n v="14"/>
    <n v="422"/>
    <n v="3013"/>
    <x v="5"/>
    <s v="33399000"/>
    <s v="2"/>
    <s v="Termo de Contrato - Serviços"/>
    <n v="8"/>
    <s v="Não Aplicável"/>
    <n v="2020"/>
    <n v="10771"/>
    <s v="024/SMDHC/2020"/>
    <s v="6074202000023344"/>
    <s v="Contratação de empresa especializada na prestação de serviços de gerenciamento de abastecimento de veículos, máquinas e equipamentos, por meio de cartão de pagamento magnético ou microprocessado, pelo período de 12 (doze) meses, pela taxa de administração de -4,75% (quatro inteiros e setenta e cinco centésimos por cento negativos)"/>
    <s v="08/07/2020 00:00:00"/>
    <s v="21/08/2020 00:00:00"/>
    <s v="07/07/2025 00:00:00"/>
    <x v="1"/>
    <x v="0"/>
    <n v="24055.200000000001"/>
    <n v="0"/>
    <n v="177148.79999999999"/>
    <n v="0"/>
    <n v="201204"/>
    <n v="3353.4"/>
    <n v="40240.800000000003"/>
    <n v="242731.01"/>
    <n v="197266.81"/>
    <n v="45464.2"/>
    <n v="20432.38"/>
    <n v="20432.38"/>
    <s v="01-07-2025"/>
  </r>
  <r>
    <s v="01"/>
    <s v="Secretaria Municipal de Direitos Humanos e Cidadania"/>
    <s v="34"/>
    <s v="10"/>
    <n v="14"/>
    <n v="122"/>
    <n v="3024"/>
    <x v="0"/>
    <s v="33399000"/>
    <s v="2"/>
    <s v="Termo de Contrato - Serviços"/>
    <n v="6"/>
    <s v="Dispensa de Licitação"/>
    <n v="2025"/>
    <n v="4963"/>
    <s v="020/SMDHC/2025"/>
    <s v="6074202500007283"/>
    <s v="Contratação de empresa especializada em ministrar curso teórico e prático de Brigada de Incêndio, para adequação de segurança nas dependências do Edifício São Joaquim, sede da Secretaria Municipal de Direitos Humanos e Cidadania – SMDHC e para adequação de segurança nas dependências da Casa da Mulher Brasileira – CMB."/>
    <s v="24/02/2025 00:00:00"/>
    <s v="26/02/2025 00:00:00"/>
    <s v="29/03/2025 00:00:00"/>
    <x v="21"/>
    <x v="0"/>
    <n v="22700"/>
    <n v="0"/>
    <n v="0"/>
    <n v="0"/>
    <n v="22700"/>
    <n v="22700"/>
    <n v="272400"/>
    <n v="22700"/>
    <n v="0"/>
    <n v="22700"/>
    <n v="22700"/>
    <n v="22700"/>
    <s v="01-07-2025"/>
  </r>
  <r>
    <s v="01"/>
    <s v="Secretaria Municipal de Direitos Humanos e Cidadania"/>
    <s v="34"/>
    <s v="10"/>
    <n v="14"/>
    <n v="422"/>
    <n v="3013"/>
    <x v="5"/>
    <s v="33309000"/>
    <s v="29"/>
    <s v="Termo de Contrato para Aquisição de Bens de Consumo e/ou Permanente"/>
    <n v="12"/>
    <s v="Pregão"/>
    <n v="2025"/>
    <n v="9492"/>
    <m/>
    <s v="6074202500020972"/>
    <s v="Contratação de empresa especializada para a prestação de serviços, sob demanda, de confecção e impressão de material gráfico pelo período de 1 (um) mês contados da data da assinatura do contrato."/>
    <m/>
    <m/>
    <m/>
    <x v="5"/>
    <x v="1"/>
    <n v="22580"/>
    <n v="0"/>
    <n v="0"/>
    <n v="0"/>
    <n v="22580"/>
    <n v="1881.6666666666667"/>
    <n v="22580"/>
    <n v="22580"/>
    <n v="0"/>
    <n v="22580"/>
    <n v="0"/>
    <n v="0"/>
    <s v="01-07-2025"/>
  </r>
  <r>
    <s v="01"/>
    <s v="Fundo de Abastecimento Alimentar de São Paulo"/>
    <s v="78"/>
    <s v="10"/>
    <n v="14"/>
    <n v="126"/>
    <n v="3024"/>
    <x v="12"/>
    <s v="33409000"/>
    <s v="2"/>
    <s v="Termo de Contrato - Serviços"/>
    <n v="12"/>
    <s v="Pregão"/>
    <n v="2023"/>
    <n v="26118"/>
    <s v="293/SMDHC/2023"/>
    <s v="6074202300067967"/>
    <s v="Contratação de empresa especializada em locação de impressoras corporativas, incluindo a prestação de serviços de manutenção preventiva e corretiva, fornecimento de peças e suprimentos necessários, para atender as necessidades dos equipamentos da Secretaria Municipal de Direito Humanos e Cidadania - SMDHC."/>
    <s v="29/08/2023 00:00:00"/>
    <s v="12/09/2023 00:00:00"/>
    <s v="28/08/2024 00:00:00"/>
    <x v="5"/>
    <x v="0"/>
    <n v="21334.560000000001"/>
    <n v="0"/>
    <n v="0"/>
    <n v="0"/>
    <n v="21334.560000000001"/>
    <n v="1777.88"/>
    <n v="21334.560000000001"/>
    <n v="7289.31"/>
    <n v="5701.55"/>
    <n v="1587.76"/>
    <n v="1587.76"/>
    <n v="1587.76"/>
    <s v="01-07-2025"/>
  </r>
  <r>
    <s v="01"/>
    <s v="Secretaria Municipal de Direitos Humanos e Cidadania"/>
    <s v="34"/>
    <s v="10"/>
    <n v="14"/>
    <n v="243"/>
    <n v="3013"/>
    <x v="11"/>
    <s v="33399000"/>
    <s v="2"/>
    <s v="Termo de Contrato - Serviços"/>
    <n v="12"/>
    <s v="Pregão"/>
    <n v="2024"/>
    <n v="37882"/>
    <s v="428/SMDHC/2024"/>
    <s v="6074202400069252"/>
    <s v="Contratação de estudos técnicos e assessoria para a elaboração do Diagnóstico Técnico Legal e Plano de Ação com objetivo de diagnosticar as necessidades legais, executivas e adequações físicas para obtenção do Auto de Vistoria do Corpo de Bombeiros (AVCB) das 52 (cinquenta e dois) edificações dos Conselhos Tutelares do Município de São Paulo da Secretaria Municipal de Direitos Humanos e Cidadania - SMDHC."/>
    <s v="29/11/2024 00:00:00"/>
    <s v="05/12/2024 00:00:00"/>
    <s v="16/07/2025 00:00:00"/>
    <x v="32"/>
    <x v="0"/>
    <n v="21000"/>
    <n v="0"/>
    <n v="0"/>
    <n v="0"/>
    <n v="21000"/>
    <n v="3000"/>
    <n v="36000"/>
    <n v="42000"/>
    <n v="21000"/>
    <n v="21000"/>
    <n v="21000"/>
    <n v="21000"/>
    <s v="01-07-2025"/>
  </r>
  <r>
    <s v="01"/>
    <s v="Secretaria Municipal de Direitos Humanos e Cidadania"/>
    <s v="34"/>
    <s v="10"/>
    <n v="8"/>
    <n v="605"/>
    <n v="3016"/>
    <x v="2"/>
    <s v="44529000"/>
    <s v="5"/>
    <s v="Nota de Empenho Fornecimento de Bens de Consumo e/ou Permanente"/>
    <n v="6"/>
    <s v="Dispensa de Licitação"/>
    <n v="2025"/>
    <n v="2987"/>
    <m/>
    <s v="6074202400082364"/>
    <s v="Aquisição de 06 (seis) unidades de Paleteira Hidráulica Manual , Rodas Duplas Nylon , 2,5 TON Carrinho Transpalete Hidráulico Manual - 2.500kg e 01 (um) unidade de Paleteira Hidráulica Manual com Balança Digital , Rodas Duplas em Nylon ou PU , 3 TON Carrinho Transpalete com Balança Integrada - 3.000kg, para atender ao Programa Municipal Banco de Alimentos."/>
    <m/>
    <m/>
    <s v="02/03/2025 00:00:00"/>
    <x v="5"/>
    <x v="0"/>
    <n v="20000"/>
    <n v="0"/>
    <n v="0"/>
    <n v="0"/>
    <n v="20000"/>
    <n v="1666.6666666666667"/>
    <n v="20000"/>
    <n v="20000"/>
    <n v="0"/>
    <n v="20000"/>
    <n v="20000"/>
    <n v="20000"/>
    <s v="01-07-2025"/>
  </r>
  <r>
    <s v="01"/>
    <s v="Secretaria Municipal de Direitos Humanos e Cidadania"/>
    <s v="34"/>
    <s v="10"/>
    <n v="14"/>
    <n v="422"/>
    <n v="3013"/>
    <x v="5"/>
    <s v="33309000"/>
    <s v="5"/>
    <s v="Nota de Empenho Fornecimento de Bens de Consumo e/ou Permanente"/>
    <n v="6"/>
    <s v="Dispensa de Licitação"/>
    <n v="2025"/>
    <n v="3637"/>
    <m/>
    <s v="6074202500005850"/>
    <s v="Aquisição de tatuagens autoadesivas temporárias personalizadas de transferência a base de água."/>
    <m/>
    <m/>
    <s v="27/02/2025 00:00:00"/>
    <x v="5"/>
    <x v="0"/>
    <n v="20000"/>
    <n v="0"/>
    <n v="0"/>
    <n v="0"/>
    <n v="20000"/>
    <n v="1666.6666666666667"/>
    <n v="20000"/>
    <n v="20000"/>
    <n v="0"/>
    <n v="20000"/>
    <n v="20000"/>
    <n v="20000"/>
    <s v="01-07-2025"/>
  </r>
  <r>
    <s v="01"/>
    <s v="Secretaria Municipal de Cultura"/>
    <s v="25"/>
    <s v="10"/>
    <n v="14"/>
    <n v="122"/>
    <n v="3024"/>
    <x v="0"/>
    <s v="33399000"/>
    <s v="2"/>
    <s v="Termo de Contrato - Serviços"/>
    <n v="7"/>
    <s v="Inexigibilidade"/>
    <n v="2025"/>
    <n v="11535"/>
    <s v="01237-2025-PE"/>
    <s v="6025202500059707"/>
    <s v="CONTRATADO: Paulo Henrique Alves (CPF nº 327.762.038-70), conforme Contrato/Declaração de Exclusividade, por intermédio de Produtora Ines Oliveira Ltda, inscrita no CNPJ sob o nº 24.496.217/0001-00_x000a__x000a_ _x000a__x000a_OBJETO: Espetáculo Musical/Show - PH ZABUMBADA - PH ZABUMBADA_x000a__x000a_ _x000a__x000a_PERÍODO DE EXECUÇÃO DOS SERVIÇOS: 27/04/2025 - totalizando 1 (uma) apresentação conforme cronograma:_x000a__x000a_ _x000a__x000a_LOCAL e HORÁRIO: Avenida Vieira de Carvalho_x000a__x000a_ _x000a__x000a_VALOR GLOBAL: R$ 20.000,00 (vinte mil reais), a ser pago após a confirmação da execução dos serviços pela unidade requisitante._x000a__x000a_ _x000a__x000a_FORMA DE PAGAMENTO: O pagamento se dará no 30º (trigésimo) dia após a data de entrega de toda documentação correta relativa ao pagamento._x000a__x000a_ _x000a__x000a_DOTAÇÃO ORÇAMENTÁRIA: 34.10.14.122.3024.2.100.3.3.90.39.00.00, conforme Nota de Reserva com Transferência N° 31.804/2025 (124261890)_x000a__x000a_ "/>
    <s v="24/04/2025 00:00:00"/>
    <s v="29/04/2025 00:00:00"/>
    <s v="28/04/2025 00:00:00"/>
    <x v="19"/>
    <x v="0"/>
    <n v="20000"/>
    <n v="0"/>
    <n v="0"/>
    <n v="0"/>
    <n v="20000"/>
    <n v="20000"/>
    <n v="240000"/>
    <n v="20000"/>
    <n v="0"/>
    <n v="20000"/>
    <n v="20000"/>
    <n v="20000"/>
    <s v="01-07-2025"/>
  </r>
  <r>
    <s v="01"/>
    <s v="Secretaria Municipal de Direitos Humanos e Cidadania"/>
    <s v="34"/>
    <s v="10"/>
    <n v="14"/>
    <n v="122"/>
    <n v="3024"/>
    <x v="0"/>
    <s v="33399000"/>
    <s v="2"/>
    <s v="Termo de Contrato - Serviços"/>
    <n v="7"/>
    <s v="Inexigibilidade"/>
    <n v="2025"/>
    <n v="13475"/>
    <s v="068/SMDHC/2025"/>
    <s v="6074202500035244"/>
    <s v="Locação de espaço do Centro Universitario das Faculdades Metropolitanas Unidas a para VI Conferência Municipal dos Direitos da Pessoa Idosa, com o tema “Envelhecimento Multicultural e Democracia: Urgência por Equidade, Direitos e Participação”"/>
    <s v="16/05/2025 00:00:00"/>
    <s v="05/06/2025 00:00:00"/>
    <s v="26/05/2025 00:00:00"/>
    <x v="19"/>
    <x v="0"/>
    <n v="19732.5"/>
    <n v="0"/>
    <n v="0"/>
    <n v="0"/>
    <n v="19732.5"/>
    <n v="19732.5"/>
    <n v="236790"/>
    <n v="39465"/>
    <n v="19732.5"/>
    <n v="19732.5"/>
    <n v="0"/>
    <n v="0"/>
    <s v="01-07-2025"/>
  </r>
  <r>
    <s v="01"/>
    <s v="Secretaria Municipal de Direitos Humanos e Cidadania"/>
    <s v="34"/>
    <s v="10"/>
    <n v="14"/>
    <n v="422"/>
    <n v="3013"/>
    <x v="5"/>
    <s v="33309000"/>
    <s v="29"/>
    <s v="Termo de Contrato para Aquisição de Bens de Consumo e/ou Permanente"/>
    <n v="12"/>
    <s v="Pregão"/>
    <n v="2025"/>
    <n v="16705"/>
    <m/>
    <s v="6074202500042801"/>
    <s v="Contratação de empresa especializada para o fornecimento de 650 (seiscentos e cinquenta) unidades de sacolas (ecobag), 650 (seiscentos e cinquenta) unidades de squeeze e 50 (cinquenta) unidades de camisetas personalizadas, para os conferencistas da VI Conferência Municipal de Políticas para as Mulheres."/>
    <m/>
    <m/>
    <m/>
    <x v="5"/>
    <x v="1"/>
    <n v="19200"/>
    <n v="0"/>
    <n v="0"/>
    <n v="0"/>
    <n v="19200"/>
    <n v="1600"/>
    <n v="19200"/>
    <n v="19200"/>
    <n v="0"/>
    <n v="19200"/>
    <n v="0"/>
    <n v="0"/>
    <s v="01-07-2025"/>
  </r>
  <r>
    <s v="01"/>
    <s v="Secretaria Municipal de Direitos Humanos e Cidadania"/>
    <s v="34"/>
    <s v="10"/>
    <n v="14"/>
    <n v="422"/>
    <n v="3013"/>
    <x v="5"/>
    <s v="33399000"/>
    <s v="2"/>
    <s v="Termo de Contrato - Serviços"/>
    <n v="12"/>
    <s v="Pregão"/>
    <n v="2024"/>
    <n v="680"/>
    <s v="002/SMDHC/2024"/>
    <s v="6074202300102770"/>
    <s v="Prestação de serviços técnicos especializados para manutenção preventiva e corretiva de 1 (um) elevador instalado na Casa de Passagem, incluindo assistência técnica, fornecimento de mão de obra especializada e todo o material, tais como ferramentas e equipamentos a serem utilizados nessa prestação de serviço."/>
    <s v="22/01/2024 00:00:00"/>
    <s v="08/02/2024 00:00:00"/>
    <s v="19/02/2026 00:00:00"/>
    <x v="22"/>
    <x v="0"/>
    <n v="18000"/>
    <n v="843.24"/>
    <n v="26035.439999999999"/>
    <n v="0"/>
    <n v="44878.68"/>
    <n v="1795.1472000000001"/>
    <n v="21541.7664"/>
    <n v="44013.91"/>
    <n v="1700"/>
    <n v="42313.91"/>
    <n v="31322.02"/>
    <n v="29751.75"/>
    <s v="01-07-2025"/>
  </r>
  <r>
    <s v="01"/>
    <s v="Secretaria Municipal de Direitos Humanos e Cidadania"/>
    <s v="34"/>
    <s v="10"/>
    <n v="14"/>
    <n v="122"/>
    <n v="3024"/>
    <x v="0"/>
    <s v="33309000"/>
    <s v="29"/>
    <s v="Termo de Contrato para Aquisição de Bens de Consumo e/ou Permanente"/>
    <n v="12"/>
    <s v="Pregão"/>
    <n v="2025"/>
    <n v="2740"/>
    <s v=" 004/SMDHC"/>
    <s v="6074202500006473"/>
    <s v="Contratação de Sacolas (ecobag), Squeeze e Camisetas personalizadas para os conferencistas da Conferência Municipal de Promoção da Igualdade Racial de São Paulo – Edição 2025."/>
    <s v="06/02/2025 00:00:00"/>
    <s v="13/02/2025 00:00:00"/>
    <s v="08/03/2025 00:00:00"/>
    <x v="21"/>
    <x v="0"/>
    <n v="17800"/>
    <n v="0"/>
    <n v="0"/>
    <n v="0"/>
    <n v="17800"/>
    <n v="17800"/>
    <n v="213600"/>
    <n v="17800"/>
    <n v="0"/>
    <n v="17800"/>
    <n v="17800"/>
    <n v="17800"/>
    <s v="01-07-2025"/>
  </r>
  <r>
    <s v="01"/>
    <s v="Secretaria Municipal de Direitos Humanos e Cidadania"/>
    <s v="34"/>
    <s v="10"/>
    <n v="14"/>
    <n v="122"/>
    <n v="3024"/>
    <x v="0"/>
    <s v="33309000"/>
    <s v="5"/>
    <s v="Nota de Empenho Fornecimento de Bens de Consumo e/ou Permanente"/>
    <n v="6"/>
    <s v="Dispensa de Licitação"/>
    <n v="2025"/>
    <n v="5035"/>
    <m/>
    <s v="6074202500003466"/>
    <s v="Aquisição de material de consumo para o exercício de 2025, chás de diversos sabores, adoçante liquido, garrafa térmica, filtro de papel e guardanapo de papel, para atender a sede da Secretaria de Direitos Humanos e Cidadania-SMDHC."/>
    <m/>
    <m/>
    <s v="20/03/2025 00:00:00"/>
    <x v="5"/>
    <x v="0"/>
    <n v="17499"/>
    <n v="0"/>
    <n v="0"/>
    <n v="0"/>
    <n v="17499"/>
    <n v="1458.25"/>
    <n v="17499"/>
    <n v="17499"/>
    <n v="0"/>
    <n v="17499"/>
    <n v="17499"/>
    <n v="17499"/>
    <s v="01-07-2025"/>
  </r>
  <r>
    <s v="01"/>
    <s v="Secretaria Municipal de Direitos Humanos e Cidadania"/>
    <s v="34"/>
    <s v="10"/>
    <n v="14"/>
    <n v="422"/>
    <n v="3013"/>
    <x v="1"/>
    <s v="33309000"/>
    <s v="29"/>
    <s v="Termo de Contrato para Aquisição de Bens de Consumo e/ou Permanente"/>
    <n v="12"/>
    <s v="Pregão"/>
    <n v="2025"/>
    <n v="13502"/>
    <m/>
    <s v="6074202500025001"/>
    <s v=" Fornecimento de Gás Liquefeito de Petróleo (GLP) envasado em Botijão (P13 e P45), para o atendimento das necessidades de unidades afetas à SMDHC."/>
    <m/>
    <m/>
    <m/>
    <x v="5"/>
    <x v="1"/>
    <n v="16727"/>
    <n v="0"/>
    <n v="0"/>
    <n v="0"/>
    <n v="16727"/>
    <n v="1393.9166666666667"/>
    <n v="16727"/>
    <n v="16727"/>
    <n v="0"/>
    <n v="16727"/>
    <n v="0"/>
    <n v="0"/>
    <s v="01-07-2025"/>
  </r>
  <r>
    <s v="01"/>
    <s v="Secretaria Municipal de Direitos Humanos e Cidadania"/>
    <s v="34"/>
    <s v="10"/>
    <n v="14"/>
    <n v="422"/>
    <n v="3013"/>
    <x v="5"/>
    <s v="33399000"/>
    <s v="2"/>
    <s v="Termo de Contrato - Serviços"/>
    <n v="12"/>
    <s v="Pregão"/>
    <n v="2025"/>
    <n v="6135"/>
    <s v="023/SMDHC/2025"/>
    <s v="6074202500011639"/>
    <s v=" Contratação de empresa especializada na prestação de serviços de Coffe Break Tipo 1 para os eventos voltados à formação da rede de enfrentamento à violência de gênero, em parceria a Coordenação de Pronto Atendimento Social da Secretaria Municipal de Assistência e Desenvolvimento Social (SMADS) e o Grupo de Atuação Especial de Enfrentamento À Violência Doméstica (GEVID)."/>
    <s v="11/03/2025 00:00:00"/>
    <s v="17/03/2025 00:00:00"/>
    <s v="11/04/2025 00:00:00"/>
    <x v="21"/>
    <x v="0"/>
    <n v="16490"/>
    <n v="0"/>
    <n v="0"/>
    <n v="0"/>
    <n v="16490"/>
    <n v="16490"/>
    <n v="197880"/>
    <n v="16490"/>
    <n v="0"/>
    <n v="16490"/>
    <n v="16490"/>
    <n v="16490"/>
    <s v="01-07-2025"/>
  </r>
  <r>
    <s v="01"/>
    <s v="Secretaria Municipal de Direitos Humanos e Cidadania"/>
    <s v="34"/>
    <s v="10"/>
    <n v="14"/>
    <n v="422"/>
    <n v="3013"/>
    <x v="1"/>
    <s v="33399000"/>
    <s v="2"/>
    <s v="Termo de Contrato - Serviços"/>
    <n v="12"/>
    <s v="Pregão"/>
    <n v="2020"/>
    <n v="15344"/>
    <s v="037/SMDHC/2020"/>
    <s v="6074202000030464"/>
    <s v="Contratação da empresa TELEFÔNICA BRASIL S/A, inscrita no CNPJ. nº 02.558.157/0001-62, detentora da Ata de Registro de Preços n 008/SG-COBES/2019, para a prestação de Serviço Telefônico Fixo Comutado (STFC) por meio de entroncamentos digitais (links E1 com_x000a_sinalização CAS-R2/DTMF) e serviços de discagem direta a ramal (DDR), serviços estes destinados ao tráfego de chamadas locais, de longa distância nacional e de longa distância internacional, pelo período de 12 (doze) meses"/>
    <s v="14/08/2020 00:00:00"/>
    <s v="23/10/2020 00:00:00"/>
    <s v="13/08/2025 00:00:00"/>
    <x v="1"/>
    <x v="0"/>
    <n v="16032"/>
    <n v="0"/>
    <n v="75978.240000000005"/>
    <n v="0"/>
    <n v="92010.240000000005"/>
    <n v="1533.5040000000001"/>
    <n v="18402.048000000003"/>
    <n v="100814.72"/>
    <n v="87976.39"/>
    <n v="12838.33"/>
    <n v="10293.719999999999"/>
    <n v="10233.39"/>
    <s v="01-07-2025"/>
  </r>
  <r>
    <s v="01"/>
    <s v="Secretaria Municipal de Direitos Humanos e Cidadania"/>
    <s v="34"/>
    <s v="10"/>
    <n v="14"/>
    <n v="422"/>
    <n v="3018"/>
    <x v="9"/>
    <s v="33399000"/>
    <s v="51"/>
    <s v="Termo de Contrato - Seguradora"/>
    <n v="12"/>
    <s v="Pregão"/>
    <n v="2022"/>
    <n v="32740"/>
    <s v="266/SMDHC/2022"/>
    <s v="6074202200032037"/>
    <s v="Contratação, de empresa especializada na prestação de serviços de fornecimento de Seguro Total, na modalidade compreensiva, para 05 (cinco) veículos, sendo destes 03 (três) da Coordenação de Promoção da Igualdade Racial – CPIR e 02 (dois) da Coordenação de Políticas paras as Mulheres – CPM, unidades afeitas à Secretaria Municipal de Direitos Humanos e Cidadania – SMDHC."/>
    <s v="25/11/2022 00:00:00"/>
    <s v="28/12/2022 00:00:00"/>
    <s v="24/11/2025 00:00:00"/>
    <x v="3"/>
    <x v="0"/>
    <n v="15290"/>
    <n v="0"/>
    <n v="30580"/>
    <n v="0"/>
    <n v="45870"/>
    <n v="1274.1666666666667"/>
    <n v="15290"/>
    <n v="78670"/>
    <n v="53800"/>
    <n v="24870"/>
    <n v="13070"/>
    <n v="13070"/>
    <s v="01-07-2025"/>
  </r>
  <r>
    <s v="01"/>
    <s v="Secretaria Municipal de Direitos Humanos e Cidadania"/>
    <s v="34"/>
    <s v="10"/>
    <n v="8"/>
    <n v="605"/>
    <n v="3016"/>
    <x v="2"/>
    <s v="33309000"/>
    <s v="5"/>
    <s v="Nota de Empenho Fornecimento de Bens de Consumo e/ou Permanente"/>
    <n v="6"/>
    <s v="Dispensa de Licitação"/>
    <n v="2025"/>
    <n v="2823"/>
    <m/>
    <s v="6074202500000114"/>
    <s v="Aquisição de sacos plásticos transparentes para manipulação de alimentos no Banco de Alimentos, para atender os equipamentos afeitos à Secretaria Municipal de Direitos Humanos e Cidadania - SMDHC."/>
    <m/>
    <m/>
    <s v="23/02/2025 00:00:00"/>
    <x v="5"/>
    <x v="0"/>
    <n v="15000"/>
    <n v="0"/>
    <n v="0"/>
    <n v="0"/>
    <n v="15000"/>
    <n v="1250"/>
    <n v="15000"/>
    <n v="15000"/>
    <n v="0"/>
    <n v="15000"/>
    <n v="15000"/>
    <n v="0"/>
    <s v="01-07-2025"/>
  </r>
  <r>
    <s v="01"/>
    <s v="Secretaria Municipal de Direitos Humanos e Cidadania"/>
    <s v="34"/>
    <s v="10"/>
    <n v="14"/>
    <n v="422"/>
    <n v="3018"/>
    <x v="17"/>
    <s v="33418000"/>
    <s v="54"/>
    <s v="Nota de Empenho - Pagamento de Anuidades / Taxas / Impostos"/>
    <n v="8"/>
    <s v="Não Aplicável"/>
    <n v="2025"/>
    <n v="12899"/>
    <m/>
    <s v="6074202500023688"/>
    <s v="Pagamento da taxa anual de participação na rede internacional Rainbow Cities Network - RCN - Exercício 2025"/>
    <m/>
    <m/>
    <s v="31/12/2025 00:00:00"/>
    <x v="5"/>
    <x v="0"/>
    <n v="15000"/>
    <n v="0"/>
    <n v="0"/>
    <n v="4680"/>
    <n v="10320"/>
    <n v="860"/>
    <n v="10320"/>
    <n v="15000"/>
    <n v="4680"/>
    <n v="10320"/>
    <n v="10320"/>
    <n v="10320"/>
    <s v="01-07-2025"/>
  </r>
  <r>
    <s v="01"/>
    <s v="Secretaria Municipal de Direitos Humanos e Cidadania"/>
    <s v="34"/>
    <s v="10"/>
    <n v="14"/>
    <n v="122"/>
    <n v="3024"/>
    <x v="0"/>
    <s v="33309000"/>
    <s v="5"/>
    <s v="Nota de Empenho Fornecimento de Bens de Consumo e/ou Permanente"/>
    <n v="6"/>
    <s v="Dispensa de Licitação"/>
    <n v="2025"/>
    <n v="3528"/>
    <m/>
    <s v="6074202400101881"/>
    <s v="Aquisição de materiais de consumo para pequenos reparos e manutenção predial, para atender às necessidades das unidades desta Secretaria Municipal de Direitos Humanos e Cidadania – SMDHC."/>
    <m/>
    <m/>
    <s v="19/03/2025 00:00:00"/>
    <x v="5"/>
    <x v="0"/>
    <n v="14877.9"/>
    <n v="0"/>
    <n v="0"/>
    <n v="0"/>
    <n v="14877.9"/>
    <n v="1239.825"/>
    <n v="14877.900000000001"/>
    <n v="14877.9"/>
    <n v="0"/>
    <n v="14877.9"/>
    <n v="14877.9"/>
    <n v="14877.9"/>
    <s v="01-07-2025"/>
  </r>
  <r>
    <s v="01"/>
    <s v="Secretaria Municipal de Direitos Humanos e Cidadania"/>
    <s v="34"/>
    <s v="10"/>
    <n v="14"/>
    <n v="122"/>
    <n v="3024"/>
    <x v="0"/>
    <s v="33309000"/>
    <s v="5"/>
    <s v="Nota de Empenho Fornecimento de Bens de Consumo e/ou Permanente"/>
    <n v="6"/>
    <s v="Dispensa de Licitação"/>
    <n v="2025"/>
    <n v="3324"/>
    <m/>
    <s v="6074202500005973"/>
    <s v="Aquisição de 162 (cento e sessenta e dois) unidades de PROTETOR SOLAR FPS 60 LINHA SUN EMBALAGEM DE 1 LITRO. MARCA: ALGSUN "/>
    <m/>
    <m/>
    <s v="17/02/2025 00:00:00"/>
    <x v="5"/>
    <x v="0"/>
    <n v="14563.8"/>
    <n v="0"/>
    <n v="0"/>
    <n v="0"/>
    <n v="14563.8"/>
    <n v="1213.6499999999999"/>
    <n v="14563.8"/>
    <n v="14563.8"/>
    <n v="0"/>
    <n v="14563.8"/>
    <n v="14563.8"/>
    <n v="14563.8"/>
    <s v="01-07-2025"/>
  </r>
  <r>
    <s v="01"/>
    <s v="Secretaria Municipal de Cultura"/>
    <s v="25"/>
    <s v="10"/>
    <n v="14"/>
    <n v="422"/>
    <n v="3018"/>
    <x v="6"/>
    <s v="33399000"/>
    <s v="2"/>
    <s v="Termo de Contrato - Serviços"/>
    <n v="7"/>
    <s v="Inexigibilidade"/>
    <n v="2025"/>
    <n v="16682"/>
    <s v=" 03292-2025-PE"/>
    <s v="6025202500122387"/>
    <s v="19/06/2025 a 22/06/2025 -  Av. Mário de Andrade, 664 - Intervenção Artística - Reginaldo Aguilera LGBTQIA+ - Palavra Corpo Memória_x000a__x000a_ "/>
    <s v="17/06/2025 00:00:00"/>
    <s v="24/06/2025 00:00:00"/>
    <s v="22/06/2025 00:00:00"/>
    <x v="19"/>
    <x v="0"/>
    <n v="14200"/>
    <n v="0"/>
    <n v="0"/>
    <n v="0"/>
    <n v="14200"/>
    <n v="14200"/>
    <n v="170400"/>
    <n v="14200"/>
    <n v="0"/>
    <n v="14200"/>
    <n v="0"/>
    <n v="0"/>
    <s v="01-07-2025"/>
  </r>
  <r>
    <s v="01"/>
    <s v="Secretaria Municipal de Cultura"/>
    <s v="25"/>
    <s v="10"/>
    <n v="14"/>
    <n v="422"/>
    <n v="3018"/>
    <x v="6"/>
    <s v="33399000"/>
    <s v="2"/>
    <s v="Termo de Contrato - Serviços"/>
    <n v="7"/>
    <s v="Inexigibilidade"/>
    <n v="2025"/>
    <n v="16726"/>
    <m/>
    <s v="6025202500122158"/>
    <s v="19/06/2025 a 22/06/2025 - Av. Mário de Andrade, 664 -  Performance - Leticia Goes - Espelhos da Verdade"/>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731"/>
    <s v="03269-2025-PE"/>
    <s v="6025202500121860"/>
    <s v="19/06/2025 a 22/06/2025 - Av. Mário de Andrade, 664 -  Performance - Leandro Junior - 24 Feira Cultural LGBT 2025"/>
    <s v="17/06/2025 00:00:00"/>
    <s v="24/06/2025 00:00:00"/>
    <s v="22/06/2025 00:00:00"/>
    <x v="19"/>
    <x v="0"/>
    <n v="14200"/>
    <n v="0"/>
    <n v="0"/>
    <n v="0"/>
    <n v="14200"/>
    <n v="14200"/>
    <n v="170400"/>
    <n v="14200"/>
    <n v="0"/>
    <n v="14200"/>
    <n v="0"/>
    <n v="0"/>
    <s v="01-07-2025"/>
  </r>
  <r>
    <s v="01"/>
    <s v="Secretaria Municipal de Cultura"/>
    <s v="25"/>
    <s v="10"/>
    <n v="14"/>
    <n v="422"/>
    <n v="3018"/>
    <x v="6"/>
    <s v="33399000"/>
    <s v="2"/>
    <s v="Termo de Contrato - Serviços"/>
    <n v="7"/>
    <s v="Inexigibilidade"/>
    <n v="2025"/>
    <n v="16730"/>
    <m/>
    <s v="6025202500122425"/>
    <s v="19/06/2025 a 22/06/2025 -  Performance - Cia da Alegria As Aventuras da Madame Mim Mim&quot; LGBT - As Aventuras da Madame Mim Mim"/>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739"/>
    <m/>
    <s v="6025202500122077"/>
    <s v="19/06/2025 a 22/06/2025 - Av. Mário de Andrade, 664 -  Performance - Patricia Maruccio - Presença e Performance"/>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742"/>
    <s v=": 03270-2025-PE"/>
    <s v="6025202500121950"/>
    <s v="CONTRATADO: ANDRÉ ARAÚJO (CPF nº 331.401.868-19), conforme Contrato/Declaração de Exclusividade, por intermédio de 46.250.182 Valquiria Affonso Aguilera, inscrita no CNPJ sob o nº 46.250.182/0001-50_x000a_OBJETO: Intervenção artística - cultura popular - Andre Araujo - Feira LGBT 2025_x000a_PERÍODO DE EXECUÇÃO DOS SERVIÇOS: de 19/06/2025 a 22/06/2025 - totalizando 2 apresentações conforme cronograma::"/>
    <s v="17/06/2025 00:00:00"/>
    <s v="24/06/2025 00:00:00"/>
    <s v="22/06/2025 00:00:00"/>
    <x v="19"/>
    <x v="0"/>
    <n v="14200"/>
    <n v="0"/>
    <n v="0"/>
    <n v="0"/>
    <n v="14200"/>
    <n v="14200"/>
    <n v="170400"/>
    <n v="14200"/>
    <n v="0"/>
    <n v="14200"/>
    <n v="0"/>
    <n v="0"/>
    <s v="01-07-2025"/>
  </r>
  <r>
    <s v="01"/>
    <s v="Secretaria Municipal de Cultura"/>
    <s v="25"/>
    <s v="10"/>
    <n v="14"/>
    <n v="422"/>
    <n v="3018"/>
    <x v="6"/>
    <s v="33399000"/>
    <s v="2"/>
    <s v="Termo de Contrato - Serviços"/>
    <n v="7"/>
    <s v="Inexigibilidade"/>
    <n v="2025"/>
    <n v="16769"/>
    <m/>
    <s v="6025202500122239"/>
    <s v="19/06/2025 a 22/06/2025 - Performance - Erick Quadros - Corpos em Cena: Resistência e Poesia"/>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806"/>
    <m/>
    <s v="6025202500122220"/>
    <s v="19/06/2025 a 22/06/2025 - Performance - Giovana Tome - 24ª Feira Cultural LGBT 2025 Parada do Orgulho LGBT+ 2025"/>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840"/>
    <m/>
    <s v="6025202500121313"/>
    <s v="19/06/2025 a 22/06/2025  - Performance - Bruna Alves LGBTQIA+ - 24ª Feira Cultural LGBT 2025 e Parada do Orgulho LGBT+ 2025"/>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838"/>
    <m/>
    <s v="6025202500121305"/>
    <s v="19/06/2025 a 22/06/2025 - Av. Mário de Andrade, 664 - Performance - Juan Ferreira LGBTQIA+ - Vozes Visíveis"/>
    <m/>
    <m/>
    <m/>
    <x v="5"/>
    <x v="1"/>
    <n v="14200"/>
    <n v="0"/>
    <n v="0"/>
    <n v="0"/>
    <n v="14200"/>
    <n v="1183.3333333333333"/>
    <n v="14200"/>
    <n v="14200"/>
    <n v="0"/>
    <n v="14200"/>
    <n v="0"/>
    <n v="0"/>
    <s v="01-07-2025"/>
  </r>
  <r>
    <s v="01"/>
    <s v="Secretaria Municipal de Cultura"/>
    <s v="25"/>
    <s v="10"/>
    <n v="14"/>
    <n v="422"/>
    <n v="3018"/>
    <x v="6"/>
    <s v="33399000"/>
    <s v="2"/>
    <s v="Termo de Contrato - Serviços"/>
    <n v="7"/>
    <s v="Inexigibilidade"/>
    <n v="2025"/>
    <n v="16849"/>
    <m/>
    <s v="6025202500122190"/>
    <s v="CONTRATADO: EDUARDO NOBEL ALVES (CPF nº 483.124.118-01), conforme Contrato/Declaração de Exclusividade, por intermédio de PRODUTORA SUPERATIVA LTDA, inscrita no CNPJ sob o nº 01.811.101/0001-05_x000a__x000a_ _x000a__x000a_OBJETO: Performance - Eduardo Nobel - Poema em Movimento_x000a__x000a_ _x000a__x000a_PERÍODO DE EXECUÇÃO DOS SERVIÇOS:de 19/06/2025 a 22/06/2025 - totalizando 2 apresentações conforme cronograma:_x000a__x000a_quinta-feira: 19/06/2025 (1 apresentação)_x000a__x000a_Carga Horária: 01:00 horas_x000a_Horário: 14:40 às 15:40_x000a_Classificação etária: LIVRE (L)_x000a_Local: Av. Mário de Andrade, 664_x000a_ _x000a__x000a_domingo: 22/06/2025 (1 apresentação)_x000a__x000a_Carga Horária: 01:00 horas_x000a_Horário: 15:00 às 16:00_x000a_Classificação etária: LIVRE (L)_x000a_Local: Av. Paulista, 1578_x000a_ _x000a__x000a_VALOR GLOBAL: R$ 14.200,00 (quatorze mil e duzentos reais), a ser pago após a confirmação da execução dos serviços pela unidade requisitante._x000a__x000a_ _x000a__x000a_FORMA DE PAGAMENTO: O pagamento se dará no 30º (trigésimo) dia após a data de entrega de toda documentação correta relativa ao pagamento."/>
    <m/>
    <m/>
    <m/>
    <x v="5"/>
    <x v="1"/>
    <n v="14200"/>
    <n v="0"/>
    <n v="0"/>
    <n v="0"/>
    <n v="14200"/>
    <n v="1183.3333333333333"/>
    <n v="14200"/>
    <n v="14200"/>
    <n v="0"/>
    <n v="14200"/>
    <n v="0"/>
    <n v="0"/>
    <s v="01-07-2025"/>
  </r>
  <r>
    <s v="01"/>
    <s v="Secretaria Municipal de Direitos Humanos e Cidadania"/>
    <s v="34"/>
    <s v="10"/>
    <n v="14"/>
    <n v="422"/>
    <n v="3013"/>
    <x v="1"/>
    <s v="33399000"/>
    <s v="2"/>
    <s v="Termo de Contrato - Serviços"/>
    <n v="12"/>
    <s v="Pregão"/>
    <n v="2019"/>
    <n v="19137"/>
    <s v="027/SMDHC/2019"/>
    <s v="6074201800009402"/>
    <s v="Despacho - 07/08/2019 - Contratação de empresa especializada na prestação de serviço de operação de telefonia fixa, de natureza continuada, com a utilização de equipamento com sistema de Troca Automática de Ramais Privados, designado PABX (Private Automatic Branch Exchange), nas dependências da Casa da Mulher Brasileira – CMB, unidade operacional supervisionada pela “Coordenação Municipal de Políticas para Mulheres” pertencente à Secretaria Municipal de Direitos Humanos e Cidadania - SMDHC."/>
    <s v="13/08/2019 00:00:00"/>
    <s v="20/08/2019 00:00:00"/>
    <s v="13/02/2025 00:00:00"/>
    <x v="33"/>
    <x v="0"/>
    <n v="14000"/>
    <n v="3537.3"/>
    <n v="59515"/>
    <n v="0"/>
    <n v="77052.3"/>
    <n v="1150.034328358209"/>
    <n v="13800.411940298509"/>
    <n v="100852.14"/>
    <n v="27996.26"/>
    <n v="72855.88"/>
    <n v="72378.2"/>
    <n v="72378.2"/>
    <s v="01-07-2025"/>
  </r>
  <r>
    <s v="01"/>
    <s v="Secretaria Municipal de Direitos Humanos e Cidadania"/>
    <s v="34"/>
    <s v="10"/>
    <n v="14"/>
    <n v="243"/>
    <n v="3013"/>
    <x v="11"/>
    <s v="33399000"/>
    <s v="2"/>
    <s v="Termo de Contrato - Serviços"/>
    <n v="12"/>
    <s v="Pregão"/>
    <n v="2024"/>
    <n v="17376"/>
    <s v="168/SMDHC/2024"/>
    <s v="6074202400008350"/>
    <s v="Prestação de Serviços por empresa especializada em Controle de Pragas Urbanas e Vetores, compreendendo Desinsetização, Desratização e Descupinização para todas as áreas internas e externas adjacentes aos equipamentos da Secretaria Municipal de Direitos Humanos e Cidadania – SMDHC, com fornecimento de todos os materiais, equipamentos e ferramentas necessários, de acordo com as especificações e condições constantes do ANEXO I do Edital de Pregão."/>
    <s v="18/06/2024 00:00:00"/>
    <s v="26/06/2024 00:00:00"/>
    <s v="01/08/2025 00:00:00"/>
    <x v="16"/>
    <x v="0"/>
    <n v="14000"/>
    <n v="0"/>
    <n v="0"/>
    <n v="0"/>
    <n v="14000"/>
    <n v="1076.9230769230769"/>
    <n v="12923.076923076922"/>
    <n v="21280"/>
    <n v="7280"/>
    <n v="14000"/>
    <n v="6720"/>
    <n v="6720"/>
    <s v="01-07-2025"/>
  </r>
  <r>
    <s v="01"/>
    <s v="Secretaria Municipal de Direitos Humanos e Cidadania"/>
    <s v="34"/>
    <s v="10"/>
    <n v="14"/>
    <n v="422"/>
    <n v="3007"/>
    <x v="18"/>
    <s v="33309000"/>
    <s v="29"/>
    <s v="Termo de Contrato para Aquisição de Bens de Consumo e/ou Permanente"/>
    <n v="12"/>
    <s v="Pregão"/>
    <n v="2025"/>
    <n v="10407"/>
    <s v="040/SMDHC/2025"/>
    <s v="6074202500020786"/>
    <s v="Prestação de serviços, sob demanda, de confecção e impressão de material gráfico. - ATA DE REGISTRO DE PREÇOS Nº 002/SMDHC/2024"/>
    <s v="24/04/2025 00:00:00"/>
    <s v="28/04/2025 00:00:00"/>
    <s v="24/05/2025 00:00:00"/>
    <x v="21"/>
    <x v="0"/>
    <n v="14000"/>
    <n v="0"/>
    <n v="0"/>
    <n v="0"/>
    <n v="14000"/>
    <n v="14000"/>
    <n v="168000"/>
    <n v="14000"/>
    <n v="0"/>
    <n v="14000"/>
    <n v="14000"/>
    <n v="0"/>
    <s v="01-07-2025"/>
  </r>
  <r>
    <s v="01"/>
    <s v="Secretaria Municipal de Direitos Humanos e Cidadania"/>
    <s v="34"/>
    <s v="10"/>
    <n v="8"/>
    <n v="605"/>
    <n v="3016"/>
    <x v="2"/>
    <s v="33399000"/>
    <s v="2"/>
    <s v="Termo de Contrato - Serviços"/>
    <n v="12"/>
    <s v="Pregão"/>
    <n v="2024"/>
    <n v="37929"/>
    <s v="429/SMDHC/2024"/>
    <s v="6074202400067390"/>
    <s v="Contratação de empresa especializada na prestação de serviços – de natureza continuada – de controle sanitário integrado no combate a vetores e pragas urbanas (baratas, formigas, pombos, morcegos, dentre outras), compreendendo também a desinsetização, desratização, descupinização e controle ambiental em todas as áreas internas e externas adjacentes à equipamentos pertencentes à Secretaria Municipal de Direitos Humanos e Cidadania – SMDHC."/>
    <s v="29/11/2024 00:00:00"/>
    <s v="05/12/2024 00:00:00"/>
    <s v="21/01/2026 00:00:00"/>
    <x v="16"/>
    <x v="0"/>
    <n v="13899.96"/>
    <n v="0"/>
    <n v="0"/>
    <n v="0"/>
    <n v="13899.96"/>
    <n v="1069.2276923076922"/>
    <n v="12830.732307692306"/>
    <n v="27799.919999999998"/>
    <n v="13899.96"/>
    <n v="13899.96"/>
    <n v="5791.65"/>
    <n v="4633.32"/>
    <s v="01-07-2025"/>
  </r>
  <r>
    <s v="01"/>
    <s v="Secretaria Municipal de Direitos Humanos e Cidadania"/>
    <s v="34"/>
    <s v="10"/>
    <n v="8"/>
    <n v="605"/>
    <n v="3016"/>
    <x v="2"/>
    <s v="33309000"/>
    <s v="5"/>
    <s v="Nota de Empenho Fornecimento de Bens de Consumo e/ou Permanente"/>
    <n v="6"/>
    <s v="Dispensa de Licitação"/>
    <n v="2025"/>
    <n v="10117"/>
    <m/>
    <s v="6074202500021537"/>
    <s v="Aquisição de materiais para manipulação de alimentos no Banco de alimentos, atendendo as necessidades da SMDHC/SESANA/COSAN/CRESAN/VILA, pasta desta Secretaria Municipal de Direitos Humanos e Cidadania-SMDHC."/>
    <m/>
    <m/>
    <s v="17/04/2025 00:00:00"/>
    <x v="5"/>
    <x v="0"/>
    <n v="13800"/>
    <n v="0"/>
    <n v="0"/>
    <n v="0"/>
    <n v="13800"/>
    <n v="1150"/>
    <n v="13800"/>
    <n v="13800"/>
    <n v="0"/>
    <n v="13800"/>
    <n v="13800"/>
    <n v="0"/>
    <s v="01-07-2025"/>
  </r>
  <r>
    <s v="01"/>
    <s v="Secretaria Municipal de Direitos Humanos e Cidadania"/>
    <s v="34"/>
    <s v="10"/>
    <n v="8"/>
    <n v="605"/>
    <n v="3016"/>
    <x v="2"/>
    <s v="33309000"/>
    <s v="29"/>
    <s v="Termo de Contrato para Aquisição de Bens de Consumo e/ou Permanente"/>
    <n v="6"/>
    <s v="Dispensa de Licitação"/>
    <n v="2023"/>
    <n v="37228"/>
    <s v="405/SMDHC2023"/>
    <s v="6074202300091884"/>
    <s v=" Fornecimento – sob demanda – de garrafões de 20 (vinte) litros de água para Centro de Referência em Segurança Alimentar e Nutricional – CRESAN Vila Maria e do Centro de Referência em Segurança Alimentar e Nutricional – CRESAN Butanta."/>
    <s v="05/12/2023 00:00:00"/>
    <s v="09/02/2024 00:00:00"/>
    <s v="04/12/2025 00:00:00"/>
    <x v="2"/>
    <x v="0"/>
    <n v="13680"/>
    <n v="639"/>
    <n v="13680"/>
    <n v="0"/>
    <n v="27999"/>
    <n v="1166.625"/>
    <n v="13999.5"/>
    <n v="27995.15"/>
    <n v="3.25"/>
    <n v="27991.9"/>
    <n v="19639.150000000001"/>
    <n v="19639.150000000001"/>
    <s v="01-07-2025"/>
  </r>
  <r>
    <s v="01"/>
    <s v="Secretaria Municipal de Direitos Humanos e Cidadania"/>
    <s v="34"/>
    <s v="10"/>
    <n v="14"/>
    <n v="422"/>
    <n v="3018"/>
    <x v="9"/>
    <s v="33399000"/>
    <s v="2"/>
    <s v="Termo de Contrato - Serviços"/>
    <n v="12"/>
    <s v="Pregão"/>
    <n v="2023"/>
    <n v="28568"/>
    <s v="325/SMDHC/2023"/>
    <s v="6074202300072308"/>
    <s v="Prestação de serviços de locação, instalação e manutenção de aparelhos purificadores de água, conforme especificações, requisitos e condições constantes do Anexo I - Termo de Referência, através da ARP Nº 001/SEGES-COBES/2023."/>
    <s v="26/09/2023 00:00:00"/>
    <s v="29/09/2023 00:00:00"/>
    <s v="30/09/2025 00:00:00"/>
    <x v="2"/>
    <x v="0"/>
    <n v="13440"/>
    <n v="339.36"/>
    <n v="10304"/>
    <n v="0"/>
    <n v="24083.360000000001"/>
    <n v="1003.4733333333334"/>
    <n v="12041.68"/>
    <n v="24499.360000000001"/>
    <n v="476.8"/>
    <n v="24022.560000000001"/>
    <n v="20325.439999999999"/>
    <n v="19401.16"/>
    <s v="01-07-2025"/>
  </r>
  <r>
    <s v="01"/>
    <s v="Secretaria Municipal de Direitos Humanos e Cidadania"/>
    <s v="34"/>
    <s v="10"/>
    <n v="14"/>
    <n v="122"/>
    <n v="3024"/>
    <x v="0"/>
    <s v="33309000"/>
    <s v="29"/>
    <s v="Termo de Contrato para Aquisição de Bens de Consumo e/ou Permanente"/>
    <n v="12"/>
    <s v="Pregão"/>
    <n v="2025"/>
    <n v="12990"/>
    <s v="065/SHDHC/2025"/>
    <s v="6074202500032296"/>
    <s v="Contratação de empresa especializada na prestação de serviços, sob demanda, de confecção e impressão de material gráfico, para o fornecimento de 40 (quarenta) unidades de camisetas personalizadas, 450 (quatrocentos e cinquenta) unidades de Squeeze e de 450 (quatrocentos e cinquenta) unidade de sacolas (ecobag) ecológicas com profundidade e laterais em algodão cru para a IV Conferência Municipal dos Direitos das Pessoas LGBTQIA+."/>
    <s v="22/05/2025 00:00:00"/>
    <s v="30/05/2025 00:00:00"/>
    <s v="21/07/2025 00:00:00"/>
    <x v="20"/>
    <x v="0"/>
    <n v="13400"/>
    <n v="0"/>
    <n v="0"/>
    <n v="0"/>
    <n v="13400"/>
    <n v="6700"/>
    <n v="80400"/>
    <n v="13400"/>
    <n v="0"/>
    <n v="13400"/>
    <n v="13400"/>
    <n v="13400"/>
    <s v="01-07-2025"/>
  </r>
  <r>
    <s v="01"/>
    <s v="Secretaria Municipal de Direitos Humanos e Cidadania"/>
    <s v="34"/>
    <s v="10"/>
    <n v="14"/>
    <n v="122"/>
    <n v="3024"/>
    <x v="0"/>
    <s v="33309000"/>
    <s v="5"/>
    <s v="Nota de Empenho Fornecimento de Bens de Consumo e/ou Permanente"/>
    <n v="12"/>
    <s v="Pregão"/>
    <n v="2025"/>
    <n v="11280"/>
    <m/>
    <s v="6074202500027799"/>
    <s v="Contratação de empresa especializada na prestação de serviços de confecção de material gráfico - ATA DE REGISTRO DE PREÇOS Nº 002/SMDHC/2024."/>
    <m/>
    <m/>
    <s v="17/05/2025 00:00:00"/>
    <x v="5"/>
    <x v="0"/>
    <n v="13200"/>
    <n v="0"/>
    <n v="0"/>
    <n v="0"/>
    <n v="13200"/>
    <n v="1100"/>
    <n v="13200"/>
    <n v="13200"/>
    <n v="0"/>
    <n v="13200"/>
    <n v="13200"/>
    <n v="13200"/>
    <s v="01-07-2025"/>
  </r>
  <r>
    <s v="01"/>
    <s v="Secretaria Municipal de Direitos Humanos e Cidadania"/>
    <s v="34"/>
    <s v="10"/>
    <n v="14"/>
    <n v="122"/>
    <n v="3024"/>
    <x v="0"/>
    <s v="33399000"/>
    <s v="2"/>
    <s v="Termo de Contrato - Serviços"/>
    <n v="6"/>
    <s v="Dispensa de Licitação"/>
    <n v="2025"/>
    <n v="10359"/>
    <s v="035/SMDHC/2025"/>
    <s v="6074202500022843"/>
    <s v="Contratação de empresa para prestação de serviço de relatoria e metodologia incluída mão-de-obra e todos os materiais necessários à execução das atividades previstas para a conferência a ocorrer em 2025."/>
    <s v="14/04/2025 00:00:00"/>
    <s v="15/04/2025 00:00:00"/>
    <s v="24/07/2025 00:00:00"/>
    <x v="25"/>
    <x v="0"/>
    <n v="13029.9"/>
    <n v="0"/>
    <n v="0"/>
    <n v="0"/>
    <n v="13029.9"/>
    <n v="4343.3"/>
    <n v="52119.600000000006"/>
    <n v="13029.9"/>
    <n v="0"/>
    <n v="13029.9"/>
    <n v="13029.9"/>
    <n v="0"/>
    <s v="01-07-2025"/>
  </r>
  <r>
    <s v="01"/>
    <s v="Secretaria Municipal de Cultura"/>
    <s v="25"/>
    <s v="10"/>
    <n v="14"/>
    <n v="422"/>
    <n v="3018"/>
    <x v="6"/>
    <s v="33399000"/>
    <s v="2"/>
    <s v="Termo de Contrato - Serviços"/>
    <n v="7"/>
    <s v="Inexigibilidade"/>
    <n v="2025"/>
    <n v="16815"/>
    <s v="03278-2025-PE"/>
    <s v="6025202500122182"/>
    <s v="19/06/2025 a 22/06/2025 - Espetáculo Musical / Show - NATHALIA CORTE - Nathalia Corte"/>
    <s v="17/06/2025 00:00:00"/>
    <s v="24/06/2025 00:00:00"/>
    <s v="22/06/2025 00:00:00"/>
    <x v="19"/>
    <x v="0"/>
    <n v="13000"/>
    <n v="0"/>
    <n v="0"/>
    <n v="0"/>
    <n v="13000"/>
    <n v="13000"/>
    <n v="156000"/>
    <n v="13000"/>
    <n v="0"/>
    <n v="13000"/>
    <n v="0"/>
    <n v="0"/>
    <s v="01-07-2025"/>
  </r>
  <r>
    <s v="01"/>
    <s v="Secretaria Municipal de Direitos Humanos e Cidadania"/>
    <s v="34"/>
    <s v="10"/>
    <n v="14"/>
    <n v="422"/>
    <n v="3018"/>
    <x v="19"/>
    <s v="33399000"/>
    <s v="2"/>
    <s v="Termo de Contrato - Serviços"/>
    <n v="6"/>
    <s v="Dispensa de Licitação"/>
    <n v="2025"/>
    <n v="2959"/>
    <s v="012/SMDHC/2025"/>
    <s v="6074202400091860"/>
    <s v="Contratação de empresa especializada na prestação de serviços de manutenção preventiva e corretiva no sistema/aparelho de telefonia PABX (Private Automatic Branch Exchange), pertencente à Secretaria Municipal de Direitos Humanos e Cidadania – SMDHC."/>
    <s v="18/02/2025 00:00:00"/>
    <s v="20/02/2025 00:00:00"/>
    <s v="03/03/2026 00:00:00"/>
    <x v="5"/>
    <x v="0"/>
    <n v="12711.96"/>
    <n v="0"/>
    <n v="0"/>
    <n v="0"/>
    <n v="12711.96"/>
    <n v="1059.33"/>
    <n v="12711.96"/>
    <n v="11652.63"/>
    <n v="0"/>
    <n v="11652.63"/>
    <n v="3107.37"/>
    <n v="2048.04"/>
    <s v="01-07-2025"/>
  </r>
  <r>
    <s v="01"/>
    <s v="Secretaria Municipal de Direitos Humanos e Cidadania"/>
    <s v="34"/>
    <s v="10"/>
    <n v="14"/>
    <n v="122"/>
    <n v="3024"/>
    <x v="0"/>
    <s v="33399000"/>
    <s v="2"/>
    <s v="Termo de Contrato - Serviços"/>
    <n v="7"/>
    <s v="Inexigibilidade"/>
    <n v="2025"/>
    <n v="6788"/>
    <s v="024/SMDHC/2025"/>
    <s v="6074202500012872"/>
    <s v="Contratação de licença de acesso ao sistema de pesquisa e comparação de preços praticados pela Administração Pública, denominada BANCO DE PREÇOS."/>
    <s v="07/03/2025 00:00:00"/>
    <s v="10/03/2025 00:00:00"/>
    <s v="12/03/2026 00:00:00"/>
    <x v="5"/>
    <x v="0"/>
    <n v="12300"/>
    <n v="0"/>
    <n v="0"/>
    <n v="0"/>
    <n v="12300"/>
    <n v="1025"/>
    <n v="12300"/>
    <n v="12300"/>
    <n v="0"/>
    <n v="12300"/>
    <n v="12300"/>
    <n v="12300"/>
    <s v="01-07-2025"/>
  </r>
  <r>
    <s v="01"/>
    <s v="Secretaria Municipal de Direitos Humanos e Cidadania"/>
    <s v="34"/>
    <s v="10"/>
    <n v="14"/>
    <n v="122"/>
    <n v="3024"/>
    <x v="0"/>
    <s v="33309000"/>
    <s v="41"/>
    <s v="Nota de Empenho de Serviços com fornecimento de materiais / peças"/>
    <n v="12"/>
    <s v="Pregão"/>
    <n v="2025"/>
    <n v="13295"/>
    <m/>
    <s v="6074202500034248"/>
    <s v="Contratação de empresa especializada em serviços gráficos para para a Coordenadoria da Pessoa Idosa - CPPI na realização da  VI Conferência Municipal dos Direitos da Pessoa Idosa , para o atendimento às desta Secretaria Municipal de Direitos Humanos e Cidadania."/>
    <m/>
    <m/>
    <s v="24/05/2025 00:00:00"/>
    <x v="5"/>
    <x v="0"/>
    <n v="12002.5"/>
    <n v="0"/>
    <n v="0"/>
    <n v="0"/>
    <n v="12002.5"/>
    <n v="1000.2083333333334"/>
    <n v="12002.5"/>
    <n v="12002.5"/>
    <n v="0"/>
    <n v="12002.5"/>
    <n v="0"/>
    <n v="0"/>
    <s v="01-07-2025"/>
  </r>
  <r>
    <s v="01"/>
    <s v="Secretaria Municipal de Direitos Humanos e Cidadania"/>
    <s v="34"/>
    <s v="10"/>
    <n v="14"/>
    <n v="122"/>
    <n v="3024"/>
    <x v="0"/>
    <s v="44529000"/>
    <s v="29"/>
    <s v="Termo de Contrato para Aquisição de Bens de Consumo e/ou Permanente"/>
    <n v="6"/>
    <s v="Dispensa de Licitação"/>
    <n v="2025"/>
    <n v="2774"/>
    <s v="013/SMDHC/2025"/>
    <s v="6074202500004357"/>
    <s v="Aquisição de refrigerador e forno micro-ondas com vistas ao atendimento das necessidades do Edifício São Joaquim, sede da Secretaria Municipal de Direitos Humanos e Cidadania – SMDHC."/>
    <s v="26/02/2025 00:00:00"/>
    <s v="28/02/2025 00:00:00"/>
    <s v="09/04/2026 00:00:00"/>
    <x v="16"/>
    <x v="0"/>
    <n v="11250"/>
    <n v="0"/>
    <n v="0"/>
    <n v="0"/>
    <n v="11250"/>
    <n v="865.38461538461536"/>
    <n v="10384.615384615385"/>
    <n v="11250"/>
    <n v="0"/>
    <n v="11250"/>
    <n v="11250"/>
    <n v="11250"/>
    <s v="01-07-2025"/>
  </r>
  <r>
    <s v="01"/>
    <s v="Secretaria Municipal de Direitos Humanos e Cidadania"/>
    <s v="34"/>
    <s v="10"/>
    <n v="14"/>
    <n v="122"/>
    <n v="3024"/>
    <x v="0"/>
    <s v="33309000"/>
    <s v="29"/>
    <s v="Termo de Contrato para Aquisição de Bens de Consumo e/ou Permanente"/>
    <n v="12"/>
    <s v="Pregão"/>
    <n v="2025"/>
    <n v="5305"/>
    <s v="022/SMDHC/2025"/>
    <s v="6074202500006473"/>
    <s v="Contratação de empresa especializada para a prestação de serviços, sob demanda, de confecção e impressão de material gráfico."/>
    <s v="28/02/2025 00:00:00"/>
    <s v="05/03/2025 00:00:00"/>
    <s v="30/03/2025 00:00:00"/>
    <x v="21"/>
    <x v="0"/>
    <n v="11200"/>
    <n v="0"/>
    <n v="0"/>
    <n v="0"/>
    <n v="11200"/>
    <n v="11200"/>
    <n v="134400"/>
    <n v="11200"/>
    <n v="0"/>
    <n v="11200"/>
    <n v="11200"/>
    <n v="11200"/>
    <s v="01-07-2025"/>
  </r>
  <r>
    <s v="01"/>
    <s v="Secretaria Municipal de Cultura"/>
    <s v="25"/>
    <s v="10"/>
    <n v="14"/>
    <n v="422"/>
    <n v="3018"/>
    <x v="6"/>
    <s v="33399000"/>
    <s v="2"/>
    <s v="Termo de Contrato - Serviços"/>
    <n v="7"/>
    <s v="Inexigibilidade"/>
    <n v="2025"/>
    <n v="16544"/>
    <m/>
    <s v="6025202500121410"/>
    <s v="CONTRATADO: JULIANA MARTINS SANTOS (CPF nº 394.737.728-23), conforme Contrato/Declaração de Exclusividade, por intermédio de 28.168.057 Juliana Martins Santos, inscrita no CNPJ sob o nº 54.166.008/0001-51_x000a__x000a_ _x000a__x000a_OBJETO: Cultura Popular: Bloco de Carnaval - Raizes do Samba - 24° Feira da Diversidade LGBT+_x000a__x000a_ _x000a__x000a_PERÍODO DE EXECUÇÃO DOS SERVIÇOS: 19/06/2025 - totalizando 1 apresentação conforme cronograma:"/>
    <m/>
    <m/>
    <m/>
    <x v="5"/>
    <x v="1"/>
    <n v="11000"/>
    <n v="0"/>
    <n v="0"/>
    <n v="0"/>
    <n v="11000"/>
    <n v="916.66666666666663"/>
    <n v="11000"/>
    <n v="11000"/>
    <n v="0"/>
    <n v="11000"/>
    <n v="0"/>
    <n v="0"/>
    <s v="01-07-2025"/>
  </r>
  <r>
    <s v="01"/>
    <s v="Secretaria Municipal de Cultura"/>
    <s v="25"/>
    <s v="10"/>
    <n v="14"/>
    <n v="422"/>
    <n v="3018"/>
    <x v="6"/>
    <s v="33399000"/>
    <s v="2"/>
    <s v="Termo de Contrato - Serviços"/>
    <n v="7"/>
    <s v="Inexigibilidade"/>
    <n v="2025"/>
    <n v="16691"/>
    <m/>
    <s v="6025202500121259"/>
    <s v="19/06/2025   - Cultura Popular: Bloco de Carnaval - Mocidade Unida da Mooca - 24° Feira da Diversidade LGBT+"/>
    <m/>
    <m/>
    <m/>
    <x v="5"/>
    <x v="1"/>
    <n v="11000"/>
    <n v="0"/>
    <n v="0"/>
    <n v="0"/>
    <n v="11000"/>
    <n v="916.66666666666663"/>
    <n v="11000"/>
    <n v="11000"/>
    <n v="0"/>
    <n v="11000"/>
    <n v="0"/>
    <n v="0"/>
    <s v="01-07-2025"/>
  </r>
  <r>
    <s v="01"/>
    <s v="Secretaria Municipal de Cultura"/>
    <s v="25"/>
    <s v="10"/>
    <n v="14"/>
    <n v="422"/>
    <n v="3018"/>
    <x v="6"/>
    <s v="33399000"/>
    <s v="2"/>
    <s v="Termo de Contrato - Serviços"/>
    <n v="7"/>
    <s v="Inexigibilidade"/>
    <n v="2025"/>
    <n v="16737"/>
    <m/>
    <s v="6025202500122107"/>
    <s v="CONTRATADO: JULIANA MARTINS SANTOS (CPF nº 394.737.728-23), conforme Contrato/Declaração de Exclusividade, por intermédio de 28.168.057 Juliana Martins Santos, inscrita no CNPJ sob o nº 28.168.057/0001-13_x000a_OBJETO: Cultura popular : Maracatu, jongo, congadas e similares - Abada Capoeira Show - 24 Feira da Diversidade LGBT+_x000a_PERÍODO DE EXECUÇÃO DOS SERVIÇOS:19/06/2025 - totalizando 1 apresentação conforme cronograma:"/>
    <m/>
    <m/>
    <m/>
    <x v="5"/>
    <x v="1"/>
    <n v="11000"/>
    <n v="0"/>
    <n v="0"/>
    <n v="0"/>
    <n v="11000"/>
    <n v="916.66666666666663"/>
    <n v="11000"/>
    <n v="11000"/>
    <n v="0"/>
    <n v="11000"/>
    <n v="0"/>
    <n v="0"/>
    <s v="01-07-2025"/>
  </r>
  <r>
    <s v="01"/>
    <s v="Secretaria Municipal de Direitos Humanos e Cidadania"/>
    <s v="34"/>
    <s v="10"/>
    <n v="14"/>
    <n v="422"/>
    <n v="3013"/>
    <x v="1"/>
    <s v="33309000"/>
    <s v="5"/>
    <s v="Nota de Empenho Fornecimento de Bens de Consumo e/ou Permanente"/>
    <n v="6"/>
    <s v="Dispensa de Licitação"/>
    <n v="2025"/>
    <n v="12500"/>
    <m/>
    <s v="6074202500026539"/>
    <s v="Contratação para aquisição de itens de higiene pessoal para atendimento das demandas da CMB, pertencente à Secretaria Municipal de Direitos Humanos e Cidadania (SMDHC)."/>
    <m/>
    <m/>
    <s v="03/06/2025 00:00:00"/>
    <x v="5"/>
    <x v="0"/>
    <n v="10998.9"/>
    <n v="0"/>
    <n v="0"/>
    <n v="0"/>
    <n v="10998.9"/>
    <n v="916.57499999999993"/>
    <n v="10998.9"/>
    <n v="10998.9"/>
    <n v="0"/>
    <n v="10998.9"/>
    <n v="10998.9"/>
    <n v="0"/>
    <s v="01-07-2025"/>
  </r>
  <r>
    <s v="01"/>
    <s v="Secretaria Municipal de Direitos Humanos e Cidadania"/>
    <s v="34"/>
    <s v="10"/>
    <n v="14"/>
    <n v="122"/>
    <n v="3024"/>
    <x v="0"/>
    <s v="33309000"/>
    <s v="5"/>
    <s v="Nota de Empenho Fornecimento de Bens de Consumo e/ou Permanente"/>
    <n v="12"/>
    <s v="Pregão"/>
    <n v="2025"/>
    <n v="14447"/>
    <m/>
    <s v="6074202500036348"/>
    <s v="Contratação de empresa especializada na prestação de serviços de confecção de material gráfico - ATA DE REGISTRO DE PREÇO nº 001/SMDHC/2024"/>
    <m/>
    <m/>
    <s v="22/06/2025 00:00:00"/>
    <x v="5"/>
    <x v="0"/>
    <n v="10550"/>
    <n v="0"/>
    <n v="0"/>
    <n v="0"/>
    <n v="10550"/>
    <n v="879.16666666666663"/>
    <n v="10550"/>
    <n v="10550"/>
    <n v="0"/>
    <n v="10550"/>
    <n v="10550"/>
    <n v="10550"/>
    <s v="01-07-2025"/>
  </r>
  <r>
    <s v="01"/>
    <s v="Secretaria Municipal de Direitos Humanos e Cidadania"/>
    <s v="34"/>
    <s v="10"/>
    <n v="14"/>
    <n v="122"/>
    <n v="3024"/>
    <x v="0"/>
    <s v="33399000"/>
    <s v="5"/>
    <s v="Nota de Empenho Fornecimento de Bens de Consumo e/ou Permanente"/>
    <n v="12"/>
    <s v="Pregão"/>
    <n v="2025"/>
    <n v="4037"/>
    <m/>
    <s v="6074202500012082"/>
    <s v=" Contratação de empresa especializada na prestação de serviços de Coffee Break, de Brunch e de Kit Lanche - ATA DE REGISTRO DE PREÇOS Nº 009/SMDHC/2023 (LOTE 1 – item 1 e item 2)."/>
    <m/>
    <m/>
    <s v="16/02/2025 00:00:00"/>
    <x v="5"/>
    <x v="0"/>
    <n v="10048"/>
    <n v="0"/>
    <n v="0"/>
    <n v="0"/>
    <n v="10048"/>
    <n v="837.33333333333337"/>
    <n v="10048"/>
    <n v="10048"/>
    <n v="0"/>
    <n v="10048"/>
    <n v="10048"/>
    <n v="10048"/>
    <s v="01-07-2025"/>
  </r>
  <r>
    <s v="01"/>
    <s v="Secretaria Municipal de Direitos Humanos e Cidadania"/>
    <s v="34"/>
    <s v="10"/>
    <n v="14"/>
    <n v="122"/>
    <n v="3024"/>
    <x v="0"/>
    <s v="33309000"/>
    <s v="5"/>
    <s v="Nota de Empenho Fornecimento de Bens de Consumo e/ou Permanente"/>
    <n v="12"/>
    <s v="Pregão"/>
    <n v="2025"/>
    <n v="15272"/>
    <m/>
    <s v="6074202500037840"/>
    <s v="Contratação de empresa especializada na prestação de serviços de confecção de material gráfico - ATA DE REGISTRO DE PREÇOS Nº 001/SMDHC/2024"/>
    <m/>
    <m/>
    <s v="23/06/2025 00:00:00"/>
    <x v="5"/>
    <x v="0"/>
    <n v="10000.120000000001"/>
    <n v="0"/>
    <n v="0"/>
    <n v="0"/>
    <n v="10000.120000000001"/>
    <n v="833.34333333333336"/>
    <n v="10000.120000000001"/>
    <n v="10000.120000000001"/>
    <n v="0"/>
    <n v="10000.120000000001"/>
    <n v="10000.120000000001"/>
    <n v="0"/>
    <s v="01-07-2025"/>
  </r>
  <r>
    <s v="01"/>
    <s v="Secretaria Municipal de Cultura"/>
    <s v="25"/>
    <s v="10"/>
    <n v="14"/>
    <n v="122"/>
    <n v="3024"/>
    <x v="0"/>
    <s v="33399000"/>
    <s v="2"/>
    <s v="Termo de Contrato - Serviços"/>
    <n v="7"/>
    <s v="Inexigibilidade"/>
    <n v="2025"/>
    <n v="11610"/>
    <s v="01258-2025-PE/EM"/>
    <s v="6025202500060640"/>
    <s v="CONTRATADO: Valquiria Affonso Aguilera  (CPF nº 128.934.078-11), conforme Contrato/Declaração de Exclusividade, por intermédio de Produtora Ines Oliveira Ltda, inscrita no CNPJ sob o nº 24.496.217/0001-00_x000a__x000a_ _x000a__x000a_OBJETO: Performance - Cia da Alegria &quot; As Aventuras da Madame Mim Mim&quot; - As Aventuras da Madame Mim Mim_x000a__x000a_ _x000a__x000a_PERÍODO DE EXECUÇÃO DOS SERVIÇOS: de 27/04/2025 a 18/05/2025 - totalizando 2 apresentações conforme cronograma:_x000a__x000a_ _x000a__x000a_LOCAL e HORÁRIO: Avenida Vieira de Carvalho_x000a__x000a_ _x000a__x000a_VALOR GLOBAL: R$ 10.000,00 (dez mil reais), a ser pago após a confirmação da execução dos serviços pela unidade requisitante._x000a__x000a_ _x000a__x000a_FORMA DE PAGAMENTO: O pagamento se dará no 30º (trigésimo) dia após a data de entrega de toda documentação correta relativa ao pagamento._x000a__x000a_ _x000a__x000a_DOTAÇÃO ORÇAMENTÁRIA: 34.10.14.122.3024.2.100.3.3.90.39.00.00, conforme nota de reserva com transferência nº 31.804/24"/>
    <s v="24/04/2025 00:00:00"/>
    <s v="28/04/2025 00:00:00"/>
    <s v="18/05/2025 00:00:00"/>
    <x v="19"/>
    <x v="0"/>
    <n v="10000"/>
    <n v="0"/>
    <n v="0"/>
    <n v="0"/>
    <n v="10000"/>
    <n v="10000"/>
    <n v="120000"/>
    <n v="10000"/>
    <n v="0"/>
    <n v="10000"/>
    <n v="10000"/>
    <n v="10000"/>
    <s v="01-07-2025"/>
  </r>
  <r>
    <s v="01"/>
    <s v="Secretaria Municipal de Direitos Humanos e Cidadania"/>
    <s v="34"/>
    <s v="10"/>
    <n v="14"/>
    <n v="122"/>
    <n v="3024"/>
    <x v="0"/>
    <s v="33309000"/>
    <s v="2"/>
    <s v="Termo de Contrato - Serviços"/>
    <n v="6"/>
    <s v="Dispensa de Licitação"/>
    <n v="2025"/>
    <n v="13749"/>
    <m/>
    <s v="6074202500032350"/>
    <s v="Contratação de empresa especializada de serviço de gráfica para impressão de de 1000 (mil) unidades de livreto Guia de Serviços e Direitos da Pessoa Egressa e Familiares"/>
    <m/>
    <m/>
    <m/>
    <x v="5"/>
    <x v="1"/>
    <n v="10000"/>
    <n v="0"/>
    <n v="0"/>
    <n v="0"/>
    <n v="10000"/>
    <n v="833.33333333333337"/>
    <n v="10000"/>
    <n v="10000"/>
    <n v="0"/>
    <n v="10000"/>
    <n v="0"/>
    <n v="0"/>
    <s v="01-07-2025"/>
  </r>
  <r>
    <s v="01"/>
    <s v="Secretaria Municipal de Cultura"/>
    <s v="25"/>
    <s v="10"/>
    <n v="14"/>
    <n v="422"/>
    <n v="3018"/>
    <x v="6"/>
    <s v="33399000"/>
    <s v="2"/>
    <s v="Termo de Contrato - Serviços"/>
    <n v="7"/>
    <s v="Inexigibilidade"/>
    <n v="2025"/>
    <n v="16755"/>
    <m/>
    <s v="6025202500123332"/>
    <s v="19/06/2025 a 22/06/2025 -  Espetáculo Musical / Show - Neide Nazaré - Vivência Musical: Forró e Equidade - Vivência Musical - Forró e Equidade"/>
    <m/>
    <m/>
    <m/>
    <x v="5"/>
    <x v="1"/>
    <n v="10000"/>
    <n v="0"/>
    <n v="0"/>
    <n v="0"/>
    <n v="10000"/>
    <n v="833.33333333333337"/>
    <n v="10000"/>
    <n v="10000"/>
    <n v="0"/>
    <n v="10000"/>
    <n v="0"/>
    <n v="0"/>
    <s v="01-07-2025"/>
  </r>
  <r>
    <s v="01"/>
    <s v="Secretaria Municipal de Cultura"/>
    <s v="25"/>
    <s v="10"/>
    <n v="14"/>
    <n v="422"/>
    <n v="3018"/>
    <x v="6"/>
    <s v="33399000"/>
    <s v="2"/>
    <s v="Termo de Contrato - Serviços"/>
    <n v="7"/>
    <s v="Inexigibilidade"/>
    <n v="2025"/>
    <n v="16777"/>
    <m/>
    <s v="6025202500121542"/>
    <s v="19/06/2025 a 22/06/2025 - Av. Mário de Andrade, 664 - Espetáculo Musical/Show - Trio Malaquias Evento LGBTQIA - 24° Feira Cultura LGBT 2025"/>
    <m/>
    <m/>
    <m/>
    <x v="5"/>
    <x v="1"/>
    <n v="10000"/>
    <n v="0"/>
    <n v="0"/>
    <n v="0"/>
    <n v="10000"/>
    <n v="833.33333333333337"/>
    <n v="10000"/>
    <n v="10000"/>
    <n v="0"/>
    <n v="10000"/>
    <n v="0"/>
    <n v="0"/>
    <s v="01-07-2025"/>
  </r>
  <r>
    <s v="01"/>
    <s v="Secretaria Municipal de Cultura"/>
    <s v="25"/>
    <s v="10"/>
    <n v="14"/>
    <n v="422"/>
    <n v="3018"/>
    <x v="6"/>
    <s v="33399000"/>
    <s v="2"/>
    <s v="Termo de Contrato - Serviços"/>
    <n v="7"/>
    <s v="Inexigibilidade"/>
    <n v="2025"/>
    <n v="16789"/>
    <s v=" 03291-2025-PE"/>
    <s v="6025202500122263"/>
    <s v="19/06/2025 a 22/06/2025 - Espetáculo Musical / Show - Alexandre Jesus 24 Feira LGBT 2025 - 24° Feira Cultura LGBT 2025"/>
    <s v="18/06/2025 00:00:00"/>
    <s v="25/06/2025 00:00:00"/>
    <s v="22/06/2025 00:00:00"/>
    <x v="19"/>
    <x v="0"/>
    <n v="10000"/>
    <n v="0"/>
    <n v="0"/>
    <n v="0"/>
    <n v="10000"/>
    <n v="10000"/>
    <n v="120000"/>
    <n v="10000"/>
    <n v="0"/>
    <n v="10000"/>
    <n v="0"/>
    <n v="0"/>
    <s v="01-07-2025"/>
  </r>
  <r>
    <s v="01"/>
    <s v="Secretaria Municipal de Direitos Humanos e Cidadania"/>
    <s v="34"/>
    <s v="10"/>
    <n v="14"/>
    <n v="122"/>
    <n v="3024"/>
    <x v="0"/>
    <s v="33309000"/>
    <s v="5"/>
    <s v="Nota de Empenho Fornecimento de Bens de Consumo e/ou Permanente"/>
    <n v="6"/>
    <s v="Dispensa de Licitação"/>
    <n v="2025"/>
    <n v="15706"/>
    <m/>
    <s v="6074202500033349"/>
    <s v="Fornecimento de 60 (sessenta) coletes operacionais personalizados, a serem utilizados pelos(as) servidores(as) da Secretaria Municipal de Direitos Humanos e Cidadania de São Paulo, com o objetivo de padronizar a identificação visual nas ações de campo e assim garantir maior segurança e profissionalismo no atendimento às demandas da Pasta."/>
    <m/>
    <m/>
    <m/>
    <x v="5"/>
    <x v="1"/>
    <n v="9999.6"/>
    <n v="0"/>
    <n v="0"/>
    <n v="0"/>
    <n v="9999.6"/>
    <n v="833.30000000000007"/>
    <n v="9999.6"/>
    <n v="9999.6"/>
    <n v="0"/>
    <n v="9999.6"/>
    <n v="0"/>
    <n v="0"/>
    <s v="01-07-2025"/>
  </r>
  <r>
    <s v="01"/>
    <s v="Secretaria Municipal de Direitos Humanos e Cidadania"/>
    <s v="34"/>
    <s v="10"/>
    <n v="14"/>
    <n v="122"/>
    <n v="3024"/>
    <x v="0"/>
    <s v="33309000"/>
    <s v="5"/>
    <s v="Nota de Empenho Fornecimento de Bens de Consumo e/ou Permanente"/>
    <n v="6"/>
    <s v="Dispensa de Licitação"/>
    <n v="2025"/>
    <n v="2772"/>
    <m/>
    <s v="6074202400101873"/>
    <s v="Aquisição de lâmpadas de LED para atender à sede e às unidades afeitas à Secretaria Municipal de Direitos Humanos e Cidadania – SMDHC."/>
    <m/>
    <m/>
    <s v="16/02/2025 00:00:00"/>
    <x v="5"/>
    <x v="0"/>
    <n v="9995.2000000000007"/>
    <n v="0"/>
    <n v="0"/>
    <n v="0"/>
    <n v="9995.2000000000007"/>
    <n v="832.93333333333339"/>
    <n v="9995.2000000000007"/>
    <n v="9995.2000000000007"/>
    <n v="0"/>
    <n v="9995.2000000000007"/>
    <n v="9995.2000000000007"/>
    <n v="9995.2000000000007"/>
    <s v="01-07-2025"/>
  </r>
  <r>
    <s v="01"/>
    <s v="Secretaria Municipal de Direitos Humanos e Cidadania"/>
    <s v="34"/>
    <s v="10"/>
    <n v="14"/>
    <n v="422"/>
    <n v="3018"/>
    <x v="4"/>
    <s v="33399000"/>
    <s v="41"/>
    <s v="Nota de Empenho de Serviços com fornecimento de materiais / peças"/>
    <n v="12"/>
    <s v="Pregão"/>
    <n v="2025"/>
    <n v="15460"/>
    <m/>
    <s v="6074202500029309"/>
    <s v="Contratação de empresa especializada na prestação de serviços de Coffee Break - ATA DE REGISTRO DE PREÇOS Nº 008/SMDHC/2023"/>
    <m/>
    <m/>
    <m/>
    <x v="5"/>
    <x v="1"/>
    <n v="9894"/>
    <n v="0"/>
    <n v="0"/>
    <n v="0"/>
    <n v="9894"/>
    <n v="824.5"/>
    <n v="9894"/>
    <n v="9894"/>
    <n v="0"/>
    <n v="9894"/>
    <n v="0"/>
    <n v="0"/>
    <s v="01-07-2025"/>
  </r>
  <r>
    <s v="01"/>
    <s v="Secretaria Municipal de Direitos Humanos e Cidadania"/>
    <s v="34"/>
    <s v="10"/>
    <n v="14"/>
    <n v="122"/>
    <n v="3024"/>
    <x v="0"/>
    <s v="33309000"/>
    <s v="29"/>
    <s v="Termo de Contrato para Aquisição de Bens de Consumo e/ou Permanente"/>
    <n v="12"/>
    <s v="Pregão"/>
    <n v="2025"/>
    <n v="7170"/>
    <s v="027/SMDHC/2025"/>
    <s v="6074202500006430"/>
    <s v="Confecção e impressão de material gráfico - Credencial/Crachá e Banner."/>
    <s v="12/03/2025 00:00:00"/>
    <s v="14/03/2025 00:00:00"/>
    <s v="28/05/2025 00:00:00"/>
    <x v="5"/>
    <x v="0"/>
    <n v="9700"/>
    <n v="0"/>
    <n v="0"/>
    <n v="0"/>
    <n v="9700"/>
    <n v="808.33333333333337"/>
    <n v="9700"/>
    <n v="9700"/>
    <n v="0"/>
    <n v="9700"/>
    <n v="1700"/>
    <n v="1700"/>
    <s v="01-07-2025"/>
  </r>
  <r>
    <s v="01"/>
    <s v="Secretaria Municipal de Direitos Humanos e Cidadania"/>
    <s v="34"/>
    <s v="10"/>
    <n v="14"/>
    <n v="122"/>
    <n v="3024"/>
    <x v="0"/>
    <s v="33309000"/>
    <s v="29"/>
    <s v="Termo de Contrato para Aquisição de Bens de Consumo e/ou Permanente"/>
    <n v="12"/>
    <s v="Pregão"/>
    <n v="2025"/>
    <n v="4061"/>
    <m/>
    <s v="6074202500006430"/>
    <s v="Confecção e impressão de material gráfico - Credencial/Crachá e Banner."/>
    <m/>
    <m/>
    <m/>
    <x v="5"/>
    <x v="1"/>
    <n v="9020"/>
    <n v="0"/>
    <n v="0"/>
    <n v="9020"/>
    <n v="0"/>
    <n v="0"/>
    <n v="0"/>
    <n v="9020"/>
    <n v="9020"/>
    <n v="0"/>
    <n v="0"/>
    <n v="0"/>
    <s v="01-07-2025"/>
  </r>
  <r>
    <s v="01"/>
    <s v="Secretaria Municipal de Direitos Humanos e Cidadania"/>
    <s v="34"/>
    <s v="10"/>
    <n v="14"/>
    <n v="422"/>
    <n v="3018"/>
    <x v="6"/>
    <s v="33399000"/>
    <s v="41"/>
    <s v="Nota de Empenho de Serviços com fornecimento de materiais / peças"/>
    <n v="12"/>
    <s v="Pregão"/>
    <n v="2025"/>
    <n v="1021"/>
    <m/>
    <s v="6074202500002109"/>
    <s v="Contratação de empresa especializada na prestação de serviços de Coffee Break , de Brunch e de Kit Lanche - ATA DE REGISTRO DE PREÇOS Nº 008/SMDHC/2023 (LOTE 1 – item 1 e item 2)– Processo nº 6074.2024/0003669-9"/>
    <m/>
    <m/>
    <s v="31/01/2025 00:00:00"/>
    <x v="5"/>
    <x v="0"/>
    <n v="9002"/>
    <n v="0"/>
    <n v="0"/>
    <n v="0"/>
    <n v="9002"/>
    <n v="750.16666666666663"/>
    <n v="9002"/>
    <n v="9002"/>
    <n v="0"/>
    <n v="9002"/>
    <n v="9002"/>
    <n v="9002"/>
    <s v="01-07-2025"/>
  </r>
  <r>
    <s v="01"/>
    <s v="Secretaria Municipal de Cultura"/>
    <s v="25"/>
    <s v="10"/>
    <n v="14"/>
    <n v="422"/>
    <n v="3018"/>
    <x v="6"/>
    <s v="33399000"/>
    <s v="2"/>
    <s v="Termo de Contrato - Serviços"/>
    <n v="7"/>
    <s v="Inexigibilidade"/>
    <n v="2025"/>
    <n v="16915"/>
    <m/>
    <s v="6025202500124762"/>
    <s v="CONTRATADO: JULIANA BARBOSA DE ARAUJO (CPF nº 078.216.804-35), conforme Contrato/Declaração de Exclusividade, por intermédio de VIXE-VERSA PRODUCOES CULTURAIS LTDA, inscrita no CNPJ sob o nº 17.290.720/0001-31_x000a__x000a_ _x000a__x000a_OBJETO: Espetáculo Musical / Show - Juliana Linhares - Juliana Linhares_x000a__x000a_ _x000a__x000a_PERÍODO DE EXECUÇÃO DOS SERVIÇOS: 19/06/2025 - totalizando 1 apresentação conforme cronograma:_x000a__x000a_ _x000a__x000a_LOCAL e HORÁRIO: Av. Mário de Andrade, 664 - 11:00h às 12:00h_x000a__x000a_VALOR GLOBAL: R$ 9.000,00 (nove mil reais), a ser pago após a confirmação da execução dos serviços pela unidade requisitante._x000a__x000a_ _x000a__x000a_FORMA DE PAGAMENTO: O pagamento se dará no 30º (trigésimo) dia após a data de entrega de toda documentação correta relativa ao pagamento."/>
    <m/>
    <m/>
    <m/>
    <x v="5"/>
    <x v="1"/>
    <n v="9000"/>
    <n v="0"/>
    <n v="0"/>
    <n v="0"/>
    <n v="9000"/>
    <n v="750"/>
    <n v="9000"/>
    <n v="9000"/>
    <n v="0"/>
    <n v="9000"/>
    <n v="0"/>
    <n v="0"/>
    <s v="01-07-2025"/>
  </r>
  <r>
    <s v="01"/>
    <s v="Secretaria Municipal de Direitos Humanos e Cidadania"/>
    <s v="34"/>
    <s v="10"/>
    <n v="14"/>
    <n v="122"/>
    <n v="3024"/>
    <x v="0"/>
    <s v="33309000"/>
    <s v="5"/>
    <s v="Nota de Empenho Fornecimento de Bens de Consumo e/ou Permanente"/>
    <n v="6"/>
    <s v="Dispensa de Licitação"/>
    <n v="2025"/>
    <n v="3800"/>
    <m/>
    <s v="6074202500010004"/>
    <s v="Confecção e fornecimento de 15.000 (quinze mil) unidades de pulseiras de identificação em vinil, com pino de fechamento, para a realização do Carnaval Oficial de Rua 2025, atendendo as necessidades da Assessoria Técnica - Eventos, pasta desta Secretaria Municipal de Direitos Humanos e Cidadania-SMDHC."/>
    <m/>
    <m/>
    <s v="18/02/2025 00:00:00"/>
    <x v="5"/>
    <x v="0"/>
    <n v="8550"/>
    <n v="0"/>
    <n v="0"/>
    <n v="0"/>
    <n v="8550"/>
    <n v="712.5"/>
    <n v="8550"/>
    <n v="8550"/>
    <n v="0"/>
    <n v="8550"/>
    <n v="8550"/>
    <n v="8550"/>
    <s v="01-07-2025"/>
  </r>
  <r>
    <s v="01"/>
    <s v="Secretaria Municipal de Direitos Humanos e Cidadania"/>
    <s v="34"/>
    <s v="10"/>
    <n v="14"/>
    <n v="422"/>
    <n v="3013"/>
    <x v="3"/>
    <s v="33399000"/>
    <s v="2"/>
    <s v="Termo de Contrato - Serviços"/>
    <n v="12"/>
    <s v="Pregão"/>
    <n v="2025"/>
    <n v="16189"/>
    <m/>
    <s v="6074202400060808"/>
    <s v="Elaboração De Material Técnico Para Desapropriação, Os Imóveis Particulares Que Especifica, Situados No Distrito Do Bom Retiro, Subprefeitura Da Sé, Necessários À Implantação De Equipamento Público."/>
    <m/>
    <m/>
    <m/>
    <x v="5"/>
    <x v="1"/>
    <n v="8545.36"/>
    <n v="0"/>
    <n v="0"/>
    <n v="0"/>
    <n v="8545.36"/>
    <n v="712.11333333333334"/>
    <n v="8545.36"/>
    <n v="8545.36"/>
    <n v="0"/>
    <n v="8545.36"/>
    <n v="0"/>
    <n v="0"/>
    <s v="01-07-2025"/>
  </r>
  <r>
    <s v="01"/>
    <s v="Secretaria Municipal de Direitos Humanos e Cidadania"/>
    <s v="34"/>
    <s v="10"/>
    <n v="14"/>
    <n v="422"/>
    <n v="3013"/>
    <x v="5"/>
    <s v="33309000"/>
    <s v="29"/>
    <s v="Termo de Contrato para Aquisição de Bens de Consumo e/ou Permanente"/>
    <n v="6"/>
    <s v="Dispensa de Licitação"/>
    <n v="2025"/>
    <n v="12775"/>
    <s v="071/SMDHC/2025"/>
    <s v="6074202500020565"/>
    <s v="Contratação de empresa para a aquisição com fornecimento parcelado de itens de alimentação classificados como Materiais de Consumo, para atendimento da Casa da Mulher Brasileira, pertencente à Secretaria Municipal de Direitos humanos e Cidadania - SMDHC."/>
    <s v="28/05/2025 00:00:00"/>
    <s v="29/05/2025 00:00:00"/>
    <s v="31/12/2025 00:00:00"/>
    <x v="32"/>
    <x v="0"/>
    <n v="8357"/>
    <n v="0"/>
    <n v="0"/>
    <n v="0"/>
    <n v="8357"/>
    <n v="1193.8571428571429"/>
    <n v="14326.285714285714"/>
    <n v="8357"/>
    <n v="0"/>
    <n v="8357"/>
    <n v="2205.5"/>
    <n v="0"/>
    <s v="01-07-2025"/>
  </r>
  <r>
    <s v="01"/>
    <s v="Secretaria Municipal de Direitos Humanos e Cidadania"/>
    <s v="34"/>
    <s v="10"/>
    <n v="14"/>
    <n v="122"/>
    <n v="3024"/>
    <x v="0"/>
    <s v="33309000"/>
    <s v="5"/>
    <s v="Nota de Empenho Fornecimento de Bens de Consumo e/ou Permanente"/>
    <n v="6"/>
    <s v="Dispensa de Licitação"/>
    <n v="2025"/>
    <n v="3530"/>
    <m/>
    <s v="6074202400101881"/>
    <s v="Aquisição de materiais de consumo para pequenos reparos e manutenção predial, para atender às necessidades das unidades desta Secretaria Municipal de Direitos Humanos e Cidadania – SMDHC."/>
    <m/>
    <m/>
    <s v="07/03/2025 00:00:00"/>
    <x v="5"/>
    <x v="0"/>
    <n v="8167.3"/>
    <n v="0"/>
    <n v="0"/>
    <n v="0"/>
    <n v="8167.3"/>
    <n v="680.60833333333335"/>
    <n v="8167.3"/>
    <n v="8167.3"/>
    <n v="0"/>
    <n v="8167.3"/>
    <n v="8167.3"/>
    <n v="8167.3"/>
    <s v="01-07-2025"/>
  </r>
  <r>
    <s v="01"/>
    <s v="Secretaria Municipal de Direitos Humanos e Cidadania"/>
    <s v="34"/>
    <s v="10"/>
    <n v="14"/>
    <n v="122"/>
    <n v="3024"/>
    <x v="0"/>
    <s v="33309000"/>
    <s v="5"/>
    <s v="Nota de Empenho Fornecimento de Bens de Consumo e/ou Permanente"/>
    <n v="6"/>
    <s v="Dispensa de Licitação"/>
    <n v="2025"/>
    <n v="3533"/>
    <m/>
    <s v="6074202400101881"/>
    <s v="Aquisição de materiais de consumo para pequenos reparos e manutenção predial, para atender às necessidades das unidades desta Secretaria Municipal de Direitos Humanos e Cidadania – SMDHC."/>
    <m/>
    <m/>
    <s v="07/03/2025 00:00:00"/>
    <x v="5"/>
    <x v="0"/>
    <n v="8000"/>
    <n v="0"/>
    <n v="0"/>
    <n v="0"/>
    <n v="8000"/>
    <n v="666.66666666666663"/>
    <n v="8000"/>
    <n v="8000"/>
    <n v="0"/>
    <n v="8000"/>
    <n v="8000"/>
    <n v="8000"/>
    <s v="01-07-2025"/>
  </r>
  <r>
    <s v="01"/>
    <s v="Secretaria Municipal de Cultura"/>
    <s v="25"/>
    <s v="10"/>
    <n v="14"/>
    <n v="422"/>
    <n v="3018"/>
    <x v="6"/>
    <s v="33399000"/>
    <s v="2"/>
    <s v="Termo de Contrato - Serviços"/>
    <n v="7"/>
    <s v="Inexigibilidade"/>
    <n v="2025"/>
    <n v="16732"/>
    <m/>
    <s v="6025202500121682"/>
    <s v="19/06/2025 - Av. Mário de Andrade, 664 - 16:00h às 17:00h - Performance - Coletivo Drag Memória - 24 Feira da Diversidade LGBT+_x000a__x000a_ "/>
    <m/>
    <m/>
    <m/>
    <x v="5"/>
    <x v="1"/>
    <n v="8000"/>
    <n v="0"/>
    <n v="0"/>
    <n v="0"/>
    <n v="8000"/>
    <n v="666.66666666666663"/>
    <n v="8000"/>
    <n v="8000"/>
    <n v="0"/>
    <n v="8000"/>
    <n v="0"/>
    <n v="0"/>
    <s v="01-07-2025"/>
  </r>
  <r>
    <s v="01"/>
    <s v="Secretaria Municipal de Cultura"/>
    <s v="25"/>
    <s v="10"/>
    <n v="14"/>
    <n v="422"/>
    <n v="3018"/>
    <x v="6"/>
    <s v="33399000"/>
    <s v="2"/>
    <s v="Termo de Contrato - Serviços"/>
    <n v="7"/>
    <s v="Inexigibilidade"/>
    <n v="2025"/>
    <n v="16753"/>
    <m/>
    <s v="6025202500122573"/>
    <s v="19/06/2025 - Performance - Coletivo Drag Resistencia - 24 Feira da Diversidade LGBT+"/>
    <m/>
    <m/>
    <m/>
    <x v="5"/>
    <x v="1"/>
    <n v="8000"/>
    <n v="0"/>
    <n v="0"/>
    <n v="0"/>
    <n v="8000"/>
    <n v="666.66666666666663"/>
    <n v="8000"/>
    <n v="8000"/>
    <n v="0"/>
    <n v="8000"/>
    <n v="0"/>
    <n v="0"/>
    <s v="01-07-2025"/>
  </r>
  <r>
    <s v="01"/>
    <s v="Secretaria Municipal de Cultura"/>
    <s v="25"/>
    <s v="10"/>
    <n v="14"/>
    <n v="422"/>
    <n v="3018"/>
    <x v="6"/>
    <s v="33399000"/>
    <s v="2"/>
    <s v="Termo de Contrato - Serviços"/>
    <n v="7"/>
    <s v="Inexigibilidade"/>
    <n v="2025"/>
    <n v="16771"/>
    <m/>
    <s v="6025202500121720"/>
    <s v="19/06/2025 - Performance - Coletivo Drag Futuro - 24 Feira da Diversidade LGBT+"/>
    <m/>
    <m/>
    <m/>
    <x v="5"/>
    <x v="1"/>
    <n v="8000"/>
    <n v="0"/>
    <n v="0"/>
    <n v="0"/>
    <n v="8000"/>
    <n v="666.66666666666663"/>
    <n v="8000"/>
    <n v="8000"/>
    <n v="0"/>
    <n v="8000"/>
    <n v="0"/>
    <n v="0"/>
    <s v="01-07-2025"/>
  </r>
  <r>
    <s v="01"/>
    <s v="Secretaria Municipal de Direitos Humanos e Cidadania"/>
    <s v="34"/>
    <s v="10"/>
    <n v="8"/>
    <n v="605"/>
    <n v="3016"/>
    <x v="2"/>
    <s v="33399000"/>
    <s v="2"/>
    <s v="Termo de Contrato - Serviços"/>
    <n v="6"/>
    <s v="Dispensa de Licitação"/>
    <n v="2025"/>
    <n v="10786"/>
    <m/>
    <s v="6074202400109904"/>
    <s v="Contratação de empresa especializada na prestação de serviços de digitalização com conversão de processos físicos em digitais, no formato PDF, compreendendo as operações de preparação, organização, higienização, digitalização, conferência, validação, gestão de qualidade e tratamento, recomposição e com regime de execução por empreitada por preço unitário, com a finalidade de atender às necessidades do Banco de Alimentos, equipamento pertencente à Secretaria Executiva de Segurança Alimentar, Nutricional e de Abastecimento, da Secretaria Municipal de Direitos Humanos e Cidadania – SMDHC."/>
    <m/>
    <m/>
    <m/>
    <x v="5"/>
    <x v="1"/>
    <n v="7500"/>
    <n v="0"/>
    <n v="0"/>
    <n v="0"/>
    <n v="7500"/>
    <n v="625"/>
    <n v="7500"/>
    <n v="7500"/>
    <n v="0"/>
    <n v="7500"/>
    <n v="0"/>
    <n v="0"/>
    <s v="01-07-2025"/>
  </r>
  <r>
    <s v="01"/>
    <s v="Secretaria Municipal de Cultura"/>
    <s v="25"/>
    <s v="10"/>
    <n v="14"/>
    <n v="422"/>
    <n v="3018"/>
    <x v="6"/>
    <s v="33399000"/>
    <s v="2"/>
    <s v="Termo de Contrato - Serviços"/>
    <n v="7"/>
    <s v="Inexigibilidade"/>
    <n v="2025"/>
    <n v="16736"/>
    <m/>
    <s v="6025202500122328"/>
    <s v="22/06/2025 - Av. Paulista, 1578 - 10:00h às 11:00h - Performance - Daniel Pires - 24ª Feira Cultural LGBT 2025 Parada do Orgulho LGBT+ 2025"/>
    <m/>
    <m/>
    <m/>
    <x v="5"/>
    <x v="1"/>
    <n v="7100"/>
    <n v="0"/>
    <n v="0"/>
    <n v="0"/>
    <n v="7100"/>
    <n v="591.66666666666663"/>
    <n v="7100"/>
    <n v="7100"/>
    <n v="0"/>
    <n v="7100"/>
    <n v="0"/>
    <n v="0"/>
    <s v="01-07-2025"/>
  </r>
  <r>
    <s v="01"/>
    <s v="Secretaria Municipal de Cultura"/>
    <s v="25"/>
    <s v="10"/>
    <n v="14"/>
    <n v="422"/>
    <n v="3018"/>
    <x v="6"/>
    <s v="33399000"/>
    <s v="2"/>
    <s v="Termo de Contrato - Serviços"/>
    <n v="7"/>
    <s v="Inexigibilidade"/>
    <n v="2025"/>
    <n v="16772"/>
    <s v=" 03253-2025-PE"/>
    <s v="6025202500121364"/>
    <s v="19/06/2025 -  Av. Mário de Andrade, 664 - 14:40h às 15:40h - Performance - Grupo de Capoeira Guerreiros da ilha - Grupo de Capoeira Guerreiros da ilha"/>
    <s v="18/06/2025 00:00:00"/>
    <s v="24/06/2025 00:00:00"/>
    <s v="20/06/2025 00:00:00"/>
    <x v="19"/>
    <x v="0"/>
    <n v="7100"/>
    <n v="0"/>
    <n v="0"/>
    <n v="0"/>
    <n v="7100"/>
    <n v="7100"/>
    <n v="85200"/>
    <n v="7100"/>
    <n v="0"/>
    <n v="7100"/>
    <n v="0"/>
    <n v="0"/>
    <s v="01-07-2025"/>
  </r>
  <r>
    <s v="01"/>
    <s v="Secretaria Municipal de Cultura"/>
    <s v="25"/>
    <s v="10"/>
    <n v="14"/>
    <n v="422"/>
    <n v="3018"/>
    <x v="6"/>
    <s v="33399000"/>
    <s v="2"/>
    <s v="Termo de Contrato - Serviços"/>
    <n v="7"/>
    <s v="Inexigibilidade"/>
    <n v="2025"/>
    <n v="16825"/>
    <m/>
    <s v="6025202500121550"/>
    <s v="19/06/2025 -  Performance - RODA DE CAPOEIRA MESTRE PIT BULL - 24ª Feira Cultural LGBT 2025 Parada do Orgulho LGBT+ 2025"/>
    <m/>
    <m/>
    <m/>
    <x v="5"/>
    <x v="1"/>
    <n v="7100"/>
    <n v="0"/>
    <n v="0"/>
    <n v="0"/>
    <n v="7100"/>
    <n v="591.66666666666663"/>
    <n v="7100"/>
    <n v="7100"/>
    <n v="0"/>
    <n v="7100"/>
    <n v="0"/>
    <n v="0"/>
    <s v="01-07-2025"/>
  </r>
  <r>
    <s v="01"/>
    <s v="Secretaria Municipal de Cultura"/>
    <s v="25"/>
    <s v="10"/>
    <n v="14"/>
    <n v="422"/>
    <n v="3018"/>
    <x v="6"/>
    <s v="33399000"/>
    <s v="2"/>
    <s v="Termo de Contrato - Serviços"/>
    <n v="7"/>
    <s v="Inexigibilidade"/>
    <n v="2025"/>
    <n v="16854"/>
    <m/>
    <s v="6025202500121399"/>
    <s v="19/06/2025 - Av. Mário de Andrade, 664 - 12:20h às 13:20h - Performance - Grupo de Capoeira Quilombolas de luz - 24ª Feira Cultural LGBT 2025 Parada do Orgulho LGBT+ 2025"/>
    <m/>
    <m/>
    <m/>
    <x v="5"/>
    <x v="1"/>
    <n v="7100"/>
    <n v="0"/>
    <n v="0"/>
    <n v="0"/>
    <n v="7100"/>
    <n v="591.66666666666663"/>
    <n v="7100"/>
    <n v="7100"/>
    <n v="0"/>
    <n v="7100"/>
    <n v="0"/>
    <n v="0"/>
    <s v="01-07-2025"/>
  </r>
  <r>
    <s v="01"/>
    <s v="Secretaria Municipal de Cultura"/>
    <s v="25"/>
    <s v="10"/>
    <n v="14"/>
    <n v="422"/>
    <n v="3018"/>
    <x v="6"/>
    <s v="33399000"/>
    <s v="2"/>
    <s v="Termo de Contrato - Serviços"/>
    <n v="7"/>
    <s v="Inexigibilidade"/>
    <n v="2025"/>
    <n v="16874"/>
    <m/>
    <s v="6025202500123421"/>
    <s v="22/06/2025 -  Performance - Mariana Neves - Grito Invisível"/>
    <m/>
    <m/>
    <m/>
    <x v="5"/>
    <x v="1"/>
    <n v="7100"/>
    <n v="0"/>
    <n v="0"/>
    <n v="0"/>
    <n v="7100"/>
    <n v="591.66666666666663"/>
    <n v="7100"/>
    <n v="7100"/>
    <n v="0"/>
    <n v="7100"/>
    <n v="0"/>
    <n v="0"/>
    <s v="01-07-2025"/>
  </r>
  <r>
    <s v="01"/>
    <s v="Secretaria Municipal de Direitos Humanos e Cidadania"/>
    <s v="34"/>
    <s v="10"/>
    <n v="14"/>
    <n v="122"/>
    <n v="3024"/>
    <x v="0"/>
    <s v="33309000"/>
    <s v="41"/>
    <s v="Nota de Empenho de Serviços com fornecimento de materiais / peças"/>
    <n v="12"/>
    <s v="Pregão"/>
    <n v="2025"/>
    <n v="7267"/>
    <m/>
    <s v="6074202500016630"/>
    <s v="Contratação de empresa especializada na prestação de serviços, sob demanda, de confecção e impressão de material gráfico - ATA DE REGISTRO DE PREÇOS Nº 004/SMDHC/2024 "/>
    <m/>
    <m/>
    <s v="26/03/2025 00:00:00"/>
    <x v="5"/>
    <x v="0"/>
    <n v="7000"/>
    <n v="0"/>
    <n v="0"/>
    <n v="0"/>
    <n v="7000"/>
    <n v="583.33333333333337"/>
    <n v="7000"/>
    <n v="7000"/>
    <n v="0"/>
    <n v="7000"/>
    <n v="7000"/>
    <n v="7000"/>
    <s v="01-07-2025"/>
  </r>
  <r>
    <s v="01"/>
    <s v="Secretaria Municipal de Direitos Humanos e Cidadania"/>
    <s v="34"/>
    <s v="10"/>
    <n v="14"/>
    <n v="122"/>
    <n v="3024"/>
    <x v="0"/>
    <s v="44529000"/>
    <s v="29"/>
    <s v="Termo de Contrato para Aquisição de Bens de Consumo e/ou Permanente"/>
    <n v="6"/>
    <s v="Dispensa de Licitação"/>
    <n v="2025"/>
    <n v="14165"/>
    <s v="159/SMDHC/2025"/>
    <s v="6074202500006686"/>
    <s v="Aquisição de equipamentos audiovisuais e de áudio para o departamento de comunicação da Secretaria Municipal de Direitos Humanos e Cidadania - SMDHC."/>
    <s v="27/05/2025 00:00:00"/>
    <s v="30/05/2025 00:00:00"/>
    <s v="27/05/2026 00:00:00"/>
    <x v="5"/>
    <x v="0"/>
    <n v="6953"/>
    <n v="0"/>
    <n v="0"/>
    <n v="0"/>
    <n v="6953"/>
    <n v="579.41666666666663"/>
    <n v="6953"/>
    <n v="6953"/>
    <n v="0"/>
    <n v="6953"/>
    <n v="6953"/>
    <n v="0"/>
    <s v="01-07-2025"/>
  </r>
  <r>
    <s v="01"/>
    <s v="Secretaria Municipal de Direitos Humanos e Cidadania"/>
    <s v="34"/>
    <s v="10"/>
    <n v="14"/>
    <n v="122"/>
    <n v="3024"/>
    <x v="0"/>
    <s v="33309000"/>
    <s v="5"/>
    <s v="Nota de Empenho Fornecimento de Bens de Consumo e/ou Permanente"/>
    <n v="6"/>
    <s v="Dispensa de Licitação"/>
    <n v="2025"/>
    <n v="3656"/>
    <m/>
    <s v="6074202500005531"/>
    <s v=" Contratação de empresa especializada em serviços de confecção, impressão de bonés e viseiras"/>
    <m/>
    <m/>
    <s v="18/02/2025 00:00:00"/>
    <x v="5"/>
    <x v="0"/>
    <n v="6900"/>
    <n v="0"/>
    <n v="0"/>
    <n v="0"/>
    <n v="6900"/>
    <n v="575"/>
    <n v="6900"/>
    <n v="6900"/>
    <n v="0"/>
    <n v="6900"/>
    <n v="6900"/>
    <n v="6900"/>
    <s v="01-07-2025"/>
  </r>
  <r>
    <s v="01"/>
    <s v="Secretaria Municipal de Direitos Humanos e Cidadania"/>
    <s v="34"/>
    <s v="10"/>
    <n v="14"/>
    <n v="122"/>
    <n v="3024"/>
    <x v="0"/>
    <s v="33309000"/>
    <s v="5"/>
    <s v="Nota de Empenho Fornecimento de Bens de Consumo e/ou Permanente"/>
    <n v="6"/>
    <s v="Dispensa de Licitação"/>
    <n v="2025"/>
    <n v="13978"/>
    <m/>
    <s v="6074202500035082"/>
    <s v="Contratação por Dispensa de Licitação, da empresa PRYME VENDAS &amp; SERVICOS LTDA, inscrita no C.N.P.J. sob o nº 49.219.570/0001-66, para a confecção de 20.000 (vinte mil) tatuagens autoadesivas temporárias personalizadas de transferência a base de água cortadas individualmente com película de proteção plástica removível. Em conformidade com o Aviso de Dispensa Eletrônica nº 90053/2025 (SEI 125663912) e em consonância com as especificações detalhadas no Termo de Referência (SEI 125656256) e na proposta apresentada pela contratada (SEI 125962584), com prazo de entrega, dia 23/05/2025."/>
    <m/>
    <m/>
    <s v="30/05/2025 00:00:00"/>
    <x v="5"/>
    <x v="0"/>
    <n v="6800"/>
    <n v="0"/>
    <n v="0"/>
    <n v="0"/>
    <n v="6800"/>
    <n v="566.66666666666663"/>
    <n v="6800"/>
    <n v="6800"/>
    <n v="0"/>
    <n v="6800"/>
    <n v="6800"/>
    <n v="6800"/>
    <s v="01-07-2025"/>
  </r>
  <r>
    <s v="01"/>
    <s v="Secretaria Municipal de Direitos Humanos e Cidadania"/>
    <s v="34"/>
    <s v="10"/>
    <n v="14"/>
    <n v="422"/>
    <n v="3013"/>
    <x v="3"/>
    <s v="33399000"/>
    <s v="30"/>
    <s v="Nota de Empenho para Fornecimento de Serviços"/>
    <n v="12"/>
    <s v="Pregão"/>
    <n v="2025"/>
    <n v="16921"/>
    <m/>
    <s v="6074202500044456"/>
    <s v="Prestação de serviços de Coffee Break II, para atender 150 (cento e cinquenta) pessoas participantes da cerimônia de entrega do Prêmio Luísa Mahin - Edição 2025."/>
    <m/>
    <m/>
    <m/>
    <x v="5"/>
    <x v="1"/>
    <n v="6751.5"/>
    <n v="0"/>
    <n v="0"/>
    <n v="0"/>
    <n v="6751.5"/>
    <n v="562.625"/>
    <n v="6751.5"/>
    <n v="6751.5"/>
    <n v="0"/>
    <n v="6751.5"/>
    <n v="0"/>
    <n v="0"/>
    <s v="01-07-2025"/>
  </r>
  <r>
    <s v="01"/>
    <s v="Secretaria Municipal de Direitos Humanos e Cidadania"/>
    <s v="34"/>
    <s v="10"/>
    <n v="14"/>
    <n v="122"/>
    <n v="3024"/>
    <x v="0"/>
    <s v="33309000"/>
    <s v="29"/>
    <s v="Termo de Contrato para Aquisição de Bens de Consumo e/ou Permanente"/>
    <n v="6"/>
    <s v="Dispensa de Licitação"/>
    <n v="2025"/>
    <n v="2689"/>
    <s v="006/SMDHC/2025"/>
    <s v="6074202500001943"/>
    <s v="Contratação de empresa especializada em confecção de carimbos, para atender as necessidades da Secretaria de Direitos Humanos e Cidadania - SMDHC no exercício de 2025."/>
    <s v="12/02/2025 00:00:00"/>
    <s v="13/02/2025 00:00:00"/>
    <s v="31/12/2025 00:00:00"/>
    <x v="27"/>
    <x v="0"/>
    <n v="6649.9"/>
    <n v="0"/>
    <n v="0"/>
    <n v="0"/>
    <n v="6649.9"/>
    <n v="664.99"/>
    <n v="7979.88"/>
    <n v="6649.9"/>
    <n v="0"/>
    <n v="6649.9"/>
    <n v="1907"/>
    <n v="1759"/>
    <s v="01-07-2025"/>
  </r>
  <r>
    <s v="01"/>
    <s v="Secretaria Municipal de Direitos Humanos e Cidadania"/>
    <s v="34"/>
    <s v="10"/>
    <n v="14"/>
    <n v="422"/>
    <n v="3018"/>
    <x v="6"/>
    <s v="33399000"/>
    <s v="41"/>
    <s v="Nota de Empenho de Serviços com fornecimento de materiais / peças"/>
    <n v="12"/>
    <s v="Pregão"/>
    <n v="2025"/>
    <n v="490"/>
    <m/>
    <s v="6074202500001293"/>
    <s v="prestação de serviços de fornecimento de de Coffee Break Tipo I ,  para atender os participantes do evento que celebrará o dia Nacional de Combate à Intolerância Religiosa, realizado pela  da Coordenação de Promoção da Igualdade Racial- SMDHC"/>
    <m/>
    <m/>
    <s v="22/01/2025 00:00:00"/>
    <x v="5"/>
    <x v="0"/>
    <n v="6596"/>
    <n v="0"/>
    <n v="0"/>
    <n v="0"/>
    <n v="6596"/>
    <n v="549.66666666666663"/>
    <n v="6596"/>
    <n v="6596"/>
    <n v="0"/>
    <n v="6596"/>
    <n v="6596"/>
    <n v="6596"/>
    <s v="01-07-2025"/>
  </r>
  <r>
    <s v="01"/>
    <s v="Secretaria Municipal de Direitos Humanos e Cidadania"/>
    <s v="34"/>
    <s v="10"/>
    <n v="14"/>
    <n v="422"/>
    <n v="3013"/>
    <x v="20"/>
    <s v="33399000"/>
    <s v="41"/>
    <s v="Nota de Empenho de Serviços com fornecimento de materiais / peças"/>
    <n v="12"/>
    <s v="Pregão"/>
    <n v="2025"/>
    <n v="12748"/>
    <m/>
    <s v="6074202500030048"/>
    <s v="Contratação de empresa especializada na prestação de serviços de Coffee Break para atender a atividade intitulada Encontro Pankararu - ATA DE REGISTRO DE PREÇOS Nº 008/SMDHC/2023"/>
    <m/>
    <m/>
    <m/>
    <x v="5"/>
    <x v="1"/>
    <n v="6596"/>
    <n v="0"/>
    <n v="0"/>
    <n v="0"/>
    <n v="6596"/>
    <n v="549.66666666666663"/>
    <n v="6596"/>
    <n v="6596"/>
    <n v="0"/>
    <n v="6596"/>
    <n v="0"/>
    <n v="0"/>
    <s v="01-07-2025"/>
  </r>
  <r>
    <s v="01"/>
    <s v="Secretaria Municipal de Cultura"/>
    <s v="25"/>
    <s v="10"/>
    <n v="14"/>
    <n v="422"/>
    <n v="3018"/>
    <x v="6"/>
    <s v="33399000"/>
    <s v="2"/>
    <s v="Termo de Contrato - Serviços"/>
    <n v="7"/>
    <s v="Inexigibilidade"/>
    <n v="2025"/>
    <n v="16743"/>
    <s v="03244-2025-PE"/>
    <s v="6025202500121321"/>
    <s v=" 22/06/2025 - Av. Paulista, 1578 - 13:10h às 14:10h - Espetáculo Musical / Show - Laksmi e Banda - Show Terra"/>
    <s v="17/06/2025 00:00:00"/>
    <s v="25/06/2025 00:00:00"/>
    <s v="23/06/2025 00:00:00"/>
    <x v="19"/>
    <x v="0"/>
    <n v="6500"/>
    <n v="0"/>
    <n v="0"/>
    <n v="0"/>
    <n v="6500"/>
    <n v="6500"/>
    <n v="78000"/>
    <n v="6500"/>
    <n v="0"/>
    <n v="6500"/>
    <n v="0"/>
    <n v="0"/>
    <s v="01-07-2025"/>
  </r>
  <r>
    <s v="01"/>
    <s v="Secretaria Municipal de Cultura"/>
    <s v="25"/>
    <s v="10"/>
    <n v="14"/>
    <n v="422"/>
    <n v="3018"/>
    <x v="6"/>
    <s v="33399000"/>
    <s v="2"/>
    <s v="Termo de Contrato - Serviços"/>
    <n v="7"/>
    <s v="Inexigibilidade"/>
    <n v="2025"/>
    <n v="16750"/>
    <s v=" 03243-2025-PE"/>
    <s v="6025202500121348"/>
    <s v=" 22/06/2025 -  Espetáculo Musical / Show - Analu Caldas - Show Maré Raízes"/>
    <s v="17/06/2025 00:00:00"/>
    <s v="25/06/2025 00:00:00"/>
    <s v="23/06/2025 00:00:00"/>
    <x v="19"/>
    <x v="0"/>
    <n v="6500"/>
    <n v="0"/>
    <n v="0"/>
    <n v="0"/>
    <n v="6500"/>
    <n v="6500"/>
    <n v="78000"/>
    <n v="6500"/>
    <n v="0"/>
    <n v="6500"/>
    <n v="0"/>
    <n v="0"/>
    <s v="01-07-2025"/>
  </r>
  <r>
    <s v="01"/>
    <s v="Secretaria Municipal de Cultura"/>
    <s v="25"/>
    <s v="10"/>
    <n v="14"/>
    <n v="422"/>
    <n v="3018"/>
    <x v="6"/>
    <s v="33399000"/>
    <s v="2"/>
    <s v="Termo de Contrato - Serviços"/>
    <n v="7"/>
    <s v="Inexigibilidade"/>
    <n v="2025"/>
    <n v="16764"/>
    <s v="03284-2025-PE"/>
    <s v="6025202500122166"/>
    <s v="19/06/2025 - Av. Mário de Andrade, 664 - 14:40h às 15:40h - Espetáculo Musical / Show - Marco Santos - 24ª Feira Cultural LGBT 2025 Parada do Orgulho LGBT+ 2025"/>
    <s v="18/06/2025 00:00:00"/>
    <s v="24/06/2025 00:00:00"/>
    <s v="20/06/2025 00:00:00"/>
    <x v="19"/>
    <x v="0"/>
    <n v="6500"/>
    <n v="0"/>
    <n v="0"/>
    <n v="0"/>
    <n v="6500"/>
    <n v="6500"/>
    <n v="78000"/>
    <n v="6500"/>
    <n v="0"/>
    <n v="6500"/>
    <n v="0"/>
    <n v="0"/>
    <s v="01-07-2025"/>
  </r>
  <r>
    <s v="01"/>
    <s v="Secretaria Municipal de Direitos Humanos e Cidadania"/>
    <s v="34"/>
    <s v="10"/>
    <n v="14"/>
    <n v="122"/>
    <n v="3024"/>
    <x v="0"/>
    <s v="33399000"/>
    <s v="41"/>
    <s v="Nota de Empenho de Serviços com fornecimento de materiais / peças"/>
    <n v="12"/>
    <s v="Pregão"/>
    <n v="2025"/>
    <n v="5322"/>
    <m/>
    <s v="6074202500013470"/>
    <s v="Contratação de empresa especializada na prestação de serviços de Coffee Break para atender os participantes do evento &quot;Empregabilidade LGBTI&quot; com previsão para ocorrer no dia 25 de fevereiro de 2025, atendendo á solicitação da Coordenação de Políticas para LGBTI, pasta da SMDHC."/>
    <m/>
    <m/>
    <s v="26/02/2025 00:00:00"/>
    <x v="5"/>
    <x v="0"/>
    <n v="6280"/>
    <n v="0"/>
    <n v="0"/>
    <n v="0"/>
    <n v="6280"/>
    <n v="523.33333333333337"/>
    <n v="6280"/>
    <n v="6280"/>
    <n v="0"/>
    <n v="6280"/>
    <n v="6280"/>
    <n v="6280"/>
    <s v="01-07-2025"/>
  </r>
  <r>
    <s v="01"/>
    <s v="Secretaria Municipal de Direitos Humanos e Cidadania"/>
    <s v="34"/>
    <s v="10"/>
    <n v="14"/>
    <n v="122"/>
    <n v="3024"/>
    <x v="0"/>
    <s v="33309000"/>
    <s v="5"/>
    <s v="Nota de Empenho Fornecimento de Bens de Consumo e/ou Permanente"/>
    <n v="6"/>
    <s v="Dispensa de Licitação"/>
    <n v="2025"/>
    <n v="3670"/>
    <m/>
    <s v="6074202500005531"/>
    <s v="Contratação de empresa especializada em serviços de confecção, impressão de bonés e viseiras_x000a__x000a_ "/>
    <m/>
    <m/>
    <s v="18/02/2025 00:00:00"/>
    <x v="5"/>
    <x v="0"/>
    <n v="5916.75"/>
    <n v="0"/>
    <n v="0"/>
    <n v="0"/>
    <n v="5916.75"/>
    <n v="493.0625"/>
    <n v="5916.75"/>
    <n v="5916.75"/>
    <n v="0"/>
    <n v="5916.75"/>
    <n v="5916.75"/>
    <n v="5916.75"/>
    <s v="01-07-2025"/>
  </r>
  <r>
    <s v="01"/>
    <s v="Fundo de Abastecimento Alimentar de São Paulo"/>
    <s v="78"/>
    <s v="10"/>
    <n v="8"/>
    <n v="605"/>
    <n v="3016"/>
    <x v="2"/>
    <s v="33399000"/>
    <s v="2"/>
    <s v="Termo de Contrato - Serviços"/>
    <n v="6"/>
    <s v="Dispensa de Licitação"/>
    <n v="2023"/>
    <n v="25968"/>
    <s v="295/SMDHC2023"/>
    <s v="6074202300068360"/>
    <s v="Contratação de empresa especializada para prestação de serviços de locação de Sistema PABX (Private Automatic Branch Exchange), com DDR, incluídos os serviços de instalação, gerenciamento e manutenção, visando atender aos equipamentos desta – SMDHC._x000a__x000a_ "/>
    <s v="01/09/2023 00:00:00"/>
    <s v="04/09/2023 00:00:00"/>
    <s v="07/09/2025 00:00:00"/>
    <x v="2"/>
    <x v="0"/>
    <n v="5899.04"/>
    <n v="204.48"/>
    <n v="5899.04"/>
    <n v="0"/>
    <n v="12002.56"/>
    <n v="500.10666666666663"/>
    <n v="6001.28"/>
    <n v="15790.44"/>
    <n v="4987.6499999999996"/>
    <n v="10802.79"/>
    <n v="8874.56"/>
    <n v="8444.35"/>
    <s v="01-07-2025"/>
  </r>
  <r>
    <s v="01"/>
    <s v="Secretaria Municipal de Direitos Humanos e Cidadania"/>
    <s v="34"/>
    <s v="10"/>
    <n v="14"/>
    <n v="122"/>
    <n v="3024"/>
    <x v="0"/>
    <s v="33309000"/>
    <s v="29"/>
    <s v="Termo de Contrato para Aquisição de Bens de Consumo e/ou Permanente"/>
    <n v="12"/>
    <s v="Pregão"/>
    <n v="2025"/>
    <n v="6992"/>
    <m/>
    <s v="6074202500009189"/>
    <s v="Fornecimento de açúcar refinado para o Exercício de 2025- Ata de Registro de Preços nº 001/SEGES-COBES/2025."/>
    <m/>
    <m/>
    <m/>
    <x v="5"/>
    <x v="1"/>
    <n v="5810"/>
    <n v="0"/>
    <n v="0"/>
    <n v="0"/>
    <n v="5810"/>
    <n v="484.16666666666669"/>
    <n v="5810"/>
    <n v="5810"/>
    <n v="0"/>
    <n v="5810"/>
    <n v="0"/>
    <n v="0"/>
    <s v="01-07-2025"/>
  </r>
  <r>
    <s v="01"/>
    <s v="Secretaria Municipal de Direitos Humanos e Cidadania"/>
    <s v="34"/>
    <s v="10"/>
    <n v="14"/>
    <n v="422"/>
    <n v="3018"/>
    <x v="4"/>
    <s v="33399000"/>
    <s v="41"/>
    <s v="Nota de Empenho de Serviços com fornecimento de materiais / peças"/>
    <n v="12"/>
    <s v="Pregão"/>
    <n v="2025"/>
    <n v="16284"/>
    <m/>
    <s v="6074202500044332"/>
    <s v="Contratação de empresa especializada na prestação de serviços de Kit Lanche para reunião com coordenadores e servidores - ATA DE REGISTRO DE PREÇOS Nº 009/SMDHC/2023"/>
    <m/>
    <m/>
    <s v="14/06/2025 00:00:00"/>
    <x v="5"/>
    <x v="0"/>
    <n v="5702.24"/>
    <n v="0"/>
    <n v="0"/>
    <n v="0"/>
    <n v="5702.24"/>
    <n v="475.18666666666667"/>
    <n v="5702.24"/>
    <n v="5702.24"/>
    <n v="0"/>
    <n v="5702.24"/>
    <n v="5702.24"/>
    <n v="0"/>
    <s v="01-07-2025"/>
  </r>
  <r>
    <s v="01"/>
    <s v="Secretaria Municipal de Direitos Humanos e Cidadania"/>
    <s v="34"/>
    <s v="10"/>
    <n v="14"/>
    <n v="243"/>
    <n v="3013"/>
    <x v="11"/>
    <s v="33929000"/>
    <s v="53"/>
    <s v="Nota de Empenho - Multas de Trânsito / Outras"/>
    <n v="8"/>
    <s v="Não Aplicável"/>
    <n v="2025"/>
    <n v="15804"/>
    <m/>
    <s v="6074202500034043"/>
    <s v="Pagamento débito multa - Inscrito em Dívida Ativa - ausência do Certificado de Licença do Corpo de Bombeiro- imóvel Conselho Tutelar Brasilândia- Despesa de Exercícios Anteriores - DEA"/>
    <m/>
    <m/>
    <s v="27/10/2023 00:00:00"/>
    <x v="5"/>
    <x v="0"/>
    <n v="5000"/>
    <n v="0"/>
    <n v="0"/>
    <n v="0"/>
    <n v="5000"/>
    <n v="416.66666666666669"/>
    <n v="5000"/>
    <n v="3941.89"/>
    <n v="0"/>
    <n v="3941.89"/>
    <n v="3941.89"/>
    <n v="3941.89"/>
    <s v="01-07-2025"/>
  </r>
  <r>
    <s v="01"/>
    <s v="Secretaria Municipal de Cultura"/>
    <s v="25"/>
    <s v="10"/>
    <n v="14"/>
    <n v="422"/>
    <n v="3018"/>
    <x v="6"/>
    <s v="33399000"/>
    <s v="2"/>
    <s v="Termo de Contrato - Serviços"/>
    <n v="7"/>
    <s v="Inexigibilidade"/>
    <n v="2025"/>
    <n v="16741"/>
    <m/>
    <s v="6025202500122565"/>
    <s v="CONTRATADO: MILENA FONSECA FONTES (CPF nº 334.735.118-54), conforme Contrato/Declaração de Exclusividade, por intermédio de 41.882.509 Milena Fonseca Fontes, inscrita no CNPJ sob o nº 41.882.509/0001-92_x000a__x000a_ _x000a__x000a_OBJETO: Espetáculo Musical / Show - Bloco Siriricando - Show Bloco Siriricando_x000a__x000a_ _x000a__x000a_PERÍODO DE EXECUÇÃO DOS SERVIÇOS:19/06/2025 - totalizando 1 apresentação conforme cronograma:"/>
    <m/>
    <m/>
    <m/>
    <x v="5"/>
    <x v="1"/>
    <n v="5000"/>
    <n v="0"/>
    <n v="0"/>
    <n v="0"/>
    <n v="5000"/>
    <n v="416.66666666666669"/>
    <n v="5000"/>
    <n v="5000"/>
    <n v="0"/>
    <n v="5000"/>
    <n v="0"/>
    <n v="0"/>
    <s v="01-07-2025"/>
  </r>
  <r>
    <s v="01"/>
    <s v="Secretaria Municipal de Cultura"/>
    <s v="25"/>
    <s v="10"/>
    <n v="14"/>
    <n v="422"/>
    <n v="3018"/>
    <x v="6"/>
    <s v="33399000"/>
    <s v="2"/>
    <s v="Termo de Contrato - Serviços"/>
    <n v="7"/>
    <s v="Inexigibilidade"/>
    <n v="2025"/>
    <n v="16773"/>
    <m/>
    <s v="6025202500123766"/>
    <s v="CONTRATADO: ANA FLÁVIA NUNES COUTINHO (CPF nº 470.230.338-40), conforme Contrato/Declaração de Exclusividade, por intermédio de Diversidade Projetos LTDA, inscrita no CNPJ sob o nº 30.707.925/0001-38_x000a__x000a_ _x000a__x000a_OBJETO: Espetáculo Musical / Show - Forro Sapatão - 24° Feira da Diversidade LGBT+_x000a__x000a_ _x000a__x000a_PERÍODO DE EXECUÇÃO DOS SERVIÇOS:19/06/2025 - totalizando 1 apresentação conforme cronograma:_x000a__x000a_ "/>
    <m/>
    <m/>
    <m/>
    <x v="5"/>
    <x v="1"/>
    <n v="5000"/>
    <n v="0"/>
    <n v="0"/>
    <n v="0"/>
    <n v="5000"/>
    <n v="416.66666666666669"/>
    <n v="5000"/>
    <n v="5000"/>
    <n v="0"/>
    <n v="5000"/>
    <n v="0"/>
    <n v="0"/>
    <s v="01-07-2025"/>
  </r>
  <r>
    <s v="01"/>
    <s v="Secretaria Municipal de Cultura"/>
    <s v="25"/>
    <s v="10"/>
    <n v="14"/>
    <n v="422"/>
    <n v="3018"/>
    <x v="6"/>
    <s v="33399000"/>
    <s v="2"/>
    <s v="Termo de Contrato - Serviços"/>
    <n v="7"/>
    <s v="Inexigibilidade"/>
    <n v="2025"/>
    <n v="16830"/>
    <s v="03248-2025 PE"/>
    <s v="6025202500121330"/>
    <s v="19/06/2025 - Espetáculo Musical/Show - PH ZABUMBADA - PH ZABUMBADA"/>
    <s v="17/06/2025 00:00:00"/>
    <s v="23/06/2025 00:00:00"/>
    <s v="20/06/2025 00:00:00"/>
    <x v="19"/>
    <x v="0"/>
    <n v="5000"/>
    <n v="0"/>
    <n v="0"/>
    <n v="0"/>
    <n v="5000"/>
    <n v="5000"/>
    <n v="60000"/>
    <n v="5000"/>
    <n v="0"/>
    <n v="5000"/>
    <n v="0"/>
    <n v="0"/>
    <s v="01-07-2025"/>
  </r>
  <r>
    <s v="01"/>
    <s v="Secretaria Municipal de Cultura"/>
    <s v="25"/>
    <s v="10"/>
    <n v="14"/>
    <n v="422"/>
    <n v="3018"/>
    <x v="6"/>
    <s v="33399000"/>
    <s v="2"/>
    <s v="Termo de Contrato - Serviços"/>
    <n v="7"/>
    <s v="Inexigibilidade"/>
    <n v="2025"/>
    <n v="16843"/>
    <m/>
    <s v="6025202500123359"/>
    <s v="CONTRATADO: ALBERT ROGGENBUCK NETO (CPF nº 734.837.966-49), conforme Contrato/Declaração de Exclusividade, por intermédio de 18.266.990/0001-70 Albert Roggenbuck Neto, inscrita no CNPJ sob o nº 18.266.990/0001-70_x000a__x000a_ _x000a__x000a_OBJETO: Performance - Esquadrão das Drags - Feira da Cultural da Diversidade LGBT+_x000a__x000a_ _x000a__x000a_PERÍODO DE EXECUÇÃO DOS SERVIÇOS:19/06/2025 - totalizando 1 apresentação conforme cronograma:_x000a__x000a_ "/>
    <m/>
    <m/>
    <m/>
    <x v="5"/>
    <x v="1"/>
    <n v="5000"/>
    <n v="0"/>
    <n v="0"/>
    <n v="0"/>
    <n v="5000"/>
    <n v="416.66666666666669"/>
    <n v="5000"/>
    <n v="5000"/>
    <n v="0"/>
    <n v="5000"/>
    <n v="0"/>
    <n v="0"/>
    <s v="01-07-2025"/>
  </r>
  <r>
    <s v="01"/>
    <s v="Secretaria Municipal de Cultura"/>
    <s v="25"/>
    <s v="10"/>
    <n v="14"/>
    <n v="422"/>
    <n v="3018"/>
    <x v="6"/>
    <s v="33399000"/>
    <s v="2"/>
    <s v="Termo de Contrato - Serviços"/>
    <n v="7"/>
    <s v="Inexigibilidade"/>
    <n v="2025"/>
    <n v="16850"/>
    <m/>
    <s v="6025202500121518"/>
    <s v="19/06/2025 - Av. Mário de Andrade, 664 - 16:50h às 17:50h - Espetáculo Musical / Show - Samuel de Abreu 24 Feira LGBT 2025 - 24° Feira Cultura LGBT 2025_x000a__x000a_ "/>
    <m/>
    <m/>
    <m/>
    <x v="5"/>
    <x v="1"/>
    <n v="5000"/>
    <n v="0"/>
    <n v="0"/>
    <n v="0"/>
    <n v="5000"/>
    <n v="416.66666666666669"/>
    <n v="5000"/>
    <n v="5000"/>
    <n v="0"/>
    <n v="5000"/>
    <n v="0"/>
    <n v="0"/>
    <s v="01-07-2025"/>
  </r>
  <r>
    <s v="01"/>
    <s v="Secretaria Municipal de Cultura"/>
    <s v="25"/>
    <s v="10"/>
    <n v="14"/>
    <n v="422"/>
    <n v="3018"/>
    <x v="6"/>
    <s v="33399000"/>
    <s v="2"/>
    <s v="Termo de Contrato - Serviços"/>
    <n v="7"/>
    <s v="Inexigibilidade"/>
    <n v="2025"/>
    <n v="16863"/>
    <s v="03287-2025-PE"/>
    <s v="6025202500122557"/>
    <s v=" 22/06/2025 - Av. Paulista, 1578 - 15:00h às 16:00h - Espetáculo Musical/Show - Nicolau Araujo Evento Festa Junina - 24° Feira Cultura LGBT 2025"/>
    <s v="18/06/2025 00:00:00"/>
    <s v="25/06/2025 00:00:00"/>
    <s v="23/06/2025 00:00:00"/>
    <x v="19"/>
    <x v="0"/>
    <n v="5000"/>
    <n v="0"/>
    <n v="0"/>
    <n v="0"/>
    <n v="5000"/>
    <n v="5000"/>
    <n v="60000"/>
    <n v="5000"/>
    <n v="0"/>
    <n v="5000"/>
    <n v="0"/>
    <n v="0"/>
    <s v="01-07-2025"/>
  </r>
  <r>
    <s v="01"/>
    <s v="Secretaria Municipal de Direitos Humanos e Cidadania"/>
    <s v="34"/>
    <s v="10"/>
    <n v="14"/>
    <n v="422"/>
    <n v="3013"/>
    <x v="1"/>
    <s v="33309000"/>
    <s v="41"/>
    <s v="Nota de Empenho de Serviços com fornecimento de materiais / peças"/>
    <n v="6"/>
    <s v="Dispensa de Licitação"/>
    <n v="2025"/>
    <n v="11576"/>
    <m/>
    <s v="6074202500021502"/>
    <s v="Aquisição, por dispensa de licitação, de 275 (duzentas e setenta e cinco) unidades de toalhas de banho."/>
    <m/>
    <m/>
    <s v="22/05/2025 00:00:00"/>
    <x v="5"/>
    <x v="0"/>
    <n v="4757.5"/>
    <n v="0"/>
    <n v="0"/>
    <n v="0"/>
    <n v="4757.5"/>
    <n v="396.45833333333331"/>
    <n v="4757.5"/>
    <n v="4757.5"/>
    <n v="0"/>
    <n v="4757.5"/>
    <n v="4757.5"/>
    <n v="4757.5"/>
    <s v="01-07-2025"/>
  </r>
  <r>
    <s v="01"/>
    <s v="Secretaria Municipal de Direitos Humanos e Cidadania"/>
    <s v="34"/>
    <s v="10"/>
    <n v="14"/>
    <n v="122"/>
    <n v="3024"/>
    <x v="0"/>
    <s v="33399000"/>
    <s v="41"/>
    <s v="Nota de Empenho de Serviços com fornecimento de materiais / peças"/>
    <n v="12"/>
    <s v="Pregão"/>
    <n v="2025"/>
    <n v="2738"/>
    <m/>
    <s v="6074202500006953"/>
    <s v="Prestação de serviços de Coffee Break Tipo II para atender os participantes do Encontro de Planejamento com as equipes que compõem os Centros de Referência e Promoção da Igualdade Racial CRPIR. realizado pela Coordenação de Promoção da Igualdade Racial."/>
    <m/>
    <m/>
    <s v="08/02/2025 00:00:00"/>
    <x v="5"/>
    <x v="0"/>
    <n v="4501"/>
    <n v="0"/>
    <n v="0"/>
    <n v="0"/>
    <n v="4501"/>
    <n v="375.08333333333331"/>
    <n v="4501"/>
    <n v="4501"/>
    <n v="0"/>
    <n v="4501"/>
    <n v="4501"/>
    <n v="4501"/>
    <s v="01-07-2025"/>
  </r>
  <r>
    <s v="01"/>
    <s v="Secretaria Municipal de Direitos Humanos e Cidadania"/>
    <s v="34"/>
    <s v="10"/>
    <n v="14"/>
    <n v="122"/>
    <n v="3024"/>
    <x v="0"/>
    <s v="33399000"/>
    <s v="41"/>
    <s v="Nota de Empenho de Serviços com fornecimento de materiais / peças"/>
    <n v="12"/>
    <s v="Pregão"/>
    <n v="2025"/>
    <n v="8542"/>
    <m/>
    <s v="6074202500021278"/>
    <s v="Contratação de empresa especializada na prestação de serviços de Coffee Break, Tipo II&lt; para atender aos participantes da atividade intitulada &quot;Dia Internacional da Mulher&quot; - ATA DE REGISTRO DE PREÇOS Nº 008/SMDHC/2023"/>
    <m/>
    <m/>
    <s v="22/03/2025 00:00:00"/>
    <x v="5"/>
    <x v="0"/>
    <n v="4501"/>
    <n v="0"/>
    <n v="0"/>
    <n v="0"/>
    <n v="4501"/>
    <n v="375.08333333333331"/>
    <n v="4501"/>
    <n v="4501"/>
    <n v="0"/>
    <n v="4501"/>
    <n v="4501"/>
    <n v="4501"/>
    <s v="01-07-2025"/>
  </r>
  <r>
    <s v="01"/>
    <s v="Secretaria Municipal de Direitos Humanos e Cidadania"/>
    <s v="34"/>
    <s v="10"/>
    <n v="14"/>
    <n v="122"/>
    <n v="3024"/>
    <x v="0"/>
    <s v="33309000"/>
    <s v="29"/>
    <s v="Termo de Contrato para Aquisição de Bens de Consumo e/ou Permanente"/>
    <n v="12"/>
    <s v="Pregão"/>
    <n v="2025"/>
    <n v="12986"/>
    <s v="064/SMDHC/2025"/>
    <s v="6074202500027004"/>
    <s v="Confecção e impressão de 5000 (cinco mil) unidades de cartazes A2 (42,0x59,4cm); impressão: frente; cores: 4x) (colorido), papel: couché fosco 170g; acabamento: refile; sem enobrecimento; sem Extras."/>
    <s v="15/05/2025 00:00:00"/>
    <s v="20/05/2025 00:00:00"/>
    <s v="14/07/2025 00:00:00"/>
    <x v="20"/>
    <x v="0"/>
    <n v="4500"/>
    <n v="0"/>
    <n v="0"/>
    <n v="0"/>
    <n v="4500"/>
    <n v="2250"/>
    <n v="27000"/>
    <n v="4500"/>
    <n v="0"/>
    <n v="4500"/>
    <n v="4500"/>
    <n v="4500"/>
    <s v="01-07-2025"/>
  </r>
  <r>
    <s v="01"/>
    <s v="Secretaria Municipal de Direitos Humanos e Cidadania"/>
    <s v="34"/>
    <s v="10"/>
    <n v="14"/>
    <n v="422"/>
    <n v="3013"/>
    <x v="3"/>
    <s v="33399000"/>
    <s v="41"/>
    <s v="Nota de Empenho de Serviços com fornecimento de materiais / peças"/>
    <n v="12"/>
    <s v="Pregão"/>
    <n v="2025"/>
    <n v="15439"/>
    <m/>
    <s v="6074202500035333"/>
    <s v="Contratação de empresa especializada na prestação de serviços de Coffee Break -Ata de Registro de Preços nº 008/SMDHC/2023"/>
    <m/>
    <m/>
    <s v="08/06/2025 00:00:00"/>
    <x v="5"/>
    <x v="0"/>
    <n v="4287.3999999999996"/>
    <n v="0"/>
    <n v="0"/>
    <n v="0"/>
    <n v="4287.3999999999996"/>
    <n v="357.2833333333333"/>
    <n v="4287.3999999999996"/>
    <n v="4287.3999999999996"/>
    <n v="0"/>
    <n v="4287.3999999999996"/>
    <n v="4287.3999999999996"/>
    <n v="0"/>
    <s v="01-07-2025"/>
  </r>
  <r>
    <s v="01"/>
    <s v="Secretaria Municipal de Direitos Humanos e Cidadania"/>
    <s v="34"/>
    <s v="10"/>
    <n v="14"/>
    <n v="422"/>
    <n v="3018"/>
    <x v="21"/>
    <s v="33319000"/>
    <s v="41"/>
    <s v="Nota de Empenho de Serviços com fornecimento de materiais / peças"/>
    <n v="6"/>
    <s v="Dispensa de Licitação"/>
    <n v="2025"/>
    <n v="4392"/>
    <m/>
    <s v="6074202500003180"/>
    <s v="Aquisição de Troféus para cerimônia do Prêmio de Direitos Humanos Dom Paulo Evaristo Arns, atendendo as necessidades do Departamento de Educação em Direitos Humanos, pasta desta Secretaria Municipal de Direitos Humanos e Cidadania - SMDHC."/>
    <m/>
    <m/>
    <m/>
    <x v="5"/>
    <x v="1"/>
    <n v="4217.95"/>
    <n v="0"/>
    <n v="0"/>
    <n v="0"/>
    <n v="4217.95"/>
    <n v="351.49583333333334"/>
    <n v="4217.95"/>
    <n v="4217.95"/>
    <n v="0"/>
    <n v="4217.95"/>
    <n v="0"/>
    <n v="0"/>
    <s v="01-07-2025"/>
  </r>
  <r>
    <s v="01"/>
    <s v="Secretaria Municipal de Direitos Humanos e Cidadania"/>
    <s v="34"/>
    <s v="10"/>
    <n v="8"/>
    <n v="605"/>
    <n v="3016"/>
    <x v="2"/>
    <s v="33399000"/>
    <s v="2"/>
    <s v="Termo de Contrato - Serviços"/>
    <n v="6"/>
    <s v="Dispensa de Licitação"/>
    <n v="2025"/>
    <n v="10757"/>
    <m/>
    <s v="6074202500016967"/>
    <s v="Contratação de empresa especializada na prestação de serviços de limpeza e desinfecção, preventiva e periódica, de reservatórios de água (caixas d’água), pertencentes aos equipamentos afeitos à Secretaria Municipal de Direitos Humanos e Cidadania – SMDHC."/>
    <m/>
    <m/>
    <m/>
    <x v="5"/>
    <x v="1"/>
    <n v="4216"/>
    <n v="0"/>
    <n v="0"/>
    <n v="0"/>
    <n v="4216"/>
    <n v="351.33333333333331"/>
    <n v="4216"/>
    <n v="4216"/>
    <n v="0"/>
    <n v="4216"/>
    <n v="0"/>
    <n v="0"/>
    <s v="01-07-2025"/>
  </r>
  <r>
    <s v="01"/>
    <s v="Secretaria Municipal de Direitos Humanos e Cidadania"/>
    <s v="34"/>
    <s v="10"/>
    <n v="14"/>
    <n v="422"/>
    <n v="3018"/>
    <x v="19"/>
    <s v="33399000"/>
    <s v="2"/>
    <s v="Termo de Contrato - Serviços"/>
    <n v="12"/>
    <s v="Pregão"/>
    <n v="2024"/>
    <n v="33670"/>
    <s v="336/SMDHC/2024"/>
    <s v="6074202400065419"/>
    <s v="Contratação de empresa especializada na prestação de Serviços de Controle de Pragas Urbanas e Vetores, compreendendo Desinsetização, Desratização e Descupinização em todas as áreas internas e externas adjacentes aos equipamentos da Secretaria Municipal de Direitos Humanos e Cidadania – SMDHC, com fornecimento de todos os materiais, equipamentos e ferramentas necessários."/>
    <s v="21/10/2024 00:00:00"/>
    <s v="08/11/2024 00:00:00"/>
    <s v="04/12/2025 00:00:00"/>
    <x v="16"/>
    <x v="0"/>
    <n v="4000"/>
    <n v="0"/>
    <n v="0"/>
    <n v="0"/>
    <n v="4000"/>
    <n v="307.69230769230768"/>
    <n v="3692.3076923076924"/>
    <n v="4000"/>
    <n v="1750"/>
    <n v="2250"/>
    <n v="2000"/>
    <n v="2000"/>
    <s v="01-07-2025"/>
  </r>
  <r>
    <s v="01"/>
    <s v="Secretaria Municipal de Cultura"/>
    <s v="25"/>
    <s v="10"/>
    <n v="14"/>
    <n v="422"/>
    <n v="3018"/>
    <x v="6"/>
    <s v="33399000"/>
    <s v="2"/>
    <s v="Termo de Contrato - Serviços"/>
    <n v="7"/>
    <s v="Inexigibilidade"/>
    <n v="2025"/>
    <n v="16794"/>
    <m/>
    <s v="6025202500122026"/>
    <s v="19/06/2025  -  Performance - Xênia Star - 24° Feira da Diversidade LGBT+"/>
    <m/>
    <m/>
    <m/>
    <x v="5"/>
    <x v="1"/>
    <n v="4000"/>
    <n v="0"/>
    <n v="0"/>
    <n v="0"/>
    <n v="4000"/>
    <n v="333.33333333333331"/>
    <n v="4000"/>
    <n v="4000"/>
    <n v="0"/>
    <n v="4000"/>
    <n v="0"/>
    <n v="0"/>
    <s v="01-07-2025"/>
  </r>
  <r>
    <s v="01"/>
    <s v="Secretaria Municipal de Direitos Humanos e Cidadania"/>
    <s v="34"/>
    <s v="10"/>
    <n v="14"/>
    <n v="422"/>
    <n v="3013"/>
    <x v="5"/>
    <s v="33399000"/>
    <s v="2"/>
    <s v="Termo de Contrato - Serviços"/>
    <n v="12"/>
    <s v="Pregão"/>
    <n v="2025"/>
    <n v="15998"/>
    <m/>
    <s v="6074202500042933"/>
    <s v="Contratação de empresa especializada na prestação de serviços de Coffee Break - ATA DE REGISTRO DE PREÇO nº 008/SMDHC/2023"/>
    <m/>
    <m/>
    <m/>
    <x v="5"/>
    <x v="1"/>
    <n v="3957.6"/>
    <n v="0"/>
    <n v="0"/>
    <n v="0"/>
    <n v="3957.6"/>
    <n v="329.8"/>
    <n v="3957.6000000000004"/>
    <n v="3957.6"/>
    <n v="0"/>
    <n v="3957.6"/>
    <n v="0"/>
    <n v="0"/>
    <s v="01-07-2025"/>
  </r>
  <r>
    <s v="01"/>
    <s v="Secretaria Municipal de Direitos Humanos e Cidadania"/>
    <s v="34"/>
    <s v="10"/>
    <n v="14"/>
    <n v="122"/>
    <n v="3024"/>
    <x v="0"/>
    <s v="33309000"/>
    <s v="5"/>
    <s v="Nota de Empenho Fornecimento de Bens de Consumo e/ou Permanente"/>
    <n v="6"/>
    <s v="Dispensa de Licitação"/>
    <n v="2025"/>
    <n v="16925"/>
    <m/>
    <s v="6074202500039800"/>
    <s v="Aquisição, por Dispensa de Licitação, de Cordões para crachás personalizados."/>
    <m/>
    <m/>
    <m/>
    <x v="5"/>
    <x v="1"/>
    <n v="3800"/>
    <n v="0"/>
    <n v="0"/>
    <n v="0"/>
    <n v="3800"/>
    <n v="316.66666666666669"/>
    <n v="3800"/>
    <n v="3800"/>
    <n v="0"/>
    <n v="3800"/>
    <n v="0"/>
    <n v="0"/>
    <s v="01-07-2025"/>
  </r>
  <r>
    <s v="01"/>
    <s v="Secretaria Municipal de Direitos Humanos e Cidadania"/>
    <s v="34"/>
    <s v="10"/>
    <n v="8"/>
    <n v="605"/>
    <n v="3016"/>
    <x v="2"/>
    <s v="33309000"/>
    <s v="5"/>
    <s v="Nota de Empenho Fornecimento de Bens de Consumo e/ou Permanente"/>
    <n v="6"/>
    <s v="Dispensa de Licitação"/>
    <n v="2025"/>
    <n v="9997"/>
    <m/>
    <s v="6074202500021529"/>
    <s v="Aquisição de materiais de limpeza para higienização das instalações, equipamentos e cuidados pessoais dos agentes operacionais do Banco de Alimentos e CRESANs Butantã e Vila Maria_x000a__x000a_ "/>
    <m/>
    <m/>
    <s v="18/04/2025 00:00:00"/>
    <x v="5"/>
    <x v="0"/>
    <n v="3729.7"/>
    <n v="0"/>
    <n v="0"/>
    <n v="0"/>
    <n v="3729.7"/>
    <n v="310.80833333333334"/>
    <n v="3729.7"/>
    <n v="3729.7"/>
    <n v="0"/>
    <n v="3729.7"/>
    <n v="3729.7"/>
    <n v="3729.7"/>
    <s v="01-07-2025"/>
  </r>
  <r>
    <s v="01"/>
    <s v="Secretaria Municipal de Direitos Humanos e Cidadania"/>
    <s v="34"/>
    <s v="10"/>
    <n v="14"/>
    <n v="122"/>
    <n v="3024"/>
    <x v="0"/>
    <s v="33309000"/>
    <s v="5"/>
    <s v="Nota de Empenho Fornecimento de Bens de Consumo e/ou Permanente"/>
    <n v="6"/>
    <s v="Dispensa de Licitação"/>
    <n v="2025"/>
    <n v="2408"/>
    <m/>
    <s v="6074202500002230"/>
    <s v="Contratação de empresa especializada para a confecção de 10 (dez) unidades de  tapetes  tipo capacho personalizados para as portas de entrada e elevadores ."/>
    <m/>
    <m/>
    <s v="03/04/2025 00:00:00"/>
    <x v="5"/>
    <x v="0"/>
    <n v="3690"/>
    <n v="0"/>
    <n v="0"/>
    <n v="0"/>
    <n v="3690"/>
    <n v="307.5"/>
    <n v="3690"/>
    <n v="3690"/>
    <n v="0"/>
    <n v="3690"/>
    <n v="3690"/>
    <n v="3690"/>
    <s v="01-07-2025"/>
  </r>
  <r>
    <s v="01"/>
    <s v="Secretaria Municipal de Direitos Humanos e Cidadania"/>
    <s v="34"/>
    <s v="10"/>
    <n v="14"/>
    <n v="422"/>
    <n v="3013"/>
    <x v="1"/>
    <s v="33399000"/>
    <s v="41"/>
    <s v="Nota de Empenho de Serviços com fornecimento de materiais / peças"/>
    <n v="12"/>
    <s v="Pregão"/>
    <n v="2025"/>
    <n v="7256"/>
    <m/>
    <s v="6074202500018250"/>
    <s v="Contratação de empresa especializada na prestação de serviços de Coffee Break, de Brunch e de Kit Lanche - ATA DE REGISTRO DE PREÇOS Nº 008/SMDHC/2023 - atender aos participantes do Evento &quot;Dia Internacional da Mulher&quot;, na Casa da Mulher Brasileira  realizado pela SMDHC/GAB,  Gabinete desta desta Secretaria Municipal de Direitos Humanos e Cidadania."/>
    <m/>
    <m/>
    <s v="09/03/2025 00:00:00"/>
    <x v="5"/>
    <x v="0"/>
    <n v="3600.8"/>
    <n v="0"/>
    <n v="0"/>
    <n v="0"/>
    <n v="3600.8"/>
    <n v="300.06666666666666"/>
    <n v="3600.8"/>
    <n v="3600.8"/>
    <n v="0"/>
    <n v="3600.8"/>
    <n v="3600.8"/>
    <n v="3600.8"/>
    <s v="01-07-2025"/>
  </r>
  <r>
    <s v="01"/>
    <s v="Secretaria Municipal de Direitos Humanos e Cidadania"/>
    <s v="34"/>
    <s v="10"/>
    <n v="14"/>
    <n v="422"/>
    <n v="3018"/>
    <x v="9"/>
    <s v="33399000"/>
    <s v="2"/>
    <s v="Termo de Contrato - Serviços"/>
    <n v="6"/>
    <s v="Dispensa de Licitação"/>
    <n v="2022"/>
    <n v="22484"/>
    <s v="206/SMDHC/2022"/>
    <s v="6074202200034170"/>
    <s v="Contratação de empresa especializada na prestação de serviços de monitoramento e rastreamento veicular via satélite por GPS/GSM/GPRS, compreendendo a instalação de módulos rastreadores em comodato e a disponibilização de software de gerenciamento com acesso via Web para gestão da frota de veículos pertencentes à Secretaria Municipal de Direitos Humanos e Cidadania – SMDHC."/>
    <s v="25/08/2022 00:00:00"/>
    <s v="27/08/2022 00:00:00"/>
    <s v="24/08/2025 00:00:00"/>
    <x v="3"/>
    <x v="0"/>
    <n v="3594"/>
    <n v="0"/>
    <n v="7188"/>
    <n v="0"/>
    <n v="10782"/>
    <n v="299.5"/>
    <n v="3594"/>
    <n v="12439.48"/>
    <n v="3365.35"/>
    <n v="9074.1299999999992"/>
    <n v="8225.5499999999993"/>
    <n v="7926.05"/>
    <s v="01-07-2025"/>
  </r>
  <r>
    <s v="01"/>
    <s v="Secretaria Municipal de Direitos Humanos e Cidadania"/>
    <s v="34"/>
    <s v="10"/>
    <n v="14"/>
    <n v="122"/>
    <n v="3024"/>
    <x v="0"/>
    <s v="33309000"/>
    <s v="5"/>
    <s v="Nota de Empenho Fornecimento de Bens de Consumo e/ou Permanente"/>
    <n v="6"/>
    <s v="Dispensa de Licitação"/>
    <n v="2025"/>
    <n v="3639"/>
    <m/>
    <s v="6074202500008310"/>
    <s v="Aquisição de leques personalizado em papel couche brilho, gramatura: 300gr, frente e verso, medidas: 20x19, cor: na quantidade de 10.000 (dez mil ) unidades, para atender as necessidades da Secretaria Executiva do CMDCA, pasta desta Secretaria Municipal de Direitos Humanos e Cidadania - SMDHC."/>
    <m/>
    <m/>
    <s v="20/02/2025 00:00:00"/>
    <x v="5"/>
    <x v="0"/>
    <n v="3500"/>
    <n v="0"/>
    <n v="0"/>
    <n v="0"/>
    <n v="3500"/>
    <n v="291.66666666666669"/>
    <n v="3500"/>
    <n v="3500"/>
    <n v="0"/>
    <n v="3500"/>
    <n v="3500"/>
    <n v="3500"/>
    <s v="01-07-2025"/>
  </r>
  <r>
    <s v="01"/>
    <s v="Secretaria Municipal de Direitos Humanos e Cidadania"/>
    <s v="34"/>
    <s v="10"/>
    <n v="14"/>
    <n v="122"/>
    <n v="3024"/>
    <x v="0"/>
    <s v="33399000"/>
    <s v="2"/>
    <s v="Termo de Contrato - Serviços"/>
    <n v="7"/>
    <s v="Inexigibilidade"/>
    <n v="2025"/>
    <n v="11774"/>
    <s v="058/SMDHC/2025"/>
    <s v="6074202500031109"/>
    <s v="Performance voz e violão do cantor Reinaldo Bruno Nascimento para a apresentação artística na V Conferência Municipal de Promoção de Igualdade Racial, com o tema “Igualdade e Democracia: Reparação e Justiça Racial”."/>
    <s v="25/04/2025 00:00:00"/>
    <s v="23/05/2025 00:00:00"/>
    <s v="25/05/2025 00:00:00"/>
    <x v="21"/>
    <x v="0"/>
    <n v="3500"/>
    <n v="0"/>
    <n v="0"/>
    <n v="0"/>
    <n v="3500"/>
    <n v="3500"/>
    <n v="42000"/>
    <n v="3500"/>
    <n v="0"/>
    <n v="3500"/>
    <n v="3500"/>
    <n v="0"/>
    <s v="01-07-2025"/>
  </r>
  <r>
    <s v="01"/>
    <s v="Secretaria Municipal de Direitos Humanos e Cidadania"/>
    <s v="34"/>
    <s v="10"/>
    <n v="8"/>
    <n v="605"/>
    <n v="3016"/>
    <x v="2"/>
    <s v="33929000"/>
    <s v="64"/>
    <s v="Nota de Empenho-Fornecitº Serviços de Concessionárias de Abast.Público"/>
    <n v="7"/>
    <s v="Inexigibilidade"/>
    <n v="2025"/>
    <n v="16192"/>
    <m/>
    <s v="6074202400040246"/>
    <s v="TELEFONICA BRASIL S.A- Despesa de Exercícios Anteriores - DEA Transferido de Unidade._x000a_Contratação Original 348/2023  Encerrada na Unidade de Origem Anterior. _x000a_Decreto de Transferência 62.361 de 04 de Maio/2023"/>
    <m/>
    <m/>
    <s v="31/12/2023 00:00:00"/>
    <x v="5"/>
    <x v="0"/>
    <n v="3433.58"/>
    <n v="0"/>
    <n v="0"/>
    <n v="0"/>
    <n v="3433.58"/>
    <n v="286.13166666666666"/>
    <n v="3433.58"/>
    <n v="1781.02"/>
    <n v="0"/>
    <n v="1781.02"/>
    <n v="1781.02"/>
    <n v="0"/>
    <s v="01-07-2025"/>
  </r>
  <r>
    <s v="01"/>
    <s v="Secretaria Municipal de Direitos Humanos e Cidadania"/>
    <s v="34"/>
    <s v="10"/>
    <n v="14"/>
    <n v="122"/>
    <n v="3024"/>
    <x v="0"/>
    <s v="33309000"/>
    <s v="5"/>
    <s v="Nota de Empenho Fornecimento de Bens de Consumo e/ou Permanente"/>
    <n v="6"/>
    <s v="Dispensa de Licitação"/>
    <n v="2025"/>
    <n v="2477"/>
    <m/>
    <s v="6074202400101865"/>
    <s v="Aquisição de Materiais de Consumo (Ferramentas) para pequenos reparos e manutenção predial(LOTE 2),  para atender as necessidades da Secretaria Municipal de Direitos Humanos e Cidadania – SMDHC._x000a_"/>
    <m/>
    <m/>
    <s v="18/02/2025 00:00:00"/>
    <x v="5"/>
    <x v="0"/>
    <n v="3389.95"/>
    <n v="0"/>
    <n v="0"/>
    <n v="0"/>
    <n v="3389.95"/>
    <n v="282.49583333333334"/>
    <n v="3389.95"/>
    <n v="4841.2299999999996"/>
    <n v="1451.28"/>
    <n v="3389.95"/>
    <n v="3389.95"/>
    <n v="3389.95"/>
    <s v="01-07-2025"/>
  </r>
  <r>
    <s v="01"/>
    <s v="Secretaria Municipal de Direitos Humanos e Cidadania"/>
    <s v="34"/>
    <s v="10"/>
    <n v="14"/>
    <n v="422"/>
    <n v="3018"/>
    <x v="13"/>
    <s v="33399000"/>
    <s v="41"/>
    <s v="Nota de Empenho de Serviços com fornecimento de materiais / peças"/>
    <n v="12"/>
    <s v="Pregão"/>
    <n v="2025"/>
    <n v="946"/>
    <m/>
    <s v="6074202500002877"/>
    <s v="prestação de serviços fornecimento de Coffee Break Tipo I para atender os participantes do Dia Nacional do Combate ao Trabalho Escravo realizado pela Coordenação de Políticas para Imigrantes e Promoção do Trabalho Decente."/>
    <m/>
    <m/>
    <s v="31/01/2025 00:00:00"/>
    <x v="5"/>
    <x v="0"/>
    <n v="3298"/>
    <n v="0"/>
    <n v="0"/>
    <n v="0"/>
    <n v="3298"/>
    <n v="274.83333333333331"/>
    <n v="3298"/>
    <n v="3298"/>
    <n v="0"/>
    <n v="3298"/>
    <n v="3298"/>
    <n v="3298"/>
    <s v="01-07-2025"/>
  </r>
  <r>
    <s v="01"/>
    <s v="Secretaria Municipal de Direitos Humanos e Cidadania"/>
    <s v="34"/>
    <s v="10"/>
    <n v="14"/>
    <n v="122"/>
    <n v="3024"/>
    <x v="0"/>
    <s v="33399000"/>
    <s v="41"/>
    <s v="Nota de Empenho de Serviços com fornecimento de materiais / peças"/>
    <n v="12"/>
    <s v="Pregão"/>
    <n v="2025"/>
    <n v="3985"/>
    <m/>
    <s v="6074202500011728"/>
    <s v="Contratação de empresa especializada na prestação de serviços de Coffee Break -  ATA DE REGISTRO DE PREÇOS Nº 008/SMDHC/2023.- Coordenação de Políticas para LGBTI."/>
    <m/>
    <m/>
    <s v="28/02/2025 00:00:00"/>
    <x v="5"/>
    <x v="0"/>
    <n v="3298"/>
    <n v="0"/>
    <n v="0"/>
    <n v="0"/>
    <n v="3298"/>
    <n v="274.83333333333331"/>
    <n v="3298"/>
    <n v="3298"/>
    <n v="0"/>
    <n v="3298"/>
    <n v="3298"/>
    <n v="3298"/>
    <s v="01-07-2025"/>
  </r>
  <r>
    <s v="01"/>
    <s v="Secretaria Municipal de Direitos Humanos e Cidadania"/>
    <s v="34"/>
    <s v="10"/>
    <n v="14"/>
    <n v="422"/>
    <n v="3013"/>
    <x v="5"/>
    <s v="33309000"/>
    <s v="29"/>
    <s v="Termo de Contrato para Aquisição de Bens de Consumo e/ou Permanente"/>
    <n v="12"/>
    <s v="Pregão"/>
    <n v="2025"/>
    <n v="3284"/>
    <s v="008/SMDHC/2025"/>
    <s v="6074202500010705"/>
    <s v=" Prestação de serviços, sob demanda, de confecção e impressão de material gráfico. - ATA DE REGISTRO DE PREÇOS Nº 001/SMDHC/2024."/>
    <s v="12/02/2025 00:00:00"/>
    <s v="14/02/2025 00:00:00"/>
    <s v="14/03/2025 00:00:00"/>
    <x v="21"/>
    <x v="0"/>
    <n v="3250"/>
    <n v="0"/>
    <n v="0"/>
    <n v="0"/>
    <n v="3250"/>
    <n v="3250"/>
    <n v="39000"/>
    <n v="3250"/>
    <n v="0"/>
    <n v="3250"/>
    <n v="3250"/>
    <n v="3250"/>
    <s v="01-07-2025"/>
  </r>
  <r>
    <s v="01"/>
    <s v="Secretaria Municipal de Direitos Humanos e Cidadania"/>
    <s v="34"/>
    <s v="10"/>
    <n v="8"/>
    <n v="605"/>
    <n v="3016"/>
    <x v="2"/>
    <s v="33309000"/>
    <s v="5"/>
    <s v="Nota de Empenho Fornecimento de Bens de Consumo e/ou Permanente"/>
    <n v="6"/>
    <s v="Dispensa de Licitação"/>
    <n v="2025"/>
    <n v="15506"/>
    <m/>
    <s v="6074202500035910"/>
    <s v="Aquisição, por Dispensa de Licitação, de material de construção."/>
    <m/>
    <m/>
    <s v="20/06/2025 00:00:00"/>
    <x v="5"/>
    <x v="0"/>
    <n v="3250"/>
    <n v="0"/>
    <n v="0"/>
    <n v="0"/>
    <n v="3250"/>
    <n v="270.83333333333331"/>
    <n v="3250"/>
    <n v="3250"/>
    <n v="0"/>
    <n v="3250"/>
    <n v="3250"/>
    <n v="0"/>
    <s v="01-07-2025"/>
  </r>
  <r>
    <s v="01"/>
    <s v="Secretaria Municipal de Direitos Humanos e Cidadania"/>
    <s v="34"/>
    <s v="10"/>
    <n v="14"/>
    <n v="122"/>
    <n v="3024"/>
    <x v="0"/>
    <s v="33309000"/>
    <s v="5"/>
    <s v="Nota de Empenho Fornecimento de Bens de Consumo e/ou Permanente"/>
    <n v="6"/>
    <s v="Dispensa de Licitação"/>
    <n v="2025"/>
    <n v="13479"/>
    <m/>
    <s v="6074202500026083"/>
    <s v="Aquisição de torneiras e demais acessórios ."/>
    <m/>
    <m/>
    <s v="08/06/2025 00:00:00"/>
    <x v="5"/>
    <x v="0"/>
    <n v="3099"/>
    <n v="0"/>
    <n v="0"/>
    <n v="0"/>
    <n v="3099"/>
    <n v="258.25"/>
    <n v="3099"/>
    <n v="3099"/>
    <n v="0"/>
    <n v="3099"/>
    <n v="3099"/>
    <n v="0"/>
    <s v="01-07-2025"/>
  </r>
  <r>
    <s v="01"/>
    <s v="Secretaria Municipal de Direitos Humanos e Cidadania"/>
    <s v="34"/>
    <s v="10"/>
    <n v="14"/>
    <n v="422"/>
    <n v="3013"/>
    <x v="20"/>
    <s v="33369000"/>
    <s v="2"/>
    <s v="Termo de Contrato - Serviços"/>
    <n v="7"/>
    <s v="Inexigibilidade"/>
    <n v="2025"/>
    <n v="11778"/>
    <s v="062/SMDHC/2025"/>
    <s v="6074202500031095"/>
    <s v="Contratação de Mestre de Cerimônia para V Conferência Municipal de Promoção de Igualdade Racial, com o tema “Igualdade e Democracia: Reparação e Justiça Racial”."/>
    <s v="25/04/2025 00:00:00"/>
    <s v="23/05/2025 00:00:00"/>
    <s v="26/04/2025 00:00:00"/>
    <x v="19"/>
    <x v="0"/>
    <n v="3000"/>
    <n v="0"/>
    <n v="0"/>
    <n v="0"/>
    <n v="3000"/>
    <n v="3000"/>
    <n v="36000"/>
    <n v="3000"/>
    <n v="0"/>
    <n v="3000"/>
    <n v="3000"/>
    <n v="0"/>
    <s v="01-07-2025"/>
  </r>
  <r>
    <s v="01"/>
    <s v="Secretaria Municipal de Direitos Humanos e Cidadania"/>
    <s v="34"/>
    <s v="10"/>
    <n v="14"/>
    <n v="422"/>
    <n v="3018"/>
    <x v="21"/>
    <s v="33369000"/>
    <s v="2"/>
    <s v="Termo de Contrato - Serviços"/>
    <n v="7"/>
    <s v="Inexigibilidade"/>
    <n v="2025"/>
    <n v="14024"/>
    <s v="150/SMDHC/2025"/>
    <s v="6074202500036020"/>
    <s v="Contratação de Mestre de Cerimônia para abertura da &quot;IV Conferência Municipal dos Direitos das Pessoas LGBTQIA+ de São Paulo&quot;"/>
    <s v="21/05/2025 00:00:00"/>
    <s v="30/05/2025 00:00:00"/>
    <s v="22/06/2025 00:00:00"/>
    <x v="21"/>
    <x v="0"/>
    <n v="3000"/>
    <n v="0"/>
    <n v="0"/>
    <n v="0"/>
    <n v="3000"/>
    <n v="3000"/>
    <n v="36000"/>
    <n v="3000"/>
    <n v="0"/>
    <n v="3000"/>
    <n v="3000"/>
    <n v="0"/>
    <s v="01-07-2025"/>
  </r>
  <r>
    <s v="01"/>
    <s v="Secretaria Municipal de Cultura"/>
    <s v="25"/>
    <s v="10"/>
    <n v="14"/>
    <n v="422"/>
    <n v="3018"/>
    <x v="6"/>
    <s v="33399000"/>
    <s v="2"/>
    <s v="Termo de Contrato - Serviços"/>
    <n v="7"/>
    <s v="Inexigibilidade"/>
    <n v="2025"/>
    <n v="16752"/>
    <m/>
    <s v="6025202500123740"/>
    <s v="CONTRATADO: HIAGO TRINDADE DE SOUSA CRUZ (CPF nº 407.175.238-61), conforme Contrato/Declaração de Exclusividade, por intermédio de HIAGO TRINDADE DE SOUSA CRUZ 40717523861, inscrita no CNPJ sob o nº 28.859.354/0001-05_x000a__x000a_ _x000a__x000a_OBJETO: Espetáculo Musical / Show - As Cheers - 24° Feira da Diversidade LGBT+_x000a__x000a_ _x000a__x000a_PERÍODO DE EXECUÇÃO DOS SERVIÇOS:19/06/2025 - totalizando 1 apresentação conforme cronograma:_x000a__x000a_ _x000a__x000a_LOCAL e HORÁRIO: Av. Mário de Andrade, 664 - 17:00h às 18:00h_x000a__x000a_VALOR GLOBAL: R$ 3.000,00 (três mil reais), a ser pago após a confirmação da execução dos serviços pela unidade requisitante._x000a__x000a_ _x000a__x000a_FORMA DE PAGAMENTO: O pagamento se dará no 30º (trigésimo) dia após a data de entrega de toda documentação correta relativa ao pagamento."/>
    <m/>
    <m/>
    <m/>
    <x v="5"/>
    <x v="1"/>
    <n v="3000"/>
    <n v="0"/>
    <n v="0"/>
    <n v="0"/>
    <n v="3000"/>
    <n v="250"/>
    <n v="3000"/>
    <n v="3000"/>
    <n v="0"/>
    <n v="3000"/>
    <n v="0"/>
    <n v="0"/>
    <s v="01-07-2025"/>
  </r>
  <r>
    <s v="01"/>
    <s v="Secretaria Municipal de Cultura"/>
    <s v="25"/>
    <s v="10"/>
    <n v="14"/>
    <n v="422"/>
    <n v="3018"/>
    <x v="6"/>
    <s v="33399000"/>
    <s v="2"/>
    <s v="Termo de Contrato - Serviços"/>
    <n v="7"/>
    <s v="Inexigibilidade"/>
    <n v="2025"/>
    <n v="16775"/>
    <m/>
    <s v="6025202500123855"/>
    <s v="CONTRATADO: MARCELO DELFINO DA SILVA (CPF nº 349.260.958-90), conforme Contrato/Declaração de Exclusividade, por intermédio de Marcelo Delfino da Silva 34926095890, inscrita no CNPJ sob o nº 45.065.820/0001-08_x000a__x000a_ _x000a__x000a_OBJETO: Espetáculo Musical / Show - Batucada do Nasce - Batucada do Nasce_x000a__x000a_ _x000a__x000a_PERÍODO DE EXECUÇÃO DOS SERVIÇOS:19/06/2025 - totalizando 1 apresentação conforme cronograma:_x000a__x000a_ _x000a__x000a_LOCAL e HORÁRIO: Av. Mário de Andrade, 664 - 14:00h às 15:00h"/>
    <m/>
    <m/>
    <m/>
    <x v="5"/>
    <x v="1"/>
    <n v="3000"/>
    <n v="0"/>
    <n v="0"/>
    <n v="0"/>
    <n v="3000"/>
    <n v="250"/>
    <n v="3000"/>
    <n v="3000"/>
    <n v="0"/>
    <n v="3000"/>
    <n v="0"/>
    <n v="0"/>
    <s v="01-07-2025"/>
  </r>
  <r>
    <s v="01"/>
    <s v="Secretaria Municipal de Direitos Humanos e Cidadania"/>
    <s v="34"/>
    <s v="10"/>
    <n v="14"/>
    <n v="422"/>
    <n v="3013"/>
    <x v="1"/>
    <s v="33399000"/>
    <s v="2"/>
    <s v="Termo de Contrato - Serviços"/>
    <n v="6"/>
    <s v="Dispensa de Licitação"/>
    <n v="2025"/>
    <n v="12366"/>
    <m/>
    <s v="6074202500021286"/>
    <s v="Contratação de empresa especializada na prestação de Serviços de Controle de Pragas Urbanas e Vetores para a Casa da Mulher Brasileira - CMB."/>
    <m/>
    <m/>
    <m/>
    <x v="5"/>
    <x v="1"/>
    <n v="2997"/>
    <n v="0"/>
    <n v="0"/>
    <n v="0"/>
    <n v="2997"/>
    <n v="249.75"/>
    <n v="2997"/>
    <n v="2997"/>
    <n v="0"/>
    <n v="2997"/>
    <n v="0"/>
    <n v="0"/>
    <s v="01-07-2025"/>
  </r>
  <r>
    <s v="01"/>
    <s v="Secretaria Municipal de Direitos Humanos e Cidadania"/>
    <s v="34"/>
    <s v="10"/>
    <n v="14"/>
    <n v="122"/>
    <n v="3024"/>
    <x v="0"/>
    <s v="33399000"/>
    <s v="41"/>
    <s v="Nota de Empenho de Serviços com fornecimento de materiais / peças"/>
    <n v="12"/>
    <s v="Pregão"/>
    <n v="2025"/>
    <n v="9426"/>
    <m/>
    <s v="6074202500022975"/>
    <s v="Contratação de empresa especializada na prestação de serviços de Coffee Break Tipo I para o evento de mulheres que será celebrado na Assembleia Legislativa do Estado de São Paulo - Alesp - ATA DE REGISTRO DE PREÇOS Nº 008/SMDHC/2023."/>
    <m/>
    <m/>
    <s v="29/03/2025 00:00:00"/>
    <x v="5"/>
    <x v="0"/>
    <n v="2638.4"/>
    <n v="0"/>
    <n v="0"/>
    <n v="0"/>
    <n v="2638.4"/>
    <n v="219.86666666666667"/>
    <n v="2638.4"/>
    <n v="2638.4"/>
    <n v="0"/>
    <n v="2638.4"/>
    <n v="2308.6"/>
    <n v="2308.6"/>
    <s v="01-07-2025"/>
  </r>
  <r>
    <s v="01"/>
    <s v="Secretaria Municipal de Direitos Humanos e Cidadania"/>
    <s v="34"/>
    <s v="10"/>
    <n v="8"/>
    <n v="605"/>
    <n v="3016"/>
    <x v="2"/>
    <s v="33309000"/>
    <s v="5"/>
    <s v="Nota de Empenho Fornecimento de Bens de Consumo e/ou Permanente"/>
    <n v="6"/>
    <s v="Dispensa de Licitação"/>
    <n v="2025"/>
    <n v="10030"/>
    <m/>
    <s v="6074202500020883"/>
    <s v="Aquisição de materiais de papelaria para a equipe disponível no CRESAN Butantã."/>
    <m/>
    <m/>
    <m/>
    <x v="5"/>
    <x v="1"/>
    <n v="2579.9"/>
    <n v="0"/>
    <n v="0"/>
    <n v="0"/>
    <n v="2579.9"/>
    <n v="214.99166666666667"/>
    <n v="2579.9"/>
    <n v="2579.9"/>
    <n v="0"/>
    <n v="2579.9"/>
    <n v="0"/>
    <n v="0"/>
    <s v="01-07-2025"/>
  </r>
  <r>
    <s v="01"/>
    <s v="Secretaria Municipal de Direitos Humanos e Cidadania"/>
    <s v="34"/>
    <s v="10"/>
    <n v="14"/>
    <n v="126"/>
    <n v="3011"/>
    <x v="16"/>
    <s v="33409000"/>
    <s v="2"/>
    <s v="Termo de Contrato - Serviços"/>
    <n v="6"/>
    <s v="Dispensa de Licitação"/>
    <n v="2025"/>
    <n v="10781"/>
    <s v=" 48/SMDHC/2025"/>
    <s v="6074202500006775"/>
    <s v="Contratação de duas licenças de uso do ChatGPT Plus pelo período de 12 meses, para atender às demandas da instituição em atividades de suporte, automação de tarefas, redação de conteúdo, análise de dados e desenvolvimento de soluções baseadas em inteligência artificial (IA), para atender o departamento de comunicação da Secretaria de Direitos Humanos e Cidadania - SMDHC."/>
    <s v="08/05/2025 00:00:00"/>
    <s v="16/05/2025 00:00:00"/>
    <s v="20/05/2026 00:00:00"/>
    <x v="5"/>
    <x v="0"/>
    <n v="2558"/>
    <n v="0"/>
    <n v="0"/>
    <n v="0"/>
    <n v="2558"/>
    <n v="213.16666666666666"/>
    <n v="2558"/>
    <n v="2558"/>
    <n v="0"/>
    <n v="2558"/>
    <n v="2558"/>
    <n v="2558"/>
    <s v="01-07-2025"/>
  </r>
  <r>
    <s v="01"/>
    <s v="Secretaria Municipal de Direitos Humanos e Cidadania"/>
    <s v="34"/>
    <s v="10"/>
    <n v="14"/>
    <n v="122"/>
    <n v="3024"/>
    <x v="0"/>
    <s v="33399000"/>
    <s v="2"/>
    <s v="Termo de Contrato - Serviços"/>
    <n v="12"/>
    <s v="Pregão"/>
    <n v="2025"/>
    <n v="13763"/>
    <m/>
    <s v="6074202500036194"/>
    <s v="Contratação de empresa especializada na prestação de serviços de fornecimento de kits lanches, para atender onde serão realizadas atividades nos equipamentos desta Secretaria Municipal de Direitos Humanos e Cidadania-SMDHC."/>
    <m/>
    <m/>
    <m/>
    <x v="5"/>
    <x v="1"/>
    <n v="2512"/>
    <n v="0"/>
    <n v="0"/>
    <n v="2512"/>
    <n v="0"/>
    <n v="0"/>
    <n v="0"/>
    <n v="2512"/>
    <n v="2512"/>
    <n v="0"/>
    <n v="0"/>
    <n v="0"/>
    <s v="01-07-2025"/>
  </r>
  <r>
    <s v="01"/>
    <s v="Secretaria Municipal de Direitos Humanos e Cidadania"/>
    <s v="34"/>
    <s v="10"/>
    <n v="14"/>
    <n v="122"/>
    <n v="3024"/>
    <x v="0"/>
    <s v="33399000"/>
    <s v="5"/>
    <s v="Nota de Empenho Fornecimento de Bens de Consumo e/ou Permanente"/>
    <n v="12"/>
    <s v="Pregão"/>
    <n v="2025"/>
    <n v="13993"/>
    <m/>
    <s v="6074202500034280"/>
    <s v=" Contratação de empresa especializada na prestação de serviços de Kit Lanche"/>
    <m/>
    <m/>
    <s v="30/05/2025 00:00:00"/>
    <x v="5"/>
    <x v="0"/>
    <n v="2512"/>
    <n v="0"/>
    <n v="0"/>
    <n v="0"/>
    <n v="2512"/>
    <n v="209.33333333333334"/>
    <n v="2512"/>
    <n v="2512"/>
    <n v="0"/>
    <n v="2512"/>
    <n v="2512"/>
    <n v="0"/>
    <s v="01-07-2025"/>
  </r>
  <r>
    <s v="01"/>
    <s v="Secretaria Municipal de Direitos Humanos e Cidadania"/>
    <s v="34"/>
    <s v="10"/>
    <n v="14"/>
    <n v="122"/>
    <n v="3024"/>
    <x v="0"/>
    <s v="33399000"/>
    <s v="5"/>
    <s v="Nota de Empenho Fornecimento de Bens de Consumo e/ou Permanente"/>
    <n v="12"/>
    <s v="Pregão"/>
    <n v="2025"/>
    <n v="14003"/>
    <m/>
    <s v="6074202500034744"/>
    <s v="Contratação de empresa especializada na prestação de serviços de Kit Lanche - ATA DE REGISTRO DE PREÇOS Nº 009/SMDHC/2023"/>
    <m/>
    <m/>
    <s v="29/05/2025 00:00:00"/>
    <x v="5"/>
    <x v="0"/>
    <n v="2512"/>
    <n v="0"/>
    <n v="0"/>
    <n v="0"/>
    <n v="2512"/>
    <n v="209.33333333333334"/>
    <n v="2512"/>
    <n v="2512"/>
    <n v="0"/>
    <n v="2512"/>
    <n v="2512"/>
    <n v="0"/>
    <s v="01-07-2025"/>
  </r>
  <r>
    <s v="01"/>
    <s v="Secretaria Municipal de Direitos Humanos e Cidadania"/>
    <s v="34"/>
    <s v="10"/>
    <n v="14"/>
    <n v="422"/>
    <n v="3013"/>
    <x v="3"/>
    <s v="33399000"/>
    <s v="30"/>
    <s v="Nota de Empenho para Fornecimento de Serviços"/>
    <n v="12"/>
    <s v="Pregão"/>
    <n v="2025"/>
    <n v="16852"/>
    <m/>
    <s v="6074202500043611"/>
    <s v="Fornecimento de 100 (cem) unidades de kits lanches, destinados ao atendimento da 129ª Reunião Ordinária do Comitê Intersetorial da Política Municipal para a População em Situação de Rua."/>
    <m/>
    <m/>
    <m/>
    <x v="5"/>
    <x v="1"/>
    <n v="2512"/>
    <n v="0"/>
    <n v="0"/>
    <n v="0"/>
    <n v="2512"/>
    <n v="209.33333333333334"/>
    <n v="2512"/>
    <n v="2512"/>
    <n v="0"/>
    <n v="2512"/>
    <n v="0"/>
    <n v="0"/>
    <s v="01-07-2025"/>
  </r>
  <r>
    <s v="01"/>
    <s v="Secretaria Municipal de Direitos Humanos e Cidadania"/>
    <s v="34"/>
    <s v="10"/>
    <n v="14"/>
    <n v="122"/>
    <n v="3024"/>
    <x v="0"/>
    <s v="33309000"/>
    <s v="30"/>
    <s v="Nota de Empenho para Fornecimento de Serviços"/>
    <n v="12"/>
    <s v="Pregão"/>
    <n v="2025"/>
    <n v="11287"/>
    <m/>
    <s v="6074202500029597"/>
    <s v="Contratação de empresa especializada na prestação de serviços de confecção de material gráfico - ATA DE REGISTRO DE PREÇOS Nº 002/SMDHC/2024"/>
    <m/>
    <m/>
    <m/>
    <x v="5"/>
    <x v="1"/>
    <n v="2475"/>
    <n v="0"/>
    <n v="0"/>
    <n v="0"/>
    <n v="2475"/>
    <n v="206.25"/>
    <n v="2475"/>
    <n v="2475"/>
    <n v="0"/>
    <n v="2475"/>
    <n v="0"/>
    <n v="0"/>
    <s v="01-07-2025"/>
  </r>
  <r>
    <s v="01"/>
    <s v="Secretaria Municipal de Direitos Humanos e Cidadania"/>
    <s v="34"/>
    <s v="10"/>
    <n v="14"/>
    <n v="122"/>
    <n v="3024"/>
    <x v="0"/>
    <s v="33399000"/>
    <s v="41"/>
    <s v="Nota de Empenho de Serviços com fornecimento de materiais / peças"/>
    <n v="12"/>
    <s v="Pregão"/>
    <n v="2025"/>
    <n v="16032"/>
    <m/>
    <s v="6074202500042399"/>
    <s v="Contratação de empresa especializada na prestação de serviços de Coffee Break para atender ao evento de &quot;Miss Brasil Diversidade 2025 (A VOZ DO SOCIAL)&quot; - ATA DE REGISTRO DE PREÇO nº 008/SMDHC/2023."/>
    <m/>
    <m/>
    <s v="17/06/2025 00:00:00"/>
    <x v="5"/>
    <x v="0"/>
    <n v="2308.6"/>
    <n v="0"/>
    <n v="0"/>
    <n v="0"/>
    <n v="2308.6"/>
    <n v="192.38333333333333"/>
    <n v="2308.6"/>
    <n v="2308.6"/>
    <n v="0"/>
    <n v="2308.6"/>
    <n v="2308.6"/>
    <n v="0"/>
    <s v="01-07-2025"/>
  </r>
  <r>
    <s v="01"/>
    <s v="Secretaria Municipal de Direitos Humanos e Cidadania"/>
    <s v="34"/>
    <s v="10"/>
    <n v="14"/>
    <n v="122"/>
    <n v="3024"/>
    <x v="0"/>
    <s v="33399000"/>
    <s v="54"/>
    <s v="Nota de Empenho - Pagamento de Anuidades / Taxas / Impostos"/>
    <n v="7"/>
    <s v="Inexigibilidade"/>
    <n v="2025"/>
    <n v="9194"/>
    <m/>
    <s v="6074202500020425"/>
    <s v="Contratação por inexigibilidade de licitação com a EMPRESA FOLHA DA MANHA S.A., inscrita sob CNPJ nº 60.579.703/0001-48, para o fornecimento de 01 (uma) assinatura anual do jornal &quot;Folha de S.Paulo.&quot;, impresso de segunda a Domingo + digital diário."/>
    <m/>
    <m/>
    <s v="08/04/2026 00:00:00"/>
    <x v="5"/>
    <x v="0"/>
    <n v="2210.9"/>
    <n v="0"/>
    <n v="0"/>
    <n v="0"/>
    <n v="2210.9"/>
    <n v="184.24166666666667"/>
    <n v="2210.9"/>
    <n v="2210.9"/>
    <n v="0"/>
    <n v="2210.9"/>
    <n v="2210.9"/>
    <n v="2210.9"/>
    <s v="01-07-2025"/>
  </r>
  <r>
    <s v="01"/>
    <s v="Secretaria Municipal de Direitos Humanos e Cidadania"/>
    <s v="34"/>
    <s v="10"/>
    <n v="14"/>
    <n v="122"/>
    <n v="3024"/>
    <x v="0"/>
    <s v="33309000"/>
    <s v="29"/>
    <s v="Termo de Contrato para Aquisição de Bens de Consumo e/ou Permanente"/>
    <n v="12"/>
    <s v="Pregão"/>
    <n v="2025"/>
    <n v="5047"/>
    <m/>
    <s v="6074202500006120"/>
    <s v="Contratação de empresa especializada para a prestação de serviços, sob demanda, de confecção e impressão de material gráfico - Ata de Registro de Preços nº 001/SMDHC/2024"/>
    <m/>
    <m/>
    <m/>
    <x v="5"/>
    <x v="1"/>
    <n v="2140"/>
    <n v="0"/>
    <n v="0"/>
    <n v="0"/>
    <n v="2140"/>
    <n v="178.33333333333334"/>
    <n v="2140"/>
    <n v="2140"/>
    <n v="0"/>
    <n v="2140"/>
    <n v="0"/>
    <n v="0"/>
    <s v="01-07-2025"/>
  </r>
  <r>
    <s v="01"/>
    <s v="Secretaria Municipal de Direitos Humanos e Cidadania"/>
    <s v="34"/>
    <s v="10"/>
    <n v="14"/>
    <n v="422"/>
    <n v="3013"/>
    <x v="1"/>
    <s v="33399000"/>
    <s v="2"/>
    <s v="Termo de Contrato - Serviços"/>
    <n v="12"/>
    <s v="Pregão"/>
    <n v="2023"/>
    <n v="6212"/>
    <s v="067//SMDHC/2023"/>
    <s v="6074202300013735"/>
    <s v=" Prestação de serviços de limpeza e desinfecção de reservatório predial às unidades da Prefeitura do Município de São Paulo - Grupo 1 (Centro)- ATA DE REGISTRO DE PREÇÕS nº 002/SEGES-COBES/2022."/>
    <s v="28/03/2023 00:00:00"/>
    <s v="30/03/2023 00:00:00"/>
    <s v="06/05/2026 00:00:00"/>
    <x v="23"/>
    <x v="0"/>
    <n v="2046.32"/>
    <n v="0"/>
    <n v="4492.6400000000003"/>
    <n v="0"/>
    <n v="6538.96"/>
    <n v="176.72864864864866"/>
    <n v="2120.7437837837838"/>
    <n v="6818.96"/>
    <n v="2206.3200000000002"/>
    <n v="4612.6400000000003"/>
    <n v="3229.48"/>
    <n v="2366.3200000000002"/>
    <s v="01-07-2025"/>
  </r>
  <r>
    <s v="01"/>
    <s v="Secretaria Municipal de Direitos Humanos e Cidadania"/>
    <s v="34"/>
    <s v="10"/>
    <n v="14"/>
    <n v="422"/>
    <n v="3023"/>
    <x v="7"/>
    <s v="33399000"/>
    <s v="41"/>
    <s v="Nota de Empenho de Serviços com fornecimento de materiais / peças"/>
    <n v="12"/>
    <s v="Pregão"/>
    <n v="2025"/>
    <n v="2482"/>
    <m/>
    <s v="6074202500002966"/>
    <s v="Contratação de empresa para prestação de serviços de Kit Lanche (LOTE 1 – item 1 e item 2) para atender a 122ª Reunião Ordinária do Comitê Intersetorial da Política Municipal para a População em Situação de Rua realizado pela SMDHC/CPDDH/CPPSR/ComitePopRua, pasta desta Secretaria Municipal de Direitos Humanos e Cidadania - ATA DE REGISTRO DE PREÇOS Nº 009/SMDHC/2023"/>
    <m/>
    <m/>
    <s v="06/02/2025 00:00:00"/>
    <x v="5"/>
    <x v="0"/>
    <n v="2009.6"/>
    <n v="0"/>
    <n v="0"/>
    <n v="0"/>
    <n v="2009.6"/>
    <n v="167.46666666666667"/>
    <n v="2009.6"/>
    <n v="2009.6"/>
    <n v="0"/>
    <n v="2009.6"/>
    <n v="2009.6"/>
    <n v="2009.6"/>
    <s v="01-07-2025"/>
  </r>
  <r>
    <s v="01"/>
    <s v="Secretaria Municipal de Direitos Humanos e Cidadania"/>
    <s v="34"/>
    <s v="10"/>
    <n v="14"/>
    <n v="422"/>
    <n v="3013"/>
    <x v="3"/>
    <s v="33399000"/>
    <s v="41"/>
    <s v="Nota de Empenho de Serviços com fornecimento de materiais / peças"/>
    <n v="12"/>
    <s v="Pregão"/>
    <n v="2025"/>
    <n v="4800"/>
    <m/>
    <s v="6074202500012732"/>
    <s v="Contratação para fornecimento de Kit Lanche para atender os participantes da 125ª Reunião Ordinária do Comitê Intersetorial da Política para População em Situação de Rua, organizado pelo Comitê Intersetoria de Política Municipal para a População em Situação de Rua, pasta da SMDHC."/>
    <m/>
    <m/>
    <s v="13/03/2025 00:00:00"/>
    <x v="5"/>
    <x v="0"/>
    <n v="2009.6"/>
    <n v="0"/>
    <n v="0"/>
    <n v="0"/>
    <n v="2009.6"/>
    <n v="167.46666666666667"/>
    <n v="2009.6"/>
    <n v="2009.6"/>
    <n v="0"/>
    <n v="2009.6"/>
    <n v="2009.6"/>
    <n v="2009.6"/>
    <s v="01-07-2025"/>
  </r>
  <r>
    <s v="01"/>
    <s v="Secretaria Municipal de Direitos Humanos e Cidadania"/>
    <s v="34"/>
    <s v="10"/>
    <n v="14"/>
    <n v="122"/>
    <n v="3024"/>
    <x v="0"/>
    <s v="33399000"/>
    <s v="41"/>
    <s v="Nota de Empenho de Serviços com fornecimento de materiais / peças"/>
    <n v="12"/>
    <s v="Pregão"/>
    <n v="2025"/>
    <n v="9198"/>
    <m/>
    <s v="6074202500020875"/>
    <s v="Contratação de empresa especializada na prestação de serviços de Kit Lanche para atender aos participantes da 126ª Reunião Ordinária do Comitê Intersetorial da Política para População em Situação de Rua - ATA DE REGISTRO DE PREÇOS Nº 009/SMDHC/2023"/>
    <m/>
    <m/>
    <s v="03/04/2025 00:00:00"/>
    <x v="5"/>
    <x v="0"/>
    <n v="2009.6"/>
    <n v="0"/>
    <n v="0"/>
    <n v="0"/>
    <n v="2009.6"/>
    <n v="167.46666666666667"/>
    <n v="2009.6"/>
    <n v="2009.6"/>
    <n v="0"/>
    <n v="2009.6"/>
    <n v="2009.6"/>
    <n v="2009.6"/>
    <s v="01-07-2025"/>
  </r>
  <r>
    <s v="01"/>
    <s v="Secretaria Municipal de Direitos Humanos e Cidadania"/>
    <s v="34"/>
    <s v="10"/>
    <n v="14"/>
    <n v="422"/>
    <n v="3013"/>
    <x v="3"/>
    <s v="33399000"/>
    <s v="41"/>
    <s v="Nota de Empenho de Serviços com fornecimento de materiais / peças"/>
    <n v="12"/>
    <s v="Pregão"/>
    <n v="2025"/>
    <n v="11161"/>
    <m/>
    <s v="6074202500027500"/>
    <s v="Contratação de empresa especializada na prestação de serviços de fornecimento de Kit Lanche, para atender os participantes da 127ª Reunião Ordinária do Comitê Intersetorial da Política para População em Situação de Rua - ATA DE REGISTRO DE PREÇOS Nº 009/SMDHC/2023."/>
    <m/>
    <m/>
    <s v="08/05/2025 00:00:00"/>
    <x v="5"/>
    <x v="0"/>
    <n v="2009.6"/>
    <n v="0"/>
    <n v="0"/>
    <n v="0"/>
    <n v="2009.6"/>
    <n v="167.46666666666667"/>
    <n v="2009.6"/>
    <n v="2009.6"/>
    <n v="0"/>
    <n v="2009.6"/>
    <n v="2009.6"/>
    <n v="2009.6"/>
    <s v="01-07-2025"/>
  </r>
  <r>
    <s v="01"/>
    <s v="Secretaria Municipal de Direitos Humanos e Cidadania"/>
    <s v="34"/>
    <s v="10"/>
    <n v="14"/>
    <n v="422"/>
    <n v="3013"/>
    <x v="3"/>
    <s v="33399000"/>
    <s v="5"/>
    <s v="Nota de Empenho Fornecimento de Bens de Consumo e/ou Permanente"/>
    <n v="12"/>
    <s v="Pregão"/>
    <n v="2025"/>
    <n v="14393"/>
    <m/>
    <s v="6074202500035139"/>
    <s v="Contratação de empresa especializada na prestação de serviços de Kit Lanche"/>
    <m/>
    <m/>
    <m/>
    <x v="5"/>
    <x v="1"/>
    <n v="2009.6"/>
    <n v="0"/>
    <n v="0"/>
    <n v="0"/>
    <n v="2009.6"/>
    <n v="167.46666666666667"/>
    <n v="2009.6"/>
    <n v="2009.6"/>
    <n v="0"/>
    <n v="2009.6"/>
    <n v="0"/>
    <n v="0"/>
    <s v="01-07-2025"/>
  </r>
  <r>
    <s v="01"/>
    <s v="Secretaria Municipal de Direitos Humanos e Cidadania"/>
    <s v="34"/>
    <s v="10"/>
    <n v="14"/>
    <n v="422"/>
    <n v="3013"/>
    <x v="20"/>
    <s v="33369000"/>
    <s v="2"/>
    <s v="Termo de Contrato - Serviços"/>
    <n v="7"/>
    <s v="Inexigibilidade"/>
    <n v="2025"/>
    <n v="11752"/>
    <s v="057/SMDHC/2025"/>
    <s v="6074202500030323"/>
    <s v="Apresentação &quot;TORÉ&quot;, para V Conferência Municipal de Promoção de Igualdade Racial, com o tema “Igualdade e Democracia: Reparação e Justiça Racial”."/>
    <s v="25/04/2025 00:00:00"/>
    <s v="27/05/2025 00:00:00"/>
    <s v="25/05/2025 00:00:00"/>
    <x v="21"/>
    <x v="0"/>
    <n v="2000"/>
    <n v="0"/>
    <n v="0"/>
    <n v="0"/>
    <n v="2000"/>
    <n v="2000"/>
    <n v="24000"/>
    <n v="2000"/>
    <n v="0"/>
    <n v="2000"/>
    <n v="2000"/>
    <n v="0"/>
    <s v="01-07-2025"/>
  </r>
  <r>
    <s v="01"/>
    <s v="Secretaria Municipal de Cultura"/>
    <s v="25"/>
    <s v="10"/>
    <n v="14"/>
    <n v="422"/>
    <n v="3018"/>
    <x v="6"/>
    <s v="33399000"/>
    <s v="2"/>
    <s v="Termo de Contrato - Serviços"/>
    <n v="7"/>
    <s v="Inexigibilidade"/>
    <n v="2025"/>
    <n v="16719"/>
    <m/>
    <s v="6025202500123260"/>
    <s v="CONTRATADO: LUARA DOS SANTOS FIDELIS (CPF nº 433.597.278-43), conforme Contrato/Declaração de Exclusividade, por intermédio de DOG MUSIC LAB PRODUCOES LTDA, inscrita no CNPJ sob o nº 35.646.556/0001-34_x000a__x000a_ _x000a__x000a_OBJETO: Espetáculo Musical/Show - Boombeat - 24° Feira da Diversidade LGBT+_x000a__x000a_ _x000a__x000a_PERÍODO DE EXECUÇÃO DOS SERVIÇOS:19/06/2025 - totalizando 1 apresentação conforme cronograma:_x000a__x000a_ _x000a__x000a_LOCAL e HORÁRIO: Av. Mário de Andrade, 664 - 17:40h às 18:40h_x000a__x000a_VALOR GLOBAL: R$ 2.000,00 (dois mil reais), a ser pago após a confirmação da execução dos serviços pela unidade requisitante._x000a__x000a_ _x000a__x000a_FORMA DE PAGAMENTO: O pagamento se dará no 30º (trigésimo) dia após a data de entrega de toda documentação correta relativa ao pagamento."/>
    <m/>
    <m/>
    <m/>
    <x v="5"/>
    <x v="1"/>
    <n v="2000"/>
    <n v="0"/>
    <n v="0"/>
    <n v="0"/>
    <n v="2000"/>
    <n v="166.66666666666666"/>
    <n v="2000"/>
    <n v="2000"/>
    <n v="0"/>
    <n v="2000"/>
    <n v="0"/>
    <n v="0"/>
    <s v="01-07-2025"/>
  </r>
  <r>
    <s v="01"/>
    <s v="Secretaria Municipal de Cultura"/>
    <s v="25"/>
    <s v="10"/>
    <n v="14"/>
    <n v="422"/>
    <n v="3018"/>
    <x v="6"/>
    <s v="33399000"/>
    <s v="2"/>
    <s v="Termo de Contrato - Serviços"/>
    <n v="7"/>
    <s v="Inexigibilidade"/>
    <n v="2025"/>
    <n v="16735"/>
    <m/>
    <s v="6025202500122115"/>
    <s v="CONTRATADO: Alexsander Vaz do Nascimento (CPF nº135.919.878-40), conforme Contrato/Declaração de Exclusividade, por intermédio de 28.168.057 Juliana Martins Santos, inscrita no CNPJ sob o nº 28.168.057/0001-13_x000a__x000a_ _x000a__x000a_OBJETO: Performance - Lysa Bombom - 24° Feira da Diversidade LGBT+_x000a__x000a_ _x000a__x000a_PERÍODO DE EXECUÇÃO DOS SERVIÇOS:19/06/2025 - totalizando 1 apresentação conforme cronograma:_x000a__x000a_ _x000a__x000a_LOCAL e HORÁRIO: Av. Mário de Andrade, 664 - 16:00h às 20:00h"/>
    <m/>
    <m/>
    <m/>
    <x v="5"/>
    <x v="1"/>
    <n v="2000"/>
    <n v="0"/>
    <n v="0"/>
    <n v="0"/>
    <n v="2000"/>
    <n v="166.66666666666666"/>
    <n v="2000"/>
    <n v="2000"/>
    <n v="0"/>
    <n v="2000"/>
    <n v="0"/>
    <n v="0"/>
    <s v="01-07-2025"/>
  </r>
  <r>
    <s v="01"/>
    <s v="Secretaria Municipal de Cultura"/>
    <s v="25"/>
    <s v="10"/>
    <n v="14"/>
    <n v="422"/>
    <n v="3018"/>
    <x v="6"/>
    <s v="33399000"/>
    <s v="2"/>
    <s v="Termo de Contrato - Serviços"/>
    <n v="7"/>
    <s v="Inexigibilidade"/>
    <n v="2025"/>
    <n v="16802"/>
    <m/>
    <s v="6025202500123634"/>
    <s v="19/06/2025 - Performance - Antara Gold - 24° Feira da Diversidade LGBT+"/>
    <m/>
    <m/>
    <m/>
    <x v="5"/>
    <x v="1"/>
    <n v="2000"/>
    <n v="0"/>
    <n v="0"/>
    <n v="0"/>
    <n v="2000"/>
    <n v="166.66666666666666"/>
    <n v="2000"/>
    <n v="2000"/>
    <n v="0"/>
    <n v="2000"/>
    <n v="0"/>
    <n v="0"/>
    <s v="01-07-2025"/>
  </r>
  <r>
    <s v="01"/>
    <s v="Secretaria Municipal de Direitos Humanos e Cidadania"/>
    <s v="34"/>
    <s v="10"/>
    <n v="14"/>
    <n v="422"/>
    <n v="3013"/>
    <x v="3"/>
    <s v="33399000"/>
    <s v="2"/>
    <s v="Termo de Contrato - Serviços"/>
    <n v="12"/>
    <s v="Pregão"/>
    <n v="2025"/>
    <n v="15700"/>
    <m/>
    <s v="6074202500041040"/>
    <s v="Contração de kits lanche para a 4ª Edição da Virada ODS 2025."/>
    <m/>
    <m/>
    <m/>
    <x v="5"/>
    <x v="1"/>
    <n v="1833.76"/>
    <n v="0"/>
    <n v="0"/>
    <n v="0"/>
    <n v="1833.76"/>
    <n v="152.81333333333333"/>
    <n v="1833.76"/>
    <n v="1833.76"/>
    <n v="0"/>
    <n v="1833.76"/>
    <n v="0"/>
    <n v="0"/>
    <s v="01-07-2025"/>
  </r>
  <r>
    <s v="01"/>
    <s v="Secretaria Municipal de Direitos Humanos e Cidadania"/>
    <s v="34"/>
    <s v="10"/>
    <n v="14"/>
    <n v="122"/>
    <n v="3024"/>
    <x v="0"/>
    <s v="33399000"/>
    <s v="41"/>
    <s v="Nota de Empenho de Serviços com fornecimento de materiais / peças"/>
    <n v="12"/>
    <s v="Pregão"/>
    <n v="2025"/>
    <n v="9540"/>
    <m/>
    <s v="6074202500023335"/>
    <s v="Contratação de empresa especializada na prestação de serviços de Coffee Break, Tipo II, para atender aos participantes do evento &quot;Café com a Coordenadora&quot; de Políticas para LGBTI+, juntamente de outras personalidades importantes da comunidade Trans e Travesti, em comemoração ao dia Internacional da Visibilidade Trans, realizado pela SMDHC/CPDDH/CPLGBTI - Coordenação de Políticas para LGBTI."/>
    <m/>
    <m/>
    <s v="01/04/2025 00:00:00"/>
    <x v="5"/>
    <x v="0"/>
    <n v="1800.4"/>
    <n v="0"/>
    <n v="0"/>
    <n v="0"/>
    <n v="1800.4"/>
    <n v="150.03333333333333"/>
    <n v="1800.4"/>
    <n v="1800.4"/>
    <n v="0"/>
    <n v="1800.4"/>
    <n v="1800.4"/>
    <n v="1800.4"/>
    <s v="01-07-2025"/>
  </r>
  <r>
    <s v="01"/>
    <s v="Secretaria Municipal de Direitos Humanos e Cidadania"/>
    <s v="34"/>
    <s v="10"/>
    <n v="14"/>
    <n v="122"/>
    <n v="3024"/>
    <x v="0"/>
    <s v="33399000"/>
    <s v="5"/>
    <s v="Nota de Empenho Fornecimento de Bens de Consumo e/ou Permanente"/>
    <n v="12"/>
    <s v="Pregão"/>
    <n v="2025"/>
    <n v="14695"/>
    <m/>
    <s v="6074202500036500"/>
    <s v="Contratação de empresa especializada na prestação de serviços de Kit Lanche - ATA DE REGISTRO DE PREÇOS Nº 009/SMDHC/2023"/>
    <m/>
    <m/>
    <s v="28/05/2025 00:00:00"/>
    <x v="5"/>
    <x v="0"/>
    <n v="1758.4"/>
    <n v="0"/>
    <n v="0"/>
    <n v="0"/>
    <n v="1758.4"/>
    <n v="146.53333333333333"/>
    <n v="1758.4"/>
    <n v="1758.4"/>
    <n v="0"/>
    <n v="1758.4"/>
    <n v="1758.4"/>
    <n v="0"/>
    <s v="01-07-2025"/>
  </r>
  <r>
    <s v="01"/>
    <s v="Secretaria Municipal de Direitos Humanos e Cidadania"/>
    <s v="34"/>
    <s v="10"/>
    <n v="14"/>
    <n v="422"/>
    <n v="3013"/>
    <x v="5"/>
    <s v="33399000"/>
    <s v="41"/>
    <s v="Nota de Empenho de Serviços com fornecimento de materiais / peças"/>
    <n v="12"/>
    <s v="Pregão"/>
    <n v="2025"/>
    <n v="10197"/>
    <m/>
    <s v="6074202500026199"/>
    <s v="Contratação de empresa especializada na prestação de serviços de Coffee Break, de Brunch e de Kit Lanche - ATA DE REGISTRO DE PREÇOS Nº 008/SMDHC/2023 - para atender aos participantes do evento, referente a atividade intitulada &quot;Integração Serviços de Assistência Social, Direitos Humanos e Órgãos do Sistema de Justiça - Termo de Cooperação Técnica nº 21/2023&quot;"/>
    <m/>
    <m/>
    <m/>
    <x v="5"/>
    <x v="1"/>
    <n v="1649"/>
    <n v="0"/>
    <n v="0"/>
    <n v="0"/>
    <n v="1649"/>
    <n v="137.41666666666666"/>
    <n v="1649"/>
    <n v="1649"/>
    <n v="0"/>
    <n v="1649"/>
    <n v="0"/>
    <n v="0"/>
    <s v="01-07-2025"/>
  </r>
  <r>
    <s v="01"/>
    <s v="Secretaria Municipal de Direitos Humanos e Cidadania"/>
    <s v="34"/>
    <s v="10"/>
    <n v="14"/>
    <n v="422"/>
    <n v="3013"/>
    <x v="20"/>
    <s v="33399000"/>
    <s v="41"/>
    <s v="Nota de Empenho de Serviços com fornecimento de materiais / peças"/>
    <n v="12"/>
    <s v="Pregão"/>
    <n v="2025"/>
    <n v="12657"/>
    <m/>
    <s v="6074202500032571"/>
    <s v="Contratação de empresa especializada no fornecimento de serviços de Kit Lanche - ATA DE REGISTRO DE PREÇOS Nº 009/SMDHC/2023"/>
    <m/>
    <m/>
    <s v="10/05/2025 00:00:00"/>
    <x v="5"/>
    <x v="0"/>
    <n v="1632.8"/>
    <n v="0"/>
    <n v="0"/>
    <n v="0"/>
    <n v="1632.8"/>
    <n v="136.06666666666666"/>
    <n v="1632.8"/>
    <n v="1632.8"/>
    <n v="0"/>
    <n v="1632.8"/>
    <n v="1632.8"/>
    <n v="1632.8"/>
    <s v="01-07-2025"/>
  </r>
  <r>
    <s v="01"/>
    <s v="Secretaria Municipal de Direitos Humanos e Cidadania"/>
    <s v="34"/>
    <s v="10"/>
    <n v="14"/>
    <n v="122"/>
    <n v="3024"/>
    <x v="0"/>
    <s v="33399000"/>
    <s v="2"/>
    <s v="Termo de Contrato - Serviços"/>
    <n v="12"/>
    <s v="Pregão"/>
    <n v="2022"/>
    <n v="16779"/>
    <s v="144/SMDHC/2022"/>
    <s v="6074202200038582"/>
    <s v="Prestação de serviços de limpeza e desinfecção de reservatório predial às unidades da Prefeitura do Município de São Paulo - Grupo 1 (Centro) - ATA DE REGISTRO DE PREÇOS N. 002/SEGES-COBES/2022."/>
    <s v="11/07/2022 00:00:00"/>
    <s v="13/07/2022 00:00:00"/>
    <s v="10/07/2026 00:00:00"/>
    <x v="17"/>
    <x v="0"/>
    <n v="1578.96"/>
    <n v="0"/>
    <n v="4736.88"/>
    <n v="0"/>
    <n v="6315.84"/>
    <n v="131.58000000000001"/>
    <n v="1578.96"/>
    <n v="6315.84"/>
    <n v="1578.96"/>
    <n v="4736.88"/>
    <n v="3947.4"/>
    <n v="3947.4"/>
    <s v="01-07-2025"/>
  </r>
  <r>
    <s v="01"/>
    <s v="Secretaria Municipal de Direitos Humanos e Cidadania"/>
    <s v="34"/>
    <s v="10"/>
    <n v="14"/>
    <n v="122"/>
    <n v="3024"/>
    <x v="0"/>
    <s v="33399000"/>
    <s v="54"/>
    <s v="Nota de Empenho - Pagamento de Anuidades / Taxas / Impostos"/>
    <n v="7"/>
    <s v="Inexigibilidade"/>
    <n v="2025"/>
    <n v="9945"/>
    <m/>
    <s v="6074202500020433"/>
    <s v="Assinatura do jornal Valor Econômico (digital+impresso) pelo período de 12 (doze) meses"/>
    <m/>
    <m/>
    <m/>
    <x v="5"/>
    <x v="1"/>
    <n v="1558.8"/>
    <n v="0"/>
    <n v="0"/>
    <n v="0"/>
    <n v="1558.8"/>
    <n v="129.9"/>
    <n v="1558.8000000000002"/>
    <n v="1558.8"/>
    <n v="0"/>
    <n v="1558.8"/>
    <n v="0"/>
    <n v="0"/>
    <s v="01-07-2025"/>
  </r>
  <r>
    <s v="01"/>
    <s v="Secretaria Municipal de Cultura"/>
    <s v="25"/>
    <s v="10"/>
    <n v="14"/>
    <n v="422"/>
    <n v="3018"/>
    <x v="6"/>
    <s v="33399000"/>
    <s v="2"/>
    <s v="Termo de Contrato - Serviços"/>
    <n v="7"/>
    <s v="Inexigibilidade"/>
    <n v="2025"/>
    <n v="16774"/>
    <m/>
    <s v="6025202500123626"/>
    <s v="CONTRATADO: TAMARA FERREIRA FONSECA (CPF nº 135.045.807-47), conforme Contrato/Declaração de Exclusividade, por intermédio de TAMARA F FONSECA - ANGEL SHOWS, inscrita no CNPJ sob o nº 21.467.775/0001-41_x000a__x000a_ _x000a__x000a_OBJETO: Espetáculo Musical / Show - Tamara Angel - 24 Feira da Diversidade LGBT+_x000a__x000a_ _x000a__x000a_PERÍODO DE EXECUÇÃO DOS SERVIÇOS:19/06/2025 - totalizando 1 apresentação conforme cronograma:"/>
    <m/>
    <m/>
    <m/>
    <x v="5"/>
    <x v="1"/>
    <n v="1500"/>
    <n v="0"/>
    <n v="0"/>
    <n v="0"/>
    <n v="1500"/>
    <n v="125"/>
    <n v="1500"/>
    <n v="1500"/>
    <n v="0"/>
    <n v="1500"/>
    <n v="0"/>
    <n v="0"/>
    <s v="01-07-2025"/>
  </r>
  <r>
    <s v="01"/>
    <s v="Secretaria Municipal de Cultura"/>
    <s v="25"/>
    <s v="10"/>
    <n v="14"/>
    <n v="422"/>
    <n v="3018"/>
    <x v="6"/>
    <s v="33399000"/>
    <s v="2"/>
    <s v="Termo de Contrato - Serviços"/>
    <n v="7"/>
    <s v="Inexigibilidade"/>
    <n v="2025"/>
    <n v="16858"/>
    <m/>
    <s v="6025202500124789"/>
    <s v="CONTRATADO: LETÍCIA GOMES DE ALMEIDA (CPF nº 292.578.418-63), conforme Contrato/Declaração de Exclusividade, por intermédio de 27.770.432 Letícia Gomes de Almeida, inscrita no CNPJ sob o nº 27.770.432/0001-38_x000a__x000a_ _x000a__x000a_OBJETO: Performance - Letícia Venturine - 24ª Feira da Diversidade do Orgulho LGBTQIA+ (19/06/2025)_x000a__x000a_ _x000a__x000a_PERÍODO DE EXECUÇÃO DOS SERVIÇOS: 19/06/2025 - totalizando 1 apresentação conforme cronograma:_x000a__x000a_LOCAL e HORÁRIO: Av. Mário de Andrade, 664 - 19:20h às 20:20h_x000a__x000a_VALOR GLOBAL: R$ 1.500,00 (hum mil e quinhentos reais), a ser pago após a confirmação da execução dos serviços pela unidade requisitante._x000a__x000a_FORMA DE PAGAMENTO: O pagamento se dará no 30º (trigésimo) dia após a data de entrega de toda documentação correta relativa ao pagamento."/>
    <m/>
    <m/>
    <m/>
    <x v="5"/>
    <x v="1"/>
    <n v="1500"/>
    <n v="0"/>
    <n v="0"/>
    <n v="0"/>
    <n v="1500"/>
    <n v="125"/>
    <n v="1500"/>
    <n v="1500"/>
    <n v="0"/>
    <n v="1500"/>
    <n v="0"/>
    <n v="0"/>
    <s v="01-07-2025"/>
  </r>
  <r>
    <s v="01"/>
    <s v="Secretaria Municipal de Direitos Humanos e Cidadania"/>
    <s v="34"/>
    <s v="10"/>
    <n v="14"/>
    <n v="422"/>
    <n v="3013"/>
    <x v="1"/>
    <s v="33309000"/>
    <s v="5"/>
    <s v="Nota de Empenho Fornecimento de Bens de Consumo e/ou Permanente"/>
    <n v="6"/>
    <s v="Dispensa de Licitação"/>
    <n v="2025"/>
    <n v="11667"/>
    <m/>
    <s v="6074202500021545"/>
    <s v="Aquisição de materiais de limpeza, para atendimento das demandas da CMB_x000a_"/>
    <m/>
    <m/>
    <s v="15/05/2025 00:00:00"/>
    <x v="5"/>
    <x v="0"/>
    <n v="1499.85"/>
    <n v="0"/>
    <n v="0"/>
    <n v="0"/>
    <n v="1499.85"/>
    <n v="124.9875"/>
    <n v="1499.85"/>
    <n v="1499.85"/>
    <n v="0"/>
    <n v="1499.85"/>
    <n v="1499.85"/>
    <n v="1499.85"/>
    <s v="01-07-2025"/>
  </r>
  <r>
    <s v="01"/>
    <s v="Secretaria Municipal de Direitos Humanos e Cidadania"/>
    <s v="34"/>
    <s v="10"/>
    <n v="14"/>
    <n v="122"/>
    <n v="3024"/>
    <x v="0"/>
    <s v="33399000"/>
    <s v="54"/>
    <s v="Nota de Empenho - Pagamento de Anuidades / Taxas / Impostos"/>
    <n v="7"/>
    <s v="Inexigibilidade"/>
    <n v="2025"/>
    <n v="9804"/>
    <m/>
    <s v="6074202500020557"/>
    <s v="Assinatura do jornal O Globo  impresso pelo período de 12 (doze) meses."/>
    <m/>
    <m/>
    <s v="05/04/2026 00:00:00"/>
    <x v="5"/>
    <x v="0"/>
    <n v="1454.4"/>
    <n v="0"/>
    <n v="0"/>
    <n v="0"/>
    <n v="1454.4"/>
    <n v="121.2"/>
    <n v="1454.4"/>
    <n v="1454.4"/>
    <n v="0"/>
    <n v="1454.4"/>
    <n v="1454.4"/>
    <n v="1454.4"/>
    <s v="01-07-2025"/>
  </r>
  <r>
    <s v="01"/>
    <s v="Secretaria Municipal de Direitos Humanos e Cidadania"/>
    <s v="34"/>
    <s v="10"/>
    <n v="14"/>
    <n v="122"/>
    <n v="3024"/>
    <x v="0"/>
    <s v="33309000"/>
    <s v="5"/>
    <s v="Nota de Empenho Fornecimento de Bens de Consumo e/ou Permanente"/>
    <n v="6"/>
    <s v="Dispensa de Licitação"/>
    <n v="2025"/>
    <n v="2475"/>
    <m/>
    <s v="6074202400101865"/>
    <s v="Aquisição de Materiais de Consumo (Ferramentas) para pequenos reparos e manutenção predial (LOTE 1),  para atender as necessidades da Secretaria Municipal de Direitos Humanos e Cidadania – SMDHC."/>
    <m/>
    <m/>
    <s v="14/02/2025 00:00:00"/>
    <x v="5"/>
    <x v="0"/>
    <n v="1451.28"/>
    <n v="0"/>
    <n v="0"/>
    <n v="0"/>
    <n v="1451.28"/>
    <n v="120.94"/>
    <n v="1451.28"/>
    <n v="1451.28"/>
    <n v="0"/>
    <n v="1451.28"/>
    <n v="1451.28"/>
    <n v="1451.28"/>
    <s v="01-07-2025"/>
  </r>
  <r>
    <s v="01"/>
    <s v="Secretaria Municipal de Direitos Humanos e Cidadania"/>
    <s v="34"/>
    <s v="10"/>
    <n v="14"/>
    <n v="122"/>
    <n v="3024"/>
    <x v="0"/>
    <s v="33399000"/>
    <s v="30"/>
    <s v="Nota de Empenho para Fornecimento de Serviços"/>
    <n v="6"/>
    <s v="Dispensa de Licitação"/>
    <n v="2025"/>
    <n v="13251"/>
    <m/>
    <s v="6074202500001250"/>
    <s v="Aquisição de 05 (cinco) Certificado DigitaL e-CNPJ, para atender as necessidades do FUMCAD, FMID, FAASP, FUMCAF e o gabinete da Secretaria Municipal de Direitos Humanos e Cidadania - SMDHC."/>
    <m/>
    <m/>
    <m/>
    <x v="5"/>
    <x v="1"/>
    <n v="1425.75"/>
    <n v="0"/>
    <n v="0"/>
    <n v="0"/>
    <n v="1425.75"/>
    <n v="118.8125"/>
    <n v="1425.75"/>
    <n v="1425.75"/>
    <n v="0"/>
    <n v="1425.75"/>
    <n v="0"/>
    <n v="0"/>
    <s v="01-07-2025"/>
  </r>
  <r>
    <s v="01"/>
    <s v="Secretaria Municipal de Direitos Humanos e Cidadania"/>
    <s v="34"/>
    <s v="10"/>
    <n v="14"/>
    <n v="122"/>
    <n v="3024"/>
    <x v="0"/>
    <s v="44529000"/>
    <s v="5"/>
    <s v="Nota de Empenho Fornecimento de Bens de Consumo e/ou Permanente"/>
    <n v="6"/>
    <s v="Dispensa de Licitação"/>
    <n v="2025"/>
    <n v="1370"/>
    <m/>
    <s v="6074202500001595"/>
    <s v="Aquisição de pedestais de aço para televisores."/>
    <m/>
    <m/>
    <s v="08/02/2025 00:00:00"/>
    <x v="5"/>
    <x v="0"/>
    <n v="1407"/>
    <n v="0"/>
    <n v="0"/>
    <n v="0"/>
    <n v="1407"/>
    <n v="117.25"/>
    <n v="1407"/>
    <n v="1407"/>
    <n v="0"/>
    <n v="1407"/>
    <n v="1407"/>
    <n v="1407"/>
    <s v="01-07-2025"/>
  </r>
  <r>
    <s v="01"/>
    <s v="Secretaria Municipal de Direitos Humanos e Cidadania"/>
    <s v="34"/>
    <s v="10"/>
    <n v="14"/>
    <n v="422"/>
    <n v="3013"/>
    <x v="20"/>
    <s v="33369000"/>
    <s v="2"/>
    <s v="Termo de Contrato - Serviços"/>
    <n v="7"/>
    <s v="Inexigibilidade"/>
    <n v="2025"/>
    <n v="15701"/>
    <s v="164/SMDHC/2025"/>
    <s v="6074202500042267"/>
    <s v="Contratação de palestrante para Virada ODS 2025: “Contação de Historias do povo Guarani Mbyá”."/>
    <s v="06/06/2025 00:00:00"/>
    <s v="10/06/2025 00:00:00"/>
    <s v="06/07/2025 00:00:00"/>
    <x v="21"/>
    <x v="0"/>
    <n v="1400"/>
    <n v="0"/>
    <n v="0"/>
    <n v="0"/>
    <n v="1400"/>
    <n v="1400"/>
    <n v="16800"/>
    <n v="1400"/>
    <n v="0"/>
    <n v="1400"/>
    <n v="1400"/>
    <n v="0"/>
    <s v="01-07-2025"/>
  </r>
  <r>
    <s v="01"/>
    <s v="Secretaria Municipal de Direitos Humanos e Cidadania"/>
    <s v="34"/>
    <s v="10"/>
    <n v="14"/>
    <n v="122"/>
    <n v="3024"/>
    <x v="0"/>
    <s v="33399000"/>
    <s v="54"/>
    <s v="Nota de Empenho - Pagamento de Anuidades / Taxas / Impostos"/>
    <n v="7"/>
    <s v="Inexigibilidade"/>
    <n v="2025"/>
    <n v="8569"/>
    <m/>
    <s v="6074202500020417"/>
    <s v="Assinatura do jornal O Estado de S.Paulo (digital+impresso) pelo período de 12 (doze) meses."/>
    <m/>
    <m/>
    <s v="08/04/2026 00:00:00"/>
    <x v="5"/>
    <x v="0"/>
    <n v="1303.1199999999999"/>
    <n v="0"/>
    <n v="0"/>
    <n v="0"/>
    <n v="1303.1199999999999"/>
    <n v="108.59333333333332"/>
    <n v="1303.1199999999999"/>
    <n v="1303.1199999999999"/>
    <n v="0"/>
    <n v="1303.1199999999999"/>
    <n v="1303.1199999999999"/>
    <n v="1303.1199999999999"/>
    <s v="01-07-2025"/>
  </r>
  <r>
    <s v="01"/>
    <s v="Secretaria Municipal de Direitos Humanos e Cidadania"/>
    <s v="34"/>
    <s v="10"/>
    <n v="14"/>
    <n v="122"/>
    <n v="3024"/>
    <x v="0"/>
    <s v="33399000"/>
    <s v="41"/>
    <s v="Nota de Empenho de Serviços com fornecimento de materiais / peças"/>
    <n v="6"/>
    <s v="Dispensa de Licitação"/>
    <n v="2024"/>
    <n v="38248"/>
    <m/>
    <s v="6074202400004070"/>
    <s v="Contratação referente aos reembolsos dos materiais que serão substituídos, quando da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
    <m/>
    <m/>
    <s v="14/03/2025 00:00:00"/>
    <x v="5"/>
    <x v="0"/>
    <n v="1177.42"/>
    <n v="0"/>
    <n v="0"/>
    <n v="0"/>
    <n v="1177.42"/>
    <n v="98.118333333333339"/>
    <n v="1177.42"/>
    <n v="1177.42"/>
    <n v="0"/>
    <n v="1177.42"/>
    <n v="1177.42"/>
    <n v="1177.42"/>
    <s v="01-07-2025"/>
  </r>
  <r>
    <s v="01"/>
    <s v="Secretaria Municipal de Direitos Humanos e Cidadania"/>
    <s v="34"/>
    <s v="10"/>
    <n v="8"/>
    <n v="605"/>
    <n v="3016"/>
    <x v="2"/>
    <s v="33309000"/>
    <s v="5"/>
    <s v="Nota de Empenho Fornecimento de Bens de Consumo e/ou Permanente"/>
    <n v="6"/>
    <s v="Dispensa de Licitação"/>
    <n v="2025"/>
    <n v="4142"/>
    <m/>
    <s v="6074202400110627"/>
    <s v="Aquisição na prestação de serviço, fornecimento e instalação de cortinas._x000a__x000a_"/>
    <m/>
    <m/>
    <s v="20/03/2025 00:00:00"/>
    <x v="5"/>
    <x v="0"/>
    <n v="1110"/>
    <n v="0"/>
    <n v="0"/>
    <n v="1110"/>
    <n v="0"/>
    <n v="0"/>
    <n v="0"/>
    <n v="1110"/>
    <n v="1110"/>
    <n v="0"/>
    <n v="0"/>
    <n v="0"/>
    <s v="01-07-2025"/>
  </r>
  <r>
    <s v="01"/>
    <s v="Secretaria Municipal de Direitos Humanos e Cidadania"/>
    <s v="34"/>
    <s v="10"/>
    <n v="14"/>
    <n v="122"/>
    <n v="3024"/>
    <x v="0"/>
    <s v="33309000"/>
    <s v="41"/>
    <s v="Nota de Empenho de Serviços com fornecimento de materiais / peças"/>
    <n v="6"/>
    <s v="Dispensa de Licitação"/>
    <n v="2025"/>
    <n v="4307"/>
    <m/>
    <s v="6074202500006457"/>
    <s v="Confecção e impressão de bottons personalizados  para  os conferencistas da Conferência Municipal de Promoção da Igualdade Racial de São Paulo – Edição 2025, atendendo as necessidades do Departamento de Participação Social, pasta desta Secretaria Municipal de Direitos Humanos e Cidadania-SMDHC"/>
    <m/>
    <m/>
    <s v="01/03/2025 00:00:00"/>
    <x v="5"/>
    <x v="0"/>
    <n v="1050"/>
    <n v="0"/>
    <n v="0"/>
    <n v="0"/>
    <n v="1050"/>
    <n v="87.5"/>
    <n v="1050"/>
    <n v="1050"/>
    <n v="0"/>
    <n v="1050"/>
    <n v="1050"/>
    <n v="1050"/>
    <s v="01-07-2025"/>
  </r>
  <r>
    <s v="01"/>
    <s v="Secretaria Municipal de Direitos Humanos e Cidadania"/>
    <s v="34"/>
    <s v="10"/>
    <n v="14"/>
    <n v="422"/>
    <n v="3013"/>
    <x v="20"/>
    <s v="33399000"/>
    <s v="30"/>
    <s v="Nota de Empenho para Fornecimento de Serviços"/>
    <n v="12"/>
    <s v="Pregão"/>
    <n v="2025"/>
    <n v="11265"/>
    <m/>
    <s v="6074202500029147"/>
    <s v="Fornecimento de kit-lanche para atender aos participantes do lançamento do filme &quot;Inferno de Pedra&quot;."/>
    <m/>
    <m/>
    <s v="23/04/2025 00:00:00"/>
    <x v="5"/>
    <x v="0"/>
    <n v="1004.8"/>
    <n v="0"/>
    <n v="0"/>
    <n v="0"/>
    <n v="1004.8"/>
    <n v="83.733333333333334"/>
    <n v="1004.8"/>
    <n v="1004.8"/>
    <n v="0"/>
    <n v="1004.8"/>
    <n v="1004.8"/>
    <n v="1004.8"/>
    <s v="01-07-2025"/>
  </r>
  <r>
    <s v="01"/>
    <s v="Secretaria Municipal de Cultura"/>
    <s v="25"/>
    <s v="10"/>
    <n v="14"/>
    <n v="422"/>
    <n v="3018"/>
    <x v="6"/>
    <s v="33399000"/>
    <s v="2"/>
    <s v="Termo de Contrato - Serviços"/>
    <n v="7"/>
    <s v="Inexigibilidade"/>
    <n v="2025"/>
    <n v="16747"/>
    <m/>
    <s v="6025202500123693"/>
    <s v="19/06/2025 - Av. Mário de Andrade, 664 - 17:00h às 18:00h - Performance - Aline Gior - 24° Feira da Diversidade LGBT+"/>
    <m/>
    <m/>
    <m/>
    <x v="5"/>
    <x v="1"/>
    <n v="1000"/>
    <n v="0"/>
    <n v="0"/>
    <n v="0"/>
    <n v="1000"/>
    <n v="83.333333333333329"/>
    <n v="1000"/>
    <n v="1000"/>
    <n v="0"/>
    <n v="1000"/>
    <n v="0"/>
    <n v="0"/>
    <s v="01-07-2025"/>
  </r>
  <r>
    <s v="01"/>
    <s v="Secretaria Municipal de Cultura"/>
    <s v="25"/>
    <s v="10"/>
    <n v="14"/>
    <n v="422"/>
    <n v="3018"/>
    <x v="6"/>
    <s v="33399000"/>
    <s v="2"/>
    <s v="Termo de Contrato - Serviços"/>
    <n v="7"/>
    <s v="Inexigibilidade"/>
    <n v="2025"/>
    <n v="16754"/>
    <m/>
    <s v="6025202500123545"/>
    <s v="19/06/2025 - Av. Mário de Andrade, 664 - 14:00h às 15:00h - Performance - Dafny Delano - 24° Feira da Diversidade LGBT+"/>
    <m/>
    <m/>
    <m/>
    <x v="5"/>
    <x v="1"/>
    <n v="1000"/>
    <n v="0"/>
    <n v="0"/>
    <n v="0"/>
    <n v="1000"/>
    <n v="83.333333333333329"/>
    <n v="1000"/>
    <n v="1000"/>
    <n v="0"/>
    <n v="1000"/>
    <n v="0"/>
    <n v="0"/>
    <s v="01-07-2025"/>
  </r>
  <r>
    <s v="01"/>
    <s v="Secretaria Municipal de Cultura"/>
    <s v="25"/>
    <s v="10"/>
    <n v="14"/>
    <n v="422"/>
    <n v="3018"/>
    <x v="6"/>
    <s v="33399000"/>
    <s v="2"/>
    <s v="Termo de Contrato - Serviços"/>
    <n v="7"/>
    <s v="Inexigibilidade"/>
    <n v="2025"/>
    <n v="16763"/>
    <m/>
    <s v="6025202500123391"/>
    <s v="CONTRATADO: GUSTAVO DOS SANTOS ANDRADE (CPF nº 461.845.438-57), conforme Contrato/Declaração de Exclusividade, por intermédio de 50.947.198 GUSTAVO DOS SANTOS ANDRADE, inscrita no CNPJ sob o nº 50.947.198/0001-93_x000a__x000a_ _x000a__x000a_OBJETO: Performance - Satanaja Vermillion - 24ª Feira da Diversidade – PARADA LGBT+ SP_x000a__x000a_ _x000a__x000a_PERÍODO DE EXECUÇÃO DOS SERVIÇOS:19/06/2025 - totalizando 1 apresentação conforme cronograma:_x000a__x000a_ _x000a__x000a_LOCAL e HORÁRIO: Av. Mário de Andrade, 664 - 15:00h às 16:00h_x000a__x000a_VALOR GLOBAL: R$ 1.000,00 (hum mil reais), a ser pago após a confirmação da execução dos serviços pela unidade requisitante._x000a__x000a_ _x000a__x000a_FORMA DE PAGAMENTO: O pagamento se dará no 30º (trigésimo) dia após a data de entrega de toda documentação correta relativa ao pagamento."/>
    <m/>
    <m/>
    <m/>
    <x v="5"/>
    <x v="1"/>
    <n v="1000"/>
    <n v="0"/>
    <n v="0"/>
    <n v="0"/>
    <n v="1000"/>
    <n v="83.333333333333329"/>
    <n v="1000"/>
    <n v="1000"/>
    <n v="0"/>
    <n v="1000"/>
    <n v="0"/>
    <n v="0"/>
    <s v="01-07-2025"/>
  </r>
  <r>
    <s v="01"/>
    <s v="Secretaria Municipal de Cultura"/>
    <s v="25"/>
    <s v="10"/>
    <n v="14"/>
    <n v="422"/>
    <n v="3018"/>
    <x v="6"/>
    <s v="33399000"/>
    <s v="2"/>
    <s v="Termo de Contrato - Serviços"/>
    <n v="7"/>
    <s v="Inexigibilidade"/>
    <n v="2025"/>
    <n v="16765"/>
    <m/>
    <s v="6025202500122719"/>
    <s v="19/06/2025 - Espetáculo Musical / Show - Gidaia - 24° Feira da Diversidade LGBT+"/>
    <m/>
    <m/>
    <m/>
    <x v="5"/>
    <x v="1"/>
    <n v="1000"/>
    <n v="0"/>
    <n v="0"/>
    <n v="0"/>
    <n v="1000"/>
    <n v="83.333333333333329"/>
    <n v="1000"/>
    <n v="1000"/>
    <n v="0"/>
    <n v="1000"/>
    <n v="0"/>
    <n v="0"/>
    <s v="01-07-2025"/>
  </r>
  <r>
    <s v="01"/>
    <s v="Secretaria Municipal de Cultura"/>
    <s v="25"/>
    <s v="10"/>
    <n v="14"/>
    <n v="422"/>
    <n v="3018"/>
    <x v="6"/>
    <s v="33399000"/>
    <s v="2"/>
    <s v="Termo de Contrato - Serviços"/>
    <n v="7"/>
    <s v="Inexigibilidade"/>
    <n v="2025"/>
    <n v="16855"/>
    <m/>
    <s v="6025202500123570"/>
    <s v="19/06/2025 - Espetáculo Musical / Show - Trajano - Pocket show &quot;Trança&quot; – Trajano (voz e violão)"/>
    <m/>
    <m/>
    <m/>
    <x v="5"/>
    <x v="1"/>
    <n v="1000"/>
    <n v="0"/>
    <n v="0"/>
    <n v="0"/>
    <n v="1000"/>
    <n v="83.333333333333329"/>
    <n v="1000"/>
    <n v="1000"/>
    <n v="0"/>
    <n v="1000"/>
    <n v="0"/>
    <n v="0"/>
    <s v="01-07-2025"/>
  </r>
  <r>
    <s v="01"/>
    <s v="Secretaria Municipal de Cultura"/>
    <s v="25"/>
    <s v="10"/>
    <n v="14"/>
    <n v="422"/>
    <n v="3018"/>
    <x v="6"/>
    <s v="33399000"/>
    <s v="2"/>
    <s v="Termo de Contrato - Serviços"/>
    <n v="7"/>
    <s v="Inexigibilidade"/>
    <n v="2025"/>
    <n v="16869"/>
    <m/>
    <s v="6025202500124878"/>
    <s v="CONTRATADO: MARILIA GABRIELA CORREA (CPF nº 379.121.658-94), conforme Contrato/Declaração de Exclusividade, por intermédio de 13.072.024 LAZARO OLIVEIRA DE SOUZA, inscrita no CNPJ sob o nº 13.072.024/0001-06_x000a__x000a_ _x000a__x000a_OBJETO: Espetáculo Musical/Show - Marília Corrêa - 24º Feira Cultural LGBT 2025_x000a__x000a_ _x000a__x000a_PERÍODO DE EXECUÇÃO DOS SERVIÇOS: 19/06/2025 - totalizando 1 apresentação conforme cronograma:_x000a__x000a_ _x000a__x000a_LOCAL e HORÁRIO: Av. Mário de Andrade, 664 - 16:50h às 17:50h_x000a__x000a_VALOR GLOBAL: R$ 1.000,00 (hum mil reais), a ser pago após a confirmação da execução dos serviços pela unidade requisitante._x000a__x000a_ _x000a__x000a_FORMA DE PAGAMENTO: O pagamento se dará no 30º (trigésimo) dia após a data de entrega de toda documentação correta relativa ao pagamento."/>
    <m/>
    <m/>
    <m/>
    <x v="5"/>
    <x v="1"/>
    <n v="1000"/>
    <n v="0"/>
    <n v="0"/>
    <n v="0"/>
    <n v="1000"/>
    <n v="83.333333333333329"/>
    <n v="1000"/>
    <n v="1000"/>
    <n v="0"/>
    <n v="1000"/>
    <n v="0"/>
    <n v="0"/>
    <s v="01-07-2025"/>
  </r>
  <r>
    <s v="01"/>
    <s v="Secretaria Municipal de Direitos Humanos e Cidadania"/>
    <s v="34"/>
    <s v="10"/>
    <n v="14"/>
    <n v="422"/>
    <n v="3013"/>
    <x v="20"/>
    <s v="33399000"/>
    <s v="41"/>
    <s v="Nota de Empenho de Serviços com fornecimento de materiais / peças"/>
    <n v="12"/>
    <s v="Pregão"/>
    <n v="2025"/>
    <n v="10996"/>
    <m/>
    <s v="6074202500028515"/>
    <s v="Contratação de empresa especializada na prestação de serviços de Coffee Break, - ATA DE REGISTRO DE PREÇOS Nº 008/SMDHC/2023._x000a__x000a_ "/>
    <m/>
    <m/>
    <s v="18/04/2025 00:00:00"/>
    <x v="5"/>
    <x v="0"/>
    <n v="989.4"/>
    <n v="0"/>
    <n v="0"/>
    <n v="0"/>
    <n v="989.4"/>
    <n v="82.45"/>
    <n v="989.40000000000009"/>
    <n v="989.4"/>
    <n v="0"/>
    <n v="989.4"/>
    <n v="989.4"/>
    <n v="989.4"/>
    <s v="01-07-2025"/>
  </r>
  <r>
    <s v="01"/>
    <s v="Secretaria Municipal de Direitos Humanos e Cidadania"/>
    <s v="34"/>
    <s v="10"/>
    <n v="14"/>
    <n v="122"/>
    <n v="3024"/>
    <x v="0"/>
    <s v="33309000"/>
    <s v="5"/>
    <s v="Nota de Empenho Fornecimento de Bens de Consumo e/ou Permanente"/>
    <n v="6"/>
    <s v="Dispensa de Licitação"/>
    <n v="2025"/>
    <n v="14805"/>
    <m/>
    <s v="6074202500033578"/>
    <s v="Aquisição, por Dispensa de Licitação, de itens de copa. "/>
    <m/>
    <m/>
    <m/>
    <x v="5"/>
    <x v="1"/>
    <n v="930"/>
    <n v="0"/>
    <n v="0"/>
    <n v="0"/>
    <n v="930"/>
    <n v="77.5"/>
    <n v="930"/>
    <n v="930"/>
    <n v="0"/>
    <n v="930"/>
    <n v="0"/>
    <n v="0"/>
    <s v="01-07-2025"/>
  </r>
  <r>
    <s v="01"/>
    <s v="Secretaria Municipal de Direitos Humanos e Cidadania"/>
    <s v="34"/>
    <s v="10"/>
    <n v="14"/>
    <n v="122"/>
    <n v="3024"/>
    <x v="0"/>
    <s v="44529000"/>
    <s v="5"/>
    <s v="Nota de Empenho Fornecimento de Bens de Consumo e/ou Permanente"/>
    <n v="6"/>
    <s v="Dispensa de Licitação"/>
    <n v="2025"/>
    <n v="11543"/>
    <m/>
    <s v="6074202500027535"/>
    <s v="Aquisição por Dispensa de Licitação de mesa de canto om vistas ao atendimento das necessidades do Gabinete da Secretaria Municipal de Direitos Humanos e Cidadania – SMDHC."/>
    <m/>
    <m/>
    <s v="10/05/2025 00:00:00"/>
    <x v="5"/>
    <x v="0"/>
    <n v="808"/>
    <n v="0"/>
    <n v="0"/>
    <n v="0"/>
    <n v="808"/>
    <n v="67.333333333333329"/>
    <n v="808"/>
    <n v="808"/>
    <n v="0"/>
    <n v="808"/>
    <n v="808"/>
    <n v="808"/>
    <s v="01-07-2025"/>
  </r>
  <r>
    <s v="01"/>
    <s v="Secretaria Municipal de Cultura"/>
    <s v="25"/>
    <s v="10"/>
    <n v="14"/>
    <n v="422"/>
    <n v="3018"/>
    <x v="6"/>
    <s v="33399000"/>
    <s v="2"/>
    <s v="Termo de Contrato - Serviços"/>
    <n v="7"/>
    <s v="Inexigibilidade"/>
    <n v="2025"/>
    <n v="16738"/>
    <m/>
    <s v="6025202500122867"/>
    <s v="CONTRATADO: GIULIA LAGES BODERONE (CPF nº 162.485.517-23), conforme Contrato/Declaração de Exclusividade, por intermédio de 53.105.869 GIULIA LAGES BODERONE, inscrita no CNPJ sob o nº 53.105.869/0001-67_x000a__x000a_ _x000a__x000a_OBJETO: Espetáculo Musical / Show - Giulia Boderone - 24° Feira da Diversidade LGBT+_x000a__x000a_ _x000a__x000a_PERÍODO DE EXECUÇÃO DOS SERVIÇOS:19/06/2025 - totalizando 1 apresentação conforme cronograma:_x000a__x000a_ "/>
    <m/>
    <m/>
    <m/>
    <x v="5"/>
    <x v="1"/>
    <n v="800"/>
    <n v="0"/>
    <n v="0"/>
    <n v="0"/>
    <n v="800"/>
    <n v="66.666666666666671"/>
    <n v="800"/>
    <n v="800"/>
    <n v="0"/>
    <n v="800"/>
    <n v="0"/>
    <n v="0"/>
    <s v="01-07-2025"/>
  </r>
  <r>
    <s v="01"/>
    <s v="Secretaria Municipal de Cultura"/>
    <s v="25"/>
    <s v="10"/>
    <n v="14"/>
    <n v="422"/>
    <n v="3018"/>
    <x v="6"/>
    <s v="33399000"/>
    <s v="2"/>
    <s v="Termo de Contrato - Serviços"/>
    <n v="7"/>
    <s v="Inexigibilidade"/>
    <n v="2025"/>
    <n v="16768"/>
    <m/>
    <s v="6025202500123367"/>
    <s v="19/06/2025 - Espetáculo Musical/Show - Beto Marden e Banda - Será um Grito Musical"/>
    <m/>
    <m/>
    <m/>
    <x v="5"/>
    <x v="1"/>
    <n v="800"/>
    <n v="0"/>
    <n v="0"/>
    <n v="0"/>
    <n v="800"/>
    <n v="66.666666666666671"/>
    <n v="800"/>
    <n v="800"/>
    <n v="0"/>
    <n v="800"/>
    <n v="0"/>
    <n v="0"/>
    <s v="01-07-2025"/>
  </r>
  <r>
    <s v="01"/>
    <s v="Secretaria Municipal de Cultura"/>
    <s v="25"/>
    <s v="10"/>
    <n v="14"/>
    <n v="422"/>
    <n v="3018"/>
    <x v="6"/>
    <s v="33399000"/>
    <s v="2"/>
    <s v="Termo de Contrato - Serviços"/>
    <n v="7"/>
    <s v="Inexigibilidade"/>
    <n v="2025"/>
    <n v="16851"/>
    <m/>
    <s v="6025202500123898"/>
    <s v="19/06/2025  - Espetáculo Musical / Show - Worta Ziagio - 24° Feira da Diversidade LGBT+"/>
    <m/>
    <m/>
    <m/>
    <x v="5"/>
    <x v="1"/>
    <n v="800"/>
    <n v="0"/>
    <n v="0"/>
    <n v="0"/>
    <n v="800"/>
    <n v="66.666666666666671"/>
    <n v="800"/>
    <n v="800"/>
    <n v="0"/>
    <n v="800"/>
    <n v="0"/>
    <n v="0"/>
    <s v="01-07-2025"/>
  </r>
  <r>
    <s v="01"/>
    <s v="Secretaria Municipal de Direitos Humanos e Cidadania"/>
    <s v="34"/>
    <s v="10"/>
    <n v="14"/>
    <n v="422"/>
    <n v="3013"/>
    <x v="20"/>
    <s v="33399000"/>
    <s v="41"/>
    <s v="Nota de Empenho de Serviços com fornecimento de materiais / peças"/>
    <n v="12"/>
    <s v="Pregão"/>
    <n v="2025"/>
    <n v="942"/>
    <s v="009/SMDHC/2023"/>
    <s v="6074202500005183"/>
    <s v="Contratação de empresa especializada na prestação de serviços de Coffee Break, de Brunch e de Kit Lanche - ATA DE REGISTRO DE PREÇOS Nº 009/SMDHC/2023 (LOTE 1 – item 1 e item 2 )– Processo nº 6074.2024/0003669-9"/>
    <s v="24/01/2025 00:00:00"/>
    <m/>
    <s v="26/01/2025 00:00:00"/>
    <x v="19"/>
    <x v="0"/>
    <n v="753.6"/>
    <n v="0"/>
    <n v="0"/>
    <n v="0"/>
    <n v="753.6"/>
    <n v="753.6"/>
    <n v="9043.2000000000007"/>
    <n v="753.6"/>
    <n v="0"/>
    <n v="753.6"/>
    <n v="753.6"/>
    <n v="753.6"/>
    <s v="01-07-2025"/>
  </r>
  <r>
    <s v="01"/>
    <s v="Secretaria Municipal de Direitos Humanos e Cidadania"/>
    <s v="34"/>
    <s v="10"/>
    <n v="14"/>
    <n v="422"/>
    <n v="3013"/>
    <x v="20"/>
    <s v="33399000"/>
    <s v="41"/>
    <s v="Nota de Empenho de Serviços com fornecimento de materiais / peças"/>
    <n v="12"/>
    <s v="Pregão"/>
    <n v="2025"/>
    <n v="7172"/>
    <s v="009/SMDHC/2023"/>
    <s v="6074202500016592"/>
    <s v="Contratação de empresa especializada na prestação de serviços de Kit Lanche, para atender os_x000a_participantes da Reunião Extraordinária que acontecerá dia 06 de março na Secretaria Municipal de Direitos Humanos e Cidadania (SMDHC), evento esse realizado pela Coordenação dos Povos Indígenas."/>
    <s v="06/03/2025 00:00:00"/>
    <m/>
    <s v="07/03/2025 00:00:00"/>
    <x v="19"/>
    <x v="0"/>
    <n v="753.6"/>
    <n v="0"/>
    <n v="0"/>
    <n v="0"/>
    <n v="753.6"/>
    <n v="753.6"/>
    <n v="9043.2000000000007"/>
    <n v="753.6"/>
    <n v="0"/>
    <n v="753.6"/>
    <n v="753.6"/>
    <n v="753.6"/>
    <s v="01-07-2025"/>
  </r>
  <r>
    <s v="01"/>
    <s v="Secretaria Municipal de Direitos Humanos e Cidadania"/>
    <s v="34"/>
    <s v="10"/>
    <n v="14"/>
    <n v="122"/>
    <n v="3024"/>
    <x v="0"/>
    <s v="33309000"/>
    <s v="5"/>
    <s v="Nota de Empenho Fornecimento de Bens de Consumo e/ou Permanente"/>
    <n v="12"/>
    <s v="Pregão"/>
    <n v="2025"/>
    <n v="7978"/>
    <m/>
    <s v="6074202500015111"/>
    <s v="Aquisição de 400 (quatrocentos) unidades de Bloco de Notas com Capa Blocado e 350 (trezentos e cinquenta ) unidades de Folder / 3 Dobra / A4 / horizontal - para o evento Seminário de Comunicação Não Violenta e Justiça Restaurativa."/>
    <m/>
    <m/>
    <s v="24/03/2025 00:00:00"/>
    <x v="5"/>
    <x v="0"/>
    <n v="732.5"/>
    <n v="0"/>
    <n v="0"/>
    <n v="0"/>
    <n v="732.5"/>
    <n v="61.041666666666664"/>
    <n v="732.5"/>
    <n v="732.5"/>
    <n v="0"/>
    <n v="732.5"/>
    <n v="732.5"/>
    <n v="732.5"/>
    <s v="01-07-2025"/>
  </r>
  <r>
    <s v="01"/>
    <s v="Secretaria Municipal de Direitos Humanos e Cidadania"/>
    <s v="34"/>
    <s v="10"/>
    <n v="14"/>
    <n v="122"/>
    <n v="3024"/>
    <x v="0"/>
    <s v="33309000"/>
    <s v="29"/>
    <s v="Termo de Contrato para Aquisição de Bens de Consumo e/ou Permanente"/>
    <n v="12"/>
    <s v="Pregão"/>
    <n v="2025"/>
    <n v="3121"/>
    <m/>
    <s v="6074202500006120"/>
    <s v="Registro de Preços para a prestação de serviços, sob demanda, de confecção e impressão de material gráfico. - ATA DE REGISTRO DE PREÇOS Nº 001/SMDHC/2024._x000a__x000a_ "/>
    <m/>
    <m/>
    <m/>
    <x v="5"/>
    <x v="1"/>
    <n v="680"/>
    <n v="0"/>
    <n v="0"/>
    <n v="0"/>
    <n v="680"/>
    <n v="56.666666666666664"/>
    <n v="680"/>
    <n v="680"/>
    <n v="0"/>
    <n v="680"/>
    <n v="0"/>
    <n v="0"/>
    <s v="01-07-2025"/>
  </r>
  <r>
    <s v="01"/>
    <s v="Secretaria Municipal de Direitos Humanos e Cidadania"/>
    <s v="34"/>
    <s v="10"/>
    <n v="14"/>
    <n v="122"/>
    <n v="3024"/>
    <x v="0"/>
    <s v="33309000"/>
    <s v="41"/>
    <s v="Nota de Empenho de Serviços com fornecimento de materiais / peças"/>
    <n v="6"/>
    <s v="Dispensa de Licitação"/>
    <n v="2025"/>
    <n v="6371"/>
    <m/>
    <s v="6074202500006457"/>
    <s v="Confecção e impressão de bottons personalizados  para  os conferencistas da Conferência Municipal de Promoção da Igualdade Racial de São Paulo – Edição 2025, atendendo as necessidades do Departamento de Participação Social, pasta desta Secretaria Municipal de Direitos Humanos e Cidadania-SMDHC"/>
    <m/>
    <m/>
    <s v="06/04/2025 00:00:00"/>
    <x v="5"/>
    <x v="0"/>
    <n v="640"/>
    <n v="0"/>
    <n v="0"/>
    <n v="0"/>
    <n v="640"/>
    <n v="53.333333333333336"/>
    <n v="640"/>
    <n v="640"/>
    <n v="0"/>
    <n v="640"/>
    <n v="640"/>
    <n v="640"/>
    <s v="01-07-2025"/>
  </r>
  <r>
    <s v="01"/>
    <s v="Secretaria Municipal de Direitos Humanos e Cidadania"/>
    <s v="34"/>
    <s v="10"/>
    <n v="14"/>
    <n v="422"/>
    <n v="3013"/>
    <x v="20"/>
    <s v="33399000"/>
    <s v="41"/>
    <s v="Nota de Empenho de Serviços com fornecimento de materiais / peças"/>
    <n v="12"/>
    <s v="Pregão"/>
    <n v="2025"/>
    <n v="4772"/>
    <m/>
    <s v="6074202500011051"/>
    <s v="Contratação para fornecimento de Kit Lanche, para atender os participantes da reunião ordinária do COMPISP (Conselho Municipal dos Povos Indígenas do Município de São Paulo), realizada pela Coordenação dos Povos Indígenas, pasta desta Secretaria Municipal de Direitos Humanos e Cidadania."/>
    <m/>
    <m/>
    <s v="26/02/2025 00:00:00"/>
    <x v="5"/>
    <x v="0"/>
    <n v="628"/>
    <n v="0"/>
    <n v="0"/>
    <n v="0"/>
    <n v="628"/>
    <n v="52.333333333333336"/>
    <n v="628"/>
    <n v="628"/>
    <n v="0"/>
    <n v="628"/>
    <n v="628"/>
    <n v="628"/>
    <s v="01-07-2025"/>
  </r>
  <r>
    <s v="01"/>
    <s v="Secretaria Municipal de Direitos Humanos e Cidadania"/>
    <s v="34"/>
    <s v="10"/>
    <n v="14"/>
    <n v="422"/>
    <n v="3013"/>
    <x v="20"/>
    <s v="33399000"/>
    <s v="41"/>
    <s v="Nota de Empenho de Serviços com fornecimento de materiais / peças"/>
    <n v="12"/>
    <s v="Pregão"/>
    <n v="2025"/>
    <n v="9197"/>
    <m/>
    <s v="6074202500021316"/>
    <s v="Contratação de empresa especializada na prestação de serviços de Kit Lanche para atender aos participantes da Reunião Extraordinária da SMDHC/CPDDH/COPIND."/>
    <m/>
    <m/>
    <s v="26/03/2025 00:00:00"/>
    <x v="5"/>
    <x v="0"/>
    <n v="628"/>
    <n v="0"/>
    <n v="0"/>
    <n v="0"/>
    <n v="628"/>
    <n v="52.333333333333336"/>
    <n v="628"/>
    <n v="628"/>
    <n v="0"/>
    <n v="628"/>
    <n v="628"/>
    <n v="628"/>
    <s v="01-07-2025"/>
  </r>
  <r>
    <s v="01"/>
    <s v="Secretaria Municipal de Direitos Humanos e Cidadania"/>
    <s v="34"/>
    <s v="10"/>
    <n v="14"/>
    <n v="122"/>
    <n v="3024"/>
    <x v="0"/>
    <s v="33309000"/>
    <s v="41"/>
    <s v="Nota de Empenho de Serviços com fornecimento de materiais / peças"/>
    <n v="12"/>
    <s v="Pregão"/>
    <n v="2025"/>
    <n v="13009"/>
    <m/>
    <s v="6074202500022010"/>
    <s v="Contratação de empresa especializada na prestação de serviços de confecção de material gráfico "/>
    <m/>
    <m/>
    <m/>
    <x v="5"/>
    <x v="1"/>
    <n v="600"/>
    <n v="0"/>
    <n v="0"/>
    <n v="0"/>
    <n v="600"/>
    <n v="50"/>
    <n v="600"/>
    <n v="600"/>
    <n v="0"/>
    <n v="600"/>
    <n v="0"/>
    <n v="0"/>
    <s v="01-07-2025"/>
  </r>
  <r>
    <s v="01"/>
    <s v="Secretaria Municipal de Direitos Humanos e Cidadania"/>
    <s v="34"/>
    <s v="10"/>
    <n v="14"/>
    <n v="122"/>
    <n v="3024"/>
    <x v="0"/>
    <s v="33309000"/>
    <s v="41"/>
    <s v="Nota de Empenho de Serviços com fornecimento de materiais / peças"/>
    <n v="6"/>
    <s v="Dispensa de Licitação"/>
    <n v="2025"/>
    <n v="7626"/>
    <m/>
    <s v="6074202500013690"/>
    <s v="Contratação para aquisição de vaso sanitário para caixa acoplada com vistas ao atendimento das necessidades do Edifício São Joaquim, sede da Secretaria Municipal de Direitos Humanos e Cidadania – SMDHC - AVISO DE DISPENSA ELETRÔNICA Nº 90030/2025."/>
    <m/>
    <m/>
    <m/>
    <x v="5"/>
    <x v="1"/>
    <n v="583.79999999999995"/>
    <n v="0"/>
    <n v="0"/>
    <n v="583.79999999999995"/>
    <n v="0"/>
    <n v="0"/>
    <n v="0"/>
    <n v="583.79999999999995"/>
    <n v="583.79999999999995"/>
    <n v="0"/>
    <n v="0"/>
    <n v="0"/>
    <s v="01-07-2025"/>
  </r>
  <r>
    <s v="01"/>
    <s v="Secretaria Municipal de Direitos Humanos e Cidadania"/>
    <s v="34"/>
    <s v="10"/>
    <n v="14"/>
    <n v="122"/>
    <n v="3024"/>
    <x v="0"/>
    <s v="33309000"/>
    <s v="5"/>
    <s v="Nota de Empenho Fornecimento de Bens de Consumo e/ou Permanente"/>
    <n v="6"/>
    <s v="Dispensa de Licitação"/>
    <n v="2025"/>
    <n v="7665"/>
    <m/>
    <s v="6074202500013690"/>
    <s v="Contratação para aquisição de vaso sanitário para caixa acoplada com vistas ao atendimento das_x000a_necessidades do Edifício São Joaquim, sede da Secretaria Municipal de Direitos Humanos e Cidadania –_x000a_SMDHC - AVISO DE DISPENSA ELETRÔNICA Nº 90030/2025."/>
    <m/>
    <m/>
    <s v="23/03/2025 00:00:00"/>
    <x v="5"/>
    <x v="0"/>
    <n v="583.79999999999995"/>
    <n v="0"/>
    <n v="0"/>
    <n v="0"/>
    <n v="583.79999999999995"/>
    <n v="48.65"/>
    <n v="583.79999999999995"/>
    <n v="583.79999999999995"/>
    <n v="0"/>
    <n v="583.79999999999995"/>
    <n v="583.79999999999995"/>
    <n v="583.79999999999995"/>
    <s v="01-07-2025"/>
  </r>
  <r>
    <s v="01"/>
    <s v="Secretaria Municipal de Direitos Humanos e Cidadania"/>
    <s v="34"/>
    <s v="10"/>
    <n v="14"/>
    <n v="122"/>
    <n v="3024"/>
    <x v="0"/>
    <s v="33309000"/>
    <s v="41"/>
    <s v="Nota de Empenho de Serviços com fornecimento de materiais / peças"/>
    <n v="6"/>
    <s v="Dispensa de Licitação"/>
    <n v="2025"/>
    <n v="2773"/>
    <m/>
    <s v="6074202500004560"/>
    <s v="Aquisição de Nominata (sem dados) e com (RESERVADO) com vistas ao atendimento da Secretaria Municipal de Direitos Humanos e Cidadania – SMDHC – EDITAL 90013/2025"/>
    <s v="03/02/2025 00:00:00"/>
    <m/>
    <s v="16/02/2025 00:00:00"/>
    <x v="19"/>
    <x v="0"/>
    <n v="550"/>
    <n v="0"/>
    <n v="0"/>
    <n v="0"/>
    <n v="550"/>
    <n v="550"/>
    <n v="6600"/>
    <n v="550"/>
    <n v="0"/>
    <n v="550"/>
    <n v="550"/>
    <n v="550"/>
    <s v="01-07-2025"/>
  </r>
  <r>
    <s v="01"/>
    <s v="Secretaria Municipal de Direitos Humanos e Cidadania"/>
    <s v="34"/>
    <s v="10"/>
    <n v="14"/>
    <n v="422"/>
    <n v="3013"/>
    <x v="20"/>
    <s v="33369000"/>
    <s v="2"/>
    <s v="Termo de Contrato - Serviços"/>
    <n v="7"/>
    <s v="Inexigibilidade"/>
    <n v="2025"/>
    <n v="10361"/>
    <s v="037/SMDHC/2025"/>
    <s v="6074202500022460"/>
    <s v="Contratação de prestação de serviços, de natureza artística, para o “Abril Indígena 2025: “Rodas De Saberes Multiétnicas”."/>
    <s v="11/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405"/>
    <s v="036/SMDHC/2025"/>
    <s v="6074202500022312"/>
    <s v="Contratação de prestação de serviços, de natureza artística, para o “Abril Indígena 2025: “Rodas De Saberes Multiétnicas”"/>
    <s v="10/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420"/>
    <s v="033/SMDHC/2025"/>
    <s v="6074202500022401"/>
    <s v="Abril Indígena 2025: “Rodas De Saberes Multiétnicas”"/>
    <s v="10/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511"/>
    <s v="034/SMDHC/2025"/>
    <s v="6074202500022355"/>
    <s v="Contratação de prestação de serviços, de natureza artística, para o “Abril Indígena 2025: “Rodas De Saberes Multiétnicas”"/>
    <s v="10/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573"/>
    <s v="042/SMDHC/2025"/>
    <s v="6074202500022398"/>
    <s v="Contratação de prestação de serviços, de natureza artística, para o “Abril Indígena 2025: “Rodas De Saberes Multiétnicas”_x000a_"/>
    <s v="14/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556"/>
    <s v="044/SMDHC/2025"/>
    <s v="6074202500022452"/>
    <s v="Contratação direta por Inexigibilidade de Licitação, do Sr. ADILSON LUIS DO NASCIMENTO, inscrito no CPF sob o nº ***.833.984 - ** , para a prestação de serviços, de natureza artística, para o “Abril Indígena 2025: “Rodas De Saberes Multiétnicas”."/>
    <s v="14/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567"/>
    <s v="046/SMDHC/2025"/>
    <s v="6074202500025214"/>
    <s v="Contratação de prestação de serviços, de natureza artística, para o “Abril Indígena 2025: “Rodas De Saberes Multiétnicas”."/>
    <s v="14/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578"/>
    <s v="039/SMDHC/2025"/>
    <s v="6074202500022339"/>
    <s v="Contratação de prestação de serviços, de natureza artística, para o “Abril Indígena 2025: “Rodas De Saberes Multiétnicas”"/>
    <s v="14/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600"/>
    <s v="041/SMDHC/2025"/>
    <s v="6074202500022371"/>
    <s v="Prestação de serviços, de natureza artística, para o “Abril Indígena 2025: “Rodas De Saberes Multiétnicas” "/>
    <s v="14/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598"/>
    <s v="043/SMDHC/2025"/>
    <s v="6074202500022428"/>
    <s v="Contratação de prestação de serviços, de natureza artística, para o “Abril Indígena 2025: “Rodas De Saberes Multiétnicas, a ser firmado atravès da palestrante Vanuzia Costa Santos - com objetivo de promover a &quot; Roda de Saberes Multiétnicos&quot;"/>
    <s v="14/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604"/>
    <s v="038/SMDHC/2025"/>
    <s v="6074202500022320"/>
    <s v=" Prestação de serviços, de natureza artística, para o “Abril Indígena 2025: “Rodas De Saberes Multiétnicas”."/>
    <s v="11/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836"/>
    <s v="050/SMDHC/2025"/>
    <s v="6074202500022363"/>
    <s v="Contratação de prestação de serviços, de natureza artística, para o “Abril Indígena 2025: “Rodas De Saberes Multiétnicas” "/>
    <s v="16/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859"/>
    <s v="051/SMDHC/2025"/>
    <s v="6074202500022304"/>
    <s v="Contratação de prestação de serviços, de natureza artística, para o “Abril Indígena 2025: “Rodas De Saberes Multiétnicas” "/>
    <s v="16/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0865"/>
    <s v="049/SMDHC/2025"/>
    <s v="6074202500022410"/>
    <s v="Contratação de prestação de serviços, de natureza artística, para o “Abril Indígena 2025: “Rodas De Saberes Multiétnicas”._x000a_"/>
    <s v="16/04/2025 00:00:00"/>
    <s v="06/05/2025 00:00:00"/>
    <s v="19/05/2025 00:00:00"/>
    <x v="21"/>
    <x v="0"/>
    <n v="500"/>
    <n v="0"/>
    <n v="0"/>
    <n v="0"/>
    <n v="500"/>
    <n v="500"/>
    <n v="6000"/>
    <n v="500"/>
    <n v="0"/>
    <n v="500"/>
    <n v="500"/>
    <n v="500"/>
    <s v="01-07-2025"/>
  </r>
  <r>
    <s v="01"/>
    <s v="Secretaria Municipal de Direitos Humanos e Cidadania"/>
    <s v="34"/>
    <s v="10"/>
    <n v="14"/>
    <n v="422"/>
    <n v="3013"/>
    <x v="20"/>
    <s v="33369000"/>
    <s v="2"/>
    <s v="Termo de Contrato - Serviços"/>
    <n v="7"/>
    <s v="Inexigibilidade"/>
    <n v="2025"/>
    <n v="11026"/>
    <s v="052/SMDHC/2025"/>
    <s v="6074202500022282"/>
    <s v="Contratação de prestação de serviços, de natureza artística, para o “Abril Indígena 2025: “Rodas De Saberes Multiétnicas” "/>
    <s v="16/04/2025 00:00:00"/>
    <s v="06/05/2025 00:00:00"/>
    <s v="20/04/2025 00:00:00"/>
    <x v="19"/>
    <x v="0"/>
    <n v="500"/>
    <n v="0"/>
    <n v="0"/>
    <n v="0"/>
    <n v="500"/>
    <n v="500"/>
    <n v="6000"/>
    <n v="500"/>
    <n v="0"/>
    <n v="500"/>
    <n v="500"/>
    <n v="500"/>
    <s v="01-07-2025"/>
  </r>
  <r>
    <s v="01"/>
    <s v="Secretaria Municipal de Direitos Humanos e Cidadania"/>
    <s v="34"/>
    <s v="10"/>
    <n v="14"/>
    <n v="422"/>
    <n v="3013"/>
    <x v="20"/>
    <s v="33369000"/>
    <s v="2"/>
    <s v="Termo de Contrato - Serviços"/>
    <n v="6"/>
    <s v="Dispensa de Licitação"/>
    <n v="2025"/>
    <n v="11027"/>
    <m/>
    <s v="6074202500022282"/>
    <s v="Contratação de prestação de serviços, de natureza artística, para o “Abril Indígena 2025: “Rodas De Saberes Multiétnicas”."/>
    <m/>
    <m/>
    <m/>
    <x v="19"/>
    <x v="1"/>
    <n v="500"/>
    <n v="0"/>
    <n v="0"/>
    <n v="0"/>
    <n v="500"/>
    <n v="500"/>
    <n v="6000"/>
    <n v="0"/>
    <n v="0"/>
    <n v="0"/>
    <n v="0"/>
    <n v="0"/>
    <s v="01-07-2025"/>
  </r>
  <r>
    <s v="01"/>
    <s v="Secretaria Municipal de Direitos Humanos e Cidadania"/>
    <s v="34"/>
    <s v="10"/>
    <n v="14"/>
    <n v="422"/>
    <n v="3013"/>
    <x v="20"/>
    <s v="33369000"/>
    <s v="2"/>
    <s v="Termo de Contrato - Serviços"/>
    <n v="7"/>
    <s v="Inexigibilidade"/>
    <n v="2025"/>
    <n v="14027"/>
    <m/>
    <s v="6074202500036720"/>
    <s v="Contratação de intervenção artística - Cantora para a &quot;IV Conferência Municipal dos Direitos das Pessoas LGBTQIA+ de São Paulo&quot;."/>
    <m/>
    <m/>
    <m/>
    <x v="5"/>
    <x v="1"/>
    <n v="500"/>
    <n v="0"/>
    <n v="0"/>
    <n v="0"/>
    <n v="500"/>
    <n v="41.666666666666664"/>
    <n v="500"/>
    <n v="500"/>
    <n v="0"/>
    <n v="500"/>
    <n v="0"/>
    <n v="0"/>
    <s v="01-07-2025"/>
  </r>
  <r>
    <s v="01"/>
    <s v="Secretaria Municipal de Direitos Humanos e Cidadania"/>
    <s v="34"/>
    <s v="10"/>
    <n v="14"/>
    <n v="422"/>
    <n v="3013"/>
    <x v="20"/>
    <s v="33369000"/>
    <s v="2"/>
    <s v="Termo de Contrato - Serviços"/>
    <n v="7"/>
    <s v="Inexigibilidade"/>
    <n v="2025"/>
    <n v="14039"/>
    <s v="151/SMDHC/2025"/>
    <s v="6074202500036739"/>
    <s v="Contratação de serviços de mixagem e som - DJ, para a &quot;IV Conferência Municipal dos Direitos das Pessoas LGBTQIA+ de São Paulo&quot;"/>
    <s v="21/05/2025 00:00:00"/>
    <s v="30/05/2025 00:00:00"/>
    <s v="20/06/2025 00:00:00"/>
    <x v="21"/>
    <x v="0"/>
    <n v="500"/>
    <n v="0"/>
    <n v="0"/>
    <n v="0"/>
    <n v="500"/>
    <n v="500"/>
    <n v="6000"/>
    <n v="500"/>
    <n v="0"/>
    <n v="500"/>
    <n v="500"/>
    <n v="0"/>
    <s v="01-07-2025"/>
  </r>
  <r>
    <s v="01"/>
    <s v="Secretaria Municipal de Direitos Humanos e Cidadania"/>
    <s v="34"/>
    <s v="10"/>
    <n v="14"/>
    <n v="422"/>
    <n v="3013"/>
    <x v="20"/>
    <s v="33369000"/>
    <s v="2"/>
    <s v="Termo de Contrato - Serviços"/>
    <n v="7"/>
    <s v="Inexigibilidade"/>
    <n v="2025"/>
    <n v="14333"/>
    <s v="158/SMDHC/2025"/>
    <s v="6074202500037433"/>
    <s v="Contratação de apresentação artística para a &quot;IV Conferência Municipal dos Direitos das Pessoas LGBTQIA+ de São Paulo."/>
    <s v="22/05/2025 00:00:00"/>
    <s v="23/05/2025 00:00:00"/>
    <s v="22/06/2025 00:00:00"/>
    <x v="21"/>
    <x v="0"/>
    <n v="500"/>
    <n v="0"/>
    <n v="0"/>
    <n v="0"/>
    <n v="500"/>
    <n v="500"/>
    <n v="6000"/>
    <n v="500"/>
    <n v="0"/>
    <n v="500"/>
    <n v="500"/>
    <n v="0"/>
    <s v="01-07-2025"/>
  </r>
  <r>
    <s v="01"/>
    <s v="Secretaria Municipal de Direitos Humanos e Cidadania"/>
    <s v="34"/>
    <s v="10"/>
    <n v="14"/>
    <n v="422"/>
    <n v="3013"/>
    <x v="20"/>
    <s v="33369000"/>
    <s v="2"/>
    <s v="Termo de Contrato - Serviços"/>
    <n v="7"/>
    <s v="Inexigibilidade"/>
    <n v="2025"/>
    <n v="14338"/>
    <s v="157/SMDHC/2025 "/>
    <s v="6074202500037492"/>
    <s v="Contratação de apresentação artística para a IV Conferência Municipal dos Direitos das Pessoas LGBTQIA+ de São Paulo."/>
    <s v="22/05/2025 00:00:00"/>
    <s v="30/05/2025 00:00:00"/>
    <s v="22/06/2025 00:00:00"/>
    <x v="21"/>
    <x v="0"/>
    <n v="500"/>
    <n v="0"/>
    <n v="0"/>
    <n v="0"/>
    <n v="500"/>
    <n v="500"/>
    <n v="6000"/>
    <n v="500"/>
    <n v="0"/>
    <n v="500"/>
    <n v="500"/>
    <n v="0"/>
    <s v="01-07-2025"/>
  </r>
  <r>
    <s v="01"/>
    <s v="Secretaria Municipal de Direitos Humanos e Cidadania"/>
    <s v="34"/>
    <s v="10"/>
    <n v="14"/>
    <n v="422"/>
    <n v="3013"/>
    <x v="20"/>
    <s v="33369000"/>
    <s v="2"/>
    <s v="Termo de Contrato - Serviços"/>
    <n v="7"/>
    <s v="Inexigibilidade"/>
    <n v="2025"/>
    <n v="14337"/>
    <s v="156/SMDHC/2025"/>
    <s v="6074202500037336"/>
    <s v="Contratação de apresentação artística, para a IV Conferência Municipal dos Direitos das Pessoas LGBTQIA+ de São Paulo."/>
    <s v="22/05/2025 00:00:00"/>
    <s v="30/05/2025 00:00:00"/>
    <s v="21/06/2025 00:00:00"/>
    <x v="21"/>
    <x v="0"/>
    <n v="500"/>
    <n v="0"/>
    <n v="0"/>
    <n v="0"/>
    <n v="500"/>
    <n v="500"/>
    <n v="6000"/>
    <n v="500"/>
    <n v="0"/>
    <n v="500"/>
    <n v="500"/>
    <n v="0"/>
    <s v="01-07-2025"/>
  </r>
  <r>
    <s v="01"/>
    <s v="Secretaria Municipal de Direitos Humanos e Cidadania"/>
    <s v="34"/>
    <s v="10"/>
    <n v="14"/>
    <n v="422"/>
    <n v="3013"/>
    <x v="20"/>
    <s v="33369000"/>
    <s v="2"/>
    <s v="Termo de Contrato - Serviços"/>
    <n v="6"/>
    <s v="Dispensa de Licitação"/>
    <n v="2025"/>
    <n v="14341"/>
    <m/>
    <s v="6074202500036755"/>
    <s v="Contratação de apresentação artística, para a IV Conferência Municipal dos Direitos das Pessoas LGBTQIA+ de São Paulo."/>
    <m/>
    <m/>
    <m/>
    <x v="5"/>
    <x v="1"/>
    <n v="500"/>
    <n v="0"/>
    <n v="0"/>
    <n v="0"/>
    <n v="500"/>
    <n v="41.666666666666664"/>
    <n v="500"/>
    <n v="500"/>
    <n v="500"/>
    <n v="0"/>
    <n v="0"/>
    <n v="0"/>
    <s v="01-07-2025"/>
  </r>
  <r>
    <s v="01"/>
    <s v="Secretaria Municipal de Direitos Humanos e Cidadania"/>
    <s v="34"/>
    <s v="10"/>
    <n v="14"/>
    <n v="422"/>
    <n v="3013"/>
    <x v="20"/>
    <s v="33369000"/>
    <s v="2"/>
    <s v="Termo de Contrato - Serviços"/>
    <n v="7"/>
    <s v="Inexigibilidade"/>
    <n v="2025"/>
    <n v="14360"/>
    <s v="154/SMDHC/2025"/>
    <s v="6074202500036755"/>
    <s v="Contratação de apresentação artística, para a IV Conferência Municipal dos Direitos das Pessoas LGBTQIA+ de São Paulo."/>
    <s v="22/05/2025 00:00:00"/>
    <s v="30/05/2025 00:00:00"/>
    <s v="21/06/2025 00:00:00"/>
    <x v="5"/>
    <x v="0"/>
    <n v="500"/>
    <n v="0"/>
    <n v="0"/>
    <n v="0"/>
    <n v="500"/>
    <n v="41.666666666666664"/>
    <n v="500"/>
    <n v="500"/>
    <n v="0"/>
    <n v="500"/>
    <n v="500"/>
    <n v="0"/>
    <s v="01-07-2025"/>
  </r>
  <r>
    <s v="01"/>
    <s v="Secretaria Municipal de Direitos Humanos e Cidadania"/>
    <s v="34"/>
    <s v="10"/>
    <n v="14"/>
    <n v="422"/>
    <n v="3013"/>
    <x v="20"/>
    <s v="33369000"/>
    <s v="2"/>
    <s v="Termo de Contrato - Serviços"/>
    <n v="7"/>
    <s v="Inexigibilidade"/>
    <n v="2025"/>
    <n v="14351"/>
    <s v="155/SMDHC/2025"/>
    <s v="6074202500036321"/>
    <s v="Contratação de apresentação artística, para a IV Conferência Municipal dos Direitos das Pessoas LGBTQIA+ de São Paulo"/>
    <s v="22/05/2025 00:00:00"/>
    <s v="30/05/2025 00:00:00"/>
    <s v="02/06/2025 00:00:00"/>
    <x v="19"/>
    <x v="0"/>
    <n v="500"/>
    <n v="0"/>
    <n v="0"/>
    <n v="0"/>
    <n v="500"/>
    <n v="500"/>
    <n v="6000"/>
    <n v="500"/>
    <n v="0"/>
    <n v="500"/>
    <n v="500"/>
    <n v="0"/>
    <s v="01-07-2025"/>
  </r>
  <r>
    <s v="01"/>
    <s v="Secretaria Municipal de Direitos Humanos e Cidadania"/>
    <s v="34"/>
    <s v="10"/>
    <n v="14"/>
    <n v="422"/>
    <n v="3013"/>
    <x v="20"/>
    <s v="33369000"/>
    <s v="2"/>
    <s v="Termo de Contrato - Serviços"/>
    <n v="7"/>
    <s v="Inexigibilidade"/>
    <n v="2025"/>
    <n v="14369"/>
    <s v="152/SMDHC/2025"/>
    <s v="6074202500036747"/>
    <s v="Contratação de intervenção artística - Cantora, para a &quot;IV Conferência Municipal dos Direitos das Pessoas LGBTQIA+ de São Paulo&quot;"/>
    <s v="22/05/2025 00:00:00"/>
    <s v="30/05/2025 00:00:00"/>
    <s v="02/06/2025 00:00:00"/>
    <x v="19"/>
    <x v="0"/>
    <n v="500"/>
    <n v="0"/>
    <n v="0"/>
    <n v="0"/>
    <n v="500"/>
    <n v="500"/>
    <n v="6000"/>
    <n v="500"/>
    <n v="0"/>
    <n v="500"/>
    <n v="500"/>
    <n v="0"/>
    <s v="01-07-2025"/>
  </r>
  <r>
    <s v="01"/>
    <s v="Secretaria Municipal de Direitos Humanos e Cidadania"/>
    <s v="34"/>
    <s v="10"/>
    <n v="14"/>
    <n v="422"/>
    <n v="3013"/>
    <x v="20"/>
    <s v="33369000"/>
    <s v="2"/>
    <s v="Termo de Contrato - Serviços"/>
    <n v="7"/>
    <s v="Inexigibilidade"/>
    <n v="2025"/>
    <n v="14371"/>
    <m/>
    <s v="6074202500036763"/>
    <s v="Contratação de apresentação artística, para a IV Conferência Municipal dos Direitos das Pessoas LGBTQIA+ de São Paulo."/>
    <m/>
    <m/>
    <m/>
    <x v="5"/>
    <x v="1"/>
    <n v="500"/>
    <n v="0"/>
    <n v="0"/>
    <n v="0"/>
    <n v="500"/>
    <n v="41.666666666666664"/>
    <n v="500"/>
    <n v="500"/>
    <n v="0"/>
    <n v="500"/>
    <n v="0"/>
    <n v="0"/>
    <s v="01-07-2025"/>
  </r>
  <r>
    <s v="01"/>
    <s v="Secretaria Municipal de Direitos Humanos e Cidadania"/>
    <s v="34"/>
    <s v="10"/>
    <n v="14"/>
    <n v="122"/>
    <n v="3024"/>
    <x v="0"/>
    <s v="33399000"/>
    <s v="54"/>
    <s v="Nota de Empenho - Pagamento de Anuidades / Taxas / Impostos"/>
    <n v="7"/>
    <s v="Inexigibilidade"/>
    <n v="2025"/>
    <n v="9805"/>
    <m/>
    <s v="6074202500020557"/>
    <s v="Assinatura do jornal O Globo digital pelo período de 12 (doze) meses"/>
    <m/>
    <m/>
    <s v="05/04/2026 00:00:00"/>
    <x v="5"/>
    <x v="0"/>
    <n v="418.8"/>
    <n v="0"/>
    <n v="0"/>
    <n v="0"/>
    <n v="418.8"/>
    <n v="34.9"/>
    <n v="418.79999999999995"/>
    <n v="418.8"/>
    <n v="0"/>
    <n v="418.8"/>
    <n v="418.8"/>
    <n v="418.8"/>
    <s v="01-07-2025"/>
  </r>
  <r>
    <s v="01"/>
    <s v="Secretaria Municipal de Direitos Humanos e Cidadania"/>
    <s v="34"/>
    <s v="10"/>
    <n v="14"/>
    <n v="122"/>
    <n v="3024"/>
    <x v="0"/>
    <s v="33309000"/>
    <s v="5"/>
    <s v="Nota de Empenho Fornecimento de Bens de Consumo e/ou Permanente"/>
    <n v="12"/>
    <s v="Pregão"/>
    <n v="2025"/>
    <n v="16882"/>
    <m/>
    <s v="6074202500044723"/>
    <s v="Prestação de serviços, sob demanda, de confecção e impressão de material gráfico - ATA DE REGISTRO DE PREÇO nº 001/SMDHC/2024"/>
    <m/>
    <m/>
    <m/>
    <x v="5"/>
    <x v="1"/>
    <n v="400.96"/>
    <n v="0"/>
    <n v="0"/>
    <n v="0"/>
    <n v="400.96"/>
    <n v="33.413333333333334"/>
    <n v="400.96000000000004"/>
    <n v="400.96"/>
    <n v="0"/>
    <n v="400.96"/>
    <n v="0"/>
    <n v="0"/>
    <s v="01-07-2025"/>
  </r>
  <r>
    <s v="01"/>
    <s v="Secretaria Municipal de Direitos Humanos e Cidadania"/>
    <s v="34"/>
    <s v="10"/>
    <n v="14"/>
    <n v="422"/>
    <n v="3013"/>
    <x v="20"/>
    <s v="33369000"/>
    <s v="2"/>
    <s v="Termo de Contrato - Serviços"/>
    <n v="7"/>
    <s v="Inexigibilidade"/>
    <n v="2025"/>
    <n v="11749"/>
    <s v="059/SMDHC/2025"/>
    <s v="6074202500030501"/>
    <s v="Contratação de intervenção artística de dança étnica de povos ciganos, para V Conferência Municipal de Promoção de Igualdade Racial, com o tema “Igualdade e Democracia: Reparação e Justiça Racial”"/>
    <s v="25/05/2025 00:00:00"/>
    <s v="24/06/2025 00:00:00"/>
    <s v="24/06/2025 00:00:00"/>
    <x v="21"/>
    <x v="0"/>
    <n v="400"/>
    <n v="0"/>
    <n v="0"/>
    <n v="0"/>
    <n v="400"/>
    <n v="400"/>
    <n v="4800"/>
    <n v="400"/>
    <n v="0"/>
    <n v="400"/>
    <n v="400"/>
    <n v="0"/>
    <s v="01-07-2025"/>
  </r>
  <r>
    <s v="01"/>
    <s v="Secretaria Municipal de Direitos Humanos e Cidadania"/>
    <s v="34"/>
    <s v="10"/>
    <n v="14"/>
    <n v="422"/>
    <n v="3013"/>
    <x v="20"/>
    <s v="33369000"/>
    <s v="2"/>
    <s v="Termo de Contrato - Serviços"/>
    <n v="7"/>
    <s v="Inexigibilidade"/>
    <n v="2025"/>
    <n v="11755"/>
    <s v="055/SMDHC/2025"/>
    <s v="6074202500030935"/>
    <s v="Contratação de intervenção artística de dança étnica de povos ciganos, para V Conferência Municipal de Promoção de Igualdade Racial, com o tema “Igualdade e Democracia: Reparação e Justiça Racial”"/>
    <s v="25/04/2025 00:00:00"/>
    <s v="23/05/2025 00:00:00"/>
    <s v="25/05/2025 00:00:00"/>
    <x v="21"/>
    <x v="0"/>
    <n v="400"/>
    <n v="0"/>
    <n v="0"/>
    <n v="0"/>
    <n v="400"/>
    <n v="400"/>
    <n v="4800"/>
    <n v="400"/>
    <n v="0"/>
    <n v="400"/>
    <n v="400"/>
    <n v="0"/>
    <s v="01-07-2025"/>
  </r>
  <r>
    <s v="01"/>
    <s v="Secretaria Municipal de Direitos Humanos e Cidadania"/>
    <s v="34"/>
    <s v="10"/>
    <n v="14"/>
    <n v="422"/>
    <n v="3013"/>
    <x v="20"/>
    <s v="33369000"/>
    <s v="2"/>
    <s v="Termo de Contrato - Serviços"/>
    <n v="6"/>
    <s v="Dispensa de Licitação"/>
    <n v="2025"/>
    <n v="11758"/>
    <m/>
    <s v="6074202500031044"/>
    <s v="Intervenção artística,  para V Conferência Municipal de Promoção de Igualdade Racial, com o tema “Igualdade e Democracia: Reparação e Justiça Racial”"/>
    <m/>
    <m/>
    <m/>
    <x v="5"/>
    <x v="1"/>
    <n v="400"/>
    <n v="0"/>
    <n v="0"/>
    <n v="400"/>
    <n v="0"/>
    <n v="0"/>
    <n v="0"/>
    <n v="400"/>
    <n v="400"/>
    <n v="0"/>
    <n v="0"/>
    <n v="0"/>
    <s v="01-07-2025"/>
  </r>
  <r>
    <s v="01"/>
    <s v="Secretaria Municipal de Direitos Humanos e Cidadania"/>
    <s v="34"/>
    <s v="10"/>
    <n v="14"/>
    <n v="422"/>
    <n v="3013"/>
    <x v="20"/>
    <s v="33369000"/>
    <s v="2"/>
    <s v="Termo de Contrato - Serviços"/>
    <n v="7"/>
    <s v="Inexigibilidade"/>
    <n v="2025"/>
    <n v="11780"/>
    <s v="061/SMDHC/2025"/>
    <s v="6074202500031044"/>
    <s v="Contratação de intervenção artística de dança étnica de povos ciganos, para V Conferência Municipal de Promoção de Igualdade Racial, com o tema “Igualdade e Democracia: Reparação e Justiça Racial”"/>
    <s v="25/04/2025 00:00:00"/>
    <s v="23/05/2025 00:00:00"/>
    <s v="25/05/2025 00:00:00"/>
    <x v="5"/>
    <x v="0"/>
    <n v="400"/>
    <n v="0"/>
    <n v="0"/>
    <n v="0"/>
    <n v="400"/>
    <n v="33.333333333333336"/>
    <n v="400"/>
    <n v="400"/>
    <n v="0"/>
    <n v="400"/>
    <n v="400"/>
    <n v="0"/>
    <s v="01-07-2025"/>
  </r>
  <r>
    <s v="01"/>
    <s v="Secretaria Municipal de Direitos Humanos e Cidadania"/>
    <s v="34"/>
    <s v="10"/>
    <n v="14"/>
    <n v="422"/>
    <n v="3013"/>
    <x v="20"/>
    <s v="33369000"/>
    <s v="2"/>
    <s v="Termo de Contrato - Serviços"/>
    <n v="7"/>
    <s v="Inexigibilidade"/>
    <n v="2025"/>
    <n v="11756"/>
    <s v="060/SMDHC/2025"/>
    <s v="6074202500030919"/>
    <s v="Realização da atividade de dança étnica de povos ciganos para abertura da &quot;V Conferência Municipal de Promoção de Igualdade Racial - Edição 2025._x000a_"/>
    <s v="28/04/2025 00:00:00"/>
    <s v="23/05/2025 00:00:00"/>
    <s v="25/05/2025 00:00:00"/>
    <x v="19"/>
    <x v="0"/>
    <n v="400"/>
    <n v="0"/>
    <n v="0"/>
    <n v="0"/>
    <n v="400"/>
    <n v="400"/>
    <n v="4800"/>
    <n v="400"/>
    <n v="0"/>
    <n v="400"/>
    <n v="400"/>
    <n v="0"/>
    <s v="01-07-2025"/>
  </r>
  <r>
    <s v="01"/>
    <s v="Secretaria Municipal de Direitos Humanos e Cidadania"/>
    <s v="34"/>
    <s v="10"/>
    <n v="14"/>
    <n v="422"/>
    <n v="3013"/>
    <x v="20"/>
    <s v="33369000"/>
    <s v="2"/>
    <s v="Termo de Contrato - Serviços"/>
    <n v="7"/>
    <s v="Inexigibilidade"/>
    <n v="2025"/>
    <n v="11762"/>
    <s v="056/SMDHC/2025"/>
    <s v="6074202500030951"/>
    <s v="Apresentação de dança étnica de povos ciganos, para V Conferência Municipal de Promoção de Igualdade Racial, com o tema “Igualdade e Democracia: Reparação e Justiça Racial”."/>
    <s v="25/04/2025 00:00:00"/>
    <s v="23/05/2025 00:00:00"/>
    <s v="25/05/2025 00:00:00"/>
    <x v="21"/>
    <x v="0"/>
    <n v="400"/>
    <n v="0"/>
    <n v="0"/>
    <n v="0"/>
    <n v="400"/>
    <n v="400"/>
    <n v="4800"/>
    <n v="400"/>
    <n v="0"/>
    <n v="400"/>
    <n v="400"/>
    <n v="0"/>
    <s v="01-07-2025"/>
  </r>
  <r>
    <s v="01"/>
    <s v="Secretaria Municipal de Direitos Humanos e Cidadania"/>
    <s v="34"/>
    <s v="10"/>
    <n v="14"/>
    <n v="122"/>
    <n v="3024"/>
    <x v="0"/>
    <s v="33309000"/>
    <s v="5"/>
    <s v="Nota de Empenho Fornecimento de Bens de Consumo e/ou Permanente"/>
    <n v="6"/>
    <s v="Dispensa de Licitação"/>
    <n v="2025"/>
    <n v="7652"/>
    <m/>
    <s v="6074202500012546"/>
    <s v="Contratação para aquisição de 03 (três) unidades de Escadas de Alumínio para atendimento das necessidades da Secretaria Municipal de Direitos Humanos e Cidadania – SMDHC - AVISO DE DISPENSA ELETRÔNICA Nº 90029/2025."/>
    <m/>
    <m/>
    <s v="29/03/2025 00:00:00"/>
    <x v="5"/>
    <x v="0"/>
    <n v="359.1"/>
    <n v="0"/>
    <n v="0"/>
    <n v="0"/>
    <n v="359.1"/>
    <n v="29.925000000000001"/>
    <n v="359.1"/>
    <n v="359.1"/>
    <n v="0"/>
    <n v="359.1"/>
    <n v="359.1"/>
    <n v="359.1"/>
    <s v="01-07-2025"/>
  </r>
  <r>
    <s v="01"/>
    <s v="Secretaria Municipal de Direitos Humanos e Cidadania"/>
    <s v="34"/>
    <s v="10"/>
    <n v="14"/>
    <n v="126"/>
    <n v="3011"/>
    <x v="16"/>
    <s v="33409000"/>
    <s v="2"/>
    <s v="Termo de Contrato - Serviços"/>
    <n v="6"/>
    <s v="Dispensa de Licitação"/>
    <n v="2025"/>
    <n v="8078"/>
    <m/>
    <s v="6074202500006767"/>
    <s v="Fornecimento de 01(uma) licença do software Canvas Pro, pelo período de 12 (doze) meses, para o setor de comunicação, para desenvolvimento de projetos na Secretaria de Direitos Humanos e Cidadania."/>
    <m/>
    <m/>
    <m/>
    <x v="5"/>
    <x v="1"/>
    <n v="329.9"/>
    <n v="0"/>
    <n v="0"/>
    <n v="0"/>
    <n v="329.9"/>
    <n v="27.491666666666664"/>
    <n v="329.9"/>
    <n v="329.9"/>
    <n v="0"/>
    <n v="329.9"/>
    <n v="0"/>
    <n v="0"/>
    <s v="01-07-2025"/>
  </r>
  <r>
    <s v="01"/>
    <s v="Secretaria Municipal de Direitos Humanos e Cidadania"/>
    <s v="34"/>
    <s v="10"/>
    <n v="14"/>
    <n v="122"/>
    <n v="3024"/>
    <x v="0"/>
    <s v="33309000"/>
    <s v="41"/>
    <s v="Nota de Empenho de Serviços com fornecimento de materiais / peças"/>
    <n v="12"/>
    <s v="Pregão"/>
    <n v="2025"/>
    <n v="7116"/>
    <m/>
    <s v="6074202500016185"/>
    <s v="Contratação de empresa especializada na prestação de  serviços de impressão de material gráfico, cartão de visita frente e verso - ATA DE REGISTRO DE PREÇOS Nº 001/SMDHC/2024"/>
    <m/>
    <m/>
    <s v="20/03/2025 00:00:00"/>
    <x v="5"/>
    <x v="0"/>
    <n v="300"/>
    <n v="0"/>
    <n v="0"/>
    <n v="0"/>
    <n v="300"/>
    <n v="25"/>
    <n v="300"/>
    <n v="300"/>
    <n v="0"/>
    <n v="300"/>
    <n v="300"/>
    <n v="300"/>
    <s v="01-07-2025"/>
  </r>
  <r>
    <s v="01"/>
    <s v="Secretaria Municipal de Direitos Humanos e Cidadania"/>
    <s v="34"/>
    <s v="10"/>
    <n v="14"/>
    <n v="122"/>
    <n v="3024"/>
    <x v="0"/>
    <s v="33309000"/>
    <s v="41"/>
    <s v="Nota de Empenho de Serviços com fornecimento de materiais / peças"/>
    <n v="12"/>
    <s v="Pregão"/>
    <n v="2025"/>
    <n v="7306"/>
    <m/>
    <s v="6074202500016649"/>
    <s v="Contratação de empresa especializada na prestação de serviços, sob demanda, de confecção e impressão de material gráfico - ATA DE REGISTRO DE PREÇOS Nº 003/SMDHC/2024._x000a__x000a_ "/>
    <m/>
    <m/>
    <s v="26/03/2025 00:00:00"/>
    <x v="5"/>
    <x v="0"/>
    <n v="287"/>
    <n v="0"/>
    <n v="0"/>
    <n v="0"/>
    <n v="287"/>
    <n v="23.916666666666668"/>
    <n v="287"/>
    <n v="287"/>
    <n v="0"/>
    <n v="287"/>
    <n v="287"/>
    <n v="287"/>
    <s v="01-07-2025"/>
  </r>
  <r>
    <s v="01"/>
    <s v="Secretaria Municipal de Direitos Humanos e Cidadania"/>
    <s v="34"/>
    <s v="10"/>
    <n v="14"/>
    <n v="422"/>
    <n v="3013"/>
    <x v="5"/>
    <s v="33399000"/>
    <s v="53"/>
    <s v="Nota de Empenho - Multas de Trânsito / Outras"/>
    <n v="8"/>
    <s v="Não Aplicável"/>
    <n v="2025"/>
    <n v="7976"/>
    <m/>
    <s v="6017202500140713"/>
    <s v="Pagamento de Multa de Trânsito Carro Oficial –  FIAT/UNO MILLE FIRE – Placa CMW0326"/>
    <m/>
    <m/>
    <s v="14/03/2025 00:00:00"/>
    <x v="5"/>
    <x v="0"/>
    <n v="130.16"/>
    <n v="0"/>
    <n v="69.84"/>
    <n v="47.51"/>
    <n v="152.49"/>
    <n v="12.707500000000001"/>
    <n v="152.49"/>
    <n v="330.16"/>
    <n v="177.67"/>
    <n v="152.49"/>
    <n v="152.49"/>
    <n v="152.49"/>
    <s v="01-07-2025"/>
  </r>
  <r>
    <s v="01"/>
    <s v="Secretaria Municipal de Direitos Humanos e Cidadania"/>
    <s v="34"/>
    <s v="10"/>
    <n v="14"/>
    <n v="122"/>
    <n v="3024"/>
    <x v="0"/>
    <s v="33309000"/>
    <s v="5"/>
    <s v="Nota de Empenho Fornecimento de Bens de Consumo e/ou Permanente"/>
    <n v="6"/>
    <s v="Dispensa de Licitação"/>
    <n v="2025"/>
    <n v="11655"/>
    <m/>
    <s v="6074202500026040"/>
    <s v="Contratação para a prestação de serviços de confecção e impressão frente e verso de 500 (quinhentas ) unidades de Cartão de visita para atender as necessidades do Gabinete desta Secretaria Municipal de Direitos Humanos e Cidadania - ATA DE REGISTRO DE PREÇOS Nº 001/SMDHC/2024"/>
    <m/>
    <m/>
    <m/>
    <x v="5"/>
    <x v="1"/>
    <n v="100"/>
    <n v="0"/>
    <n v="0"/>
    <n v="100"/>
    <n v="0"/>
    <n v="0"/>
    <n v="0"/>
    <n v="100"/>
    <n v="100"/>
    <n v="0"/>
    <n v="0"/>
    <n v="0"/>
    <s v="01-07-2025"/>
  </r>
  <r>
    <s v="01"/>
    <s v="Secretaria Municipal de Direitos Humanos e Cidadania"/>
    <s v="34"/>
    <s v="10"/>
    <n v="14"/>
    <n v="122"/>
    <n v="3024"/>
    <x v="0"/>
    <s v="33309000"/>
    <s v="41"/>
    <s v="Nota de Empenho de Serviços com fornecimento de materiais / peças"/>
    <n v="12"/>
    <s v="Pregão"/>
    <n v="2025"/>
    <n v="11683"/>
    <m/>
    <s v="6074202500026040"/>
    <s v="Contratação para a prestação de serviços de confecção e impressão frente e verso de 500 (quinhentas ) unidades de Cartão de visita para atender as necessidades do Gabinete desta Secretaria Municipal de Direitos Humanos e Cidadania - ATA DE REGISTRO DE PREÇOS Nº 001/SMDHC/2024"/>
    <m/>
    <m/>
    <s v="01/05/2025 00:00:00"/>
    <x v="5"/>
    <x v="0"/>
    <n v="100"/>
    <n v="0"/>
    <n v="0"/>
    <n v="0"/>
    <n v="100"/>
    <n v="8.3333333333333339"/>
    <n v="100"/>
    <n v="100"/>
    <n v="0"/>
    <n v="100"/>
    <n v="100"/>
    <n v="100"/>
    <s v="01-07-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E26E8F-0EAA-4052-9EF3-6AE9563E8974}" name="Tabela dinâmica1"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28" firstHeaderRow="0" firstDataRow="1" firstDataCol="1" rowPageCount="1" colPageCount="1"/>
  <pivotFields count="36">
    <pivotField showAll="0"/>
    <pivotField showAll="0"/>
    <pivotField showAll="0"/>
    <pivotField showAll="0"/>
    <pivotField showAll="0"/>
    <pivotField showAll="0"/>
    <pivotField showAll="0"/>
    <pivotField axis="axisRow" showAll="0">
      <items count="23">
        <item x="13"/>
        <item x="1"/>
        <item x="0"/>
        <item x="21"/>
        <item x="11"/>
        <item x="12"/>
        <item x="3"/>
        <item x="16"/>
        <item x="4"/>
        <item x="17"/>
        <item x="18"/>
        <item x="7"/>
        <item x="20"/>
        <item x="6"/>
        <item x="14"/>
        <item x="15"/>
        <item x="8"/>
        <item x="10"/>
        <item x="19"/>
        <item x="9"/>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5">
        <item x="19"/>
        <item x="21"/>
        <item x="20"/>
        <item x="25"/>
        <item x="32"/>
        <item x="31"/>
        <item x="27"/>
        <item x="5"/>
        <item x="16"/>
        <item x="29"/>
        <item x="2"/>
        <item x="22"/>
        <item x="30"/>
        <item x="26"/>
        <item x="7"/>
        <item x="10"/>
        <item x="8"/>
        <item x="3"/>
        <item x="23"/>
        <item x="12"/>
        <item x="4"/>
        <item x="28"/>
        <item x="17"/>
        <item x="11"/>
        <item x="13"/>
        <item x="24"/>
        <item x="1"/>
        <item x="6"/>
        <item x="0"/>
        <item x="18"/>
        <item x="33"/>
        <item x="9"/>
        <item x="14"/>
        <item x="15"/>
        <item t="default"/>
      </items>
    </pivotField>
    <pivotField axis="axisRow" showAll="0">
      <items count="3">
        <item sd="0" x="1"/>
        <item x="0"/>
        <item t="default"/>
      </items>
    </pivotField>
    <pivotField numFmtId="8" showAll="0"/>
    <pivotField numFmtId="8" showAll="0"/>
    <pivotField numFmtId="8" showAll="0"/>
    <pivotField numFmtId="8" showAll="0"/>
    <pivotField dataField="1" numFmtId="8" showAll="0"/>
    <pivotField dataField="1" numFmtId="8" showAll="0"/>
    <pivotField dataField="1" numFmtId="8" showAll="0"/>
    <pivotField numFmtId="8" showAll="0"/>
    <pivotField numFmtId="8" showAll="0"/>
    <pivotField numFmtId="8" showAll="0"/>
    <pivotField numFmtId="8" showAll="0"/>
    <pivotField numFmtId="8" showAll="0"/>
    <pivotField showAll="0"/>
  </pivotFields>
  <rowFields count="2">
    <field x="22"/>
    <field x="7"/>
  </rowFields>
  <rowItems count="25">
    <i>
      <x/>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t="grand">
      <x/>
    </i>
  </rowItems>
  <colFields count="1">
    <field x="-2"/>
  </colFields>
  <colItems count="3">
    <i>
      <x/>
    </i>
    <i i="1">
      <x v="1"/>
    </i>
    <i i="2">
      <x v="2"/>
    </i>
  </colItems>
  <pageFields count="1">
    <pageField fld="21" hier="-1"/>
  </pageFields>
  <dataFields count="3">
    <dataField name="Soma de valTotal" fld="27" baseField="0" baseItem="0" numFmtId="8"/>
    <dataField name="Soma de valMensal" fld="28" baseField="0" baseItem="0" numFmtId="8"/>
    <dataField name="Soma de valAnual" fld="29"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0446D-8318-4BE2-9295-D21A29CC1B4C}" name="Tabela1" displayName="Tabela1" ref="A1:AJ395" totalsRowShown="0" headerRowDxfId="13" headerRowBorderDxfId="14" tableBorderDxfId="15">
  <autoFilter ref="A1:AJ395" xr:uid="{6E20446D-8318-4BE2-9295-D21A29CC1B4C}"/>
  <sortState xmlns:xlrd2="http://schemas.microsoft.com/office/spreadsheetml/2017/richdata2" ref="A2:AJ395">
    <sortCondition descending="1" ref="X1:X476"/>
  </sortState>
  <tableColumns count="36">
    <tableColumn id="1" xr3:uid="{E6A0FB9D-1124-413F-B2B6-39C558BA1941}" name="codEmpresa"/>
    <tableColumn id="2" xr3:uid="{80BBA199-1A41-443A-9B1D-8A402D539337}" name="txtDescricaoOrgao"/>
    <tableColumn id="3" xr3:uid="{D4553701-7EDD-46EB-A271-73C808F3114D}" name="codOrgao"/>
    <tableColumn id="4" xr3:uid="{4A7D4F4A-3FBA-4E56-8CFF-37F0D08C461A}" name="UO"/>
    <tableColumn id="5" xr3:uid="{079541ED-F094-4F0C-B1D0-1D7212D47FE5}" name="Funcao"/>
    <tableColumn id="6" xr3:uid="{8C4A9909-C099-4FFD-ADF4-143CC072D2D7}" name="SubFuncao"/>
    <tableColumn id="7" xr3:uid="{9EFF72F1-5D9F-473C-A1FF-4D68931A3BBD}" name="Programa"/>
    <tableColumn id="8" xr3:uid="{0EE6A1AF-8F41-48E3-BBDE-D41C4FB0A233}" name="ProjAtiv"/>
    <tableColumn id="9" xr3:uid="{0709F961-E44B-413F-AD65-72119E7D8C08}" name="Despesa"/>
    <tableColumn id="10" xr3:uid="{0BA487D9-DD84-4198-995E-BC1D9FEFBE3A}" name="codTipoContratacao"/>
    <tableColumn id="11" xr3:uid="{6DCD7FC5-E3C2-4319-A858-CE1DB0D4AFD3}" name="txtTipoContratacao"/>
    <tableColumn id="12" xr3:uid="{B7079F7B-44DE-4FE9-B8B5-0021A0BC2066}" name="codModalidade"/>
    <tableColumn id="13" xr3:uid="{FC15E05F-0AF1-4971-B3F1-DD74D3366D1C}" name="txtDescricaoModalidade"/>
    <tableColumn id="14" xr3:uid="{F885D2E3-1C06-4499-95FC-9CE872B45A47}" name="anoContrato"/>
    <tableColumn id="15" xr3:uid="{CC56AC81-A217-4856-9997-5BFFCC76B771}" name="codContrato"/>
    <tableColumn id="16" xr3:uid="{63F544A6-E8B1-42AE-A35B-D4D2EFABCB94}" name="numOriginalContrato"/>
    <tableColumn id="17" xr3:uid="{103296F3-0DFD-40DC-85D9-B19C0DFE3AD0}" name="codProcesso"/>
    <tableColumn id="18" xr3:uid="{09C3A7A0-3657-4989-9FE6-8F18218BEA70}" name="txtObjetoContrato"/>
    <tableColumn id="19" xr3:uid="{2FDDF531-86D5-4D8D-B280-403512CB3356}" name="datAssinaturaContrato"/>
    <tableColumn id="20" xr3:uid="{4716C900-C101-485E-99FB-479D194FEFCF}" name="datPublicacaoContrato"/>
    <tableColumn id="21" xr3:uid="{6E3A87D5-3C7D-4414-BB27-B37592555D4E}" name="datVigencia"/>
    <tableColumn id="22" xr3:uid="{EF9CA71F-078D-42B2-A0F1-F438A0845CE5}" name="VigenciaMeses"/>
    <tableColumn id="23" xr3:uid="{A0349E34-8DF6-4A55-B2BB-B91AC33B2E36}" name="situacaoContrato" dataDxfId="0">
      <calculatedColumnFormula>IF(Tabela1[[#This Row],[datVigencia]]=0,"Expirado",IF(Tabela1[[#This Row],[datVigencia]]&gt;TODAY(),"Vigente","Expirado"))</calculatedColumnFormula>
    </tableColumn>
    <tableColumn id="24" xr3:uid="{C2C63218-7FD7-48B0-B0B4-FB8871182087}" name="valPrincipal" dataDxfId="12"/>
    <tableColumn id="25" xr3:uid="{57EB1309-FE6B-42B8-BFAA-603174CB9798}" name="valReajustes" dataDxfId="11"/>
    <tableColumn id="26" xr3:uid="{D55EA061-3B22-445C-B7A1-67B146CF41C9}" name="valAditamentos" dataDxfId="10"/>
    <tableColumn id="27" xr3:uid="{4E3E7752-3C1D-4BF9-AD5F-F0FF41150792}" name="valAnulacao" dataDxfId="9"/>
    <tableColumn id="28" xr3:uid="{8C3A7736-0CB0-44C5-912A-20F6734276F1}" name="valTotal" dataDxfId="4">
      <calculatedColumnFormula>Tabela1[[#This Row],[valPrincipal]]+Tabela1[[#This Row],[valReajustes]]+Tabela1[[#This Row],[valAditamentos]]-Tabela1[[#This Row],[valAnulacao]]</calculatedColumnFormula>
    </tableColumn>
    <tableColumn id="29" xr3:uid="{8DF77FBC-A74E-4632-8453-FCA45009888E}" name="valMensal" dataDxfId="2">
      <calculatedColumnFormula>IF(Tabela1[[#This Row],[VigenciaMeses]]=0,Tabela1[[#This Row],[valTotal]]/1,Tabela1[[#This Row],[valTotal]]/Tabela1[[#This Row],[VigenciaMeses]])</calculatedColumnFormula>
    </tableColumn>
    <tableColumn id="30" xr3:uid="{DF3F879C-95C6-4217-AEEB-DF17C6E3C5A9}" name="valAnual" dataDxfId="1">
      <calculatedColumnFormula>Tabela1[[#This Row],[valMensal]]*12</calculatedColumnFormula>
    </tableColumn>
    <tableColumn id="31" xr3:uid="{F0182EF1-5FA9-4586-A1CD-8DC48C7FD14C}" name="valTotalEmpenhado" dataDxfId="3"/>
    <tableColumn id="32" xr3:uid="{2CA309BC-08AB-4686-BA70-90D2D9A6A019}" name="valAnuladoEmpenho" dataDxfId="8"/>
    <tableColumn id="33" xr3:uid="{F64FB8C8-A1E5-4B03-86CC-1ACF25CD1F68}" name="valEmpenhadoLiquido" dataDxfId="7"/>
    <tableColumn id="34" xr3:uid="{882F6A88-283B-44AA-9C2B-5B45E651F65D}" name="valLiquidado" dataDxfId="6"/>
    <tableColumn id="35" xr3:uid="{DAB2495E-DCD0-4AE2-AE61-F708015C3A80}" name="valPago" dataDxfId="5"/>
    <tableColumn id="36" xr3:uid="{8553143B-9192-45B9-AB86-7970DEB486F5}" name="datExtracao"/>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B11F-8A28-4F95-A951-4D25933BB118}">
  <dimension ref="A1:D28"/>
  <sheetViews>
    <sheetView workbookViewId="0">
      <selection activeCell="A3" sqref="A3"/>
    </sheetView>
  </sheetViews>
  <sheetFormatPr defaultRowHeight="15" x14ac:dyDescent="0.25"/>
  <cols>
    <col min="1" max="1" width="18" bestFit="1" customWidth="1"/>
    <col min="2" max="2" width="16.42578125" bestFit="1" customWidth="1"/>
    <col min="3" max="3" width="18.42578125" bestFit="1" customWidth="1"/>
    <col min="4" max="4" width="16.85546875" bestFit="1" customWidth="1"/>
    <col min="5" max="5" width="16.42578125" bestFit="1" customWidth="1"/>
    <col min="6" max="6" width="18.42578125" bestFit="1" customWidth="1"/>
    <col min="7" max="7" width="16.85546875" bestFit="1" customWidth="1"/>
    <col min="8" max="8" width="21.140625" bestFit="1" customWidth="1"/>
    <col min="9" max="9" width="23.42578125" bestFit="1" customWidth="1"/>
    <col min="10" max="10" width="22" bestFit="1" customWidth="1"/>
  </cols>
  <sheetData>
    <row r="1" spans="1:4" x14ac:dyDescent="0.25">
      <c r="A1" s="3" t="s">
        <v>21</v>
      </c>
      <c r="B1" t="s">
        <v>1440</v>
      </c>
    </row>
    <row r="3" spans="1:4" x14ac:dyDescent="0.25">
      <c r="A3" s="3" t="s">
        <v>1433</v>
      </c>
      <c r="B3" t="s">
        <v>1435</v>
      </c>
      <c r="C3" t="s">
        <v>1436</v>
      </c>
      <c r="D3" t="s">
        <v>1437</v>
      </c>
    </row>
    <row r="4" spans="1:4" x14ac:dyDescent="0.25">
      <c r="A4" s="4" t="s">
        <v>1438</v>
      </c>
      <c r="B4" s="2">
        <v>8161449.9699999997</v>
      </c>
      <c r="C4" s="2">
        <v>680579.16416666657</v>
      </c>
      <c r="D4" s="2">
        <v>8166949.9699999997</v>
      </c>
    </row>
    <row r="5" spans="1:4" x14ac:dyDescent="0.25">
      <c r="A5" s="4" t="s">
        <v>1439</v>
      </c>
      <c r="B5" s="2">
        <v>594755287.78000009</v>
      </c>
      <c r="C5" s="2">
        <v>17927211.415817257</v>
      </c>
      <c r="D5" s="2">
        <v>215126536.9898071</v>
      </c>
    </row>
    <row r="6" spans="1:4" x14ac:dyDescent="0.25">
      <c r="A6" s="5">
        <v>2051</v>
      </c>
      <c r="B6" s="2">
        <v>11342459.75</v>
      </c>
      <c r="C6" s="2">
        <v>270375.4026484018</v>
      </c>
      <c r="D6" s="2">
        <v>3244504.831780822</v>
      </c>
    </row>
    <row r="7" spans="1:4" x14ac:dyDescent="0.25">
      <c r="A7" s="5">
        <v>2053</v>
      </c>
      <c r="B7" s="2">
        <v>47231579.389999993</v>
      </c>
      <c r="C7" s="2">
        <v>902652.27973864821</v>
      </c>
      <c r="D7" s="2">
        <v>10831827.356863778</v>
      </c>
    </row>
    <row r="8" spans="1:4" x14ac:dyDescent="0.25">
      <c r="A8" s="5">
        <v>2100</v>
      </c>
      <c r="B8" s="2">
        <v>77911378.910000011</v>
      </c>
      <c r="C8" s="2">
        <v>2833035.9042463377</v>
      </c>
      <c r="D8" s="2">
        <v>33996430.850956053</v>
      </c>
    </row>
    <row r="9" spans="1:4" x14ac:dyDescent="0.25">
      <c r="A9" s="5">
        <v>2142</v>
      </c>
      <c r="B9" s="2">
        <v>3000</v>
      </c>
      <c r="C9" s="2">
        <v>3000</v>
      </c>
      <c r="D9" s="2">
        <v>36000</v>
      </c>
    </row>
    <row r="10" spans="1:4" x14ac:dyDescent="0.25">
      <c r="A10" s="5">
        <v>2157</v>
      </c>
      <c r="B10" s="2">
        <v>80818081.900000006</v>
      </c>
      <c r="C10" s="2">
        <v>1683283.8421568947</v>
      </c>
      <c r="D10" s="2">
        <v>20199406.105882734</v>
      </c>
    </row>
    <row r="11" spans="1:4" x14ac:dyDescent="0.25">
      <c r="A11" s="5">
        <v>2171</v>
      </c>
      <c r="B11" s="2">
        <v>12671460.24</v>
      </c>
      <c r="C11" s="2">
        <v>591412.49072916666</v>
      </c>
      <c r="D11" s="2">
        <v>7096949.8887500009</v>
      </c>
    </row>
    <row r="12" spans="1:4" x14ac:dyDescent="0.25">
      <c r="A12" s="5">
        <v>2431</v>
      </c>
      <c r="B12" s="2">
        <v>38697968.590000004</v>
      </c>
      <c r="C12" s="2">
        <v>1084266.1955341881</v>
      </c>
      <c r="D12" s="2">
        <v>13011194.346410256</v>
      </c>
    </row>
    <row r="13" spans="1:4" x14ac:dyDescent="0.25">
      <c r="A13" s="5">
        <v>2818</v>
      </c>
      <c r="B13" s="2">
        <v>270295.37</v>
      </c>
      <c r="C13" s="2">
        <v>7650.3158333333331</v>
      </c>
      <c r="D13" s="2">
        <v>91803.79</v>
      </c>
    </row>
    <row r="14" spans="1:4" x14ac:dyDescent="0.25">
      <c r="A14" s="5">
        <v>4318</v>
      </c>
      <c r="B14" s="2">
        <v>48461442.240000002</v>
      </c>
      <c r="C14" s="2">
        <v>1242930.0584615385</v>
      </c>
      <c r="D14" s="2">
        <v>14915160.70153846</v>
      </c>
    </row>
    <row r="15" spans="1:4" x14ac:dyDescent="0.25">
      <c r="A15" s="5">
        <v>4319</v>
      </c>
      <c r="B15" s="2">
        <v>10320</v>
      </c>
      <c r="C15" s="2">
        <v>860</v>
      </c>
      <c r="D15" s="2">
        <v>10320</v>
      </c>
    </row>
    <row r="16" spans="1:4" x14ac:dyDescent="0.25">
      <c r="A16" s="5">
        <v>4320</v>
      </c>
      <c r="B16" s="2">
        <v>14000</v>
      </c>
      <c r="C16" s="2">
        <v>14000</v>
      </c>
      <c r="D16" s="2">
        <v>168000</v>
      </c>
    </row>
    <row r="17" spans="1:4" x14ac:dyDescent="0.25">
      <c r="A17" s="5">
        <v>4321</v>
      </c>
      <c r="B17" s="2">
        <v>10376009.6</v>
      </c>
      <c r="C17" s="2">
        <v>864667.46666666667</v>
      </c>
      <c r="D17" s="2">
        <v>10376009.6</v>
      </c>
    </row>
    <row r="18" spans="1:4" x14ac:dyDescent="0.25">
      <c r="A18" s="5">
        <v>4322</v>
      </c>
      <c r="B18" s="2">
        <v>25790.2</v>
      </c>
      <c r="C18" s="2">
        <v>20489.116666666669</v>
      </c>
      <c r="D18" s="2">
        <v>245869.4</v>
      </c>
    </row>
    <row r="19" spans="1:4" x14ac:dyDescent="0.25">
      <c r="A19" s="5">
        <v>4326</v>
      </c>
      <c r="B19" s="2">
        <v>70275216.910000011</v>
      </c>
      <c r="C19" s="2">
        <v>1378673.3496486489</v>
      </c>
      <c r="D19" s="2">
        <v>16544080.195783783</v>
      </c>
    </row>
    <row r="20" spans="1:4" x14ac:dyDescent="0.25">
      <c r="A20" s="5">
        <v>4328</v>
      </c>
      <c r="B20" s="2">
        <v>8790682.379999999</v>
      </c>
      <c r="C20" s="2">
        <v>147681.4103529412</v>
      </c>
      <c r="D20" s="2">
        <v>1772176.9242352941</v>
      </c>
    </row>
    <row r="21" spans="1:4" x14ac:dyDescent="0.25">
      <c r="A21" s="5">
        <v>4329</v>
      </c>
      <c r="B21" s="2">
        <v>3588800</v>
      </c>
      <c r="C21" s="2">
        <v>319900</v>
      </c>
      <c r="D21" s="2">
        <v>3838800</v>
      </c>
    </row>
    <row r="22" spans="1:4" x14ac:dyDescent="0.25">
      <c r="A22" s="5">
        <v>4330</v>
      </c>
      <c r="B22" s="2">
        <v>17544442.98</v>
      </c>
      <c r="C22" s="2">
        <v>356030.02316666662</v>
      </c>
      <c r="D22" s="2">
        <v>4272360.2779999999</v>
      </c>
    </row>
    <row r="23" spans="1:4" x14ac:dyDescent="0.25">
      <c r="A23" s="5">
        <v>4332</v>
      </c>
      <c r="B23" s="2">
        <v>18834487.100000001</v>
      </c>
      <c r="C23" s="2">
        <v>536767.44722222222</v>
      </c>
      <c r="D23" s="2">
        <v>6441209.3666666672</v>
      </c>
    </row>
    <row r="24" spans="1:4" x14ac:dyDescent="0.25">
      <c r="A24" s="5">
        <v>4333</v>
      </c>
      <c r="B24" s="2">
        <v>16711.96</v>
      </c>
      <c r="C24" s="2">
        <v>1367.0223076923075</v>
      </c>
      <c r="D24" s="2">
        <v>16404.267692307691</v>
      </c>
    </row>
    <row r="25" spans="1:4" x14ac:dyDescent="0.25">
      <c r="A25" s="5">
        <v>4334</v>
      </c>
      <c r="B25" s="2">
        <v>28107224.84</v>
      </c>
      <c r="C25" s="2">
        <v>877485.99165165168</v>
      </c>
      <c r="D25" s="2">
        <v>10529831.899819819</v>
      </c>
    </row>
    <row r="26" spans="1:4" x14ac:dyDescent="0.25">
      <c r="A26" s="5">
        <v>4470</v>
      </c>
      <c r="B26" s="2">
        <v>52583136.24000001</v>
      </c>
      <c r="C26" s="2">
        <v>1925791.028374359</v>
      </c>
      <c r="D26" s="2">
        <v>23109492.340492304</v>
      </c>
    </row>
    <row r="27" spans="1:4" x14ac:dyDescent="0.25">
      <c r="A27" s="5">
        <v>6178</v>
      </c>
      <c r="B27" s="2">
        <v>67180799.180000007</v>
      </c>
      <c r="C27" s="2">
        <v>2864892.0704112323</v>
      </c>
      <c r="D27" s="2">
        <v>34378704.844934784</v>
      </c>
    </row>
    <row r="28" spans="1:4" x14ac:dyDescent="0.25">
      <c r="A28" s="4" t="s">
        <v>1434</v>
      </c>
      <c r="B28" s="2">
        <v>602916737.75</v>
      </c>
      <c r="C28" s="2">
        <v>18607790.579983924</v>
      </c>
      <c r="D28" s="2">
        <v>223293486.95980707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95"/>
  <sheetViews>
    <sheetView tabSelected="1" topLeftCell="A7" workbookViewId="0">
      <selection activeCell="A37" sqref="A37"/>
    </sheetView>
  </sheetViews>
  <sheetFormatPr defaultRowHeight="15" x14ac:dyDescent="0.25"/>
  <cols>
    <col min="1" max="1" width="13.85546875" customWidth="1"/>
    <col min="2" max="2" width="19.28515625" customWidth="1"/>
    <col min="3" max="3" width="11.5703125" customWidth="1"/>
    <col min="5" max="5" width="9.42578125" customWidth="1"/>
    <col min="6" max="6" width="12.7109375" customWidth="1"/>
    <col min="7" max="7" width="11.5703125" customWidth="1"/>
    <col min="8" max="8" width="10.28515625" customWidth="1"/>
    <col min="9" max="9" width="10.5703125" customWidth="1"/>
    <col min="10" max="10" width="20.7109375" customWidth="1"/>
    <col min="11" max="11" width="20" customWidth="1"/>
    <col min="12" max="12" width="17" customWidth="1"/>
    <col min="13" max="13" width="24.7109375" customWidth="1"/>
    <col min="14" max="14" width="14.140625" customWidth="1"/>
    <col min="15" max="15" width="14" customWidth="1"/>
    <col min="16" max="16" width="21.85546875" customWidth="1"/>
    <col min="17" max="17" width="14.140625" customWidth="1"/>
    <col min="18" max="18" width="19.42578125" customWidth="1"/>
    <col min="19" max="19" width="23" customWidth="1"/>
    <col min="20" max="20" width="23.140625" customWidth="1"/>
    <col min="21" max="21" width="13.5703125" customWidth="1"/>
    <col min="22" max="22" width="16.5703125" customWidth="1"/>
    <col min="23" max="23" width="18.140625" customWidth="1"/>
    <col min="24" max="24" width="21.85546875" bestFit="1" customWidth="1"/>
    <col min="25" max="25" width="14.28515625" customWidth="1"/>
    <col min="26" max="26" width="17.140625" customWidth="1"/>
    <col min="27" max="27" width="13.85546875" customWidth="1"/>
    <col min="28" max="28" width="21.85546875" bestFit="1" customWidth="1"/>
    <col min="29" max="29" width="14.7109375" bestFit="1" customWidth="1"/>
    <col min="30" max="30" width="15.42578125" bestFit="1" customWidth="1"/>
    <col min="31" max="31" width="20.7109375" customWidth="1"/>
    <col min="32" max="32" width="21.5703125" customWidth="1"/>
    <col min="33" max="33" width="22.85546875" customWidth="1"/>
    <col min="34" max="34" width="14.42578125" customWidth="1"/>
    <col min="35" max="35" width="15.42578125" bestFit="1" customWidth="1"/>
    <col min="36" max="36" width="13.42578125" customWidth="1"/>
  </cols>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t="s">
        <v>36</v>
      </c>
      <c r="B2" t="s">
        <v>37</v>
      </c>
      <c r="C2" t="s">
        <v>38</v>
      </c>
      <c r="D2" t="s">
        <v>39</v>
      </c>
      <c r="E2">
        <v>14</v>
      </c>
      <c r="F2">
        <v>122</v>
      </c>
      <c r="G2">
        <v>3024</v>
      </c>
      <c r="H2">
        <v>2100</v>
      </c>
      <c r="I2" t="s">
        <v>48</v>
      </c>
      <c r="J2" t="s">
        <v>55</v>
      </c>
      <c r="K2" t="s">
        <v>56</v>
      </c>
      <c r="L2">
        <v>12</v>
      </c>
      <c r="M2" t="s">
        <v>51</v>
      </c>
      <c r="N2">
        <v>2024</v>
      </c>
      <c r="O2">
        <v>9352</v>
      </c>
      <c r="P2" t="s">
        <v>535</v>
      </c>
      <c r="Q2" t="s">
        <v>536</v>
      </c>
      <c r="R2" t="s">
        <v>537</v>
      </c>
      <c r="S2" t="s">
        <v>362</v>
      </c>
      <c r="T2" t="s">
        <v>538</v>
      </c>
      <c r="U2" t="s">
        <v>539</v>
      </c>
      <c r="V2">
        <v>62</v>
      </c>
      <c r="W2" t="str">
        <f ca="1">IF(Tabela1[[#This Row],[datVigencia]]=0,"Expirado",IF(Tabela1[[#This Row],[datVigencia]]&gt;TODAY(),"Vigente","Expirado"))</f>
        <v>Vigente</v>
      </c>
      <c r="X2" s="2">
        <v>60551377.200000003</v>
      </c>
      <c r="Y2" s="2">
        <v>0</v>
      </c>
      <c r="Z2" s="2">
        <v>1621502.56</v>
      </c>
      <c r="AA2" s="2">
        <v>0</v>
      </c>
      <c r="AB2" s="2">
        <f>Tabela1[[#This Row],[valPrincipal]]+Tabela1[[#This Row],[valReajustes]]+Tabela1[[#This Row],[valAditamentos]]-Tabela1[[#This Row],[valAnulacao]]</f>
        <v>62172879.760000005</v>
      </c>
      <c r="AC2" s="2">
        <f>IF(Tabela1[[#This Row],[VigenciaMeses]]=0,Tabela1[[#This Row],[valTotal]]/1,Tabela1[[#This Row],[valTotal]]/Tabela1[[#This Row],[VigenciaMeses]])</f>
        <v>1002788.3832258065</v>
      </c>
      <c r="AD2" s="2">
        <f>Tabela1[[#This Row],[valMensal]]*12</f>
        <v>12033460.598709678</v>
      </c>
      <c r="AE2" s="2">
        <v>19664731.09</v>
      </c>
      <c r="AF2" s="2">
        <v>5393264.5800000001</v>
      </c>
      <c r="AG2" s="2">
        <v>14271466.51</v>
      </c>
      <c r="AH2" s="2">
        <v>10075765.460000001</v>
      </c>
      <c r="AI2" s="2">
        <v>9194069.7799999993</v>
      </c>
      <c r="AJ2" t="s">
        <v>47</v>
      </c>
    </row>
    <row r="3" spans="1:36" x14ac:dyDescent="0.25">
      <c r="A3" t="s">
        <v>36</v>
      </c>
      <c r="B3" t="s">
        <v>37</v>
      </c>
      <c r="C3" t="s">
        <v>38</v>
      </c>
      <c r="D3" t="s">
        <v>39</v>
      </c>
      <c r="E3">
        <v>14</v>
      </c>
      <c r="F3">
        <v>422</v>
      </c>
      <c r="G3">
        <v>3013</v>
      </c>
      <c r="H3">
        <v>2053</v>
      </c>
      <c r="I3" t="s">
        <v>103</v>
      </c>
      <c r="J3" t="s">
        <v>104</v>
      </c>
      <c r="K3" t="s">
        <v>105</v>
      </c>
      <c r="L3">
        <v>8</v>
      </c>
      <c r="M3" t="s">
        <v>43</v>
      </c>
      <c r="N3">
        <v>2024</v>
      </c>
      <c r="O3">
        <v>35771</v>
      </c>
      <c r="P3" t="s">
        <v>106</v>
      </c>
      <c r="Q3" t="s">
        <v>107</v>
      </c>
      <c r="R3" t="s">
        <v>108</v>
      </c>
      <c r="S3" t="s">
        <v>109</v>
      </c>
      <c r="T3" t="s">
        <v>110</v>
      </c>
      <c r="U3" t="s">
        <v>111</v>
      </c>
      <c r="V3">
        <v>60</v>
      </c>
      <c r="W3" t="str">
        <f ca="1">IF(Tabela1[[#This Row],[datVigencia]]=0,"Expirado",IF(Tabela1[[#This Row],[datVigencia]]&gt;TODAY(),"Vigente","Expirado"))</f>
        <v>Vigente</v>
      </c>
      <c r="X3" s="2">
        <v>29261923.18</v>
      </c>
      <c r="Y3" s="2">
        <v>0</v>
      </c>
      <c r="Z3" s="2">
        <v>0</v>
      </c>
      <c r="AA3" s="2">
        <v>0</v>
      </c>
      <c r="AB3" s="2">
        <f>Tabela1[[#This Row],[valPrincipal]]+Tabela1[[#This Row],[valReajustes]]+Tabela1[[#This Row],[valAditamentos]]-Tabela1[[#This Row],[valAnulacao]]</f>
        <v>29261923.18</v>
      </c>
      <c r="AC3" s="2">
        <f>IF(Tabela1[[#This Row],[VigenciaMeses]]=0,Tabela1[[#This Row],[valTotal]]/1,Tabela1[[#This Row],[valTotal]]/Tabela1[[#This Row],[VigenciaMeses]])</f>
        <v>487698.71966666664</v>
      </c>
      <c r="AD3" s="2">
        <f>Tabela1[[#This Row],[valMensal]]*12</f>
        <v>5852384.6359999999</v>
      </c>
      <c r="AE3" s="2">
        <v>4081736.16</v>
      </c>
      <c r="AF3" s="2">
        <v>82650.899999999994</v>
      </c>
      <c r="AG3" s="2">
        <v>3999085.26</v>
      </c>
      <c r="AH3" s="2">
        <v>3901589.74</v>
      </c>
      <c r="AI3" s="2">
        <v>3901589.74</v>
      </c>
      <c r="AJ3" t="s">
        <v>47</v>
      </c>
    </row>
    <row r="4" spans="1:36" x14ac:dyDescent="0.25">
      <c r="A4" t="s">
        <v>36</v>
      </c>
      <c r="B4" t="s">
        <v>37</v>
      </c>
      <c r="C4" t="s">
        <v>38</v>
      </c>
      <c r="D4" t="s">
        <v>39</v>
      </c>
      <c r="E4">
        <v>8</v>
      </c>
      <c r="F4">
        <v>605</v>
      </c>
      <c r="G4">
        <v>3016</v>
      </c>
      <c r="H4">
        <v>4470</v>
      </c>
      <c r="I4" t="s">
        <v>48</v>
      </c>
      <c r="J4" t="s">
        <v>55</v>
      </c>
      <c r="K4" t="s">
        <v>56</v>
      </c>
      <c r="L4">
        <v>12</v>
      </c>
      <c r="M4" t="s">
        <v>51</v>
      </c>
      <c r="N4">
        <v>2023</v>
      </c>
      <c r="O4">
        <v>33116</v>
      </c>
      <c r="P4" t="s">
        <v>774</v>
      </c>
      <c r="Q4" t="s">
        <v>775</v>
      </c>
      <c r="R4" t="s">
        <v>776</v>
      </c>
      <c r="S4" t="s">
        <v>136</v>
      </c>
      <c r="T4" t="s">
        <v>192</v>
      </c>
      <c r="U4" t="s">
        <v>642</v>
      </c>
      <c r="V4">
        <v>24</v>
      </c>
      <c r="W4" t="str">
        <f ca="1">IF(Tabela1[[#This Row],[datVigencia]]=0,"Expirado",IF(Tabela1[[#This Row],[datVigencia]]&gt;TODAY(),"Vigente","Expirado"))</f>
        <v>Vigente</v>
      </c>
      <c r="X4" s="2">
        <v>18606900</v>
      </c>
      <c r="Y4" s="2">
        <v>0</v>
      </c>
      <c r="Z4" s="2">
        <v>18606900</v>
      </c>
      <c r="AA4" s="2">
        <v>0</v>
      </c>
      <c r="AB4" s="2">
        <f>Tabela1[[#This Row],[valPrincipal]]+Tabela1[[#This Row],[valReajustes]]+Tabela1[[#This Row],[valAditamentos]]-Tabela1[[#This Row],[valAnulacao]]</f>
        <v>37213800</v>
      </c>
      <c r="AC4" s="2">
        <f>IF(Tabela1[[#This Row],[VigenciaMeses]]=0,Tabela1[[#This Row],[valTotal]]/1,Tabela1[[#This Row],[valTotal]]/Tabela1[[#This Row],[VigenciaMeses]])</f>
        <v>1550575</v>
      </c>
      <c r="AD4" s="2">
        <f>Tabela1[[#This Row],[valMensal]]*12</f>
        <v>18606900</v>
      </c>
      <c r="AE4" s="2">
        <v>31129056.84</v>
      </c>
      <c r="AF4" s="2">
        <v>773569.34</v>
      </c>
      <c r="AG4" s="2">
        <v>30355487.5</v>
      </c>
      <c r="AH4" s="2">
        <v>25524850</v>
      </c>
      <c r="AI4" s="2">
        <v>25524850</v>
      </c>
      <c r="AJ4" t="s">
        <v>47</v>
      </c>
    </row>
    <row r="5" spans="1:36" x14ac:dyDescent="0.25">
      <c r="A5" t="s">
        <v>36</v>
      </c>
      <c r="B5" t="s">
        <v>37</v>
      </c>
      <c r="C5" t="s">
        <v>38</v>
      </c>
      <c r="D5" t="s">
        <v>39</v>
      </c>
      <c r="E5">
        <v>14</v>
      </c>
      <c r="F5">
        <v>422</v>
      </c>
      <c r="G5">
        <v>3013</v>
      </c>
      <c r="H5">
        <v>2431</v>
      </c>
      <c r="I5" t="s">
        <v>103</v>
      </c>
      <c r="J5" t="s">
        <v>104</v>
      </c>
      <c r="K5" t="s">
        <v>105</v>
      </c>
      <c r="L5">
        <v>8</v>
      </c>
      <c r="M5" t="s">
        <v>43</v>
      </c>
      <c r="N5">
        <v>2024</v>
      </c>
      <c r="O5">
        <v>9176</v>
      </c>
      <c r="P5" t="s">
        <v>377</v>
      </c>
      <c r="Q5" t="s">
        <v>378</v>
      </c>
      <c r="R5" t="s">
        <v>379</v>
      </c>
      <c r="S5" t="s">
        <v>380</v>
      </c>
      <c r="T5" t="s">
        <v>381</v>
      </c>
      <c r="U5" t="s">
        <v>382</v>
      </c>
      <c r="V5">
        <v>36</v>
      </c>
      <c r="W5" t="str">
        <f ca="1">IF(Tabela1[[#This Row],[datVigencia]]=0,"Expirado",IF(Tabela1[[#This Row],[datVigencia]]&gt;TODAY(),"Vigente","Expirado"))</f>
        <v>Vigente</v>
      </c>
      <c r="X5" s="2">
        <v>16304045.5</v>
      </c>
      <c r="Y5" s="2">
        <v>0</v>
      </c>
      <c r="Z5" s="2">
        <v>0</v>
      </c>
      <c r="AA5" s="2">
        <v>0</v>
      </c>
      <c r="AB5" s="2">
        <f>Tabela1[[#This Row],[valPrincipal]]+Tabela1[[#This Row],[valReajustes]]+Tabela1[[#This Row],[valAditamentos]]-Tabela1[[#This Row],[valAnulacao]]</f>
        <v>16304045.5</v>
      </c>
      <c r="AC5" s="2">
        <f>IF(Tabela1[[#This Row],[VigenciaMeses]]=0,Tabela1[[#This Row],[valTotal]]/1,Tabela1[[#This Row],[valTotal]]/Tabela1[[#This Row],[VigenciaMeses]])</f>
        <v>452890.15277777775</v>
      </c>
      <c r="AD5" s="2">
        <f>Tabela1[[#This Row],[valMensal]]*12</f>
        <v>5434681.833333333</v>
      </c>
      <c r="AE5" s="2">
        <v>8547828.3100000005</v>
      </c>
      <c r="AF5" s="2">
        <v>769037.64</v>
      </c>
      <c r="AG5" s="2">
        <v>7778790.6699999999</v>
      </c>
      <c r="AH5" s="2">
        <v>6679123.2300000004</v>
      </c>
      <c r="AI5" s="2">
        <v>6679123.2300000004</v>
      </c>
      <c r="AJ5" t="s">
        <v>47</v>
      </c>
    </row>
    <row r="6" spans="1:36" x14ac:dyDescent="0.25">
      <c r="A6" t="s">
        <v>36</v>
      </c>
      <c r="B6" t="s">
        <v>37</v>
      </c>
      <c r="C6" t="s">
        <v>38</v>
      </c>
      <c r="D6" t="s">
        <v>39</v>
      </c>
      <c r="E6">
        <v>14</v>
      </c>
      <c r="F6">
        <v>422</v>
      </c>
      <c r="G6">
        <v>3013</v>
      </c>
      <c r="H6">
        <v>2431</v>
      </c>
      <c r="I6" t="s">
        <v>103</v>
      </c>
      <c r="J6" t="s">
        <v>104</v>
      </c>
      <c r="K6" t="s">
        <v>105</v>
      </c>
      <c r="L6">
        <v>8</v>
      </c>
      <c r="M6" t="s">
        <v>43</v>
      </c>
      <c r="N6">
        <v>2024</v>
      </c>
      <c r="O6">
        <v>9156</v>
      </c>
      <c r="P6" t="s">
        <v>358</v>
      </c>
      <c r="Q6" t="s">
        <v>359</v>
      </c>
      <c r="R6" t="s">
        <v>360</v>
      </c>
      <c r="S6" t="s">
        <v>361</v>
      </c>
      <c r="T6" t="s">
        <v>362</v>
      </c>
      <c r="U6" t="s">
        <v>363</v>
      </c>
      <c r="V6">
        <v>36</v>
      </c>
      <c r="W6" t="str">
        <f ca="1">IF(Tabela1[[#This Row],[datVigencia]]=0,"Expirado",IF(Tabela1[[#This Row],[datVigencia]]&gt;TODAY(),"Vigente","Expirado"))</f>
        <v>Vigente</v>
      </c>
      <c r="X6" s="2">
        <v>14272370.550000001</v>
      </c>
      <c r="Y6" s="2">
        <v>0</v>
      </c>
      <c r="Z6" s="2">
        <v>0</v>
      </c>
      <c r="AA6" s="2">
        <v>0</v>
      </c>
      <c r="AB6" s="2">
        <f>Tabela1[[#This Row],[valPrincipal]]+Tabela1[[#This Row],[valReajustes]]+Tabela1[[#This Row],[valAditamentos]]-Tabela1[[#This Row],[valAnulacao]]</f>
        <v>14272370.550000001</v>
      </c>
      <c r="AC6" s="2">
        <f>IF(Tabela1[[#This Row],[VigenciaMeses]]=0,Tabela1[[#This Row],[valTotal]]/1,Tabela1[[#This Row],[valTotal]]/Tabela1[[#This Row],[VigenciaMeses]])</f>
        <v>396454.73750000005</v>
      </c>
      <c r="AD6" s="2">
        <f>Tabela1[[#This Row],[valMensal]]*12</f>
        <v>4757456.8500000006</v>
      </c>
      <c r="AE6" s="2">
        <v>8428383.9800000004</v>
      </c>
      <c r="AF6" s="2">
        <v>4207217.51</v>
      </c>
      <c r="AG6" s="2">
        <v>4221166.47</v>
      </c>
      <c r="AH6" s="2">
        <v>3056500.29</v>
      </c>
      <c r="AI6" s="2">
        <v>3056500.29</v>
      </c>
      <c r="AJ6" t="s">
        <v>47</v>
      </c>
    </row>
    <row r="7" spans="1:36" x14ac:dyDescent="0.25">
      <c r="A7" t="s">
        <v>36</v>
      </c>
      <c r="B7" t="s">
        <v>37</v>
      </c>
      <c r="C7" t="s">
        <v>38</v>
      </c>
      <c r="D7" t="s">
        <v>39</v>
      </c>
      <c r="E7">
        <v>14</v>
      </c>
      <c r="F7">
        <v>422</v>
      </c>
      <c r="G7">
        <v>3018</v>
      </c>
      <c r="H7">
        <v>4318</v>
      </c>
      <c r="I7" t="s">
        <v>103</v>
      </c>
      <c r="J7" t="s">
        <v>104</v>
      </c>
      <c r="K7" t="s">
        <v>105</v>
      </c>
      <c r="L7">
        <v>8</v>
      </c>
      <c r="M7" t="s">
        <v>43</v>
      </c>
      <c r="N7">
        <v>2022</v>
      </c>
      <c r="O7">
        <v>36535</v>
      </c>
      <c r="P7" t="s">
        <v>389</v>
      </c>
      <c r="Q7" t="s">
        <v>390</v>
      </c>
      <c r="R7" t="s">
        <v>391</v>
      </c>
      <c r="S7" t="s">
        <v>392</v>
      </c>
      <c r="T7" t="s">
        <v>393</v>
      </c>
      <c r="U7" t="s">
        <v>394</v>
      </c>
      <c r="V7">
        <v>39</v>
      </c>
      <c r="W7" t="str">
        <f ca="1">IF(Tabela1[[#This Row],[datVigencia]]=0,"Expirado",IF(Tabela1[[#This Row],[datVigencia]]&gt;TODAY(),"Vigente","Expirado"))</f>
        <v>Vigente</v>
      </c>
      <c r="X7" s="2">
        <v>14027720</v>
      </c>
      <c r="Y7" s="2">
        <v>0</v>
      </c>
      <c r="Z7" s="2">
        <v>34428020</v>
      </c>
      <c r="AA7" s="2">
        <v>0</v>
      </c>
      <c r="AB7" s="2">
        <f>Tabela1[[#This Row],[valPrincipal]]+Tabela1[[#This Row],[valReajustes]]+Tabela1[[#This Row],[valAditamentos]]-Tabela1[[#This Row],[valAnulacao]]</f>
        <v>48455740</v>
      </c>
      <c r="AC7" s="2">
        <f>IF(Tabela1[[#This Row],[VigenciaMeses]]=0,Tabela1[[#This Row],[valTotal]]/1,Tabela1[[#This Row],[valTotal]]/Tabela1[[#This Row],[VigenciaMeses]])</f>
        <v>1242454.8717948718</v>
      </c>
      <c r="AD7" s="2">
        <f>Tabela1[[#This Row],[valMensal]]*12</f>
        <v>14909458.46153846</v>
      </c>
      <c r="AE7" s="2">
        <v>39675591.399999999</v>
      </c>
      <c r="AF7" s="2">
        <v>8.4</v>
      </c>
      <c r="AG7" s="2">
        <v>39675583</v>
      </c>
      <c r="AH7" s="2">
        <v>39675583</v>
      </c>
      <c r="AI7" s="2">
        <v>39675583</v>
      </c>
      <c r="AJ7" t="s">
        <v>47</v>
      </c>
    </row>
    <row r="8" spans="1:36" x14ac:dyDescent="0.25">
      <c r="A8" t="s">
        <v>36</v>
      </c>
      <c r="B8" t="s">
        <v>37</v>
      </c>
      <c r="C8" t="s">
        <v>38</v>
      </c>
      <c r="D8" t="s">
        <v>39</v>
      </c>
      <c r="E8">
        <v>14</v>
      </c>
      <c r="F8">
        <v>422</v>
      </c>
      <c r="G8">
        <v>3013</v>
      </c>
      <c r="H8">
        <v>6178</v>
      </c>
      <c r="I8" t="s">
        <v>103</v>
      </c>
      <c r="J8" t="s">
        <v>104</v>
      </c>
      <c r="K8" t="s">
        <v>105</v>
      </c>
      <c r="L8">
        <v>8</v>
      </c>
      <c r="M8" t="s">
        <v>43</v>
      </c>
      <c r="N8">
        <v>2024</v>
      </c>
      <c r="O8">
        <v>9969</v>
      </c>
      <c r="P8" t="s">
        <v>266</v>
      </c>
      <c r="Q8" t="s">
        <v>267</v>
      </c>
      <c r="R8" t="s">
        <v>268</v>
      </c>
      <c r="S8" t="s">
        <v>269</v>
      </c>
      <c r="T8" t="s">
        <v>270</v>
      </c>
      <c r="U8" t="s">
        <v>271</v>
      </c>
      <c r="V8">
        <v>36</v>
      </c>
      <c r="W8" t="str">
        <f ca="1">IF(Tabela1[[#This Row],[datVigencia]]=0,"Expirado",IF(Tabela1[[#This Row],[datVigencia]]&gt;TODAY(),"Vigente","Expirado"))</f>
        <v>Vigente</v>
      </c>
      <c r="X8" s="2">
        <v>11313942.029999999</v>
      </c>
      <c r="Y8" s="2">
        <v>0</v>
      </c>
      <c r="Z8" s="2">
        <v>0</v>
      </c>
      <c r="AA8" s="2">
        <v>0</v>
      </c>
      <c r="AB8" s="2">
        <f>Tabela1[[#This Row],[valPrincipal]]+Tabela1[[#This Row],[valReajustes]]+Tabela1[[#This Row],[valAditamentos]]-Tabela1[[#This Row],[valAnulacao]]</f>
        <v>11313942.029999999</v>
      </c>
      <c r="AC8" s="2">
        <f>IF(Tabela1[[#This Row],[VigenciaMeses]]=0,Tabela1[[#This Row],[valTotal]]/1,Tabela1[[#This Row],[valTotal]]/Tabela1[[#This Row],[VigenciaMeses]])</f>
        <v>314276.16749999998</v>
      </c>
      <c r="AD8" s="2">
        <f>Tabela1[[#This Row],[valMensal]]*12</f>
        <v>3771314.01</v>
      </c>
      <c r="AE8" s="2">
        <v>5844042.0199999996</v>
      </c>
      <c r="AF8" s="2">
        <v>0.05</v>
      </c>
      <c r="AG8" s="2">
        <v>5844041.9699999997</v>
      </c>
      <c r="AH8" s="2">
        <v>5844041.9699999997</v>
      </c>
      <c r="AI8" s="2">
        <v>5844041.9699999997</v>
      </c>
      <c r="AJ8" t="s">
        <v>47</v>
      </c>
    </row>
    <row r="9" spans="1:36" x14ac:dyDescent="0.25">
      <c r="A9" t="s">
        <v>36</v>
      </c>
      <c r="B9" t="s">
        <v>37</v>
      </c>
      <c r="C9" t="s">
        <v>38</v>
      </c>
      <c r="D9" t="s">
        <v>39</v>
      </c>
      <c r="E9">
        <v>14</v>
      </c>
      <c r="F9">
        <v>422</v>
      </c>
      <c r="G9">
        <v>3018</v>
      </c>
      <c r="H9">
        <v>4326</v>
      </c>
      <c r="I9" t="s">
        <v>103</v>
      </c>
      <c r="J9" t="s">
        <v>295</v>
      </c>
      <c r="K9" t="s">
        <v>296</v>
      </c>
      <c r="L9">
        <v>8</v>
      </c>
      <c r="M9" t="s">
        <v>43</v>
      </c>
      <c r="N9">
        <v>2024</v>
      </c>
      <c r="O9">
        <v>42334</v>
      </c>
      <c r="P9" t="s">
        <v>898</v>
      </c>
      <c r="Q9" t="s">
        <v>899</v>
      </c>
      <c r="R9" t="s">
        <v>900</v>
      </c>
      <c r="S9" t="s">
        <v>240</v>
      </c>
      <c r="T9" t="s">
        <v>235</v>
      </c>
      <c r="U9" t="s">
        <v>241</v>
      </c>
      <c r="V9">
        <v>60</v>
      </c>
      <c r="W9" t="str">
        <f ca="1">IF(Tabela1[[#This Row],[datVigencia]]=0,"Expirado",IF(Tabela1[[#This Row],[datVigencia]]&gt;TODAY(),"Vigente","Expirado"))</f>
        <v>Vigente</v>
      </c>
      <c r="X9" s="2">
        <v>10990283.77</v>
      </c>
      <c r="Y9" s="2">
        <v>0</v>
      </c>
      <c r="Z9" s="2">
        <v>0</v>
      </c>
      <c r="AA9" s="2">
        <v>0</v>
      </c>
      <c r="AB9" s="2">
        <f>Tabela1[[#This Row],[valPrincipal]]+Tabela1[[#This Row],[valReajustes]]+Tabela1[[#This Row],[valAditamentos]]-Tabela1[[#This Row],[valAnulacao]]</f>
        <v>10990283.77</v>
      </c>
      <c r="AC9" s="2">
        <f>IF(Tabela1[[#This Row],[VigenciaMeses]]=0,Tabela1[[#This Row],[valTotal]]/1,Tabela1[[#This Row],[valTotal]]/Tabela1[[#This Row],[VigenciaMeses]])</f>
        <v>183171.39616666667</v>
      </c>
      <c r="AD9" s="2">
        <f>Tabela1[[#This Row],[valMensal]]*12</f>
        <v>2198056.7540000002</v>
      </c>
      <c r="AE9" s="2">
        <v>1316244.44</v>
      </c>
      <c r="AF9" s="2">
        <v>0</v>
      </c>
      <c r="AG9" s="2">
        <v>1316244.44</v>
      </c>
      <c r="AH9" s="2">
        <v>1095174.27</v>
      </c>
      <c r="AI9" s="2">
        <v>1095174.27</v>
      </c>
      <c r="AJ9" t="s">
        <v>47</v>
      </c>
    </row>
    <row r="10" spans="1:36" x14ac:dyDescent="0.25">
      <c r="A10" t="s">
        <v>36</v>
      </c>
      <c r="B10" t="s">
        <v>37</v>
      </c>
      <c r="C10" t="s">
        <v>38</v>
      </c>
      <c r="D10" t="s">
        <v>39</v>
      </c>
      <c r="E10">
        <v>14</v>
      </c>
      <c r="F10">
        <v>422</v>
      </c>
      <c r="G10">
        <v>3018</v>
      </c>
      <c r="H10">
        <v>4326</v>
      </c>
      <c r="I10" t="s">
        <v>103</v>
      </c>
      <c r="J10" t="s">
        <v>104</v>
      </c>
      <c r="K10" t="s">
        <v>105</v>
      </c>
      <c r="L10">
        <v>8</v>
      </c>
      <c r="M10" t="s">
        <v>43</v>
      </c>
      <c r="N10">
        <v>2024</v>
      </c>
      <c r="O10">
        <v>40397</v>
      </c>
      <c r="P10" t="s">
        <v>232</v>
      </c>
      <c r="Q10" t="s">
        <v>233</v>
      </c>
      <c r="R10" t="s">
        <v>234</v>
      </c>
      <c r="S10" t="s">
        <v>230</v>
      </c>
      <c r="T10" t="s">
        <v>235</v>
      </c>
      <c r="U10" t="s">
        <v>236</v>
      </c>
      <c r="V10">
        <v>60</v>
      </c>
      <c r="W10" t="str">
        <f ca="1">IF(Tabela1[[#This Row],[datVigencia]]=0,"Expirado",IF(Tabela1[[#This Row],[datVigencia]]&gt;TODAY(),"Vigente","Expirado"))</f>
        <v>Vigente</v>
      </c>
      <c r="X10" s="2">
        <v>10973446.390000001</v>
      </c>
      <c r="Y10" s="2">
        <v>0</v>
      </c>
      <c r="Z10" s="2">
        <v>0</v>
      </c>
      <c r="AA10" s="2">
        <v>0</v>
      </c>
      <c r="AB10" s="2">
        <f>Tabela1[[#This Row],[valPrincipal]]+Tabela1[[#This Row],[valReajustes]]+Tabela1[[#This Row],[valAditamentos]]-Tabela1[[#This Row],[valAnulacao]]</f>
        <v>10973446.390000001</v>
      </c>
      <c r="AC10" s="2">
        <f>IF(Tabela1[[#This Row],[VigenciaMeses]]=0,Tabela1[[#This Row],[valTotal]]/1,Tabela1[[#This Row],[valTotal]]/Tabela1[[#This Row],[VigenciaMeses]])</f>
        <v>182890.77316666668</v>
      </c>
      <c r="AD10" s="2">
        <f>Tabela1[[#This Row],[valMensal]]*12</f>
        <v>2194689.2779999999</v>
      </c>
      <c r="AE10" s="2">
        <v>1552248.17</v>
      </c>
      <c r="AF10" s="2">
        <v>173029.58</v>
      </c>
      <c r="AG10" s="2">
        <v>1379218.59</v>
      </c>
      <c r="AH10" s="2">
        <v>1206189</v>
      </c>
      <c r="AI10" s="2">
        <v>1206189</v>
      </c>
      <c r="AJ10" t="s">
        <v>47</v>
      </c>
    </row>
    <row r="11" spans="1:36" x14ac:dyDescent="0.25">
      <c r="A11" t="s">
        <v>36</v>
      </c>
      <c r="B11" t="s">
        <v>37</v>
      </c>
      <c r="C11" t="s">
        <v>38</v>
      </c>
      <c r="D11" t="s">
        <v>39</v>
      </c>
      <c r="E11">
        <v>14</v>
      </c>
      <c r="F11">
        <v>422</v>
      </c>
      <c r="G11">
        <v>3018</v>
      </c>
      <c r="H11">
        <v>4326</v>
      </c>
      <c r="I11" t="s">
        <v>103</v>
      </c>
      <c r="J11" t="s">
        <v>104</v>
      </c>
      <c r="K11" t="s">
        <v>105</v>
      </c>
      <c r="L11">
        <v>8</v>
      </c>
      <c r="M11" t="s">
        <v>43</v>
      </c>
      <c r="N11">
        <v>2024</v>
      </c>
      <c r="O11">
        <v>40416</v>
      </c>
      <c r="P11" t="s">
        <v>226</v>
      </c>
      <c r="Q11" t="s">
        <v>227</v>
      </c>
      <c r="R11" t="s">
        <v>228</v>
      </c>
      <c r="S11" t="s">
        <v>229</v>
      </c>
      <c r="T11" t="s">
        <v>230</v>
      </c>
      <c r="U11" t="s">
        <v>231</v>
      </c>
      <c r="V11">
        <v>60</v>
      </c>
      <c r="W11" t="str">
        <f ca="1">IF(Tabela1[[#This Row],[datVigencia]]=0,"Expirado",IF(Tabela1[[#This Row],[datVigencia]]&gt;TODAY(),"Vigente","Expirado"))</f>
        <v>Vigente</v>
      </c>
      <c r="X11" s="2">
        <v>10734226.390000001</v>
      </c>
      <c r="Y11" s="2">
        <v>0</v>
      </c>
      <c r="Z11" s="2">
        <v>0</v>
      </c>
      <c r="AA11" s="2">
        <v>0</v>
      </c>
      <c r="AB11" s="2">
        <f>Tabela1[[#This Row],[valPrincipal]]+Tabela1[[#This Row],[valReajustes]]+Tabela1[[#This Row],[valAditamentos]]-Tabela1[[#This Row],[valAnulacao]]</f>
        <v>10734226.390000001</v>
      </c>
      <c r="AC11" s="2">
        <f>IF(Tabela1[[#This Row],[VigenciaMeses]]=0,Tabela1[[#This Row],[valTotal]]/1,Tabela1[[#This Row],[valTotal]]/Tabela1[[#This Row],[VigenciaMeses]])</f>
        <v>178903.77316666668</v>
      </c>
      <c r="AD11" s="2">
        <f>Tabela1[[#This Row],[valMensal]]*12</f>
        <v>2146845.2779999999</v>
      </c>
      <c r="AE11" s="2">
        <v>1357574.09</v>
      </c>
      <c r="AF11" s="2">
        <v>160813.62</v>
      </c>
      <c r="AG11" s="2">
        <v>1196760.47</v>
      </c>
      <c r="AH11" s="2">
        <v>1035946.85</v>
      </c>
      <c r="AI11" s="2">
        <v>1035946.85</v>
      </c>
      <c r="AJ11" t="s">
        <v>47</v>
      </c>
    </row>
    <row r="12" spans="1:36" x14ac:dyDescent="0.25">
      <c r="A12" t="s">
        <v>36</v>
      </c>
      <c r="B12" t="s">
        <v>37</v>
      </c>
      <c r="C12" t="s">
        <v>38</v>
      </c>
      <c r="D12" t="s">
        <v>39</v>
      </c>
      <c r="E12">
        <v>14</v>
      </c>
      <c r="F12">
        <v>422</v>
      </c>
      <c r="G12">
        <v>3013</v>
      </c>
      <c r="H12">
        <v>6178</v>
      </c>
      <c r="I12" t="s">
        <v>103</v>
      </c>
      <c r="J12" t="s">
        <v>104</v>
      </c>
      <c r="K12" t="s">
        <v>105</v>
      </c>
      <c r="L12">
        <v>8</v>
      </c>
      <c r="M12" t="s">
        <v>43</v>
      </c>
      <c r="N12">
        <v>2024</v>
      </c>
      <c r="O12">
        <v>9982</v>
      </c>
      <c r="P12" t="s">
        <v>275</v>
      </c>
      <c r="Q12" t="s">
        <v>276</v>
      </c>
      <c r="R12" t="s">
        <v>277</v>
      </c>
      <c r="S12" t="s">
        <v>269</v>
      </c>
      <c r="T12" t="s">
        <v>278</v>
      </c>
      <c r="U12" t="s">
        <v>279</v>
      </c>
      <c r="V12">
        <v>36</v>
      </c>
      <c r="W12" t="str">
        <f ca="1">IF(Tabela1[[#This Row],[datVigencia]]=0,"Expirado",IF(Tabela1[[#This Row],[datVigencia]]&gt;TODAY(),"Vigente","Expirado"))</f>
        <v>Vigente</v>
      </c>
      <c r="X12" s="2">
        <v>10661243.34</v>
      </c>
      <c r="Y12" s="2">
        <v>0</v>
      </c>
      <c r="Z12" s="2">
        <v>0</v>
      </c>
      <c r="AA12" s="2">
        <v>0</v>
      </c>
      <c r="AB12" s="2">
        <f>Tabela1[[#This Row],[valPrincipal]]+Tabela1[[#This Row],[valReajustes]]+Tabela1[[#This Row],[valAditamentos]]-Tabela1[[#This Row],[valAnulacao]]</f>
        <v>10661243.34</v>
      </c>
      <c r="AC12" s="2">
        <f>IF(Tabela1[[#This Row],[VigenciaMeses]]=0,Tabela1[[#This Row],[valTotal]]/1,Tabela1[[#This Row],[valTotal]]/Tabela1[[#This Row],[VigenciaMeses]])</f>
        <v>296145.64833333332</v>
      </c>
      <c r="AD12" s="2">
        <f>Tabela1[[#This Row],[valMensal]]*12</f>
        <v>3553747.78</v>
      </c>
      <c r="AE12" s="2">
        <v>7699673.5199999996</v>
      </c>
      <c r="AF12" s="2">
        <v>1953884.81</v>
      </c>
      <c r="AG12" s="2">
        <v>5745788.71</v>
      </c>
      <c r="AH12" s="2">
        <v>5745788.71</v>
      </c>
      <c r="AI12" s="2">
        <v>5745788.71</v>
      </c>
      <c r="AJ12" t="s">
        <v>47</v>
      </c>
    </row>
    <row r="13" spans="1:36" x14ac:dyDescent="0.25">
      <c r="A13" t="s">
        <v>36</v>
      </c>
      <c r="B13" t="s">
        <v>37</v>
      </c>
      <c r="C13" t="s">
        <v>38</v>
      </c>
      <c r="D13" t="s">
        <v>39</v>
      </c>
      <c r="E13">
        <v>14</v>
      </c>
      <c r="F13">
        <v>422</v>
      </c>
      <c r="G13">
        <v>3013</v>
      </c>
      <c r="H13">
        <v>6178</v>
      </c>
      <c r="I13" t="s">
        <v>103</v>
      </c>
      <c r="J13" t="s">
        <v>104</v>
      </c>
      <c r="K13" t="s">
        <v>105</v>
      </c>
      <c r="L13">
        <v>8</v>
      </c>
      <c r="M13" t="s">
        <v>43</v>
      </c>
      <c r="N13">
        <v>2024</v>
      </c>
      <c r="O13">
        <v>10136</v>
      </c>
      <c r="P13" t="s">
        <v>280</v>
      </c>
      <c r="Q13" t="s">
        <v>281</v>
      </c>
      <c r="R13" t="s">
        <v>282</v>
      </c>
      <c r="S13" t="s">
        <v>269</v>
      </c>
      <c r="T13" t="s">
        <v>278</v>
      </c>
      <c r="U13" t="s">
        <v>271</v>
      </c>
      <c r="V13">
        <v>36</v>
      </c>
      <c r="W13" t="str">
        <f ca="1">IF(Tabela1[[#This Row],[datVigencia]]=0,"Expirado",IF(Tabela1[[#This Row],[datVigencia]]&gt;TODAY(),"Vigente","Expirado"))</f>
        <v>Vigente</v>
      </c>
      <c r="X13" s="2">
        <v>10661243.34</v>
      </c>
      <c r="Y13" s="2">
        <v>0</v>
      </c>
      <c r="Z13" s="2">
        <v>0</v>
      </c>
      <c r="AA13" s="2">
        <v>0</v>
      </c>
      <c r="AB13" s="2">
        <f>Tabela1[[#This Row],[valPrincipal]]+Tabela1[[#This Row],[valReajustes]]+Tabela1[[#This Row],[valAditamentos]]-Tabela1[[#This Row],[valAnulacao]]</f>
        <v>10661243.34</v>
      </c>
      <c r="AC13" s="2">
        <f>IF(Tabela1[[#This Row],[VigenciaMeses]]=0,Tabela1[[#This Row],[valTotal]]/1,Tabela1[[#This Row],[valTotal]]/Tabela1[[#This Row],[VigenciaMeses]])</f>
        <v>296145.64833333332</v>
      </c>
      <c r="AD13" s="2">
        <f>Tabela1[[#This Row],[valMensal]]*12</f>
        <v>3553747.78</v>
      </c>
      <c r="AE13" s="2">
        <v>5642023.2699999996</v>
      </c>
      <c r="AF13" s="2">
        <v>427625.04</v>
      </c>
      <c r="AG13" s="2">
        <v>5214398.2300000004</v>
      </c>
      <c r="AH13" s="2">
        <v>5214398.2300000004</v>
      </c>
      <c r="AI13" s="2">
        <v>5214398.2300000004</v>
      </c>
      <c r="AJ13" t="s">
        <v>47</v>
      </c>
    </row>
    <row r="14" spans="1:36" x14ac:dyDescent="0.25">
      <c r="A14" t="s">
        <v>36</v>
      </c>
      <c r="B14" t="s">
        <v>37</v>
      </c>
      <c r="C14" t="s">
        <v>38</v>
      </c>
      <c r="D14" t="s">
        <v>39</v>
      </c>
      <c r="E14">
        <v>14</v>
      </c>
      <c r="F14">
        <v>422</v>
      </c>
      <c r="G14">
        <v>3018</v>
      </c>
      <c r="H14">
        <v>4326</v>
      </c>
      <c r="I14" t="s">
        <v>103</v>
      </c>
      <c r="J14" t="s">
        <v>104</v>
      </c>
      <c r="K14" t="s">
        <v>105</v>
      </c>
      <c r="L14">
        <v>8</v>
      </c>
      <c r="M14" t="s">
        <v>43</v>
      </c>
      <c r="N14">
        <v>2024</v>
      </c>
      <c r="O14">
        <v>40399</v>
      </c>
      <c r="P14" t="s">
        <v>242</v>
      </c>
      <c r="Q14" t="s">
        <v>243</v>
      </c>
      <c r="R14" t="s">
        <v>244</v>
      </c>
      <c r="S14" t="s">
        <v>229</v>
      </c>
      <c r="T14" t="s">
        <v>230</v>
      </c>
      <c r="U14" t="s">
        <v>231</v>
      </c>
      <c r="V14">
        <v>60</v>
      </c>
      <c r="W14" t="str">
        <f ca="1">IF(Tabela1[[#This Row],[datVigencia]]=0,"Expirado",IF(Tabela1[[#This Row],[datVigencia]]&gt;TODAY(),"Vigente","Expirado"))</f>
        <v>Vigente</v>
      </c>
      <c r="X14" s="2">
        <v>10634446.390000001</v>
      </c>
      <c r="Y14" s="2">
        <v>0</v>
      </c>
      <c r="Z14" s="2">
        <v>0</v>
      </c>
      <c r="AA14" s="2">
        <v>0</v>
      </c>
      <c r="AB14" s="2">
        <f>Tabela1[[#This Row],[valPrincipal]]+Tabela1[[#This Row],[valReajustes]]+Tabela1[[#This Row],[valAditamentos]]-Tabela1[[#This Row],[valAnulacao]]</f>
        <v>10634446.390000001</v>
      </c>
      <c r="AC14" s="2">
        <f>IF(Tabela1[[#This Row],[VigenciaMeses]]=0,Tabela1[[#This Row],[valTotal]]/1,Tabela1[[#This Row],[valTotal]]/Tabela1[[#This Row],[VigenciaMeses]])</f>
        <v>177240.77316666668</v>
      </c>
      <c r="AD14" s="2">
        <f>Tabela1[[#This Row],[valMensal]]*12</f>
        <v>2126889.2779999999</v>
      </c>
      <c r="AE14" s="2">
        <v>1389012.99</v>
      </c>
      <c r="AF14" s="2">
        <v>272954.51</v>
      </c>
      <c r="AG14" s="2">
        <v>1116058.48</v>
      </c>
      <c r="AH14" s="2">
        <v>1116058.48</v>
      </c>
      <c r="AI14" s="2">
        <v>1116058.48</v>
      </c>
      <c r="AJ14" t="s">
        <v>47</v>
      </c>
    </row>
    <row r="15" spans="1:36" x14ac:dyDescent="0.25">
      <c r="A15" t="s">
        <v>36</v>
      </c>
      <c r="B15" t="s">
        <v>37</v>
      </c>
      <c r="C15" t="s">
        <v>38</v>
      </c>
      <c r="D15" t="s">
        <v>39</v>
      </c>
      <c r="E15">
        <v>14</v>
      </c>
      <c r="F15">
        <v>422</v>
      </c>
      <c r="G15">
        <v>3018</v>
      </c>
      <c r="H15">
        <v>4326</v>
      </c>
      <c r="I15" t="s">
        <v>103</v>
      </c>
      <c r="J15" t="s">
        <v>104</v>
      </c>
      <c r="K15" t="s">
        <v>105</v>
      </c>
      <c r="L15">
        <v>8</v>
      </c>
      <c r="M15" t="s">
        <v>43</v>
      </c>
      <c r="N15">
        <v>2024</v>
      </c>
      <c r="O15">
        <v>40431</v>
      </c>
      <c r="P15" t="s">
        <v>237</v>
      </c>
      <c r="Q15" t="s">
        <v>238</v>
      </c>
      <c r="R15" t="s">
        <v>239</v>
      </c>
      <c r="S15" t="s">
        <v>240</v>
      </c>
      <c r="T15" t="s">
        <v>235</v>
      </c>
      <c r="U15" t="s">
        <v>241</v>
      </c>
      <c r="V15">
        <v>60</v>
      </c>
      <c r="W15" t="str">
        <f ca="1">IF(Tabela1[[#This Row],[datVigencia]]=0,"Expirado",IF(Tabela1[[#This Row],[datVigencia]]&gt;TODAY(),"Vigente","Expirado"))</f>
        <v>Vigente</v>
      </c>
      <c r="X15" s="2">
        <v>10499746.390000001</v>
      </c>
      <c r="Y15" s="2">
        <v>0</v>
      </c>
      <c r="Z15" s="2">
        <v>0</v>
      </c>
      <c r="AA15" s="2">
        <v>0</v>
      </c>
      <c r="AB15" s="2">
        <f>Tabela1[[#This Row],[valPrincipal]]+Tabela1[[#This Row],[valReajustes]]+Tabela1[[#This Row],[valAditamentos]]-Tabela1[[#This Row],[valAnulacao]]</f>
        <v>10499746.390000001</v>
      </c>
      <c r="AC15" s="2">
        <f>IF(Tabela1[[#This Row],[VigenciaMeses]]=0,Tabela1[[#This Row],[valTotal]]/1,Tabela1[[#This Row],[valTotal]]/Tabela1[[#This Row],[VigenciaMeses]])</f>
        <v>174995.77316666668</v>
      </c>
      <c r="AD15" s="2">
        <f>Tabela1[[#This Row],[valMensal]]*12</f>
        <v>2099949.2779999999</v>
      </c>
      <c r="AE15" s="2">
        <v>1400634.17</v>
      </c>
      <c r="AF15" s="2">
        <v>118486.96</v>
      </c>
      <c r="AG15" s="2">
        <v>1282147.21</v>
      </c>
      <c r="AH15" s="2">
        <v>1115910.03</v>
      </c>
      <c r="AI15" s="2">
        <v>1115910.03</v>
      </c>
      <c r="AJ15" t="s">
        <v>47</v>
      </c>
    </row>
    <row r="16" spans="1:36" x14ac:dyDescent="0.25">
      <c r="A16" t="s">
        <v>36</v>
      </c>
      <c r="B16" t="s">
        <v>37</v>
      </c>
      <c r="C16" t="s">
        <v>38</v>
      </c>
      <c r="D16" t="s">
        <v>39</v>
      </c>
      <c r="E16">
        <v>14</v>
      </c>
      <c r="F16">
        <v>422</v>
      </c>
      <c r="G16">
        <v>3023</v>
      </c>
      <c r="H16">
        <v>4321</v>
      </c>
      <c r="I16" t="s">
        <v>48</v>
      </c>
      <c r="J16" t="s">
        <v>55</v>
      </c>
      <c r="K16" t="s">
        <v>56</v>
      </c>
      <c r="L16">
        <v>12</v>
      </c>
      <c r="M16" t="s">
        <v>51</v>
      </c>
      <c r="N16">
        <v>2025</v>
      </c>
      <c r="O16">
        <v>1139</v>
      </c>
      <c r="P16" t="s">
        <v>183</v>
      </c>
      <c r="Q16" t="s">
        <v>184</v>
      </c>
      <c r="R16" t="s">
        <v>185</v>
      </c>
      <c r="S16" t="s">
        <v>60</v>
      </c>
      <c r="T16" t="s">
        <v>186</v>
      </c>
      <c r="U16" t="s">
        <v>187</v>
      </c>
      <c r="V16">
        <v>12</v>
      </c>
      <c r="W16" t="str">
        <f ca="1">IF(Tabela1[[#This Row],[datVigencia]]=0,"Expirado",IF(Tabela1[[#This Row],[datVigencia]]&gt;TODAY(),"Vigente","Expirado"))</f>
        <v>Vigente</v>
      </c>
      <c r="X16" s="2">
        <v>10374000</v>
      </c>
      <c r="Y16" s="2">
        <v>0</v>
      </c>
      <c r="Z16" s="2">
        <v>0</v>
      </c>
      <c r="AA16" s="2">
        <v>0</v>
      </c>
      <c r="AB16" s="2">
        <f>Tabela1[[#This Row],[valPrincipal]]+Tabela1[[#This Row],[valReajustes]]+Tabela1[[#This Row],[valAditamentos]]-Tabela1[[#This Row],[valAnulacao]]</f>
        <v>10374000</v>
      </c>
      <c r="AC16" s="2">
        <f>IF(Tabela1[[#This Row],[VigenciaMeses]]=0,Tabela1[[#This Row],[valTotal]]/1,Tabela1[[#This Row],[valTotal]]/Tabela1[[#This Row],[VigenciaMeses]])</f>
        <v>864500</v>
      </c>
      <c r="AD16" s="2">
        <f>Tabela1[[#This Row],[valMensal]]*12</f>
        <v>10374000</v>
      </c>
      <c r="AE16" s="2">
        <v>10608767.35</v>
      </c>
      <c r="AF16" s="2">
        <v>7950406.8499999996</v>
      </c>
      <c r="AG16" s="2">
        <v>2658360.5</v>
      </c>
      <c r="AH16" s="2">
        <v>2057510</v>
      </c>
      <c r="AI16" s="2">
        <v>2057510</v>
      </c>
      <c r="AJ16" t="s">
        <v>47</v>
      </c>
    </row>
    <row r="17" spans="1:36" x14ac:dyDescent="0.25">
      <c r="A17" t="s">
        <v>36</v>
      </c>
      <c r="B17" t="s">
        <v>37</v>
      </c>
      <c r="C17" t="s">
        <v>38</v>
      </c>
      <c r="D17" t="s">
        <v>39</v>
      </c>
      <c r="E17">
        <v>14</v>
      </c>
      <c r="F17">
        <v>422</v>
      </c>
      <c r="G17">
        <v>3007</v>
      </c>
      <c r="H17">
        <v>4330</v>
      </c>
      <c r="I17" t="s">
        <v>103</v>
      </c>
      <c r="J17" t="s">
        <v>104</v>
      </c>
      <c r="K17" t="s">
        <v>105</v>
      </c>
      <c r="L17">
        <v>8</v>
      </c>
      <c r="M17" t="s">
        <v>43</v>
      </c>
      <c r="N17">
        <v>2024</v>
      </c>
      <c r="O17">
        <v>34998</v>
      </c>
      <c r="P17" t="s">
        <v>383</v>
      </c>
      <c r="Q17" t="s">
        <v>384</v>
      </c>
      <c r="R17" t="s">
        <v>385</v>
      </c>
      <c r="S17" t="s">
        <v>386</v>
      </c>
      <c r="T17" t="s">
        <v>387</v>
      </c>
      <c r="U17" t="s">
        <v>388</v>
      </c>
      <c r="V17">
        <v>60</v>
      </c>
      <c r="W17" t="str">
        <f ca="1">IF(Tabela1[[#This Row],[datVigencia]]=0,"Expirado",IF(Tabela1[[#This Row],[datVigencia]]&gt;TODAY(),"Vigente","Expirado"))</f>
        <v>Vigente</v>
      </c>
      <c r="X17" s="2">
        <v>9999124.3399999999</v>
      </c>
      <c r="Y17" s="2">
        <v>0</v>
      </c>
      <c r="Z17" s="2">
        <v>0</v>
      </c>
      <c r="AA17" s="2">
        <v>0</v>
      </c>
      <c r="AB17" s="2">
        <f>Tabela1[[#This Row],[valPrincipal]]+Tabela1[[#This Row],[valReajustes]]+Tabela1[[#This Row],[valAditamentos]]-Tabela1[[#This Row],[valAnulacao]]</f>
        <v>9999124.3399999999</v>
      </c>
      <c r="AC17" s="2">
        <f>IF(Tabela1[[#This Row],[VigenciaMeses]]=0,Tabela1[[#This Row],[valTotal]]/1,Tabela1[[#This Row],[valTotal]]/Tabela1[[#This Row],[VigenciaMeses]])</f>
        <v>166652.07233333334</v>
      </c>
      <c r="AD17" s="2">
        <f>Tabela1[[#This Row],[valMensal]]*12</f>
        <v>1999824.8680000002</v>
      </c>
      <c r="AE17" s="2">
        <v>1884124.57</v>
      </c>
      <c r="AF17" s="2">
        <v>0</v>
      </c>
      <c r="AG17" s="2">
        <v>1884124.57</v>
      </c>
      <c r="AH17" s="2">
        <v>1406771.65</v>
      </c>
      <c r="AI17" s="2">
        <v>1406771.65</v>
      </c>
      <c r="AJ17" t="s">
        <v>47</v>
      </c>
    </row>
    <row r="18" spans="1:36" x14ac:dyDescent="0.25">
      <c r="A18" t="s">
        <v>36</v>
      </c>
      <c r="B18" t="s">
        <v>37</v>
      </c>
      <c r="C18" t="s">
        <v>38</v>
      </c>
      <c r="D18" t="s">
        <v>39</v>
      </c>
      <c r="E18">
        <v>14</v>
      </c>
      <c r="F18">
        <v>422</v>
      </c>
      <c r="G18">
        <v>3013</v>
      </c>
      <c r="H18">
        <v>2053</v>
      </c>
      <c r="I18" t="s">
        <v>48</v>
      </c>
      <c r="J18" t="s">
        <v>55</v>
      </c>
      <c r="K18" t="s">
        <v>56</v>
      </c>
      <c r="L18">
        <v>12</v>
      </c>
      <c r="M18" t="s">
        <v>51</v>
      </c>
      <c r="N18">
        <v>2024</v>
      </c>
      <c r="O18">
        <v>39287</v>
      </c>
      <c r="P18" t="s">
        <v>677</v>
      </c>
      <c r="Q18" t="s">
        <v>678</v>
      </c>
      <c r="R18" t="s">
        <v>679</v>
      </c>
      <c r="S18" t="s">
        <v>680</v>
      </c>
      <c r="T18" t="s">
        <v>230</v>
      </c>
      <c r="U18" t="s">
        <v>681</v>
      </c>
      <c r="V18">
        <v>61</v>
      </c>
      <c r="W18" t="str">
        <f ca="1">IF(Tabela1[[#This Row],[datVigencia]]=0,"Expirado",IF(Tabela1[[#This Row],[datVigencia]]&gt;TODAY(),"Vigente","Expirado"))</f>
        <v>Vigente</v>
      </c>
      <c r="X18" s="2">
        <v>6840000</v>
      </c>
      <c r="Y18" s="2">
        <v>0</v>
      </c>
      <c r="Z18" s="2">
        <v>0</v>
      </c>
      <c r="AA18" s="2">
        <v>0</v>
      </c>
      <c r="AB18" s="2">
        <f>Tabela1[[#This Row],[valPrincipal]]+Tabela1[[#This Row],[valReajustes]]+Tabela1[[#This Row],[valAditamentos]]-Tabela1[[#This Row],[valAnulacao]]</f>
        <v>6840000</v>
      </c>
      <c r="AC18" s="2">
        <f>IF(Tabela1[[#This Row],[VigenciaMeses]]=0,Tabela1[[#This Row],[valTotal]]/1,Tabela1[[#This Row],[valTotal]]/Tabela1[[#This Row],[VigenciaMeses]])</f>
        <v>112131.14754098361</v>
      </c>
      <c r="AD18" s="2">
        <f>Tabela1[[#This Row],[valMensal]]*12</f>
        <v>1345573.7704918033</v>
      </c>
      <c r="AE18" s="2">
        <v>927200</v>
      </c>
      <c r="AF18" s="2">
        <v>114000</v>
      </c>
      <c r="AG18" s="2">
        <v>813200</v>
      </c>
      <c r="AH18" s="2">
        <v>471200</v>
      </c>
      <c r="AI18" s="2">
        <v>357200</v>
      </c>
      <c r="AJ18" t="s">
        <v>47</v>
      </c>
    </row>
    <row r="19" spans="1:36" x14ac:dyDescent="0.25">
      <c r="A19" t="s">
        <v>36</v>
      </c>
      <c r="B19" t="s">
        <v>37</v>
      </c>
      <c r="C19" t="s">
        <v>38</v>
      </c>
      <c r="D19" t="s">
        <v>39</v>
      </c>
      <c r="E19">
        <v>14</v>
      </c>
      <c r="F19">
        <v>422</v>
      </c>
      <c r="G19">
        <v>3018</v>
      </c>
      <c r="H19">
        <v>4334</v>
      </c>
      <c r="I19" t="s">
        <v>103</v>
      </c>
      <c r="J19" t="s">
        <v>295</v>
      </c>
      <c r="K19" t="s">
        <v>296</v>
      </c>
      <c r="L19">
        <v>8</v>
      </c>
      <c r="M19" t="s">
        <v>43</v>
      </c>
      <c r="N19">
        <v>2023</v>
      </c>
      <c r="O19">
        <v>37613</v>
      </c>
      <c r="P19" t="s">
        <v>297</v>
      </c>
      <c r="Q19" t="s">
        <v>298</v>
      </c>
      <c r="R19" t="s">
        <v>299</v>
      </c>
      <c r="S19" t="s">
        <v>286</v>
      </c>
      <c r="T19" t="s">
        <v>287</v>
      </c>
      <c r="U19" t="s">
        <v>288</v>
      </c>
      <c r="V19">
        <v>36</v>
      </c>
      <c r="W19" t="str">
        <f ca="1">IF(Tabela1[[#This Row],[datVigencia]]=0,"Expirado",IF(Tabela1[[#This Row],[datVigencia]]&gt;TODAY(),"Vigente","Expirado"))</f>
        <v>Vigente</v>
      </c>
      <c r="X19" s="2">
        <v>6760192.3700000001</v>
      </c>
      <c r="Y19" s="2">
        <v>0</v>
      </c>
      <c r="Z19" s="2">
        <v>0</v>
      </c>
      <c r="AA19" s="2">
        <v>0</v>
      </c>
      <c r="AB19" s="2">
        <f>Tabela1[[#This Row],[valPrincipal]]+Tabela1[[#This Row],[valReajustes]]+Tabela1[[#This Row],[valAditamentos]]-Tabela1[[#This Row],[valAnulacao]]</f>
        <v>6760192.3700000001</v>
      </c>
      <c r="AC19" s="2">
        <f>IF(Tabela1[[#This Row],[VigenciaMeses]]=0,Tabela1[[#This Row],[valTotal]]/1,Tabela1[[#This Row],[valTotal]]/Tabela1[[#This Row],[VigenciaMeses]])</f>
        <v>187783.12138888889</v>
      </c>
      <c r="AD19" s="2">
        <f>Tabela1[[#This Row],[valMensal]]*12</f>
        <v>2253397.4566666665</v>
      </c>
      <c r="AE19" s="2">
        <v>4538290.38</v>
      </c>
      <c r="AF19" s="2">
        <v>594844.81000000006</v>
      </c>
      <c r="AG19" s="2">
        <v>3943445.57</v>
      </c>
      <c r="AH19" s="2">
        <v>3380096.2</v>
      </c>
      <c r="AI19" s="2">
        <v>3380096.2</v>
      </c>
      <c r="AJ19" t="s">
        <v>47</v>
      </c>
    </row>
    <row r="20" spans="1:36" x14ac:dyDescent="0.25">
      <c r="A20" t="s">
        <v>36</v>
      </c>
      <c r="B20" t="s">
        <v>37</v>
      </c>
      <c r="C20" t="s">
        <v>38</v>
      </c>
      <c r="D20" t="s">
        <v>39</v>
      </c>
      <c r="E20">
        <v>14</v>
      </c>
      <c r="F20">
        <v>122</v>
      </c>
      <c r="G20">
        <v>3018</v>
      </c>
      <c r="H20">
        <v>4332</v>
      </c>
      <c r="I20" t="s">
        <v>103</v>
      </c>
      <c r="J20" t="s">
        <v>104</v>
      </c>
      <c r="K20" t="s">
        <v>105</v>
      </c>
      <c r="L20">
        <v>8</v>
      </c>
      <c r="M20" t="s">
        <v>43</v>
      </c>
      <c r="N20">
        <v>2023</v>
      </c>
      <c r="O20">
        <v>33095</v>
      </c>
      <c r="P20" t="s">
        <v>132</v>
      </c>
      <c r="Q20" t="s">
        <v>133</v>
      </c>
      <c r="R20" t="s">
        <v>134</v>
      </c>
      <c r="S20" t="s">
        <v>135</v>
      </c>
      <c r="T20" t="s">
        <v>136</v>
      </c>
      <c r="U20" t="s">
        <v>137</v>
      </c>
      <c r="V20">
        <v>36</v>
      </c>
      <c r="W20" t="str">
        <f ca="1">IF(Tabela1[[#This Row],[datVigencia]]=0,"Expirado",IF(Tabela1[[#This Row],[datVigencia]]&gt;TODAY(),"Vigente","Expirado"))</f>
        <v>Vigente</v>
      </c>
      <c r="X20" s="2">
        <v>6726968.0499999998</v>
      </c>
      <c r="Y20" s="2">
        <v>0</v>
      </c>
      <c r="Z20" s="2">
        <v>0</v>
      </c>
      <c r="AA20" s="2">
        <v>0</v>
      </c>
      <c r="AB20" s="2">
        <f>Tabela1[[#This Row],[valPrincipal]]+Tabela1[[#This Row],[valReajustes]]+Tabela1[[#This Row],[valAditamentos]]-Tabela1[[#This Row],[valAnulacao]]</f>
        <v>6726968.0499999998</v>
      </c>
      <c r="AC20" s="2">
        <f>IF(Tabela1[[#This Row],[VigenciaMeses]]=0,Tabela1[[#This Row],[valTotal]]/1,Tabela1[[#This Row],[valTotal]]/Tabela1[[#This Row],[VigenciaMeses]])</f>
        <v>186860.22361111111</v>
      </c>
      <c r="AD20" s="2">
        <f>Tabela1[[#This Row],[valMensal]]*12</f>
        <v>2242322.6833333336</v>
      </c>
      <c r="AE20" s="2">
        <v>3958188.8</v>
      </c>
      <c r="AF20" s="2">
        <v>186575.42</v>
      </c>
      <c r="AG20" s="2">
        <v>3771613.38</v>
      </c>
      <c r="AH20" s="2">
        <v>3211887.13</v>
      </c>
      <c r="AI20" s="2">
        <v>3211887.13</v>
      </c>
      <c r="AJ20" t="s">
        <v>47</v>
      </c>
    </row>
    <row r="21" spans="1:36" x14ac:dyDescent="0.25">
      <c r="A21" t="s">
        <v>36</v>
      </c>
      <c r="B21" t="s">
        <v>37</v>
      </c>
      <c r="C21" t="s">
        <v>38</v>
      </c>
      <c r="D21" t="s">
        <v>39</v>
      </c>
      <c r="E21">
        <v>14</v>
      </c>
      <c r="F21">
        <v>122</v>
      </c>
      <c r="G21">
        <v>3018</v>
      </c>
      <c r="H21">
        <v>4332</v>
      </c>
      <c r="I21" t="s">
        <v>103</v>
      </c>
      <c r="J21" t="s">
        <v>104</v>
      </c>
      <c r="K21" t="s">
        <v>105</v>
      </c>
      <c r="L21">
        <v>8</v>
      </c>
      <c r="M21" t="s">
        <v>43</v>
      </c>
      <c r="N21">
        <v>2023</v>
      </c>
      <c r="O21">
        <v>33101</v>
      </c>
      <c r="P21" t="s">
        <v>143</v>
      </c>
      <c r="Q21" t="s">
        <v>144</v>
      </c>
      <c r="R21" t="s">
        <v>145</v>
      </c>
      <c r="S21" t="s">
        <v>135</v>
      </c>
      <c r="T21" t="s">
        <v>136</v>
      </c>
      <c r="U21" t="s">
        <v>137</v>
      </c>
      <c r="V21">
        <v>36</v>
      </c>
      <c r="W21" t="str">
        <f ca="1">IF(Tabela1[[#This Row],[datVigencia]]=0,"Expirado",IF(Tabela1[[#This Row],[datVigencia]]&gt;TODAY(),"Vigente","Expirado"))</f>
        <v>Vigente</v>
      </c>
      <c r="X21" s="2">
        <v>6726968.0499999998</v>
      </c>
      <c r="Y21" s="2">
        <v>0</v>
      </c>
      <c r="Z21" s="2">
        <v>0</v>
      </c>
      <c r="AA21" s="2">
        <v>0</v>
      </c>
      <c r="AB21" s="2">
        <f>Tabela1[[#This Row],[valPrincipal]]+Tabela1[[#This Row],[valReajustes]]+Tabela1[[#This Row],[valAditamentos]]-Tabela1[[#This Row],[valAnulacao]]</f>
        <v>6726968.0499999998</v>
      </c>
      <c r="AC21" s="2">
        <f>IF(Tabela1[[#This Row],[VigenciaMeses]]=0,Tabela1[[#This Row],[valTotal]]/1,Tabela1[[#This Row],[valTotal]]/Tabela1[[#This Row],[VigenciaMeses]])</f>
        <v>186860.22361111111</v>
      </c>
      <c r="AD21" s="2">
        <f>Tabela1[[#This Row],[valMensal]]*12</f>
        <v>2242322.6833333336</v>
      </c>
      <c r="AE21" s="2">
        <v>3958188.8</v>
      </c>
      <c r="AF21" s="2">
        <v>186575.42</v>
      </c>
      <c r="AG21" s="2">
        <v>3771613.38</v>
      </c>
      <c r="AH21" s="2">
        <v>3211887.13</v>
      </c>
      <c r="AI21" s="2">
        <v>3211887.13</v>
      </c>
      <c r="AJ21" t="s">
        <v>47</v>
      </c>
    </row>
    <row r="22" spans="1:36" x14ac:dyDescent="0.25">
      <c r="A22" t="s">
        <v>36</v>
      </c>
      <c r="B22" t="s">
        <v>37</v>
      </c>
      <c r="C22" t="s">
        <v>38</v>
      </c>
      <c r="D22" t="s">
        <v>39</v>
      </c>
      <c r="E22">
        <v>14</v>
      </c>
      <c r="F22">
        <v>422</v>
      </c>
      <c r="G22">
        <v>3018</v>
      </c>
      <c r="H22">
        <v>4334</v>
      </c>
      <c r="I22" t="s">
        <v>103</v>
      </c>
      <c r="J22" t="s">
        <v>104</v>
      </c>
      <c r="K22" t="s">
        <v>105</v>
      </c>
      <c r="L22">
        <v>8</v>
      </c>
      <c r="M22" t="s">
        <v>43</v>
      </c>
      <c r="N22">
        <v>2023</v>
      </c>
      <c r="O22">
        <v>37790</v>
      </c>
      <c r="P22" t="s">
        <v>292</v>
      </c>
      <c r="Q22" t="s">
        <v>293</v>
      </c>
      <c r="R22" t="s">
        <v>294</v>
      </c>
      <c r="S22" t="s">
        <v>286</v>
      </c>
      <c r="T22" t="s">
        <v>287</v>
      </c>
      <c r="U22" t="s">
        <v>288</v>
      </c>
      <c r="V22">
        <v>36</v>
      </c>
      <c r="W22" t="str">
        <f ca="1">IF(Tabela1[[#This Row],[datVigencia]]=0,"Expirado",IF(Tabela1[[#This Row],[datVigencia]]&gt;TODAY(),"Vigente","Expirado"))</f>
        <v>Vigente</v>
      </c>
      <c r="X22" s="2">
        <v>6597624.29</v>
      </c>
      <c r="Y22" s="2">
        <v>0</v>
      </c>
      <c r="Z22" s="2">
        <v>0</v>
      </c>
      <c r="AA22" s="2">
        <v>0</v>
      </c>
      <c r="AB22" s="2">
        <f>Tabela1[[#This Row],[valPrincipal]]+Tabela1[[#This Row],[valReajustes]]+Tabela1[[#This Row],[valAditamentos]]-Tabela1[[#This Row],[valAnulacao]]</f>
        <v>6597624.29</v>
      </c>
      <c r="AC22" s="2">
        <f>IF(Tabela1[[#This Row],[VigenciaMeses]]=0,Tabela1[[#This Row],[valTotal]]/1,Tabela1[[#This Row],[valTotal]]/Tabela1[[#This Row],[VigenciaMeses]])</f>
        <v>183267.34138888889</v>
      </c>
      <c r="AD22" s="2">
        <f>Tabela1[[#This Row],[valMensal]]*12</f>
        <v>2199208.0966666667</v>
      </c>
      <c r="AE22" s="2">
        <v>4155457.01</v>
      </c>
      <c r="AF22" s="2">
        <v>306842.86</v>
      </c>
      <c r="AG22" s="2">
        <v>3848614.15</v>
      </c>
      <c r="AH22" s="2">
        <v>3298812.12</v>
      </c>
      <c r="AI22" s="2">
        <v>3298812.12</v>
      </c>
      <c r="AJ22" t="s">
        <v>47</v>
      </c>
    </row>
    <row r="23" spans="1:36" x14ac:dyDescent="0.25">
      <c r="A23" t="s">
        <v>36</v>
      </c>
      <c r="B23" t="s">
        <v>37</v>
      </c>
      <c r="C23" t="s">
        <v>38</v>
      </c>
      <c r="D23" t="s">
        <v>39</v>
      </c>
      <c r="E23">
        <v>14</v>
      </c>
      <c r="F23">
        <v>422</v>
      </c>
      <c r="G23">
        <v>3018</v>
      </c>
      <c r="H23">
        <v>4334</v>
      </c>
      <c r="I23" t="s">
        <v>103</v>
      </c>
      <c r="J23" t="s">
        <v>104</v>
      </c>
      <c r="K23" t="s">
        <v>105</v>
      </c>
      <c r="L23">
        <v>8</v>
      </c>
      <c r="M23" t="s">
        <v>43</v>
      </c>
      <c r="N23">
        <v>2023</v>
      </c>
      <c r="O23">
        <v>37869</v>
      </c>
      <c r="P23" t="s">
        <v>283</v>
      </c>
      <c r="Q23" t="s">
        <v>284</v>
      </c>
      <c r="R23" t="s">
        <v>285</v>
      </c>
      <c r="S23" t="s">
        <v>286</v>
      </c>
      <c r="T23" t="s">
        <v>287</v>
      </c>
      <c r="U23" t="s">
        <v>288</v>
      </c>
      <c r="V23">
        <v>36</v>
      </c>
      <c r="W23" t="str">
        <f ca="1">IF(Tabela1[[#This Row],[datVigencia]]=0,"Expirado",IF(Tabela1[[#This Row],[datVigencia]]&gt;TODAY(),"Vigente","Expirado"))</f>
        <v>Vigente</v>
      </c>
      <c r="X23" s="2">
        <v>6423004.4900000002</v>
      </c>
      <c r="Y23" s="2">
        <v>0</v>
      </c>
      <c r="Z23" s="2">
        <v>0</v>
      </c>
      <c r="AA23" s="2">
        <v>0</v>
      </c>
      <c r="AB23" s="2">
        <f>Tabela1[[#This Row],[valPrincipal]]+Tabela1[[#This Row],[valReajustes]]+Tabela1[[#This Row],[valAditamentos]]-Tabela1[[#This Row],[valAnulacao]]</f>
        <v>6423004.4900000002</v>
      </c>
      <c r="AC23" s="2">
        <f>IF(Tabela1[[#This Row],[VigenciaMeses]]=0,Tabela1[[#This Row],[valTotal]]/1,Tabela1[[#This Row],[valTotal]]/Tabela1[[#This Row],[VigenciaMeses]])</f>
        <v>178416.7913888889</v>
      </c>
      <c r="AD23" s="2">
        <f>Tabela1[[#This Row],[valMensal]]*12</f>
        <v>2141001.4966666671</v>
      </c>
      <c r="AE23" s="2">
        <v>4483232.7</v>
      </c>
      <c r="AF23" s="2">
        <v>914896.9</v>
      </c>
      <c r="AG23" s="2">
        <v>3568335.8</v>
      </c>
      <c r="AH23" s="2">
        <v>3211502.22</v>
      </c>
      <c r="AI23" s="2">
        <v>3211502.22</v>
      </c>
      <c r="AJ23" t="s">
        <v>47</v>
      </c>
    </row>
    <row r="24" spans="1:36" x14ac:dyDescent="0.25">
      <c r="A24" t="s">
        <v>36</v>
      </c>
      <c r="B24" t="s">
        <v>37</v>
      </c>
      <c r="C24" t="s">
        <v>38</v>
      </c>
      <c r="D24" t="s">
        <v>39</v>
      </c>
      <c r="E24">
        <v>14</v>
      </c>
      <c r="F24">
        <v>422</v>
      </c>
      <c r="G24">
        <v>3018</v>
      </c>
      <c r="H24">
        <v>4334</v>
      </c>
      <c r="I24" t="s">
        <v>103</v>
      </c>
      <c r="J24" t="s">
        <v>104</v>
      </c>
      <c r="K24" t="s">
        <v>105</v>
      </c>
      <c r="L24">
        <v>8</v>
      </c>
      <c r="M24" t="s">
        <v>43</v>
      </c>
      <c r="N24">
        <v>2023</v>
      </c>
      <c r="O24">
        <v>37726</v>
      </c>
      <c r="P24" t="s">
        <v>289</v>
      </c>
      <c r="Q24" t="s">
        <v>290</v>
      </c>
      <c r="R24" t="s">
        <v>291</v>
      </c>
      <c r="S24" t="s">
        <v>286</v>
      </c>
      <c r="T24" t="s">
        <v>287</v>
      </c>
      <c r="U24" t="s">
        <v>288</v>
      </c>
      <c r="V24">
        <v>36</v>
      </c>
      <c r="W24" t="str">
        <f ca="1">IF(Tabela1[[#This Row],[datVigencia]]=0,"Expirado",IF(Tabela1[[#This Row],[datVigencia]]&gt;TODAY(),"Vigente","Expirado"))</f>
        <v>Vigente</v>
      </c>
      <c r="X24" s="2">
        <v>6106129.8700000001</v>
      </c>
      <c r="Y24" s="2">
        <v>0</v>
      </c>
      <c r="Z24" s="2">
        <v>0</v>
      </c>
      <c r="AA24" s="2">
        <v>0</v>
      </c>
      <c r="AB24" s="2">
        <f>Tabela1[[#This Row],[valPrincipal]]+Tabela1[[#This Row],[valReajustes]]+Tabela1[[#This Row],[valAditamentos]]-Tabela1[[#This Row],[valAnulacao]]</f>
        <v>6106129.8700000001</v>
      </c>
      <c r="AC24" s="2">
        <f>IF(Tabela1[[#This Row],[VigenciaMeses]]=0,Tabela1[[#This Row],[valTotal]]/1,Tabela1[[#This Row],[valTotal]]/Tabela1[[#This Row],[VigenciaMeses]])</f>
        <v>169614.71861111111</v>
      </c>
      <c r="AD24" s="2">
        <f>Tabela1[[#This Row],[valMensal]]*12</f>
        <v>2035376.6233333333</v>
      </c>
      <c r="AE24" s="2">
        <v>3392294.39</v>
      </c>
      <c r="AF24" s="2">
        <v>0</v>
      </c>
      <c r="AG24" s="2">
        <v>3392294.39</v>
      </c>
      <c r="AH24" s="2">
        <v>3053064.95</v>
      </c>
      <c r="AI24" s="2">
        <v>3053064.95</v>
      </c>
      <c r="AJ24" t="s">
        <v>47</v>
      </c>
    </row>
    <row r="25" spans="1:36" x14ac:dyDescent="0.25">
      <c r="A25" t="s">
        <v>36</v>
      </c>
      <c r="B25" t="s">
        <v>37</v>
      </c>
      <c r="C25" t="s">
        <v>38</v>
      </c>
      <c r="D25" t="s">
        <v>39</v>
      </c>
      <c r="E25">
        <v>14</v>
      </c>
      <c r="F25">
        <v>422</v>
      </c>
      <c r="G25">
        <v>3013</v>
      </c>
      <c r="H25">
        <v>6178</v>
      </c>
      <c r="I25" t="s">
        <v>103</v>
      </c>
      <c r="J25" t="s">
        <v>104</v>
      </c>
      <c r="K25" t="s">
        <v>105</v>
      </c>
      <c r="L25">
        <v>8</v>
      </c>
      <c r="M25" t="s">
        <v>43</v>
      </c>
      <c r="N25">
        <v>2023</v>
      </c>
      <c r="O25">
        <v>29695</v>
      </c>
      <c r="P25" t="s">
        <v>245</v>
      </c>
      <c r="Q25" t="s">
        <v>246</v>
      </c>
      <c r="R25" t="s">
        <v>247</v>
      </c>
      <c r="S25" t="s">
        <v>248</v>
      </c>
      <c r="T25" t="s">
        <v>249</v>
      </c>
      <c r="U25" t="s">
        <v>250</v>
      </c>
      <c r="V25">
        <v>39</v>
      </c>
      <c r="W25" t="str">
        <f ca="1">IF(Tabela1[[#This Row],[datVigencia]]=0,"Expirado",IF(Tabela1[[#This Row],[datVigencia]]&gt;TODAY(),"Vigente","Expirado"))</f>
        <v>Vigente</v>
      </c>
      <c r="X25" s="2">
        <v>6012103.6500000004</v>
      </c>
      <c r="Y25" s="2">
        <v>0</v>
      </c>
      <c r="Z25" s="2">
        <v>0</v>
      </c>
      <c r="AA25" s="2">
        <v>0</v>
      </c>
      <c r="AB25" s="2">
        <f>Tabela1[[#This Row],[valPrincipal]]+Tabela1[[#This Row],[valReajustes]]+Tabela1[[#This Row],[valAditamentos]]-Tabela1[[#This Row],[valAnulacao]]</f>
        <v>6012103.6500000004</v>
      </c>
      <c r="AC25" s="2">
        <f>IF(Tabela1[[#This Row],[VigenciaMeses]]=0,Tabela1[[#This Row],[valTotal]]/1,Tabela1[[#This Row],[valTotal]]/Tabela1[[#This Row],[VigenciaMeses]])</f>
        <v>154156.50384615385</v>
      </c>
      <c r="AD25" s="2">
        <f>Tabela1[[#This Row],[valMensal]]*12</f>
        <v>1849878.0461538462</v>
      </c>
      <c r="AE25" s="2">
        <v>4051983.56</v>
      </c>
      <c r="AF25" s="2">
        <v>0.15</v>
      </c>
      <c r="AG25" s="2">
        <v>4051983.41</v>
      </c>
      <c r="AH25" s="2">
        <v>4051983.41</v>
      </c>
      <c r="AI25" s="2">
        <v>4051983.41</v>
      </c>
      <c r="AJ25" t="s">
        <v>47</v>
      </c>
    </row>
    <row r="26" spans="1:36" x14ac:dyDescent="0.25">
      <c r="A26" t="s">
        <v>36</v>
      </c>
      <c r="B26" t="s">
        <v>37</v>
      </c>
      <c r="C26" t="s">
        <v>38</v>
      </c>
      <c r="D26" t="s">
        <v>39</v>
      </c>
      <c r="E26">
        <v>14</v>
      </c>
      <c r="F26">
        <v>243</v>
      </c>
      <c r="G26">
        <v>3013</v>
      </c>
      <c r="H26">
        <v>2157</v>
      </c>
      <c r="I26" t="s">
        <v>48</v>
      </c>
      <c r="J26" t="s">
        <v>55</v>
      </c>
      <c r="K26" t="s">
        <v>56</v>
      </c>
      <c r="L26">
        <v>12</v>
      </c>
      <c r="M26" t="s">
        <v>51</v>
      </c>
      <c r="N26">
        <v>2024</v>
      </c>
      <c r="O26">
        <v>16869</v>
      </c>
      <c r="P26" t="s">
        <v>682</v>
      </c>
      <c r="Q26" t="s">
        <v>683</v>
      </c>
      <c r="R26" t="s">
        <v>684</v>
      </c>
      <c r="S26" t="s">
        <v>685</v>
      </c>
      <c r="T26" t="s">
        <v>686</v>
      </c>
      <c r="U26" t="s">
        <v>687</v>
      </c>
      <c r="V26">
        <v>31</v>
      </c>
      <c r="W26" t="str">
        <f ca="1">IF(Tabela1[[#This Row],[datVigencia]]=0,"Expirado",IF(Tabela1[[#This Row],[datVigencia]]&gt;TODAY(),"Vigente","Expirado"))</f>
        <v>Vigente</v>
      </c>
      <c r="X26" s="2">
        <v>5903248.5</v>
      </c>
      <c r="Y26" s="2">
        <v>0</v>
      </c>
      <c r="Z26" s="2">
        <v>0</v>
      </c>
      <c r="AA26" s="2">
        <v>0</v>
      </c>
      <c r="AB26" s="2">
        <f>Tabela1[[#This Row],[valPrincipal]]+Tabela1[[#This Row],[valReajustes]]+Tabela1[[#This Row],[valAditamentos]]-Tabela1[[#This Row],[valAnulacao]]</f>
        <v>5903248.5</v>
      </c>
      <c r="AC26" s="2">
        <f>IF(Tabela1[[#This Row],[VigenciaMeses]]=0,Tabela1[[#This Row],[valTotal]]/1,Tabela1[[#This Row],[valTotal]]/Tabela1[[#This Row],[VigenciaMeses]])</f>
        <v>190427.37096774194</v>
      </c>
      <c r="AD26" s="2">
        <f>Tabela1[[#This Row],[valMensal]]*12</f>
        <v>2285128.4516129033</v>
      </c>
      <c r="AE26" s="2">
        <v>1364306.32</v>
      </c>
      <c r="AF26" s="2">
        <v>973051.84</v>
      </c>
      <c r="AG26" s="2">
        <v>391254.48</v>
      </c>
      <c r="AH26" s="2">
        <v>391254.48</v>
      </c>
      <c r="AI26" s="2">
        <v>391254.48</v>
      </c>
      <c r="AJ26" t="s">
        <v>47</v>
      </c>
    </row>
    <row r="27" spans="1:36" x14ac:dyDescent="0.25">
      <c r="A27" t="s">
        <v>36</v>
      </c>
      <c r="B27" t="s">
        <v>37</v>
      </c>
      <c r="C27" t="s">
        <v>38</v>
      </c>
      <c r="D27" t="s">
        <v>39</v>
      </c>
      <c r="E27">
        <v>14</v>
      </c>
      <c r="F27">
        <v>243</v>
      </c>
      <c r="G27">
        <v>3013</v>
      </c>
      <c r="H27">
        <v>2157</v>
      </c>
      <c r="I27" t="s">
        <v>48</v>
      </c>
      <c r="J27" t="s">
        <v>55</v>
      </c>
      <c r="K27" t="s">
        <v>56</v>
      </c>
      <c r="L27">
        <v>12</v>
      </c>
      <c r="M27" t="s">
        <v>51</v>
      </c>
      <c r="N27">
        <v>2024</v>
      </c>
      <c r="O27">
        <v>32863</v>
      </c>
      <c r="P27" t="s">
        <v>688</v>
      </c>
      <c r="Q27" t="s">
        <v>683</v>
      </c>
      <c r="R27" t="s">
        <v>684</v>
      </c>
      <c r="S27" t="s">
        <v>329</v>
      </c>
      <c r="T27" t="s">
        <v>689</v>
      </c>
      <c r="U27" t="s">
        <v>690</v>
      </c>
      <c r="V27">
        <v>31</v>
      </c>
      <c r="W27" t="str">
        <f ca="1">IF(Tabela1[[#This Row],[datVigencia]]=0,"Expirado",IF(Tabela1[[#This Row],[datVigencia]]&gt;TODAY(),"Vigente","Expirado"))</f>
        <v>Vigente</v>
      </c>
      <c r="X27" s="2">
        <v>5903248.5</v>
      </c>
      <c r="Y27" s="2">
        <v>0</v>
      </c>
      <c r="Z27" s="2">
        <v>260066.76</v>
      </c>
      <c r="AA27" s="2">
        <v>0</v>
      </c>
      <c r="AB27" s="2">
        <f>Tabela1[[#This Row],[valPrincipal]]+Tabela1[[#This Row],[valReajustes]]+Tabela1[[#This Row],[valAditamentos]]-Tabela1[[#This Row],[valAnulacao]]</f>
        <v>6163315.2599999998</v>
      </c>
      <c r="AC27" s="2">
        <f>IF(Tabela1[[#This Row],[VigenciaMeses]]=0,Tabela1[[#This Row],[valTotal]]/1,Tabela1[[#This Row],[valTotal]]/Tabela1[[#This Row],[VigenciaMeses]])</f>
        <v>198816.62129032257</v>
      </c>
      <c r="AD27" s="2">
        <f>Tabela1[[#This Row],[valMensal]]*12</f>
        <v>2385799.4554838706</v>
      </c>
      <c r="AE27" s="2">
        <v>2544133.5099999998</v>
      </c>
      <c r="AF27" s="2">
        <v>65591.649999999994</v>
      </c>
      <c r="AG27" s="2">
        <v>2478541.86</v>
      </c>
      <c r="AH27" s="2">
        <v>1539326.5</v>
      </c>
      <c r="AI27" s="2">
        <v>1320879.32</v>
      </c>
      <c r="AJ27" t="s">
        <v>47</v>
      </c>
    </row>
    <row r="28" spans="1:36" x14ac:dyDescent="0.25">
      <c r="A28" t="s">
        <v>36</v>
      </c>
      <c r="B28" t="s">
        <v>37</v>
      </c>
      <c r="C28" t="s">
        <v>38</v>
      </c>
      <c r="D28" t="s">
        <v>39</v>
      </c>
      <c r="E28">
        <v>14</v>
      </c>
      <c r="F28">
        <v>422</v>
      </c>
      <c r="G28">
        <v>3013</v>
      </c>
      <c r="H28">
        <v>6178</v>
      </c>
      <c r="I28" t="s">
        <v>103</v>
      </c>
      <c r="J28" t="s">
        <v>104</v>
      </c>
      <c r="K28" t="s">
        <v>105</v>
      </c>
      <c r="L28">
        <v>8</v>
      </c>
      <c r="M28" t="s">
        <v>43</v>
      </c>
      <c r="N28">
        <v>2023</v>
      </c>
      <c r="O28">
        <v>29552</v>
      </c>
      <c r="P28" t="s">
        <v>261</v>
      </c>
      <c r="Q28" t="s">
        <v>262</v>
      </c>
      <c r="R28" t="s">
        <v>263</v>
      </c>
      <c r="S28" t="s">
        <v>248</v>
      </c>
      <c r="T28" t="s">
        <v>264</v>
      </c>
      <c r="U28" t="s">
        <v>265</v>
      </c>
      <c r="V28">
        <v>36</v>
      </c>
      <c r="W28" t="str">
        <f ca="1">IF(Tabela1[[#This Row],[datVigencia]]=0,"Expirado",IF(Tabela1[[#This Row],[datVigencia]]&gt;TODAY(),"Vigente","Expirado"))</f>
        <v>Vigente</v>
      </c>
      <c r="X28" s="2">
        <v>5678779.6500000004</v>
      </c>
      <c r="Y28" s="2">
        <v>0</v>
      </c>
      <c r="Z28" s="2">
        <v>0</v>
      </c>
      <c r="AA28" s="2">
        <v>0</v>
      </c>
      <c r="AB28" s="2">
        <f>Tabela1[[#This Row],[valPrincipal]]+Tabela1[[#This Row],[valReajustes]]+Tabela1[[#This Row],[valAditamentos]]-Tabela1[[#This Row],[valAnulacao]]</f>
        <v>5678779.6500000004</v>
      </c>
      <c r="AC28" s="2">
        <f>IF(Tabela1[[#This Row],[VigenciaMeses]]=0,Tabela1[[#This Row],[valTotal]]/1,Tabela1[[#This Row],[valTotal]]/Tabela1[[#This Row],[VigenciaMeses]])</f>
        <v>157743.87916666668</v>
      </c>
      <c r="AD28" s="2">
        <f>Tabela1[[#This Row],[valMensal]]*12</f>
        <v>1892926.5500000003</v>
      </c>
      <c r="AE28" s="2">
        <v>3999324.24</v>
      </c>
      <c r="AF28" s="2">
        <v>383433.61</v>
      </c>
      <c r="AG28" s="2">
        <v>3615890.63</v>
      </c>
      <c r="AH28" s="2">
        <v>3615890.63</v>
      </c>
      <c r="AI28" s="2">
        <v>3615890.63</v>
      </c>
      <c r="AJ28" t="s">
        <v>47</v>
      </c>
    </row>
    <row r="29" spans="1:36" x14ac:dyDescent="0.25">
      <c r="A29" t="s">
        <v>36</v>
      </c>
      <c r="B29" t="s">
        <v>37</v>
      </c>
      <c r="C29" t="s">
        <v>38</v>
      </c>
      <c r="D29" t="s">
        <v>39</v>
      </c>
      <c r="E29">
        <v>14</v>
      </c>
      <c r="F29">
        <v>422</v>
      </c>
      <c r="G29">
        <v>3013</v>
      </c>
      <c r="H29">
        <v>6178</v>
      </c>
      <c r="I29" t="s">
        <v>103</v>
      </c>
      <c r="J29" t="s">
        <v>104</v>
      </c>
      <c r="K29" t="s">
        <v>105</v>
      </c>
      <c r="L29">
        <v>8</v>
      </c>
      <c r="M29" t="s">
        <v>43</v>
      </c>
      <c r="N29">
        <v>2023</v>
      </c>
      <c r="O29">
        <v>29524</v>
      </c>
      <c r="P29" t="s">
        <v>251</v>
      </c>
      <c r="Q29" t="s">
        <v>252</v>
      </c>
      <c r="R29" t="s">
        <v>253</v>
      </c>
      <c r="S29" t="s">
        <v>248</v>
      </c>
      <c r="T29" t="s">
        <v>249</v>
      </c>
      <c r="U29" t="s">
        <v>254</v>
      </c>
      <c r="V29">
        <v>36</v>
      </c>
      <c r="W29" t="str">
        <f ca="1">IF(Tabela1[[#This Row],[datVigencia]]=0,"Expirado",IF(Tabela1[[#This Row],[datVigencia]]&gt;TODAY(),"Vigente","Expirado"))</f>
        <v>Vigente</v>
      </c>
      <c r="X29" s="2">
        <v>5513779.7699999996</v>
      </c>
      <c r="Y29" s="2">
        <v>0</v>
      </c>
      <c r="Z29" s="2">
        <v>0</v>
      </c>
      <c r="AA29" s="2">
        <v>0</v>
      </c>
      <c r="AB29" s="2">
        <f>Tabela1[[#This Row],[valPrincipal]]+Tabela1[[#This Row],[valReajustes]]+Tabela1[[#This Row],[valAditamentos]]-Tabela1[[#This Row],[valAnulacao]]</f>
        <v>5513779.7699999996</v>
      </c>
      <c r="AC29" s="2">
        <f>IF(Tabela1[[#This Row],[VigenciaMeses]]=0,Tabela1[[#This Row],[valTotal]]/1,Tabela1[[#This Row],[valTotal]]/Tabela1[[#This Row],[VigenciaMeses]])</f>
        <v>153160.54916666666</v>
      </c>
      <c r="AD29" s="2">
        <f>Tabela1[[#This Row],[valMensal]]*12</f>
        <v>1837926.5899999999</v>
      </c>
      <c r="AE29" s="2">
        <v>3842316.3</v>
      </c>
      <c r="AF29" s="2">
        <v>119456.82</v>
      </c>
      <c r="AG29" s="2">
        <v>3722859.48</v>
      </c>
      <c r="AH29" s="2">
        <v>3722859.48</v>
      </c>
      <c r="AI29" s="2">
        <v>3722859.48</v>
      </c>
      <c r="AJ29" t="s">
        <v>47</v>
      </c>
    </row>
    <row r="30" spans="1:36" x14ac:dyDescent="0.25">
      <c r="A30" t="s">
        <v>36</v>
      </c>
      <c r="B30" t="s">
        <v>37</v>
      </c>
      <c r="C30" t="s">
        <v>38</v>
      </c>
      <c r="D30" t="s">
        <v>39</v>
      </c>
      <c r="E30">
        <v>14</v>
      </c>
      <c r="F30">
        <v>122</v>
      </c>
      <c r="G30">
        <v>3018</v>
      </c>
      <c r="H30">
        <v>4332</v>
      </c>
      <c r="I30" t="s">
        <v>103</v>
      </c>
      <c r="J30" t="s">
        <v>104</v>
      </c>
      <c r="K30" t="s">
        <v>105</v>
      </c>
      <c r="L30">
        <v>8</v>
      </c>
      <c r="M30" t="s">
        <v>43</v>
      </c>
      <c r="N30">
        <v>2023</v>
      </c>
      <c r="O30">
        <v>33112</v>
      </c>
      <c r="P30" t="s">
        <v>138</v>
      </c>
      <c r="Q30" t="s">
        <v>139</v>
      </c>
      <c r="R30" t="s">
        <v>140</v>
      </c>
      <c r="S30" t="s">
        <v>135</v>
      </c>
      <c r="T30" t="s">
        <v>141</v>
      </c>
      <c r="U30" t="s">
        <v>142</v>
      </c>
      <c r="V30">
        <v>33</v>
      </c>
      <c r="W30" t="str">
        <f ca="1">IF(Tabela1[[#This Row],[datVigencia]]=0,"Expirado",IF(Tabela1[[#This Row],[datVigencia]]&gt;TODAY(),"Vigente","Expirado"))</f>
        <v>Vigente</v>
      </c>
      <c r="X30" s="2">
        <v>5380551</v>
      </c>
      <c r="Y30" s="2">
        <v>0</v>
      </c>
      <c r="Z30" s="2">
        <v>0</v>
      </c>
      <c r="AA30" s="2">
        <v>0</v>
      </c>
      <c r="AB30" s="2">
        <f>Tabela1[[#This Row],[valPrincipal]]+Tabela1[[#This Row],[valReajustes]]+Tabela1[[#This Row],[valAditamentos]]-Tabela1[[#This Row],[valAnulacao]]</f>
        <v>5380551</v>
      </c>
      <c r="AC30" s="2">
        <f>IF(Tabela1[[#This Row],[VigenciaMeses]]=0,Tabela1[[#This Row],[valTotal]]/1,Tabela1[[#This Row],[valTotal]]/Tabela1[[#This Row],[VigenciaMeses]])</f>
        <v>163047</v>
      </c>
      <c r="AD30" s="2">
        <f>Tabela1[[#This Row],[valMensal]]*12</f>
        <v>1956564</v>
      </c>
      <c r="AE30" s="2">
        <v>3865057.88</v>
      </c>
      <c r="AF30" s="2">
        <v>865181.93</v>
      </c>
      <c r="AG30" s="2">
        <v>2999875.95</v>
      </c>
      <c r="AH30" s="2">
        <v>2552380.65</v>
      </c>
      <c r="AI30" s="2">
        <v>2552380.65</v>
      </c>
      <c r="AJ30" t="s">
        <v>47</v>
      </c>
    </row>
    <row r="31" spans="1:36" x14ac:dyDescent="0.25">
      <c r="A31" t="s">
        <v>36</v>
      </c>
      <c r="B31" t="s">
        <v>37</v>
      </c>
      <c r="C31" t="s">
        <v>38</v>
      </c>
      <c r="D31" t="s">
        <v>39</v>
      </c>
      <c r="E31">
        <v>14</v>
      </c>
      <c r="F31">
        <v>422</v>
      </c>
      <c r="G31">
        <v>3013</v>
      </c>
      <c r="H31">
        <v>6178</v>
      </c>
      <c r="I31" t="s">
        <v>103</v>
      </c>
      <c r="J31" t="s">
        <v>104</v>
      </c>
      <c r="K31" t="s">
        <v>105</v>
      </c>
      <c r="L31">
        <v>8</v>
      </c>
      <c r="M31" t="s">
        <v>43</v>
      </c>
      <c r="N31">
        <v>2024</v>
      </c>
      <c r="O31">
        <v>10115</v>
      </c>
      <c r="P31" t="s">
        <v>272</v>
      </c>
      <c r="Q31" t="s">
        <v>273</v>
      </c>
      <c r="R31" t="s">
        <v>274</v>
      </c>
      <c r="S31" t="s">
        <v>269</v>
      </c>
      <c r="T31" t="s">
        <v>270</v>
      </c>
      <c r="U31" t="s">
        <v>271</v>
      </c>
      <c r="V31">
        <v>36</v>
      </c>
      <c r="W31" t="str">
        <f ca="1">IF(Tabela1[[#This Row],[datVigencia]]=0,"Expirado",IF(Tabela1[[#This Row],[datVigencia]]&gt;TODAY(),"Vigente","Expirado"))</f>
        <v>Vigente</v>
      </c>
      <c r="X31" s="2">
        <v>5330621.67</v>
      </c>
      <c r="Y31" s="2">
        <v>0</v>
      </c>
      <c r="Z31" s="2">
        <v>0</v>
      </c>
      <c r="AA31" s="2">
        <v>0</v>
      </c>
      <c r="AB31" s="2">
        <f>Tabela1[[#This Row],[valPrincipal]]+Tabela1[[#This Row],[valReajustes]]+Tabela1[[#This Row],[valAditamentos]]-Tabela1[[#This Row],[valAnulacao]]</f>
        <v>5330621.67</v>
      </c>
      <c r="AC31" s="2">
        <f>IF(Tabela1[[#This Row],[VigenciaMeses]]=0,Tabela1[[#This Row],[valTotal]]/1,Tabela1[[#This Row],[valTotal]]/Tabela1[[#This Row],[VigenciaMeses]])</f>
        <v>148072.82416666666</v>
      </c>
      <c r="AD31" s="2">
        <f>Tabela1[[#This Row],[valMensal]]*12</f>
        <v>1776873.89</v>
      </c>
      <c r="AE31" s="2">
        <v>2720760.5</v>
      </c>
      <c r="AF31" s="2">
        <v>0.02</v>
      </c>
      <c r="AG31" s="2">
        <v>2720760.48</v>
      </c>
      <c r="AH31" s="2">
        <v>2720760.48</v>
      </c>
      <c r="AI31" s="2">
        <v>2720760.48</v>
      </c>
      <c r="AJ31" t="s">
        <v>47</v>
      </c>
    </row>
    <row r="32" spans="1:36" x14ac:dyDescent="0.25">
      <c r="A32" t="s">
        <v>36</v>
      </c>
      <c r="B32" t="s">
        <v>37</v>
      </c>
      <c r="C32" t="s">
        <v>38</v>
      </c>
      <c r="D32" t="s">
        <v>39</v>
      </c>
      <c r="E32">
        <v>14</v>
      </c>
      <c r="F32">
        <v>243</v>
      </c>
      <c r="G32">
        <v>3013</v>
      </c>
      <c r="H32">
        <v>2157</v>
      </c>
      <c r="I32" t="s">
        <v>323</v>
      </c>
      <c r="J32" t="s">
        <v>55</v>
      </c>
      <c r="K32" t="s">
        <v>56</v>
      </c>
      <c r="L32">
        <v>12</v>
      </c>
      <c r="M32" t="s">
        <v>51</v>
      </c>
      <c r="N32">
        <v>2020</v>
      </c>
      <c r="O32">
        <v>14453</v>
      </c>
      <c r="P32" t="s">
        <v>331</v>
      </c>
      <c r="Q32" t="s">
        <v>332</v>
      </c>
      <c r="R32" t="s">
        <v>333</v>
      </c>
      <c r="S32" t="s">
        <v>334</v>
      </c>
      <c r="T32" t="s">
        <v>335</v>
      </c>
      <c r="U32" t="s">
        <v>175</v>
      </c>
      <c r="V32">
        <v>60</v>
      </c>
      <c r="W32" t="str">
        <f ca="1">IF(Tabela1[[#This Row],[datVigencia]]=0,"Expirado",IF(Tabela1[[#This Row],[datVigencia]]&gt;TODAY(),"Vigente","Expirado"))</f>
        <v>Vigente</v>
      </c>
      <c r="X32" s="2">
        <v>4547566.08</v>
      </c>
      <c r="Y32" s="2">
        <v>4619318.18</v>
      </c>
      <c r="Z32" s="2">
        <v>23594128.710000001</v>
      </c>
      <c r="AA32" s="2">
        <v>0</v>
      </c>
      <c r="AB32" s="2">
        <f>Tabela1[[#This Row],[valPrincipal]]+Tabela1[[#This Row],[valReajustes]]+Tabela1[[#This Row],[valAditamentos]]-Tabela1[[#This Row],[valAnulacao]]</f>
        <v>32761012.969999999</v>
      </c>
      <c r="AC32" s="2">
        <f>IF(Tabela1[[#This Row],[VigenciaMeses]]=0,Tabela1[[#This Row],[valTotal]]/1,Tabela1[[#This Row],[valTotal]]/Tabela1[[#This Row],[VigenciaMeses]])</f>
        <v>546016.88283333334</v>
      </c>
      <c r="AD32" s="2">
        <f>Tabela1[[#This Row],[valMensal]]*12</f>
        <v>6552202.5940000005</v>
      </c>
      <c r="AE32" s="2">
        <v>38550736.119999997</v>
      </c>
      <c r="AF32" s="2">
        <v>6021268.0899999999</v>
      </c>
      <c r="AG32" s="2">
        <v>32529468.030000001</v>
      </c>
      <c r="AH32" s="2">
        <v>30673064.559999999</v>
      </c>
      <c r="AI32" s="2">
        <v>30673064.559999999</v>
      </c>
      <c r="AJ32" t="s">
        <v>47</v>
      </c>
    </row>
    <row r="33" spans="1:36" x14ac:dyDescent="0.25">
      <c r="A33" t="s">
        <v>36</v>
      </c>
      <c r="B33" t="s">
        <v>37</v>
      </c>
      <c r="C33" t="s">
        <v>38</v>
      </c>
      <c r="D33" t="s">
        <v>39</v>
      </c>
      <c r="E33">
        <v>14</v>
      </c>
      <c r="F33">
        <v>126</v>
      </c>
      <c r="G33">
        <v>3024</v>
      </c>
      <c r="H33">
        <v>2171</v>
      </c>
      <c r="I33" t="s">
        <v>69</v>
      </c>
      <c r="J33" t="s">
        <v>55</v>
      </c>
      <c r="K33" t="s">
        <v>56</v>
      </c>
      <c r="L33">
        <v>6</v>
      </c>
      <c r="M33" t="s">
        <v>97</v>
      </c>
      <c r="N33">
        <v>2023</v>
      </c>
      <c r="O33">
        <v>32745</v>
      </c>
      <c r="P33" t="s">
        <v>188</v>
      </c>
      <c r="Q33" t="s">
        <v>189</v>
      </c>
      <c r="R33" t="s">
        <v>190</v>
      </c>
      <c r="S33" t="s">
        <v>191</v>
      </c>
      <c r="T33" t="s">
        <v>192</v>
      </c>
      <c r="U33" t="s">
        <v>193</v>
      </c>
      <c r="V33">
        <v>24</v>
      </c>
      <c r="W33" t="str">
        <f ca="1">IF(Tabela1[[#This Row],[datVigencia]]=0,"Expirado",IF(Tabela1[[#This Row],[datVigencia]]&gt;TODAY(),"Vigente","Expirado"))</f>
        <v>Vigente</v>
      </c>
      <c r="X33" s="2">
        <v>3973115.56</v>
      </c>
      <c r="Y33" s="2">
        <v>159622.9</v>
      </c>
      <c r="Z33" s="2">
        <v>4019685.56</v>
      </c>
      <c r="AA33" s="2">
        <v>0</v>
      </c>
      <c r="AB33" s="2">
        <f>Tabela1[[#This Row],[valPrincipal]]+Tabela1[[#This Row],[valReajustes]]+Tabela1[[#This Row],[valAditamentos]]-Tabela1[[#This Row],[valAnulacao]]</f>
        <v>8152424.0199999996</v>
      </c>
      <c r="AC33" s="2">
        <f>IF(Tabela1[[#This Row],[VigenciaMeses]]=0,Tabela1[[#This Row],[valTotal]]/1,Tabela1[[#This Row],[valTotal]]/Tabela1[[#This Row],[VigenciaMeses]])</f>
        <v>339684.33416666667</v>
      </c>
      <c r="AD33" s="2">
        <f>Tabela1[[#This Row],[valMensal]]*12</f>
        <v>4076212.01</v>
      </c>
      <c r="AE33" s="2">
        <v>6143113.2699999996</v>
      </c>
      <c r="AF33" s="2">
        <v>940140.47</v>
      </c>
      <c r="AG33" s="2">
        <v>5202972.8</v>
      </c>
      <c r="AH33" s="2">
        <v>4570080</v>
      </c>
      <c r="AI33" s="2">
        <v>4299140.75</v>
      </c>
      <c r="AJ33" t="s">
        <v>47</v>
      </c>
    </row>
    <row r="34" spans="1:36" x14ac:dyDescent="0.25">
      <c r="A34" t="s">
        <v>36</v>
      </c>
      <c r="B34" t="s">
        <v>37</v>
      </c>
      <c r="C34" t="s">
        <v>38</v>
      </c>
      <c r="D34" t="s">
        <v>39</v>
      </c>
      <c r="E34">
        <v>14</v>
      </c>
      <c r="F34">
        <v>422</v>
      </c>
      <c r="G34">
        <v>3013</v>
      </c>
      <c r="H34">
        <v>6178</v>
      </c>
      <c r="I34" t="s">
        <v>103</v>
      </c>
      <c r="J34" t="s">
        <v>104</v>
      </c>
      <c r="K34" t="s">
        <v>105</v>
      </c>
      <c r="L34">
        <v>8</v>
      </c>
      <c r="M34" t="s">
        <v>43</v>
      </c>
      <c r="N34">
        <v>2023</v>
      </c>
      <c r="O34">
        <v>30130</v>
      </c>
      <c r="P34" t="s">
        <v>255</v>
      </c>
      <c r="Q34" t="s">
        <v>256</v>
      </c>
      <c r="R34" t="s">
        <v>257</v>
      </c>
      <c r="S34" t="s">
        <v>258</v>
      </c>
      <c r="T34" t="s">
        <v>259</v>
      </c>
      <c r="U34" t="s">
        <v>260</v>
      </c>
      <c r="V34">
        <v>36</v>
      </c>
      <c r="W34" t="str">
        <f ca="1">IF(Tabela1[[#This Row],[datVigencia]]=0,"Expirado",IF(Tabela1[[#This Row],[datVigencia]]&gt;TODAY(),"Vigente","Expirado"))</f>
        <v>Vigente</v>
      </c>
      <c r="X34" s="2">
        <v>3907158.25</v>
      </c>
      <c r="Y34" s="2">
        <v>0</v>
      </c>
      <c r="Z34" s="2">
        <v>0</v>
      </c>
      <c r="AA34" s="2">
        <v>0</v>
      </c>
      <c r="AB34" s="2">
        <f>Tabela1[[#This Row],[valPrincipal]]+Tabela1[[#This Row],[valReajustes]]+Tabela1[[#This Row],[valAditamentos]]-Tabela1[[#This Row],[valAnulacao]]</f>
        <v>3907158.25</v>
      </c>
      <c r="AC34" s="2">
        <f>IF(Tabela1[[#This Row],[VigenciaMeses]]=0,Tabela1[[#This Row],[valTotal]]/1,Tabela1[[#This Row],[valTotal]]/Tabela1[[#This Row],[VigenciaMeses]])</f>
        <v>108532.17361111111</v>
      </c>
      <c r="AD34" s="2">
        <f>Tabela1[[#This Row],[valMensal]]*12</f>
        <v>1302386.0833333333</v>
      </c>
      <c r="AE34" s="2">
        <v>2690897.17</v>
      </c>
      <c r="AF34" s="2">
        <v>119523.69</v>
      </c>
      <c r="AG34" s="2">
        <v>2571373.48</v>
      </c>
      <c r="AH34" s="2">
        <v>2571373.4700000002</v>
      </c>
      <c r="AI34" s="2">
        <v>2571373.4700000002</v>
      </c>
      <c r="AJ34" t="s">
        <v>47</v>
      </c>
    </row>
    <row r="35" spans="1:36" x14ac:dyDescent="0.25">
      <c r="A35" t="s">
        <v>36</v>
      </c>
      <c r="B35" t="s">
        <v>37</v>
      </c>
      <c r="C35" t="s">
        <v>38</v>
      </c>
      <c r="D35" t="s">
        <v>39</v>
      </c>
      <c r="E35">
        <v>14</v>
      </c>
      <c r="F35">
        <v>422</v>
      </c>
      <c r="G35">
        <v>3018</v>
      </c>
      <c r="H35">
        <v>2051</v>
      </c>
      <c r="I35" t="s">
        <v>103</v>
      </c>
      <c r="J35" t="s">
        <v>104</v>
      </c>
      <c r="K35" t="s">
        <v>105</v>
      </c>
      <c r="L35">
        <v>8</v>
      </c>
      <c r="M35" t="s">
        <v>43</v>
      </c>
      <c r="N35">
        <v>2020</v>
      </c>
      <c r="O35">
        <v>8367</v>
      </c>
      <c r="P35" t="s">
        <v>112</v>
      </c>
      <c r="Q35" t="s">
        <v>113</v>
      </c>
      <c r="R35" t="s">
        <v>114</v>
      </c>
      <c r="S35" t="s">
        <v>115</v>
      </c>
      <c r="T35" t="s">
        <v>116</v>
      </c>
      <c r="U35" t="s">
        <v>117</v>
      </c>
      <c r="V35">
        <v>73</v>
      </c>
      <c r="W35" t="str">
        <f ca="1">IF(Tabela1[[#This Row],[datVigencia]]=0,"Expirado",IF(Tabela1[[#This Row],[datVigencia]]&gt;TODAY(),"Vigente","Expirado"))</f>
        <v>Vigente</v>
      </c>
      <c r="X35" s="2">
        <v>3388569.69</v>
      </c>
      <c r="Y35" s="2">
        <v>0</v>
      </c>
      <c r="Z35" s="2">
        <v>6302425.54</v>
      </c>
      <c r="AA35" s="2">
        <v>0</v>
      </c>
      <c r="AB35" s="2">
        <f>Tabela1[[#This Row],[valPrincipal]]+Tabela1[[#This Row],[valReajustes]]+Tabela1[[#This Row],[valAditamentos]]-Tabela1[[#This Row],[valAnulacao]]</f>
        <v>9690995.2300000004</v>
      </c>
      <c r="AC35" s="2">
        <f>IF(Tabela1[[#This Row],[VigenciaMeses]]=0,Tabela1[[#This Row],[valTotal]]/1,Tabela1[[#This Row],[valTotal]]/Tabela1[[#This Row],[VigenciaMeses]])</f>
        <v>132753.35931506849</v>
      </c>
      <c r="AD35" s="2">
        <f>Tabela1[[#This Row],[valMensal]]*12</f>
        <v>1593040.311780822</v>
      </c>
      <c r="AE35" s="2">
        <v>9058620.5800000001</v>
      </c>
      <c r="AF35" s="2">
        <v>471486.23</v>
      </c>
      <c r="AG35" s="2">
        <v>8587134.3499999996</v>
      </c>
      <c r="AH35" s="2">
        <v>7848541.9100000001</v>
      </c>
      <c r="AI35" s="2">
        <v>7848541.9100000001</v>
      </c>
      <c r="AJ35" t="s">
        <v>47</v>
      </c>
    </row>
    <row r="36" spans="1:36" x14ac:dyDescent="0.25">
      <c r="A36" t="s">
        <v>36</v>
      </c>
      <c r="B36" t="s">
        <v>37</v>
      </c>
      <c r="C36" t="s">
        <v>38</v>
      </c>
      <c r="D36" t="s">
        <v>39</v>
      </c>
      <c r="E36">
        <v>14</v>
      </c>
      <c r="F36">
        <v>422</v>
      </c>
      <c r="G36">
        <v>3007</v>
      </c>
      <c r="H36">
        <v>4330</v>
      </c>
      <c r="I36" t="s">
        <v>323</v>
      </c>
      <c r="J36" t="s">
        <v>55</v>
      </c>
      <c r="K36" t="s">
        <v>56</v>
      </c>
      <c r="L36">
        <v>7</v>
      </c>
      <c r="M36" t="s">
        <v>324</v>
      </c>
      <c r="N36">
        <v>2024</v>
      </c>
      <c r="O36">
        <v>30342</v>
      </c>
      <c r="P36" t="s">
        <v>325</v>
      </c>
      <c r="Q36" t="s">
        <v>326</v>
      </c>
      <c r="R36" t="s">
        <v>327</v>
      </c>
      <c r="S36" t="s">
        <v>328</v>
      </c>
      <c r="T36" t="s">
        <v>329</v>
      </c>
      <c r="U36" t="s">
        <v>330</v>
      </c>
      <c r="V36">
        <v>32</v>
      </c>
      <c r="W36" t="str">
        <f ca="1">IF(Tabela1[[#This Row],[datVigencia]]=0,"Expirado",IF(Tabela1[[#This Row],[datVigencia]]&gt;TODAY(),"Vigente","Expirado"))</f>
        <v>Vigente</v>
      </c>
      <c r="X36" s="2">
        <v>3089646</v>
      </c>
      <c r="Y36" s="2">
        <v>0</v>
      </c>
      <c r="Z36" s="2">
        <v>0</v>
      </c>
      <c r="AA36" s="2">
        <v>0</v>
      </c>
      <c r="AB36" s="2">
        <f>Tabela1[[#This Row],[valPrincipal]]+Tabela1[[#This Row],[valReajustes]]+Tabela1[[#This Row],[valAditamentos]]-Tabela1[[#This Row],[valAnulacao]]</f>
        <v>3089646</v>
      </c>
      <c r="AC36" s="2">
        <f>IF(Tabela1[[#This Row],[VigenciaMeses]]=0,Tabela1[[#This Row],[valTotal]]/1,Tabela1[[#This Row],[valTotal]]/Tabela1[[#This Row],[VigenciaMeses]])</f>
        <v>96551.4375</v>
      </c>
      <c r="AD36" s="2">
        <f>Tabela1[[#This Row],[valMensal]]*12</f>
        <v>1158617.25</v>
      </c>
      <c r="AE36" s="2">
        <v>1056547.44</v>
      </c>
      <c r="AF36" s="2">
        <v>454920.64</v>
      </c>
      <c r="AG36" s="2">
        <v>601626.80000000005</v>
      </c>
      <c r="AH36" s="2">
        <v>544544.68999999994</v>
      </c>
      <c r="AI36" s="2">
        <v>544544.68999999994</v>
      </c>
      <c r="AJ36" t="s">
        <v>47</v>
      </c>
    </row>
    <row r="37" spans="1:36" x14ac:dyDescent="0.25">
      <c r="A37" t="s">
        <v>36</v>
      </c>
      <c r="B37" t="s">
        <v>37</v>
      </c>
      <c r="C37" t="s">
        <v>38</v>
      </c>
      <c r="D37" t="s">
        <v>39</v>
      </c>
      <c r="E37">
        <v>14</v>
      </c>
      <c r="F37">
        <v>422</v>
      </c>
      <c r="G37">
        <v>3013</v>
      </c>
      <c r="H37">
        <v>2053</v>
      </c>
      <c r="I37" t="s">
        <v>323</v>
      </c>
      <c r="J37" t="s">
        <v>55</v>
      </c>
      <c r="K37" t="s">
        <v>56</v>
      </c>
      <c r="L37">
        <v>12</v>
      </c>
      <c r="M37" t="s">
        <v>51</v>
      </c>
      <c r="N37">
        <v>2025</v>
      </c>
      <c r="O37">
        <v>13466</v>
      </c>
      <c r="Q37" t="s">
        <v>326</v>
      </c>
      <c r="R37" t="s">
        <v>327</v>
      </c>
      <c r="V37">
        <v>12</v>
      </c>
      <c r="W37" t="str">
        <f ca="1">IF(Tabela1[[#This Row],[datVigencia]]=0,"Expirado",IF(Tabela1[[#This Row],[datVigencia]]&gt;TODAY(),"Vigente","Expirado"))</f>
        <v>Expirado</v>
      </c>
      <c r="X37" s="2">
        <v>3089645.4</v>
      </c>
      <c r="Y37" s="2">
        <v>0</v>
      </c>
      <c r="Z37" s="2">
        <v>0</v>
      </c>
      <c r="AA37" s="2">
        <v>0</v>
      </c>
      <c r="AB37" s="2">
        <f>Tabela1[[#This Row],[valPrincipal]]+Tabela1[[#This Row],[valReajustes]]+Tabela1[[#This Row],[valAditamentos]]-Tabela1[[#This Row],[valAnulacao]]</f>
        <v>3089645.4</v>
      </c>
      <c r="AC37" s="2">
        <f>IF(Tabela1[[#This Row],[VigenciaMeses]]=0,Tabela1[[#This Row],[valTotal]]/1,Tabela1[[#This Row],[valTotal]]/Tabela1[[#This Row],[VigenciaMeses]])</f>
        <v>257470.44999999998</v>
      </c>
      <c r="AD37" s="2">
        <f>Tabela1[[#This Row],[valMensal]]*12</f>
        <v>3089645.4</v>
      </c>
      <c r="AE37" s="2">
        <v>607720.41</v>
      </c>
      <c r="AF37" s="2">
        <v>24991</v>
      </c>
      <c r="AG37" s="2">
        <v>582729.41</v>
      </c>
      <c r="AH37" s="2">
        <v>0</v>
      </c>
      <c r="AI37" s="2">
        <v>0</v>
      </c>
      <c r="AJ37" t="s">
        <v>47</v>
      </c>
    </row>
    <row r="38" spans="1:36" x14ac:dyDescent="0.25">
      <c r="A38" t="s">
        <v>36</v>
      </c>
      <c r="B38" t="s">
        <v>37</v>
      </c>
      <c r="C38" t="s">
        <v>38</v>
      </c>
      <c r="D38" t="s">
        <v>39</v>
      </c>
      <c r="E38">
        <v>14</v>
      </c>
      <c r="F38">
        <v>243</v>
      </c>
      <c r="G38">
        <v>3013</v>
      </c>
      <c r="H38">
        <v>2157</v>
      </c>
      <c r="I38" t="s">
        <v>48</v>
      </c>
      <c r="J38" t="s">
        <v>55</v>
      </c>
      <c r="K38" t="s">
        <v>56</v>
      </c>
      <c r="L38">
        <v>12</v>
      </c>
      <c r="M38" t="s">
        <v>51</v>
      </c>
      <c r="N38">
        <v>2021</v>
      </c>
      <c r="O38">
        <v>21847</v>
      </c>
      <c r="P38" t="s">
        <v>750</v>
      </c>
      <c r="Q38" t="s">
        <v>751</v>
      </c>
      <c r="R38" t="s">
        <v>752</v>
      </c>
      <c r="S38" t="s">
        <v>753</v>
      </c>
      <c r="T38" t="s">
        <v>754</v>
      </c>
      <c r="U38" t="s">
        <v>46</v>
      </c>
      <c r="V38">
        <v>50</v>
      </c>
      <c r="W38" t="str">
        <f ca="1">IF(Tabela1[[#This Row],[datVigencia]]=0,"Expirado",IF(Tabela1[[#This Row],[datVigencia]]&gt;TODAY(),"Vigente","Expirado"))</f>
        <v>Vigente</v>
      </c>
      <c r="X38" s="2">
        <v>2882880</v>
      </c>
      <c r="Y38" s="2">
        <v>321235.20000000001</v>
      </c>
      <c r="Z38" s="2">
        <v>960960</v>
      </c>
      <c r="AA38" s="2">
        <v>0</v>
      </c>
      <c r="AB38" s="2">
        <f>Tabela1[[#This Row],[valPrincipal]]+Tabela1[[#This Row],[valReajustes]]+Tabela1[[#This Row],[valAditamentos]]-Tabela1[[#This Row],[valAnulacao]]</f>
        <v>4165075.2</v>
      </c>
      <c r="AC38" s="2">
        <f>IF(Tabela1[[#This Row],[VigenciaMeses]]=0,Tabela1[[#This Row],[valTotal]]/1,Tabela1[[#This Row],[valTotal]]/Tabela1[[#This Row],[VigenciaMeses]])</f>
        <v>83301.504000000001</v>
      </c>
      <c r="AD38" s="2">
        <f>Tabela1[[#This Row],[valMensal]]*12</f>
        <v>999618.04799999995</v>
      </c>
      <c r="AE38" s="2">
        <v>4418402.22</v>
      </c>
      <c r="AF38" s="2">
        <v>393609.29</v>
      </c>
      <c r="AG38" s="2">
        <v>4024792.93</v>
      </c>
      <c r="AH38" s="2">
        <v>3510366.53</v>
      </c>
      <c r="AI38" s="2">
        <v>3417954.73</v>
      </c>
      <c r="AJ38" t="s">
        <v>47</v>
      </c>
    </row>
    <row r="39" spans="1:36" x14ac:dyDescent="0.25">
      <c r="A39" t="s">
        <v>36</v>
      </c>
      <c r="B39" t="s">
        <v>37</v>
      </c>
      <c r="C39" t="s">
        <v>38</v>
      </c>
      <c r="D39" t="s">
        <v>39</v>
      </c>
      <c r="E39">
        <v>14</v>
      </c>
      <c r="F39">
        <v>243</v>
      </c>
      <c r="G39">
        <v>3013</v>
      </c>
      <c r="H39">
        <v>2157</v>
      </c>
      <c r="I39" t="s">
        <v>48</v>
      </c>
      <c r="J39" t="s">
        <v>55</v>
      </c>
      <c r="K39" t="s">
        <v>56</v>
      </c>
      <c r="L39">
        <v>12</v>
      </c>
      <c r="M39" t="s">
        <v>51</v>
      </c>
      <c r="N39">
        <v>2022</v>
      </c>
      <c r="O39">
        <v>16811</v>
      </c>
      <c r="P39" t="s">
        <v>744</v>
      </c>
      <c r="Q39" t="s">
        <v>745</v>
      </c>
      <c r="R39" t="s">
        <v>746</v>
      </c>
      <c r="S39" t="s">
        <v>747</v>
      </c>
      <c r="T39" t="s">
        <v>748</v>
      </c>
      <c r="U39" t="s">
        <v>749</v>
      </c>
      <c r="V39">
        <v>38</v>
      </c>
      <c r="W39" t="str">
        <f ca="1">IF(Tabela1[[#This Row],[datVigencia]]=0,"Expirado",IF(Tabela1[[#This Row],[datVigencia]]&gt;TODAY(),"Vigente","Expirado"))</f>
        <v>Vigente</v>
      </c>
      <c r="X39" s="2">
        <v>2772866.88</v>
      </c>
      <c r="Y39" s="2">
        <v>362951.3</v>
      </c>
      <c r="Z39" s="2">
        <v>7041379.7999999998</v>
      </c>
      <c r="AA39" s="2">
        <v>0</v>
      </c>
      <c r="AB39" s="2">
        <f>Tabela1[[#This Row],[valPrincipal]]+Tabela1[[#This Row],[valReajustes]]+Tabela1[[#This Row],[valAditamentos]]-Tabela1[[#This Row],[valAnulacao]]</f>
        <v>10177197.98</v>
      </c>
      <c r="AC39" s="2">
        <f>IF(Tabela1[[#This Row],[VigenciaMeses]]=0,Tabela1[[#This Row],[valTotal]]/1,Tabela1[[#This Row],[valTotal]]/Tabela1[[#This Row],[VigenciaMeses]])</f>
        <v>267820.99947368423</v>
      </c>
      <c r="AD39" s="2">
        <f>Tabela1[[#This Row],[valMensal]]*12</f>
        <v>3213851.9936842108</v>
      </c>
      <c r="AE39" s="2">
        <v>11012596.470000001</v>
      </c>
      <c r="AF39" s="2">
        <v>1075545.33</v>
      </c>
      <c r="AG39" s="2">
        <v>9937051.1400000006</v>
      </c>
      <c r="AH39" s="2">
        <v>8857894.9800000004</v>
      </c>
      <c r="AI39" s="2">
        <v>8857894.9800000004</v>
      </c>
      <c r="AJ39" t="s">
        <v>47</v>
      </c>
    </row>
    <row r="40" spans="1:36" x14ac:dyDescent="0.25">
      <c r="A40" t="s">
        <v>36</v>
      </c>
      <c r="B40" t="s">
        <v>37</v>
      </c>
      <c r="C40" t="s">
        <v>38</v>
      </c>
      <c r="D40" t="s">
        <v>39</v>
      </c>
      <c r="E40">
        <v>14</v>
      </c>
      <c r="F40">
        <v>422</v>
      </c>
      <c r="G40">
        <v>3013</v>
      </c>
      <c r="H40">
        <v>2431</v>
      </c>
      <c r="I40" t="s">
        <v>103</v>
      </c>
      <c r="J40" t="s">
        <v>104</v>
      </c>
      <c r="K40" t="s">
        <v>105</v>
      </c>
      <c r="L40">
        <v>8</v>
      </c>
      <c r="M40" t="s">
        <v>43</v>
      </c>
      <c r="N40">
        <v>2021</v>
      </c>
      <c r="O40">
        <v>10879</v>
      </c>
      <c r="P40" t="s">
        <v>352</v>
      </c>
      <c r="Q40" t="s">
        <v>353</v>
      </c>
      <c r="R40" t="s">
        <v>354</v>
      </c>
      <c r="S40" t="s">
        <v>355</v>
      </c>
      <c r="T40" t="s">
        <v>356</v>
      </c>
      <c r="U40" t="s">
        <v>357</v>
      </c>
      <c r="V40">
        <v>52</v>
      </c>
      <c r="W40" t="str">
        <f ca="1">IF(Tabela1[[#This Row],[datVigencia]]=0,"Expirado",IF(Tabela1[[#This Row],[datVigencia]]&gt;TODAY(),"Vigente","Expirado"))</f>
        <v>Vigente</v>
      </c>
      <c r="X40" s="2">
        <v>2381378.06</v>
      </c>
      <c r="Y40" s="2">
        <v>0</v>
      </c>
      <c r="Z40" s="2">
        <v>1713296.07</v>
      </c>
      <c r="AA40" s="2">
        <v>0</v>
      </c>
      <c r="AB40" s="2">
        <f>Tabela1[[#This Row],[valPrincipal]]+Tabela1[[#This Row],[valReajustes]]+Tabela1[[#This Row],[valAditamentos]]-Tabela1[[#This Row],[valAnulacao]]</f>
        <v>4094674.13</v>
      </c>
      <c r="AC40" s="2">
        <f>IF(Tabela1[[#This Row],[VigenciaMeses]]=0,Tabela1[[#This Row],[valTotal]]/1,Tabela1[[#This Row],[valTotal]]/Tabela1[[#This Row],[VigenciaMeses]])</f>
        <v>78743.733269230768</v>
      </c>
      <c r="AD40" s="2">
        <f>Tabela1[[#This Row],[valMensal]]*12</f>
        <v>944924.79923076928</v>
      </c>
      <c r="AE40" s="2">
        <v>4445695.41</v>
      </c>
      <c r="AF40" s="2">
        <v>351021.28</v>
      </c>
      <c r="AG40" s="2">
        <v>4094674.13</v>
      </c>
      <c r="AH40" s="2">
        <v>3867995.73</v>
      </c>
      <c r="AI40" s="2">
        <v>3867995.73</v>
      </c>
      <c r="AJ40" t="s">
        <v>47</v>
      </c>
    </row>
    <row r="41" spans="1:36" x14ac:dyDescent="0.25">
      <c r="A41" t="s">
        <v>36</v>
      </c>
      <c r="B41" t="s">
        <v>37</v>
      </c>
      <c r="C41" t="s">
        <v>38</v>
      </c>
      <c r="D41" t="s">
        <v>39</v>
      </c>
      <c r="E41">
        <v>14</v>
      </c>
      <c r="F41">
        <v>422</v>
      </c>
      <c r="G41">
        <v>3013</v>
      </c>
      <c r="H41">
        <v>6178</v>
      </c>
      <c r="I41" t="s">
        <v>48</v>
      </c>
      <c r="J41" t="s">
        <v>55</v>
      </c>
      <c r="K41" t="s">
        <v>56</v>
      </c>
      <c r="L41">
        <v>4</v>
      </c>
      <c r="M41" t="s">
        <v>710</v>
      </c>
      <c r="N41">
        <v>2024</v>
      </c>
      <c r="O41">
        <v>29365</v>
      </c>
      <c r="P41" t="s">
        <v>711</v>
      </c>
      <c r="Q41" t="s">
        <v>712</v>
      </c>
      <c r="R41" t="s">
        <v>713</v>
      </c>
      <c r="S41" t="s">
        <v>714</v>
      </c>
      <c r="T41" t="s">
        <v>715</v>
      </c>
      <c r="U41" t="s">
        <v>716</v>
      </c>
      <c r="V41">
        <v>12</v>
      </c>
      <c r="W41" t="str">
        <f ca="1">IF(Tabela1[[#This Row],[datVigencia]]=0,"Expirado",IF(Tabela1[[#This Row],[datVigencia]]&gt;TODAY(),"Vigente","Expirado"))</f>
        <v>Vigente</v>
      </c>
      <c r="X41" s="2">
        <v>1912763.64</v>
      </c>
      <c r="Y41" s="2">
        <v>0</v>
      </c>
      <c r="Z41" s="2">
        <v>33821.4</v>
      </c>
      <c r="AA41" s="2">
        <v>0</v>
      </c>
      <c r="AB41" s="2">
        <f>Tabela1[[#This Row],[valPrincipal]]+Tabela1[[#This Row],[valReajustes]]+Tabela1[[#This Row],[valAditamentos]]-Tabela1[[#This Row],[valAnulacao]]</f>
        <v>1946585.0399999998</v>
      </c>
      <c r="AC41" s="2">
        <f>IF(Tabela1[[#This Row],[VigenciaMeses]]=0,Tabela1[[#This Row],[valTotal]]/1,Tabela1[[#This Row],[valTotal]]/Tabela1[[#This Row],[VigenciaMeses]])</f>
        <v>162215.41999999998</v>
      </c>
      <c r="AD41" s="2">
        <f>Tabela1[[#This Row],[valMensal]]*12</f>
        <v>1946585.0399999998</v>
      </c>
      <c r="AE41" s="2">
        <v>1785554.53</v>
      </c>
      <c r="AF41" s="2">
        <v>74971.28</v>
      </c>
      <c r="AG41" s="2">
        <v>1710583.25</v>
      </c>
      <c r="AH41" s="2">
        <v>1130596.1299999999</v>
      </c>
      <c r="AI41" s="2">
        <v>972700.23</v>
      </c>
      <c r="AJ41" t="s">
        <v>47</v>
      </c>
    </row>
    <row r="42" spans="1:36" x14ac:dyDescent="0.25">
      <c r="A42" t="s">
        <v>36</v>
      </c>
      <c r="B42" t="s">
        <v>37</v>
      </c>
      <c r="C42" t="s">
        <v>38</v>
      </c>
      <c r="D42" t="s">
        <v>39</v>
      </c>
      <c r="E42">
        <v>14</v>
      </c>
      <c r="F42">
        <v>422</v>
      </c>
      <c r="G42">
        <v>3018</v>
      </c>
      <c r="H42">
        <v>4326</v>
      </c>
      <c r="I42" t="s">
        <v>103</v>
      </c>
      <c r="J42" t="s">
        <v>104</v>
      </c>
      <c r="K42" t="s">
        <v>105</v>
      </c>
      <c r="L42">
        <v>8</v>
      </c>
      <c r="M42" t="s">
        <v>43</v>
      </c>
      <c r="N42">
        <v>2019</v>
      </c>
      <c r="O42">
        <v>16821</v>
      </c>
      <c r="P42" t="s">
        <v>220</v>
      </c>
      <c r="Q42" t="s">
        <v>221</v>
      </c>
      <c r="R42" t="s">
        <v>222</v>
      </c>
      <c r="S42" t="s">
        <v>223</v>
      </c>
      <c r="T42" t="s">
        <v>224</v>
      </c>
      <c r="U42" t="s">
        <v>225</v>
      </c>
      <c r="V42">
        <v>74</v>
      </c>
      <c r="W42" t="str">
        <f ca="1">IF(Tabela1[[#This Row],[datVigencia]]=0,"Expirado",IF(Tabela1[[#This Row],[datVigencia]]&gt;TODAY(),"Vigente","Expirado"))</f>
        <v>Vigente</v>
      </c>
      <c r="X42" s="2">
        <v>1897214.75</v>
      </c>
      <c r="Y42" s="2">
        <v>0</v>
      </c>
      <c r="Z42" s="2">
        <v>4661064.38</v>
      </c>
      <c r="AA42" s="2">
        <v>0</v>
      </c>
      <c r="AB42" s="2">
        <f>Tabela1[[#This Row],[valPrincipal]]+Tabela1[[#This Row],[valReajustes]]+Tabela1[[#This Row],[valAditamentos]]-Tabela1[[#This Row],[valAnulacao]]</f>
        <v>6558279.1299999999</v>
      </c>
      <c r="AC42" s="2">
        <f>IF(Tabela1[[#This Row],[VigenciaMeses]]=0,Tabela1[[#This Row],[valTotal]]/1,Tabela1[[#This Row],[valTotal]]/Tabela1[[#This Row],[VigenciaMeses]])</f>
        <v>88625.393648648649</v>
      </c>
      <c r="AD42" s="2">
        <f>Tabela1[[#This Row],[valMensal]]*12</f>
        <v>1063504.7237837838</v>
      </c>
      <c r="AE42" s="2">
        <v>7293277.8899999997</v>
      </c>
      <c r="AF42" s="2">
        <v>965855.38</v>
      </c>
      <c r="AG42" s="2">
        <v>6327422.5099999998</v>
      </c>
      <c r="AH42" s="2">
        <v>6327422.5099999998</v>
      </c>
      <c r="AI42" s="2">
        <v>6327422.5099999998</v>
      </c>
      <c r="AJ42" t="s">
        <v>47</v>
      </c>
    </row>
    <row r="43" spans="1:36" x14ac:dyDescent="0.25">
      <c r="A43" t="s">
        <v>36</v>
      </c>
      <c r="B43" t="s">
        <v>37</v>
      </c>
      <c r="C43" t="s">
        <v>38</v>
      </c>
      <c r="D43" t="s">
        <v>39</v>
      </c>
      <c r="E43">
        <v>14</v>
      </c>
      <c r="F43">
        <v>422</v>
      </c>
      <c r="G43">
        <v>3023</v>
      </c>
      <c r="H43">
        <v>4321</v>
      </c>
      <c r="I43" t="s">
        <v>48</v>
      </c>
      <c r="J43" t="s">
        <v>55</v>
      </c>
      <c r="K43" t="s">
        <v>56</v>
      </c>
      <c r="L43">
        <v>6</v>
      </c>
      <c r="M43" t="s">
        <v>97</v>
      </c>
      <c r="N43">
        <v>2025</v>
      </c>
      <c r="O43">
        <v>13644</v>
      </c>
      <c r="Q43" t="s">
        <v>1192</v>
      </c>
      <c r="R43" t="s">
        <v>1193</v>
      </c>
      <c r="V43">
        <v>12</v>
      </c>
      <c r="W43" t="str">
        <f ca="1">IF(Tabela1[[#This Row],[datVigencia]]=0,"Expirado",IF(Tabela1[[#This Row],[datVigencia]]&gt;TODAY(),"Vigente","Expirado"))</f>
        <v>Expirado</v>
      </c>
      <c r="X43" s="2">
        <v>1789215.04</v>
      </c>
      <c r="Y43" s="2">
        <v>0</v>
      </c>
      <c r="Z43" s="2">
        <v>0</v>
      </c>
      <c r="AA43" s="2">
        <v>0</v>
      </c>
      <c r="AB43" s="2">
        <f>Tabela1[[#This Row],[valPrincipal]]+Tabela1[[#This Row],[valReajustes]]+Tabela1[[#This Row],[valAditamentos]]-Tabela1[[#This Row],[valAnulacao]]</f>
        <v>1789215.04</v>
      </c>
      <c r="AC43" s="2">
        <f>IF(Tabela1[[#This Row],[VigenciaMeses]]=0,Tabela1[[#This Row],[valTotal]]/1,Tabela1[[#This Row],[valTotal]]/Tabela1[[#This Row],[VigenciaMeses]])</f>
        <v>149101.25333333333</v>
      </c>
      <c r="AD43" s="2">
        <f>Tabela1[[#This Row],[valMensal]]*12</f>
        <v>1789215.04</v>
      </c>
      <c r="AE43" s="2">
        <v>900000</v>
      </c>
      <c r="AF43" s="2">
        <v>450000</v>
      </c>
      <c r="AG43" s="2">
        <v>450000</v>
      </c>
      <c r="AH43" s="2">
        <v>0</v>
      </c>
      <c r="AI43" s="2">
        <v>0</v>
      </c>
      <c r="AJ43" t="s">
        <v>47</v>
      </c>
    </row>
    <row r="44" spans="1:36" x14ac:dyDescent="0.25">
      <c r="A44" t="s">
        <v>36</v>
      </c>
      <c r="B44" t="s">
        <v>37</v>
      </c>
      <c r="C44" t="s">
        <v>38</v>
      </c>
      <c r="D44" t="s">
        <v>39</v>
      </c>
      <c r="E44">
        <v>14</v>
      </c>
      <c r="F44">
        <v>126</v>
      </c>
      <c r="G44">
        <v>3024</v>
      </c>
      <c r="H44">
        <v>2171</v>
      </c>
      <c r="I44" t="s">
        <v>69</v>
      </c>
      <c r="J44" t="s">
        <v>55</v>
      </c>
      <c r="K44" t="s">
        <v>56</v>
      </c>
      <c r="L44">
        <v>6</v>
      </c>
      <c r="M44" t="s">
        <v>97</v>
      </c>
      <c r="N44">
        <v>2024</v>
      </c>
      <c r="O44">
        <v>30364</v>
      </c>
      <c r="P44" t="s">
        <v>202</v>
      </c>
      <c r="Q44" t="s">
        <v>200</v>
      </c>
      <c r="R44" t="s">
        <v>201</v>
      </c>
      <c r="S44" t="s">
        <v>203</v>
      </c>
      <c r="T44" t="s">
        <v>204</v>
      </c>
      <c r="U44" t="s">
        <v>205</v>
      </c>
      <c r="V44">
        <v>12</v>
      </c>
      <c r="W44" t="str">
        <f ca="1">IF(Tabela1[[#This Row],[datVigencia]]=0,"Expirado",IF(Tabela1[[#This Row],[datVigencia]]&gt;TODAY(),"Vigente","Expirado"))</f>
        <v>Vigente</v>
      </c>
      <c r="X44" s="2">
        <v>1652562.8</v>
      </c>
      <c r="Y44" s="2">
        <v>0</v>
      </c>
      <c r="Z44" s="2">
        <v>0</v>
      </c>
      <c r="AA44" s="2">
        <v>0</v>
      </c>
      <c r="AB44" s="2">
        <f>Tabela1[[#This Row],[valPrincipal]]+Tabela1[[#This Row],[valReajustes]]+Tabela1[[#This Row],[valAditamentos]]-Tabela1[[#This Row],[valAnulacao]]</f>
        <v>1652562.8</v>
      </c>
      <c r="AC44" s="2">
        <f>IF(Tabela1[[#This Row],[VigenciaMeses]]=0,Tabela1[[#This Row],[valTotal]]/1,Tabela1[[#This Row],[valTotal]]/Tabela1[[#This Row],[VigenciaMeses]])</f>
        <v>137713.56666666668</v>
      </c>
      <c r="AD44" s="2">
        <f>Tabela1[[#This Row],[valMensal]]*12</f>
        <v>1652562.8000000003</v>
      </c>
      <c r="AE44" s="2">
        <v>1561997.5</v>
      </c>
      <c r="AF44" s="2">
        <v>576098.49</v>
      </c>
      <c r="AG44" s="2">
        <v>985899.01</v>
      </c>
      <c r="AH44" s="2">
        <v>181780.83</v>
      </c>
      <c r="AI44" s="2">
        <v>80791.48</v>
      </c>
      <c r="AJ44" t="s">
        <v>47</v>
      </c>
    </row>
    <row r="45" spans="1:36" x14ac:dyDescent="0.25">
      <c r="A45" t="s">
        <v>36</v>
      </c>
      <c r="B45" t="s">
        <v>37</v>
      </c>
      <c r="C45" t="s">
        <v>38</v>
      </c>
      <c r="D45" t="s">
        <v>39</v>
      </c>
      <c r="E45">
        <v>14</v>
      </c>
      <c r="F45">
        <v>422</v>
      </c>
      <c r="G45">
        <v>3018</v>
      </c>
      <c r="H45">
        <v>4326</v>
      </c>
      <c r="I45" t="s">
        <v>103</v>
      </c>
      <c r="J45" t="s">
        <v>104</v>
      </c>
      <c r="K45" t="s">
        <v>105</v>
      </c>
      <c r="L45">
        <v>8</v>
      </c>
      <c r="M45" t="s">
        <v>43</v>
      </c>
      <c r="N45">
        <v>2020</v>
      </c>
      <c r="O45">
        <v>16119</v>
      </c>
      <c r="P45" t="s">
        <v>214</v>
      </c>
      <c r="Q45" t="s">
        <v>215</v>
      </c>
      <c r="R45" t="s">
        <v>216</v>
      </c>
      <c r="S45" t="s">
        <v>217</v>
      </c>
      <c r="T45" t="s">
        <v>218</v>
      </c>
      <c r="U45" t="s">
        <v>219</v>
      </c>
      <c r="V45">
        <v>60</v>
      </c>
      <c r="W45" t="str">
        <f ca="1">IF(Tabela1[[#This Row],[datVigencia]]=0,"Expirado",IF(Tabela1[[#This Row],[datVigencia]]&gt;TODAY(),"Vigente","Expirado"))</f>
        <v>Vigente</v>
      </c>
      <c r="X45" s="2">
        <v>1621392.96</v>
      </c>
      <c r="Y45" s="2">
        <v>0</v>
      </c>
      <c r="Z45" s="2">
        <v>2708214.33</v>
      </c>
      <c r="AA45" s="2">
        <v>0</v>
      </c>
      <c r="AB45" s="2">
        <f>Tabela1[[#This Row],[valPrincipal]]+Tabela1[[#This Row],[valReajustes]]+Tabela1[[#This Row],[valAditamentos]]-Tabela1[[#This Row],[valAnulacao]]</f>
        <v>4329607.29</v>
      </c>
      <c r="AC45" s="2">
        <f>IF(Tabela1[[#This Row],[VigenciaMeses]]=0,Tabela1[[#This Row],[valTotal]]/1,Tabela1[[#This Row],[valTotal]]/Tabela1[[#This Row],[VigenciaMeses]])</f>
        <v>72160.121499999994</v>
      </c>
      <c r="AD45" s="2">
        <f>Tabela1[[#This Row],[valMensal]]*12</f>
        <v>865921.45799999987</v>
      </c>
      <c r="AE45" s="2">
        <v>5413200.8700000001</v>
      </c>
      <c r="AF45" s="2">
        <v>1251035.44</v>
      </c>
      <c r="AG45" s="2">
        <v>4162165.43</v>
      </c>
      <c r="AH45" s="2">
        <v>4162165.43</v>
      </c>
      <c r="AI45" s="2">
        <v>4162165.43</v>
      </c>
      <c r="AJ45" t="s">
        <v>47</v>
      </c>
    </row>
    <row r="46" spans="1:36" x14ac:dyDescent="0.25">
      <c r="A46" t="s">
        <v>36</v>
      </c>
      <c r="B46" t="s">
        <v>37</v>
      </c>
      <c r="C46" t="s">
        <v>38</v>
      </c>
      <c r="D46" t="s">
        <v>39</v>
      </c>
      <c r="E46">
        <v>14</v>
      </c>
      <c r="F46">
        <v>422</v>
      </c>
      <c r="G46">
        <v>3018</v>
      </c>
      <c r="H46">
        <v>4326</v>
      </c>
      <c r="I46" t="s">
        <v>48</v>
      </c>
      <c r="J46" t="s">
        <v>55</v>
      </c>
      <c r="K46" t="s">
        <v>56</v>
      </c>
      <c r="L46">
        <v>12</v>
      </c>
      <c r="M46" t="s">
        <v>51</v>
      </c>
      <c r="N46">
        <v>2020</v>
      </c>
      <c r="O46">
        <v>14496</v>
      </c>
      <c r="P46" t="s">
        <v>546</v>
      </c>
      <c r="Q46" t="s">
        <v>547</v>
      </c>
      <c r="R46" t="s">
        <v>548</v>
      </c>
      <c r="S46" t="s">
        <v>335</v>
      </c>
      <c r="T46" t="s">
        <v>549</v>
      </c>
      <c r="U46" t="s">
        <v>550</v>
      </c>
      <c r="V46">
        <v>60</v>
      </c>
      <c r="W46" t="str">
        <f ca="1">IF(Tabela1[[#This Row],[datVigencia]]=0,"Expirado",IF(Tabela1[[#This Row],[datVigencia]]&gt;TODAY(),"Vigente","Expirado"))</f>
        <v>Vigente</v>
      </c>
      <c r="X46" s="2">
        <v>1545600</v>
      </c>
      <c r="Y46" s="2">
        <v>603841.79</v>
      </c>
      <c r="Z46" s="2">
        <v>2740220</v>
      </c>
      <c r="AA46" s="2">
        <v>0</v>
      </c>
      <c r="AB46" s="2">
        <f>Tabela1[[#This Row],[valPrincipal]]+Tabela1[[#This Row],[valReajustes]]+Tabela1[[#This Row],[valAditamentos]]-Tabela1[[#This Row],[valAnulacao]]</f>
        <v>4889661.79</v>
      </c>
      <c r="AC46" s="2">
        <f>IF(Tabela1[[#This Row],[VigenciaMeses]]=0,Tabela1[[#This Row],[valTotal]]/1,Tabela1[[#This Row],[valTotal]]/Tabela1[[#This Row],[VigenciaMeses]])</f>
        <v>81494.363166666662</v>
      </c>
      <c r="AD46" s="2">
        <f>Tabela1[[#This Row],[valMensal]]*12</f>
        <v>977932.35800000001</v>
      </c>
      <c r="AE46" s="2">
        <v>4991579.04</v>
      </c>
      <c r="AF46" s="2">
        <v>245476.68</v>
      </c>
      <c r="AG46" s="2">
        <v>4746102.3600000003</v>
      </c>
      <c r="AH46" s="2">
        <v>4435155.01</v>
      </c>
      <c r="AI46" s="2">
        <v>4435155.01</v>
      </c>
      <c r="AJ46" t="s">
        <v>47</v>
      </c>
    </row>
    <row r="47" spans="1:36" x14ac:dyDescent="0.25">
      <c r="A47" t="s">
        <v>36</v>
      </c>
      <c r="B47" t="s">
        <v>37</v>
      </c>
      <c r="C47" t="s">
        <v>38</v>
      </c>
      <c r="D47" t="s">
        <v>39</v>
      </c>
      <c r="E47">
        <v>14</v>
      </c>
      <c r="F47">
        <v>422</v>
      </c>
      <c r="G47">
        <v>3013</v>
      </c>
      <c r="H47">
        <v>2431</v>
      </c>
      <c r="I47" t="s">
        <v>103</v>
      </c>
      <c r="J47" t="s">
        <v>104</v>
      </c>
      <c r="K47" t="s">
        <v>105</v>
      </c>
      <c r="L47">
        <v>8</v>
      </c>
      <c r="M47" t="s">
        <v>43</v>
      </c>
      <c r="N47">
        <v>2021</v>
      </c>
      <c r="O47">
        <v>7511</v>
      </c>
      <c r="P47" t="s">
        <v>395</v>
      </c>
      <c r="Q47" t="s">
        <v>396</v>
      </c>
      <c r="R47" t="s">
        <v>397</v>
      </c>
      <c r="S47" t="s">
        <v>398</v>
      </c>
      <c r="T47" t="s">
        <v>399</v>
      </c>
      <c r="U47" t="s">
        <v>219</v>
      </c>
      <c r="V47">
        <v>52</v>
      </c>
      <c r="W47" t="str">
        <f ca="1">IF(Tabela1[[#This Row],[datVigencia]]=0,"Expirado",IF(Tabela1[[#This Row],[datVigencia]]&gt;TODAY(),"Vigente","Expirado"))</f>
        <v>Vigente</v>
      </c>
      <c r="X47" s="2">
        <v>1510937.4</v>
      </c>
      <c r="Y47" s="2">
        <v>0</v>
      </c>
      <c r="Z47" s="2">
        <v>1287634.4099999999</v>
      </c>
      <c r="AA47" s="2">
        <v>0</v>
      </c>
      <c r="AB47" s="2">
        <f>Tabela1[[#This Row],[valPrincipal]]+Tabela1[[#This Row],[valReajustes]]+Tabela1[[#This Row],[valAditamentos]]-Tabela1[[#This Row],[valAnulacao]]</f>
        <v>2798571.8099999996</v>
      </c>
      <c r="AC47" s="2">
        <f>IF(Tabela1[[#This Row],[VigenciaMeses]]=0,Tabela1[[#This Row],[valTotal]]/1,Tabela1[[#This Row],[valTotal]]/Tabela1[[#This Row],[VigenciaMeses]])</f>
        <v>53818.688653846148</v>
      </c>
      <c r="AD47" s="2">
        <f>Tabela1[[#This Row],[valMensal]]*12</f>
        <v>645824.26384615374</v>
      </c>
      <c r="AE47" s="2">
        <v>3645826.7</v>
      </c>
      <c r="AF47" s="2">
        <v>847435.49</v>
      </c>
      <c r="AG47" s="2">
        <v>2798391.21</v>
      </c>
      <c r="AH47" s="2">
        <v>2798391.21</v>
      </c>
      <c r="AI47" s="2">
        <v>2798391.21</v>
      </c>
      <c r="AJ47" t="s">
        <v>47</v>
      </c>
    </row>
    <row r="48" spans="1:36" x14ac:dyDescent="0.25">
      <c r="A48" t="s">
        <v>36</v>
      </c>
      <c r="B48" t="s">
        <v>37</v>
      </c>
      <c r="C48" t="s">
        <v>38</v>
      </c>
      <c r="D48" t="s">
        <v>39</v>
      </c>
      <c r="E48">
        <v>8</v>
      </c>
      <c r="F48">
        <v>605</v>
      </c>
      <c r="G48">
        <v>3016</v>
      </c>
      <c r="H48">
        <v>4470</v>
      </c>
      <c r="I48" t="s">
        <v>48</v>
      </c>
      <c r="J48" t="s">
        <v>55</v>
      </c>
      <c r="K48" t="s">
        <v>56</v>
      </c>
      <c r="L48">
        <v>12</v>
      </c>
      <c r="M48" t="s">
        <v>51</v>
      </c>
      <c r="N48">
        <v>2021</v>
      </c>
      <c r="O48">
        <v>8320</v>
      </c>
      <c r="P48" t="s">
        <v>605</v>
      </c>
      <c r="Q48" t="s">
        <v>606</v>
      </c>
      <c r="R48" t="s">
        <v>607</v>
      </c>
      <c r="S48" t="s">
        <v>608</v>
      </c>
      <c r="T48" t="s">
        <v>609</v>
      </c>
      <c r="U48" t="s">
        <v>610</v>
      </c>
      <c r="V48">
        <v>52</v>
      </c>
      <c r="W48" t="str">
        <f ca="1">IF(Tabela1[[#This Row],[datVigencia]]=0,"Expirado",IF(Tabela1[[#This Row],[datVigencia]]&gt;TODAY(),"Vigente","Expirado"))</f>
        <v>Vigente</v>
      </c>
      <c r="X48" s="2">
        <v>1189394.82</v>
      </c>
      <c r="Y48" s="2">
        <v>930125.15</v>
      </c>
      <c r="Z48" s="2">
        <v>9053127.3100000005</v>
      </c>
      <c r="AA48" s="2">
        <v>0</v>
      </c>
      <c r="AB48" s="2">
        <f>Tabela1[[#This Row],[valPrincipal]]+Tabela1[[#This Row],[valReajustes]]+Tabela1[[#This Row],[valAditamentos]]-Tabela1[[#This Row],[valAnulacao]]</f>
        <v>11172647.280000001</v>
      </c>
      <c r="AC48" s="2">
        <f>IF(Tabela1[[#This Row],[VigenciaMeses]]=0,Tabela1[[#This Row],[valTotal]]/1,Tabela1[[#This Row],[valTotal]]/Tabela1[[#This Row],[VigenciaMeses]])</f>
        <v>214858.60153846157</v>
      </c>
      <c r="AD48" s="2">
        <f>Tabela1[[#This Row],[valMensal]]*12</f>
        <v>2578303.2184615387</v>
      </c>
      <c r="AE48" s="2">
        <v>11486807.039999999</v>
      </c>
      <c r="AF48" s="2">
        <v>1676895.28</v>
      </c>
      <c r="AG48" s="2">
        <v>9809911.7599999998</v>
      </c>
      <c r="AH48" s="2">
        <v>8670746.2400000002</v>
      </c>
      <c r="AI48" s="2">
        <v>8670746.2400000002</v>
      </c>
      <c r="AJ48" t="s">
        <v>47</v>
      </c>
    </row>
    <row r="49" spans="1:36" x14ac:dyDescent="0.25">
      <c r="A49" t="s">
        <v>36</v>
      </c>
      <c r="B49" t="s">
        <v>37</v>
      </c>
      <c r="C49" t="s">
        <v>38</v>
      </c>
      <c r="D49" t="s">
        <v>39</v>
      </c>
      <c r="E49">
        <v>8</v>
      </c>
      <c r="F49">
        <v>243</v>
      </c>
      <c r="G49">
        <v>3013</v>
      </c>
      <c r="H49">
        <v>4328</v>
      </c>
      <c r="I49" t="s">
        <v>103</v>
      </c>
      <c r="J49" t="s">
        <v>295</v>
      </c>
      <c r="K49" t="s">
        <v>296</v>
      </c>
      <c r="L49">
        <v>8</v>
      </c>
      <c r="M49" t="s">
        <v>43</v>
      </c>
      <c r="N49">
        <v>2018</v>
      </c>
      <c r="O49">
        <v>18372</v>
      </c>
      <c r="P49" t="s">
        <v>336</v>
      </c>
      <c r="Q49" t="s">
        <v>337</v>
      </c>
      <c r="R49" t="s">
        <v>338</v>
      </c>
      <c r="S49" t="s">
        <v>339</v>
      </c>
      <c r="T49" t="s">
        <v>340</v>
      </c>
      <c r="U49" t="s">
        <v>341</v>
      </c>
      <c r="V49">
        <v>85</v>
      </c>
      <c r="W49" t="str">
        <f ca="1">IF(Tabela1[[#This Row],[datVigencia]]=0,"Expirado",IF(Tabela1[[#This Row],[datVigencia]]&gt;TODAY(),"Vigente","Expirado"))</f>
        <v>Vigente</v>
      </c>
      <c r="X49" s="2">
        <v>1167461.76</v>
      </c>
      <c r="Y49" s="2">
        <v>0</v>
      </c>
      <c r="Z49" s="2">
        <v>7004770.6200000001</v>
      </c>
      <c r="AA49" s="2">
        <v>0</v>
      </c>
      <c r="AB49" s="2">
        <f>Tabela1[[#This Row],[valPrincipal]]+Tabela1[[#This Row],[valReajustes]]+Tabela1[[#This Row],[valAditamentos]]-Tabela1[[#This Row],[valAnulacao]]</f>
        <v>8172232.3799999999</v>
      </c>
      <c r="AC49" s="2">
        <f>IF(Tabela1[[#This Row],[VigenciaMeses]]=0,Tabela1[[#This Row],[valTotal]]/1,Tabela1[[#This Row],[valTotal]]/Tabela1[[#This Row],[VigenciaMeses]])</f>
        <v>96143.91035294118</v>
      </c>
      <c r="AD49" s="2">
        <f>Tabela1[[#This Row],[valMensal]]*12</f>
        <v>1153726.9242352941</v>
      </c>
      <c r="AE49" s="2">
        <v>8853251.3699999992</v>
      </c>
      <c r="AF49" s="2">
        <v>681019.36</v>
      </c>
      <c r="AG49" s="2">
        <v>8172232.0099999998</v>
      </c>
      <c r="AH49" s="2">
        <v>8172232.0099999998</v>
      </c>
      <c r="AI49" s="2">
        <v>8172232.0099999998</v>
      </c>
      <c r="AJ49" t="s">
        <v>47</v>
      </c>
    </row>
    <row r="50" spans="1:36" x14ac:dyDescent="0.25">
      <c r="A50" t="s">
        <v>36</v>
      </c>
      <c r="B50" t="s">
        <v>37</v>
      </c>
      <c r="C50" t="s">
        <v>38</v>
      </c>
      <c r="D50" t="s">
        <v>39</v>
      </c>
      <c r="E50">
        <v>14</v>
      </c>
      <c r="F50">
        <v>422</v>
      </c>
      <c r="G50">
        <v>3013</v>
      </c>
      <c r="H50">
        <v>2053</v>
      </c>
      <c r="I50" t="s">
        <v>48</v>
      </c>
      <c r="J50" t="s">
        <v>55</v>
      </c>
      <c r="K50" t="s">
        <v>56</v>
      </c>
      <c r="L50">
        <v>12</v>
      </c>
      <c r="M50" t="s">
        <v>51</v>
      </c>
      <c r="N50">
        <v>2024</v>
      </c>
      <c r="O50">
        <v>35367</v>
      </c>
      <c r="P50" t="s">
        <v>758</v>
      </c>
      <c r="Q50" t="s">
        <v>759</v>
      </c>
      <c r="R50" t="s">
        <v>760</v>
      </c>
      <c r="S50" t="s">
        <v>761</v>
      </c>
      <c r="T50" t="s">
        <v>762</v>
      </c>
      <c r="U50" t="s">
        <v>763</v>
      </c>
      <c r="V50">
        <v>13</v>
      </c>
      <c r="W50" t="str">
        <f ca="1">IF(Tabela1[[#This Row],[datVigencia]]=0,"Expirado",IF(Tabela1[[#This Row],[datVigencia]]&gt;TODAY(),"Vigente","Expirado"))</f>
        <v>Vigente</v>
      </c>
      <c r="X50" s="2">
        <v>1161857.8799999999</v>
      </c>
      <c r="Y50" s="2">
        <v>0</v>
      </c>
      <c r="Z50" s="2">
        <v>0</v>
      </c>
      <c r="AA50" s="2">
        <v>0</v>
      </c>
      <c r="AB50" s="2">
        <f>Tabela1[[#This Row],[valPrincipal]]+Tabela1[[#This Row],[valReajustes]]+Tabela1[[#This Row],[valAditamentos]]-Tabela1[[#This Row],[valAnulacao]]</f>
        <v>1161857.8799999999</v>
      </c>
      <c r="AC50" s="2">
        <f>IF(Tabela1[[#This Row],[VigenciaMeses]]=0,Tabela1[[#This Row],[valTotal]]/1,Tabela1[[#This Row],[valTotal]]/Tabela1[[#This Row],[VigenciaMeses]])</f>
        <v>89373.683076923073</v>
      </c>
      <c r="AD50" s="2">
        <f>Tabela1[[#This Row],[valMensal]]*12</f>
        <v>1072484.1969230769</v>
      </c>
      <c r="AE50" s="2">
        <v>1358759.34</v>
      </c>
      <c r="AF50" s="2">
        <v>221862.24</v>
      </c>
      <c r="AG50" s="2">
        <v>1136897.1000000001</v>
      </c>
      <c r="AH50" s="2">
        <v>552730.77</v>
      </c>
      <c r="AI50" s="2">
        <v>455909.28</v>
      </c>
      <c r="AJ50" t="s">
        <v>47</v>
      </c>
    </row>
    <row r="51" spans="1:36" x14ac:dyDescent="0.25">
      <c r="A51" t="s">
        <v>36</v>
      </c>
      <c r="B51" t="s">
        <v>37</v>
      </c>
      <c r="C51" t="s">
        <v>38</v>
      </c>
      <c r="D51" t="s">
        <v>39</v>
      </c>
      <c r="E51">
        <v>14</v>
      </c>
      <c r="F51">
        <v>243</v>
      </c>
      <c r="G51">
        <v>3013</v>
      </c>
      <c r="H51">
        <v>2157</v>
      </c>
      <c r="I51" t="s">
        <v>48</v>
      </c>
      <c r="J51" t="s">
        <v>55</v>
      </c>
      <c r="K51" t="s">
        <v>56</v>
      </c>
      <c r="L51">
        <v>12</v>
      </c>
      <c r="M51" t="s">
        <v>51</v>
      </c>
      <c r="N51">
        <v>2021</v>
      </c>
      <c r="O51">
        <v>24655</v>
      </c>
      <c r="P51" t="s">
        <v>414</v>
      </c>
      <c r="Q51" t="s">
        <v>415</v>
      </c>
      <c r="R51" t="s">
        <v>416</v>
      </c>
      <c r="S51" t="s">
        <v>417</v>
      </c>
      <c r="T51" t="s">
        <v>418</v>
      </c>
      <c r="U51" t="s">
        <v>419</v>
      </c>
      <c r="V51">
        <v>48</v>
      </c>
      <c r="W51" t="str">
        <f ca="1">IF(Tabela1[[#This Row],[datVigencia]]=0,"Expirado",IF(Tabela1[[#This Row],[datVigencia]]&gt;TODAY(),"Vigente","Expirado"))</f>
        <v>Vigente</v>
      </c>
      <c r="X51" s="2">
        <v>1159527.6599999999</v>
      </c>
      <c r="Y51" s="2">
        <v>173929.14</v>
      </c>
      <c r="Z51" s="2">
        <v>3767984.47</v>
      </c>
      <c r="AA51" s="2">
        <v>0</v>
      </c>
      <c r="AB51" s="2">
        <f>Tabela1[[#This Row],[valPrincipal]]+Tabela1[[#This Row],[valReajustes]]+Tabela1[[#This Row],[valAditamentos]]-Tabela1[[#This Row],[valAnulacao]]</f>
        <v>5101441.2699999996</v>
      </c>
      <c r="AC51" s="2">
        <f>IF(Tabela1[[#This Row],[VigenciaMeses]]=0,Tabela1[[#This Row],[valTotal]]/1,Tabela1[[#This Row],[valTotal]]/Tabela1[[#This Row],[VigenciaMeses]])</f>
        <v>106280.02645833332</v>
      </c>
      <c r="AD51" s="2">
        <f>Tabela1[[#This Row],[valMensal]]*12</f>
        <v>1275360.3174999999</v>
      </c>
      <c r="AE51" s="2">
        <v>5055259.71</v>
      </c>
      <c r="AF51" s="2">
        <v>1045580.36</v>
      </c>
      <c r="AG51" s="2">
        <v>4009679.35</v>
      </c>
      <c r="AH51" s="2">
        <v>3473228.9</v>
      </c>
      <c r="AI51" s="2">
        <v>3306221.04</v>
      </c>
      <c r="AJ51" t="s">
        <v>47</v>
      </c>
    </row>
    <row r="52" spans="1:36" x14ac:dyDescent="0.25">
      <c r="A52" t="s">
        <v>36</v>
      </c>
      <c r="B52" t="s">
        <v>37</v>
      </c>
      <c r="C52" t="s">
        <v>38</v>
      </c>
      <c r="D52" t="s">
        <v>39</v>
      </c>
      <c r="E52">
        <v>14</v>
      </c>
      <c r="F52">
        <v>422</v>
      </c>
      <c r="G52">
        <v>3007</v>
      </c>
      <c r="H52">
        <v>4330</v>
      </c>
      <c r="I52" t="s">
        <v>323</v>
      </c>
      <c r="J52" t="s">
        <v>55</v>
      </c>
      <c r="K52" t="s">
        <v>56</v>
      </c>
      <c r="L52">
        <v>12</v>
      </c>
      <c r="M52" t="s">
        <v>51</v>
      </c>
      <c r="N52">
        <v>2021</v>
      </c>
      <c r="O52">
        <v>19273</v>
      </c>
      <c r="P52" t="s">
        <v>832</v>
      </c>
      <c r="Q52" t="s">
        <v>833</v>
      </c>
      <c r="R52" t="s">
        <v>834</v>
      </c>
      <c r="S52" t="s">
        <v>835</v>
      </c>
      <c r="T52" t="s">
        <v>836</v>
      </c>
      <c r="U52" t="s">
        <v>837</v>
      </c>
      <c r="V52">
        <v>48</v>
      </c>
      <c r="W52" t="str">
        <f ca="1">IF(Tabela1[[#This Row],[datVigencia]]=0,"Expirado",IF(Tabela1[[#This Row],[datVigencia]]&gt;TODAY(),"Vigente","Expirado"))</f>
        <v>Vigente</v>
      </c>
      <c r="X52" s="2">
        <v>1109970</v>
      </c>
      <c r="Y52" s="2">
        <v>301997.68</v>
      </c>
      <c r="Z52" s="2">
        <v>3043704.96</v>
      </c>
      <c r="AA52" s="2">
        <v>0</v>
      </c>
      <c r="AB52" s="2">
        <f>Tabela1[[#This Row],[valPrincipal]]+Tabela1[[#This Row],[valReajustes]]+Tabela1[[#This Row],[valAditamentos]]-Tabela1[[#This Row],[valAnulacao]]</f>
        <v>4455672.6399999997</v>
      </c>
      <c r="AC52" s="2">
        <f>IF(Tabela1[[#This Row],[VigenciaMeses]]=0,Tabela1[[#This Row],[valTotal]]/1,Tabela1[[#This Row],[valTotal]]/Tabela1[[#This Row],[VigenciaMeses]])</f>
        <v>92826.513333333321</v>
      </c>
      <c r="AD52" s="2">
        <f>Tabela1[[#This Row],[valMensal]]*12</f>
        <v>1113918.1599999999</v>
      </c>
      <c r="AE52" s="2">
        <v>3956253.09</v>
      </c>
      <c r="AF52" s="2">
        <v>254199.18</v>
      </c>
      <c r="AG52" s="2">
        <v>3702053.91</v>
      </c>
      <c r="AH52" s="2">
        <v>3599942.55</v>
      </c>
      <c r="AI52" s="2">
        <v>3599942.55</v>
      </c>
      <c r="AJ52" t="s">
        <v>47</v>
      </c>
    </row>
    <row r="53" spans="1:36" x14ac:dyDescent="0.25">
      <c r="A53" t="s">
        <v>36</v>
      </c>
      <c r="B53" t="s">
        <v>37</v>
      </c>
      <c r="C53" t="s">
        <v>38</v>
      </c>
      <c r="D53" t="s">
        <v>39</v>
      </c>
      <c r="E53">
        <v>14</v>
      </c>
      <c r="F53">
        <v>422</v>
      </c>
      <c r="G53">
        <v>3013</v>
      </c>
      <c r="H53">
        <v>6178</v>
      </c>
      <c r="I53" t="s">
        <v>157</v>
      </c>
      <c r="J53" t="s">
        <v>406</v>
      </c>
      <c r="K53" t="s">
        <v>407</v>
      </c>
      <c r="L53">
        <v>12</v>
      </c>
      <c r="M53" t="s">
        <v>51</v>
      </c>
      <c r="N53">
        <v>2025</v>
      </c>
      <c r="O53">
        <v>14539</v>
      </c>
      <c r="Q53" t="s">
        <v>1242</v>
      </c>
      <c r="R53" t="s">
        <v>1243</v>
      </c>
      <c r="V53">
        <v>12</v>
      </c>
      <c r="W53" t="str">
        <f ca="1">IF(Tabela1[[#This Row],[datVigencia]]=0,"Expirado",IF(Tabela1[[#This Row],[datVigencia]]&gt;TODAY(),"Vigente","Expirado"))</f>
        <v>Expirado</v>
      </c>
      <c r="X53" s="2">
        <v>1054300</v>
      </c>
      <c r="Y53" s="2">
        <v>0</v>
      </c>
      <c r="Z53" s="2">
        <v>0</v>
      </c>
      <c r="AA53" s="2">
        <v>1054300</v>
      </c>
      <c r="AB53" s="2">
        <f>Tabela1[[#This Row],[valPrincipal]]+Tabela1[[#This Row],[valReajustes]]+Tabela1[[#This Row],[valAditamentos]]-Tabela1[[#This Row],[valAnulacao]]</f>
        <v>0</v>
      </c>
      <c r="AC53" s="2">
        <f>IF(Tabela1[[#This Row],[VigenciaMeses]]=0,Tabela1[[#This Row],[valTotal]]/1,Tabela1[[#This Row],[valTotal]]/Tabela1[[#This Row],[VigenciaMeses]])</f>
        <v>0</v>
      </c>
      <c r="AD53" s="2">
        <f>Tabela1[[#This Row],[valMensal]]*12</f>
        <v>0</v>
      </c>
      <c r="AE53" s="2">
        <v>120000</v>
      </c>
      <c r="AF53" s="2">
        <v>120000</v>
      </c>
      <c r="AG53" s="2">
        <v>0</v>
      </c>
      <c r="AH53" s="2">
        <v>0</v>
      </c>
      <c r="AI53" s="2">
        <v>0</v>
      </c>
      <c r="AJ53" t="s">
        <v>47</v>
      </c>
    </row>
    <row r="54" spans="1:36" x14ac:dyDescent="0.25">
      <c r="A54" t="s">
        <v>36</v>
      </c>
      <c r="B54" t="s">
        <v>37</v>
      </c>
      <c r="C54" t="s">
        <v>38</v>
      </c>
      <c r="D54" t="s">
        <v>39</v>
      </c>
      <c r="E54">
        <v>14</v>
      </c>
      <c r="F54">
        <v>422</v>
      </c>
      <c r="G54">
        <v>3013</v>
      </c>
      <c r="H54">
        <v>6178</v>
      </c>
      <c r="I54" t="s">
        <v>157</v>
      </c>
      <c r="J54" t="s">
        <v>406</v>
      </c>
      <c r="K54" t="s">
        <v>407</v>
      </c>
      <c r="L54">
        <v>12</v>
      </c>
      <c r="M54" t="s">
        <v>51</v>
      </c>
      <c r="N54">
        <v>2025</v>
      </c>
      <c r="O54">
        <v>14554</v>
      </c>
      <c r="Q54" t="s">
        <v>1242</v>
      </c>
      <c r="R54" t="s">
        <v>1243</v>
      </c>
      <c r="V54">
        <v>12</v>
      </c>
      <c r="W54" t="str">
        <f ca="1">IF(Tabela1[[#This Row],[datVigencia]]=0,"Expirado",IF(Tabela1[[#This Row],[datVigencia]]&gt;TODAY(),"Vigente","Expirado"))</f>
        <v>Expirado</v>
      </c>
      <c r="X54" s="2">
        <v>1054300</v>
      </c>
      <c r="Y54" s="2">
        <v>0</v>
      </c>
      <c r="Z54" s="2">
        <v>0</v>
      </c>
      <c r="AA54" s="2">
        <v>0</v>
      </c>
      <c r="AB54" s="2">
        <f>Tabela1[[#This Row],[valPrincipal]]+Tabela1[[#This Row],[valReajustes]]+Tabela1[[#This Row],[valAditamentos]]-Tabela1[[#This Row],[valAnulacao]]</f>
        <v>1054300</v>
      </c>
      <c r="AC54" s="2">
        <f>IF(Tabela1[[#This Row],[VigenciaMeses]]=0,Tabela1[[#This Row],[valTotal]]/1,Tabela1[[#This Row],[valTotal]]/Tabela1[[#This Row],[VigenciaMeses]])</f>
        <v>87858.333333333328</v>
      </c>
      <c r="AD54" s="2">
        <f>Tabela1[[#This Row],[valMensal]]*12</f>
        <v>1054300</v>
      </c>
      <c r="AE54" s="2">
        <v>120000</v>
      </c>
      <c r="AF54" s="2">
        <v>0</v>
      </c>
      <c r="AG54" s="2">
        <v>120000</v>
      </c>
      <c r="AH54" s="2">
        <v>0</v>
      </c>
      <c r="AI54" s="2">
        <v>0</v>
      </c>
      <c r="AJ54" t="s">
        <v>47</v>
      </c>
    </row>
    <row r="55" spans="1:36" x14ac:dyDescent="0.25">
      <c r="A55" t="s">
        <v>36</v>
      </c>
      <c r="B55" t="s">
        <v>37</v>
      </c>
      <c r="C55" t="s">
        <v>38</v>
      </c>
      <c r="D55" t="s">
        <v>39</v>
      </c>
      <c r="E55">
        <v>14</v>
      </c>
      <c r="F55">
        <v>122</v>
      </c>
      <c r="G55">
        <v>3024</v>
      </c>
      <c r="H55">
        <v>2100</v>
      </c>
      <c r="I55" t="s">
        <v>48</v>
      </c>
      <c r="J55" t="s">
        <v>55</v>
      </c>
      <c r="K55" t="s">
        <v>56</v>
      </c>
      <c r="L55">
        <v>12</v>
      </c>
      <c r="M55" t="s">
        <v>51</v>
      </c>
      <c r="N55">
        <v>2021</v>
      </c>
      <c r="O55">
        <v>22768</v>
      </c>
      <c r="P55" t="s">
        <v>598</v>
      </c>
      <c r="Q55" t="s">
        <v>594</v>
      </c>
      <c r="R55" t="s">
        <v>595</v>
      </c>
      <c r="S55" t="s">
        <v>596</v>
      </c>
      <c r="T55" t="s">
        <v>597</v>
      </c>
      <c r="U55" t="s">
        <v>425</v>
      </c>
      <c r="V55">
        <v>48</v>
      </c>
      <c r="W55" t="str">
        <f ca="1">IF(Tabela1[[#This Row],[datVigencia]]=0,"Expirado",IF(Tabela1[[#This Row],[datVigencia]]&gt;TODAY(),"Vigente","Expirado"))</f>
        <v>Vigente</v>
      </c>
      <c r="X55" s="2">
        <v>973800</v>
      </c>
      <c r="Y55" s="2">
        <v>292143.35999999999</v>
      </c>
      <c r="Z55" s="2">
        <v>2921400</v>
      </c>
      <c r="AA55" s="2">
        <v>0</v>
      </c>
      <c r="AB55" s="2">
        <f>Tabela1[[#This Row],[valPrincipal]]+Tabela1[[#This Row],[valReajustes]]+Tabela1[[#This Row],[valAditamentos]]-Tabela1[[#This Row],[valAnulacao]]</f>
        <v>4187343.36</v>
      </c>
      <c r="AC55" s="2">
        <f>IF(Tabela1[[#This Row],[VigenciaMeses]]=0,Tabela1[[#This Row],[valTotal]]/1,Tabela1[[#This Row],[valTotal]]/Tabela1[[#This Row],[VigenciaMeses]])</f>
        <v>87236.319999999992</v>
      </c>
      <c r="AD55" s="2">
        <f>Tabela1[[#This Row],[valMensal]]*12</f>
        <v>1046835.8399999999</v>
      </c>
      <c r="AE55" s="2">
        <v>3188360.2</v>
      </c>
      <c r="AF55" s="2">
        <v>1590638.41</v>
      </c>
      <c r="AG55" s="2">
        <v>1597721.79</v>
      </c>
      <c r="AH55" s="2">
        <v>1248416.48</v>
      </c>
      <c r="AI55" s="2">
        <v>1248416.48</v>
      </c>
      <c r="AJ55" t="s">
        <v>47</v>
      </c>
    </row>
    <row r="56" spans="1:36" x14ac:dyDescent="0.25">
      <c r="A56" t="s">
        <v>36</v>
      </c>
      <c r="B56" t="s">
        <v>37</v>
      </c>
      <c r="C56" t="s">
        <v>38</v>
      </c>
      <c r="D56" t="s">
        <v>39</v>
      </c>
      <c r="E56">
        <v>14</v>
      </c>
      <c r="F56">
        <v>243</v>
      </c>
      <c r="G56">
        <v>3013</v>
      </c>
      <c r="H56">
        <v>2157</v>
      </c>
      <c r="I56" t="s">
        <v>48</v>
      </c>
      <c r="J56" t="s">
        <v>55</v>
      </c>
      <c r="K56" t="s">
        <v>56</v>
      </c>
      <c r="L56">
        <v>12</v>
      </c>
      <c r="M56" t="s">
        <v>51</v>
      </c>
      <c r="N56">
        <v>2021</v>
      </c>
      <c r="O56">
        <v>18248</v>
      </c>
      <c r="P56" t="s">
        <v>651</v>
      </c>
      <c r="Q56" t="s">
        <v>652</v>
      </c>
      <c r="R56" t="s">
        <v>653</v>
      </c>
      <c r="S56" t="s">
        <v>654</v>
      </c>
      <c r="T56" t="s">
        <v>655</v>
      </c>
      <c r="U56" t="s">
        <v>656</v>
      </c>
      <c r="V56">
        <v>65</v>
      </c>
      <c r="W56" t="str">
        <f ca="1">IF(Tabela1[[#This Row],[datVigencia]]=0,"Expirado",IF(Tabela1[[#This Row],[datVigencia]]&gt;TODAY(),"Vigente","Expirado"))</f>
        <v>Vigente</v>
      </c>
      <c r="X56" s="2">
        <v>927260.4</v>
      </c>
      <c r="Y56" s="2">
        <v>0</v>
      </c>
      <c r="Z56" s="2">
        <v>927260.4</v>
      </c>
      <c r="AA56" s="2">
        <v>0</v>
      </c>
      <c r="AB56" s="2">
        <f>Tabela1[[#This Row],[valPrincipal]]+Tabela1[[#This Row],[valReajustes]]+Tabela1[[#This Row],[valAditamentos]]-Tabela1[[#This Row],[valAnulacao]]</f>
        <v>1854520.8</v>
      </c>
      <c r="AC56" s="2">
        <f>IF(Tabela1[[#This Row],[VigenciaMeses]]=0,Tabela1[[#This Row],[valTotal]]/1,Tabela1[[#This Row],[valTotal]]/Tabela1[[#This Row],[VigenciaMeses]])</f>
        <v>28531.08923076923</v>
      </c>
      <c r="AD56" s="2">
        <f>Tabela1[[#This Row],[valMensal]]*12</f>
        <v>342373.07076923078</v>
      </c>
      <c r="AE56" s="2">
        <v>1829277.34</v>
      </c>
      <c r="AF56" s="2">
        <v>416879.87</v>
      </c>
      <c r="AG56" s="2">
        <v>1412397.47</v>
      </c>
      <c r="AH56" s="2">
        <v>1166097.51</v>
      </c>
      <c r="AI56" s="2">
        <v>1166097.51</v>
      </c>
      <c r="AJ56" t="s">
        <v>47</v>
      </c>
    </row>
    <row r="57" spans="1:36" x14ac:dyDescent="0.25">
      <c r="A57" t="s">
        <v>36</v>
      </c>
      <c r="B57" t="s">
        <v>37</v>
      </c>
      <c r="C57" t="s">
        <v>38</v>
      </c>
      <c r="D57" t="s">
        <v>39</v>
      </c>
      <c r="E57">
        <v>14</v>
      </c>
      <c r="F57">
        <v>243</v>
      </c>
      <c r="G57">
        <v>3013</v>
      </c>
      <c r="H57">
        <v>2157</v>
      </c>
      <c r="I57" t="s">
        <v>48</v>
      </c>
      <c r="J57" t="s">
        <v>55</v>
      </c>
      <c r="K57" t="s">
        <v>56</v>
      </c>
      <c r="L57">
        <v>12</v>
      </c>
      <c r="M57" t="s">
        <v>51</v>
      </c>
      <c r="N57">
        <v>2020</v>
      </c>
      <c r="O57">
        <v>14321</v>
      </c>
      <c r="P57" t="s">
        <v>158</v>
      </c>
      <c r="Q57" t="s">
        <v>159</v>
      </c>
      <c r="R57" t="s">
        <v>160</v>
      </c>
      <c r="S57" t="s">
        <v>161</v>
      </c>
      <c r="T57" t="s">
        <v>162</v>
      </c>
      <c r="U57" t="s">
        <v>163</v>
      </c>
      <c r="V57">
        <v>85</v>
      </c>
      <c r="W57" t="str">
        <f ca="1">IF(Tabela1[[#This Row],[datVigencia]]=0,"Expirado",IF(Tabela1[[#This Row],[datVigencia]]&gt;TODAY(),"Vigente","Expirado"))</f>
        <v>Vigente</v>
      </c>
      <c r="X57" s="2">
        <v>816999.92</v>
      </c>
      <c r="Y57" s="2">
        <v>803424.44</v>
      </c>
      <c r="Z57" s="2">
        <v>5449623.4000000004</v>
      </c>
      <c r="AA57" s="2">
        <v>0</v>
      </c>
      <c r="AB57" s="2">
        <f>Tabela1[[#This Row],[valPrincipal]]+Tabela1[[#This Row],[valReajustes]]+Tabela1[[#This Row],[valAditamentos]]-Tabela1[[#This Row],[valAnulacao]]</f>
        <v>7070047.7599999998</v>
      </c>
      <c r="AC57" s="2">
        <f>IF(Tabela1[[#This Row],[VigenciaMeses]]=0,Tabela1[[#This Row],[valTotal]]/1,Tabela1[[#This Row],[valTotal]]/Tabela1[[#This Row],[VigenciaMeses]])</f>
        <v>83177.032470588238</v>
      </c>
      <c r="AD57" s="2">
        <f>Tabela1[[#This Row],[valMensal]]*12</f>
        <v>998124.38964705891</v>
      </c>
      <c r="AE57" s="2">
        <v>7454279.29</v>
      </c>
      <c r="AF57" s="2">
        <v>549850.74</v>
      </c>
      <c r="AG57" s="2">
        <v>6904428.5499999998</v>
      </c>
      <c r="AH57" s="2">
        <v>6748969.04</v>
      </c>
      <c r="AI57" s="2">
        <v>6576553.7000000002</v>
      </c>
      <c r="AJ57" t="s">
        <v>47</v>
      </c>
    </row>
    <row r="58" spans="1:36" x14ac:dyDescent="0.25">
      <c r="A58" t="s">
        <v>36</v>
      </c>
      <c r="B58" t="s">
        <v>37</v>
      </c>
      <c r="C58" t="s">
        <v>38</v>
      </c>
      <c r="D58" t="s">
        <v>39</v>
      </c>
      <c r="E58">
        <v>14</v>
      </c>
      <c r="F58">
        <v>122</v>
      </c>
      <c r="G58">
        <v>3024</v>
      </c>
      <c r="H58">
        <v>2100</v>
      </c>
      <c r="I58" t="s">
        <v>48</v>
      </c>
      <c r="J58" t="s">
        <v>515</v>
      </c>
      <c r="K58" t="s">
        <v>516</v>
      </c>
      <c r="L58">
        <v>12</v>
      </c>
      <c r="M58" t="s">
        <v>51</v>
      </c>
      <c r="N58">
        <v>2025</v>
      </c>
      <c r="O58">
        <v>3135</v>
      </c>
      <c r="P58" t="s">
        <v>517</v>
      </c>
      <c r="Q58" t="s">
        <v>518</v>
      </c>
      <c r="R58" t="s">
        <v>519</v>
      </c>
      <c r="S58" t="s">
        <v>520</v>
      </c>
      <c r="T58" t="s">
        <v>521</v>
      </c>
      <c r="U58" t="s">
        <v>489</v>
      </c>
      <c r="V58">
        <v>0</v>
      </c>
      <c r="W58" t="str">
        <f ca="1">IF(Tabela1[[#This Row],[datVigencia]]=0,"Expirado",IF(Tabela1[[#This Row],[datVigencia]]&gt;TODAY(),"Vigente","Expirado"))</f>
        <v>Vigente</v>
      </c>
      <c r="X58" s="2">
        <v>753600</v>
      </c>
      <c r="Y58" s="2">
        <v>0</v>
      </c>
      <c r="Z58" s="2">
        <v>0</v>
      </c>
      <c r="AA58" s="2">
        <v>0</v>
      </c>
      <c r="AB58" s="2">
        <f>Tabela1[[#This Row],[valPrincipal]]+Tabela1[[#This Row],[valReajustes]]+Tabela1[[#This Row],[valAditamentos]]-Tabela1[[#This Row],[valAnulacao]]</f>
        <v>753600</v>
      </c>
      <c r="AC58" s="2">
        <f>IF(Tabela1[[#This Row],[VigenciaMeses]]=0,Tabela1[[#This Row],[valTotal]]/1,Tabela1[[#This Row],[valTotal]]/Tabela1[[#This Row],[VigenciaMeses]])</f>
        <v>753600</v>
      </c>
      <c r="AD58" s="2">
        <f>Tabela1[[#This Row],[valMensal]]*12</f>
        <v>9043200</v>
      </c>
      <c r="AE58" s="2">
        <v>753600</v>
      </c>
      <c r="AF58" s="2">
        <v>409204.8</v>
      </c>
      <c r="AG58" s="2">
        <v>344395.2</v>
      </c>
      <c r="AH58" s="2">
        <v>344395.2</v>
      </c>
      <c r="AI58" s="2">
        <v>344395.2</v>
      </c>
      <c r="AJ58" t="s">
        <v>47</v>
      </c>
    </row>
    <row r="59" spans="1:36" x14ac:dyDescent="0.25">
      <c r="A59" t="s">
        <v>36</v>
      </c>
      <c r="B59" t="s">
        <v>37</v>
      </c>
      <c r="C59" t="s">
        <v>38</v>
      </c>
      <c r="D59" t="s">
        <v>39</v>
      </c>
      <c r="E59">
        <v>14</v>
      </c>
      <c r="F59">
        <v>422</v>
      </c>
      <c r="G59">
        <v>3018</v>
      </c>
      <c r="H59">
        <v>4334</v>
      </c>
      <c r="I59" t="s">
        <v>323</v>
      </c>
      <c r="J59" t="s">
        <v>55</v>
      </c>
      <c r="K59" t="s">
        <v>56</v>
      </c>
      <c r="L59">
        <v>12</v>
      </c>
      <c r="M59" t="s">
        <v>51</v>
      </c>
      <c r="N59">
        <v>2022</v>
      </c>
      <c r="O59">
        <v>31010</v>
      </c>
      <c r="Q59" t="s">
        <v>345</v>
      </c>
      <c r="R59" t="s">
        <v>346</v>
      </c>
      <c r="U59" t="s">
        <v>347</v>
      </c>
      <c r="V59">
        <v>12</v>
      </c>
      <c r="W59" t="str">
        <f ca="1">IF(Tabela1[[#This Row],[datVigencia]]=0,"Expirado",IF(Tabela1[[#This Row],[datVigencia]]&gt;TODAY(),"Vigente","Expirado"))</f>
        <v>Vigente</v>
      </c>
      <c r="X59" s="2">
        <v>747999.84</v>
      </c>
      <c r="Y59" s="2">
        <v>0</v>
      </c>
      <c r="Z59" s="2">
        <v>0</v>
      </c>
      <c r="AA59" s="2">
        <v>0</v>
      </c>
      <c r="AB59" s="2">
        <f>Tabela1[[#This Row],[valPrincipal]]+Tabela1[[#This Row],[valReajustes]]+Tabela1[[#This Row],[valAditamentos]]-Tabela1[[#This Row],[valAnulacao]]</f>
        <v>747999.84</v>
      </c>
      <c r="AC59" s="2">
        <f>IF(Tabela1[[#This Row],[VigenciaMeses]]=0,Tabela1[[#This Row],[valTotal]]/1,Tabela1[[#This Row],[valTotal]]/Tabela1[[#This Row],[VigenciaMeses]])</f>
        <v>62333.32</v>
      </c>
      <c r="AD59" s="2">
        <f>Tabela1[[#This Row],[valMensal]]*12</f>
        <v>747999.84</v>
      </c>
      <c r="AE59" s="2">
        <v>124666.64</v>
      </c>
      <c r="AF59" s="2">
        <v>124666.64</v>
      </c>
      <c r="AG59" s="2">
        <v>0</v>
      </c>
      <c r="AH59" s="2">
        <v>0</v>
      </c>
      <c r="AI59" s="2">
        <v>0</v>
      </c>
      <c r="AJ59" t="s">
        <v>47</v>
      </c>
    </row>
    <row r="60" spans="1:36" x14ac:dyDescent="0.25">
      <c r="A60" t="s">
        <v>36</v>
      </c>
      <c r="B60" t="s">
        <v>37</v>
      </c>
      <c r="C60" t="s">
        <v>38</v>
      </c>
      <c r="D60" t="s">
        <v>39</v>
      </c>
      <c r="E60">
        <v>14</v>
      </c>
      <c r="F60">
        <v>422</v>
      </c>
      <c r="G60">
        <v>3013</v>
      </c>
      <c r="H60">
        <v>6178</v>
      </c>
      <c r="I60" t="s">
        <v>48</v>
      </c>
      <c r="J60" t="s">
        <v>55</v>
      </c>
      <c r="K60" t="s">
        <v>56</v>
      </c>
      <c r="L60">
        <v>6</v>
      </c>
      <c r="M60" t="s">
        <v>97</v>
      </c>
      <c r="N60">
        <v>2023</v>
      </c>
      <c r="O60">
        <v>1892</v>
      </c>
      <c r="P60" t="s">
        <v>300</v>
      </c>
      <c r="Q60" t="s">
        <v>301</v>
      </c>
      <c r="R60" t="s">
        <v>302</v>
      </c>
      <c r="S60" t="s">
        <v>303</v>
      </c>
      <c r="T60" t="s">
        <v>304</v>
      </c>
      <c r="U60" t="s">
        <v>305</v>
      </c>
      <c r="V60">
        <v>36</v>
      </c>
      <c r="W60" t="str">
        <f ca="1">IF(Tabela1[[#This Row],[datVigencia]]=0,"Expirado",IF(Tabela1[[#This Row],[datVigencia]]&gt;TODAY(),"Vigente","Expirado"))</f>
        <v>Vigente</v>
      </c>
      <c r="X60" s="2">
        <v>707616</v>
      </c>
      <c r="Y60" s="2">
        <v>74678.759999999995</v>
      </c>
      <c r="Z60" s="2">
        <v>1415232</v>
      </c>
      <c r="AA60" s="2">
        <v>0</v>
      </c>
      <c r="AB60" s="2">
        <f>Tabela1[[#This Row],[valPrincipal]]+Tabela1[[#This Row],[valReajustes]]+Tabela1[[#This Row],[valAditamentos]]-Tabela1[[#This Row],[valAnulacao]]</f>
        <v>2197526.7599999998</v>
      </c>
      <c r="AC60" s="2">
        <f>IF(Tabela1[[#This Row],[VigenciaMeses]]=0,Tabela1[[#This Row],[valTotal]]/1,Tabela1[[#This Row],[valTotal]]/Tabela1[[#This Row],[VigenciaMeses]])</f>
        <v>61042.409999999996</v>
      </c>
      <c r="AD60" s="2">
        <f>Tabela1[[#This Row],[valMensal]]*12</f>
        <v>732508.91999999993</v>
      </c>
      <c r="AE60" s="2">
        <v>1963358.45</v>
      </c>
      <c r="AF60" s="2">
        <v>44285.42</v>
      </c>
      <c r="AG60" s="2">
        <v>1919073.03</v>
      </c>
      <c r="AH60" s="2">
        <v>1671014.35</v>
      </c>
      <c r="AI60" s="2">
        <v>1607579.12</v>
      </c>
      <c r="AJ60" t="s">
        <v>47</v>
      </c>
    </row>
    <row r="61" spans="1:36" x14ac:dyDescent="0.25">
      <c r="A61" t="s">
        <v>36</v>
      </c>
      <c r="B61" t="s">
        <v>37</v>
      </c>
      <c r="C61" t="s">
        <v>38</v>
      </c>
      <c r="D61" t="s">
        <v>39</v>
      </c>
      <c r="E61">
        <v>14</v>
      </c>
      <c r="F61">
        <v>244</v>
      </c>
      <c r="G61">
        <v>3013</v>
      </c>
      <c r="H61">
        <v>4329</v>
      </c>
      <c r="I61" t="s">
        <v>40</v>
      </c>
      <c r="J61" t="s">
        <v>41</v>
      </c>
      <c r="K61" t="s">
        <v>42</v>
      </c>
      <c r="L61">
        <v>8</v>
      </c>
      <c r="M61" t="s">
        <v>43</v>
      </c>
      <c r="N61">
        <v>2025</v>
      </c>
      <c r="O61">
        <v>1650</v>
      </c>
      <c r="Q61" t="s">
        <v>522</v>
      </c>
      <c r="R61" t="s">
        <v>523</v>
      </c>
      <c r="U61" t="s">
        <v>46</v>
      </c>
      <c r="V61">
        <v>12</v>
      </c>
      <c r="W61" t="str">
        <f ca="1">IF(Tabela1[[#This Row],[datVigencia]]=0,"Expirado",IF(Tabela1[[#This Row],[datVigencia]]&gt;TODAY(),"Vigente","Expirado"))</f>
        <v>Vigente</v>
      </c>
      <c r="X61" s="2">
        <v>695200</v>
      </c>
      <c r="Y61" s="2">
        <v>0</v>
      </c>
      <c r="Z61" s="2">
        <v>2843600</v>
      </c>
      <c r="AA61" s="2">
        <v>0</v>
      </c>
      <c r="AB61" s="2">
        <f>Tabela1[[#This Row],[valPrincipal]]+Tabela1[[#This Row],[valReajustes]]+Tabela1[[#This Row],[valAditamentos]]-Tabela1[[#This Row],[valAnulacao]]</f>
        <v>3538800</v>
      </c>
      <c r="AC61" s="2">
        <f>IF(Tabela1[[#This Row],[VigenciaMeses]]=0,Tabela1[[#This Row],[valTotal]]/1,Tabela1[[#This Row],[valTotal]]/Tabela1[[#This Row],[VigenciaMeses]])</f>
        <v>294900</v>
      </c>
      <c r="AD61" s="2">
        <f>Tabela1[[#This Row],[valMensal]]*12</f>
        <v>3538800</v>
      </c>
      <c r="AE61" s="2">
        <v>3538800</v>
      </c>
      <c r="AF61" s="2">
        <v>0</v>
      </c>
      <c r="AG61" s="2">
        <v>3538800</v>
      </c>
      <c r="AH61" s="2">
        <v>3473200</v>
      </c>
      <c r="AI61" s="2">
        <v>3473200</v>
      </c>
      <c r="AJ61" t="s">
        <v>47</v>
      </c>
    </row>
    <row r="62" spans="1:36" x14ac:dyDescent="0.25">
      <c r="A62" t="s">
        <v>36</v>
      </c>
      <c r="B62" t="s">
        <v>37</v>
      </c>
      <c r="C62" t="s">
        <v>38</v>
      </c>
      <c r="D62" t="s">
        <v>39</v>
      </c>
      <c r="E62">
        <v>14</v>
      </c>
      <c r="F62">
        <v>243</v>
      </c>
      <c r="G62">
        <v>3013</v>
      </c>
      <c r="H62">
        <v>2157</v>
      </c>
      <c r="I62" t="s">
        <v>48</v>
      </c>
      <c r="J62" t="s">
        <v>55</v>
      </c>
      <c r="K62" t="s">
        <v>56</v>
      </c>
      <c r="L62">
        <v>6</v>
      </c>
      <c r="M62" t="s">
        <v>97</v>
      </c>
      <c r="N62">
        <v>2024</v>
      </c>
      <c r="O62">
        <v>35667</v>
      </c>
      <c r="P62" t="s">
        <v>691</v>
      </c>
      <c r="Q62" t="s">
        <v>692</v>
      </c>
      <c r="R62" t="s">
        <v>693</v>
      </c>
      <c r="S62" t="s">
        <v>694</v>
      </c>
      <c r="T62" t="s">
        <v>602</v>
      </c>
      <c r="U62" t="s">
        <v>695</v>
      </c>
      <c r="V62">
        <v>60</v>
      </c>
      <c r="W62" t="str">
        <f ca="1">IF(Tabela1[[#This Row],[datVigencia]]=0,"Expirado",IF(Tabela1[[#This Row],[datVigencia]]&gt;TODAY(),"Vigente","Expirado"))</f>
        <v>Vigente</v>
      </c>
      <c r="X62" s="2">
        <v>685000</v>
      </c>
      <c r="Y62" s="2">
        <v>0</v>
      </c>
      <c r="Z62" s="2">
        <v>0</v>
      </c>
      <c r="AA62" s="2">
        <v>0</v>
      </c>
      <c r="AB62" s="2">
        <f>Tabela1[[#This Row],[valPrincipal]]+Tabela1[[#This Row],[valReajustes]]+Tabela1[[#This Row],[valAditamentos]]-Tabela1[[#This Row],[valAnulacao]]</f>
        <v>685000</v>
      </c>
      <c r="AC62" s="2">
        <f>IF(Tabela1[[#This Row],[VigenciaMeses]]=0,Tabela1[[#This Row],[valTotal]]/1,Tabela1[[#This Row],[valTotal]]/Tabela1[[#This Row],[VigenciaMeses]])</f>
        <v>11416.666666666666</v>
      </c>
      <c r="AD62" s="2">
        <f>Tabela1[[#This Row],[valMensal]]*12</f>
        <v>137000</v>
      </c>
      <c r="AE62" s="2">
        <v>78671.5</v>
      </c>
      <c r="AF62" s="2">
        <v>52901.5</v>
      </c>
      <c r="AG62" s="2">
        <v>25770</v>
      </c>
      <c r="AH62" s="2">
        <v>4575.5</v>
      </c>
      <c r="AI62" s="2">
        <v>3805.5</v>
      </c>
      <c r="AJ62" t="s">
        <v>47</v>
      </c>
    </row>
    <row r="63" spans="1:36" x14ac:dyDescent="0.25">
      <c r="A63" t="s">
        <v>36</v>
      </c>
      <c r="B63" t="s">
        <v>37</v>
      </c>
      <c r="C63" t="s">
        <v>38</v>
      </c>
      <c r="D63" t="s">
        <v>39</v>
      </c>
      <c r="E63">
        <v>14</v>
      </c>
      <c r="F63">
        <v>122</v>
      </c>
      <c r="G63">
        <v>3024</v>
      </c>
      <c r="H63">
        <v>2100</v>
      </c>
      <c r="I63" t="s">
        <v>48</v>
      </c>
      <c r="J63" t="s">
        <v>55</v>
      </c>
      <c r="K63" t="s">
        <v>56</v>
      </c>
      <c r="L63">
        <v>6</v>
      </c>
      <c r="M63" t="s">
        <v>97</v>
      </c>
      <c r="N63">
        <v>2022</v>
      </c>
      <c r="O63">
        <v>1379</v>
      </c>
      <c r="P63" t="s">
        <v>98</v>
      </c>
      <c r="Q63" t="s">
        <v>99</v>
      </c>
      <c r="R63" t="s">
        <v>100</v>
      </c>
      <c r="S63" t="s">
        <v>101</v>
      </c>
      <c r="T63" t="s">
        <v>101</v>
      </c>
      <c r="U63" t="s">
        <v>102</v>
      </c>
      <c r="V63">
        <v>36</v>
      </c>
      <c r="W63" t="str">
        <f ca="1">IF(Tabela1[[#This Row],[datVigencia]]=0,"Expirado",IF(Tabela1[[#This Row],[datVigencia]]&gt;TODAY(),"Vigente","Expirado"))</f>
        <v>Vigente</v>
      </c>
      <c r="X63" s="2">
        <v>636000</v>
      </c>
      <c r="Y63" s="2">
        <v>0</v>
      </c>
      <c r="Z63" s="2">
        <v>1272000</v>
      </c>
      <c r="AA63" s="2">
        <v>0</v>
      </c>
      <c r="AB63" s="2">
        <f>Tabela1[[#This Row],[valPrincipal]]+Tabela1[[#This Row],[valReajustes]]+Tabela1[[#This Row],[valAditamentos]]-Tabela1[[#This Row],[valAnulacao]]</f>
        <v>1908000</v>
      </c>
      <c r="AC63" s="2">
        <f>IF(Tabela1[[#This Row],[VigenciaMeses]]=0,Tabela1[[#This Row],[valTotal]]/1,Tabela1[[#This Row],[valTotal]]/Tabela1[[#This Row],[VigenciaMeses]])</f>
        <v>53000</v>
      </c>
      <c r="AD63" s="2">
        <f>Tabela1[[#This Row],[valMensal]]*12</f>
        <v>636000</v>
      </c>
      <c r="AE63" s="2">
        <v>2221000</v>
      </c>
      <c r="AF63" s="2">
        <v>1291284.0900000001</v>
      </c>
      <c r="AG63" s="2">
        <v>929715.91</v>
      </c>
      <c r="AH63" s="2">
        <v>770995.76</v>
      </c>
      <c r="AI63" s="2">
        <v>770995.76</v>
      </c>
      <c r="AJ63" t="s">
        <v>47</v>
      </c>
    </row>
    <row r="64" spans="1:36" x14ac:dyDescent="0.25">
      <c r="A64" t="s">
        <v>36</v>
      </c>
      <c r="B64" t="s">
        <v>37</v>
      </c>
      <c r="C64" t="s">
        <v>38</v>
      </c>
      <c r="D64" t="s">
        <v>39</v>
      </c>
      <c r="E64">
        <v>14</v>
      </c>
      <c r="F64">
        <v>422</v>
      </c>
      <c r="G64">
        <v>3013</v>
      </c>
      <c r="H64">
        <v>6178</v>
      </c>
      <c r="I64" t="s">
        <v>48</v>
      </c>
      <c r="J64" t="s">
        <v>55</v>
      </c>
      <c r="K64" t="s">
        <v>56</v>
      </c>
      <c r="L64">
        <v>7</v>
      </c>
      <c r="M64" t="s">
        <v>324</v>
      </c>
      <c r="N64">
        <v>2025</v>
      </c>
      <c r="O64">
        <v>4104</v>
      </c>
      <c r="P64" t="s">
        <v>736</v>
      </c>
      <c r="Q64" t="s">
        <v>737</v>
      </c>
      <c r="R64" t="s">
        <v>738</v>
      </c>
      <c r="S64" t="s">
        <v>412</v>
      </c>
      <c r="T64" t="s">
        <v>376</v>
      </c>
      <c r="U64" t="s">
        <v>739</v>
      </c>
      <c r="V64">
        <v>2</v>
      </c>
      <c r="W64" t="str">
        <f ca="1">IF(Tabela1[[#This Row],[datVigencia]]=0,"Expirado",IF(Tabela1[[#This Row],[datVigencia]]&gt;TODAY(),"Vigente","Expirado"))</f>
        <v>Vigente</v>
      </c>
      <c r="X64" s="2">
        <v>624433</v>
      </c>
      <c r="Y64" s="2">
        <v>0</v>
      </c>
      <c r="Z64" s="2">
        <v>0</v>
      </c>
      <c r="AA64" s="2">
        <v>0</v>
      </c>
      <c r="AB64" s="2">
        <f>Tabela1[[#This Row],[valPrincipal]]+Tabela1[[#This Row],[valReajustes]]+Tabela1[[#This Row],[valAditamentos]]-Tabela1[[#This Row],[valAnulacao]]</f>
        <v>624433</v>
      </c>
      <c r="AC64" s="2">
        <f>IF(Tabela1[[#This Row],[VigenciaMeses]]=0,Tabela1[[#This Row],[valTotal]]/1,Tabela1[[#This Row],[valTotal]]/Tabela1[[#This Row],[VigenciaMeses]])</f>
        <v>312216.5</v>
      </c>
      <c r="AD64" s="2">
        <f>Tabela1[[#This Row],[valMensal]]*12</f>
        <v>3746598</v>
      </c>
      <c r="AE64" s="2">
        <v>624433</v>
      </c>
      <c r="AF64" s="2">
        <v>0</v>
      </c>
      <c r="AG64" s="2">
        <v>624433</v>
      </c>
      <c r="AH64" s="2">
        <v>624433</v>
      </c>
      <c r="AI64" s="2">
        <v>624433</v>
      </c>
      <c r="AJ64" t="s">
        <v>47</v>
      </c>
    </row>
    <row r="65" spans="1:36" x14ac:dyDescent="0.25">
      <c r="A65" t="s">
        <v>36</v>
      </c>
      <c r="B65" t="s">
        <v>37</v>
      </c>
      <c r="C65" t="s">
        <v>38</v>
      </c>
      <c r="D65" t="s">
        <v>39</v>
      </c>
      <c r="E65">
        <v>14</v>
      </c>
      <c r="F65">
        <v>422</v>
      </c>
      <c r="G65">
        <v>3013</v>
      </c>
      <c r="H65">
        <v>6178</v>
      </c>
      <c r="I65" t="s">
        <v>48</v>
      </c>
      <c r="J65" t="s">
        <v>55</v>
      </c>
      <c r="K65" t="s">
        <v>56</v>
      </c>
      <c r="L65">
        <v>6</v>
      </c>
      <c r="M65" t="s">
        <v>97</v>
      </c>
      <c r="N65">
        <v>2025</v>
      </c>
      <c r="O65">
        <v>4219</v>
      </c>
      <c r="P65" t="s">
        <v>770</v>
      </c>
      <c r="Q65" t="s">
        <v>771</v>
      </c>
      <c r="R65" t="s">
        <v>772</v>
      </c>
      <c r="S65" t="s">
        <v>374</v>
      </c>
      <c r="T65" t="s">
        <v>489</v>
      </c>
      <c r="U65" t="s">
        <v>773</v>
      </c>
      <c r="V65">
        <v>1</v>
      </c>
      <c r="W65" t="str">
        <f ca="1">IF(Tabela1[[#This Row],[datVigencia]]=0,"Expirado",IF(Tabela1[[#This Row],[datVigencia]]&gt;TODAY(),"Vigente","Expirado"))</f>
        <v>Vigente</v>
      </c>
      <c r="X65" s="2">
        <v>580289.27</v>
      </c>
      <c r="Y65" s="2">
        <v>0</v>
      </c>
      <c r="Z65" s="2">
        <v>0</v>
      </c>
      <c r="AA65" s="2">
        <v>0</v>
      </c>
      <c r="AB65" s="2">
        <f>Tabela1[[#This Row],[valPrincipal]]+Tabela1[[#This Row],[valReajustes]]+Tabela1[[#This Row],[valAditamentos]]-Tabela1[[#This Row],[valAnulacao]]</f>
        <v>580289.27</v>
      </c>
      <c r="AC65" s="2">
        <f>IF(Tabela1[[#This Row],[VigenciaMeses]]=0,Tabela1[[#This Row],[valTotal]]/1,Tabela1[[#This Row],[valTotal]]/Tabela1[[#This Row],[VigenciaMeses]])</f>
        <v>580289.27</v>
      </c>
      <c r="AD65" s="2">
        <f>Tabela1[[#This Row],[valMensal]]*12</f>
        <v>6963471.2400000002</v>
      </c>
      <c r="AE65" s="2">
        <v>580289.27</v>
      </c>
      <c r="AF65" s="2">
        <v>0</v>
      </c>
      <c r="AG65" s="2">
        <v>580289.27</v>
      </c>
      <c r="AH65" s="2">
        <v>261130.17</v>
      </c>
      <c r="AI65" s="2">
        <v>261130.17</v>
      </c>
      <c r="AJ65" t="s">
        <v>47</v>
      </c>
    </row>
    <row r="66" spans="1:36" x14ac:dyDescent="0.25">
      <c r="A66" t="s">
        <v>36</v>
      </c>
      <c r="B66" t="s">
        <v>37</v>
      </c>
      <c r="C66" t="s">
        <v>38</v>
      </c>
      <c r="D66" t="s">
        <v>39</v>
      </c>
      <c r="E66">
        <v>14</v>
      </c>
      <c r="F66">
        <v>422</v>
      </c>
      <c r="G66">
        <v>3013</v>
      </c>
      <c r="H66">
        <v>2431</v>
      </c>
      <c r="I66" t="s">
        <v>48</v>
      </c>
      <c r="J66" t="s">
        <v>176</v>
      </c>
      <c r="K66" t="s">
        <v>177</v>
      </c>
      <c r="L66">
        <v>6</v>
      </c>
      <c r="M66" t="s">
        <v>97</v>
      </c>
      <c r="N66">
        <v>2025</v>
      </c>
      <c r="O66">
        <v>185</v>
      </c>
      <c r="Q66" t="s">
        <v>194</v>
      </c>
      <c r="R66" t="s">
        <v>195</v>
      </c>
      <c r="U66" t="s">
        <v>46</v>
      </c>
      <c r="V66">
        <v>12</v>
      </c>
      <c r="W66" t="str">
        <f ca="1">IF(Tabela1[[#This Row],[datVigencia]]=0,"Expirado",IF(Tabela1[[#This Row],[datVigencia]]&gt;TODAY(),"Vigente","Expirado"))</f>
        <v>Vigente</v>
      </c>
      <c r="X66" s="2">
        <v>570000</v>
      </c>
      <c r="Y66" s="2">
        <v>0</v>
      </c>
      <c r="Z66" s="2">
        <v>80000</v>
      </c>
      <c r="AA66" s="2">
        <v>0</v>
      </c>
      <c r="AB66" s="2">
        <f>Tabela1[[#This Row],[valPrincipal]]+Tabela1[[#This Row],[valReajustes]]+Tabela1[[#This Row],[valAditamentos]]-Tabela1[[#This Row],[valAnulacao]]</f>
        <v>650000</v>
      </c>
      <c r="AC66" s="2">
        <f>IF(Tabela1[[#This Row],[VigenciaMeses]]=0,Tabela1[[#This Row],[valTotal]]/1,Tabela1[[#This Row],[valTotal]]/Tabela1[[#This Row],[VigenciaMeses]])</f>
        <v>54166.666666666664</v>
      </c>
      <c r="AD66" s="2">
        <f>Tabela1[[#This Row],[valMensal]]*12</f>
        <v>650000</v>
      </c>
      <c r="AE66" s="2">
        <v>650000</v>
      </c>
      <c r="AF66" s="2">
        <v>12331.43</v>
      </c>
      <c r="AG66" s="2">
        <v>637668.56999999995</v>
      </c>
      <c r="AH66" s="2">
        <v>130083.78</v>
      </c>
      <c r="AI66" s="2">
        <v>125382.85</v>
      </c>
      <c r="AJ66" t="s">
        <v>47</v>
      </c>
    </row>
    <row r="67" spans="1:36" x14ac:dyDescent="0.25">
      <c r="A67" t="s">
        <v>36</v>
      </c>
      <c r="B67" t="s">
        <v>37</v>
      </c>
      <c r="C67" t="s">
        <v>38</v>
      </c>
      <c r="D67" t="s">
        <v>39</v>
      </c>
      <c r="E67">
        <v>14</v>
      </c>
      <c r="F67">
        <v>243</v>
      </c>
      <c r="G67">
        <v>3013</v>
      </c>
      <c r="H67">
        <v>2157</v>
      </c>
      <c r="I67" t="s">
        <v>69</v>
      </c>
      <c r="J67" t="s">
        <v>55</v>
      </c>
      <c r="K67" t="s">
        <v>56</v>
      </c>
      <c r="L67">
        <v>6</v>
      </c>
      <c r="M67" t="s">
        <v>97</v>
      </c>
      <c r="N67">
        <v>2021</v>
      </c>
      <c r="O67">
        <v>10724</v>
      </c>
      <c r="P67" t="s">
        <v>494</v>
      </c>
      <c r="Q67" t="s">
        <v>495</v>
      </c>
      <c r="R67" t="s">
        <v>496</v>
      </c>
      <c r="S67" t="s">
        <v>497</v>
      </c>
      <c r="T67" t="s">
        <v>498</v>
      </c>
      <c r="U67" t="s">
        <v>499</v>
      </c>
      <c r="V67">
        <v>48</v>
      </c>
      <c r="W67" t="str">
        <f ca="1">IF(Tabela1[[#This Row],[datVigencia]]=0,"Expirado",IF(Tabela1[[#This Row],[datVigencia]]&gt;TODAY(),"Vigente","Expirado"))</f>
        <v>Vigente</v>
      </c>
      <c r="X67" s="2">
        <v>548858</v>
      </c>
      <c r="Y67" s="2">
        <v>281243.57</v>
      </c>
      <c r="Z67" s="2">
        <v>1646574</v>
      </c>
      <c r="AA67" s="2">
        <v>0</v>
      </c>
      <c r="AB67" s="2">
        <f>Tabela1[[#This Row],[valPrincipal]]+Tabela1[[#This Row],[valReajustes]]+Tabela1[[#This Row],[valAditamentos]]-Tabela1[[#This Row],[valAnulacao]]</f>
        <v>2476675.5700000003</v>
      </c>
      <c r="AC67" s="2">
        <f>IF(Tabela1[[#This Row],[VigenciaMeses]]=0,Tabela1[[#This Row],[valTotal]]/1,Tabela1[[#This Row],[valTotal]]/Tabela1[[#This Row],[VigenciaMeses]])</f>
        <v>51597.40770833334</v>
      </c>
      <c r="AD67" s="2">
        <f>Tabela1[[#This Row],[valMensal]]*12</f>
        <v>619168.89250000007</v>
      </c>
      <c r="AE67" s="2">
        <v>2606308.23</v>
      </c>
      <c r="AF67" s="2">
        <v>833069.87</v>
      </c>
      <c r="AG67" s="2">
        <v>1773238.36</v>
      </c>
      <c r="AH67" s="2">
        <v>1650056.71</v>
      </c>
      <c r="AI67" s="2">
        <v>1623847.29</v>
      </c>
      <c r="AJ67" t="s">
        <v>47</v>
      </c>
    </row>
    <row r="68" spans="1:36" x14ac:dyDescent="0.25">
      <c r="A68" t="s">
        <v>36</v>
      </c>
      <c r="B68" t="s">
        <v>37</v>
      </c>
      <c r="C68" t="s">
        <v>38</v>
      </c>
      <c r="D68" t="s">
        <v>39</v>
      </c>
      <c r="E68">
        <v>14</v>
      </c>
      <c r="F68">
        <v>422</v>
      </c>
      <c r="G68">
        <v>3013</v>
      </c>
      <c r="H68">
        <v>2431</v>
      </c>
      <c r="I68" t="s">
        <v>48</v>
      </c>
      <c r="J68" t="s">
        <v>176</v>
      </c>
      <c r="K68" t="s">
        <v>177</v>
      </c>
      <c r="L68">
        <v>6</v>
      </c>
      <c r="M68" t="s">
        <v>97</v>
      </c>
      <c r="N68">
        <v>2025</v>
      </c>
      <c r="O68">
        <v>188</v>
      </c>
      <c r="Q68" t="s">
        <v>178</v>
      </c>
      <c r="R68" t="s">
        <v>179</v>
      </c>
      <c r="U68" t="s">
        <v>180</v>
      </c>
      <c r="V68">
        <v>12</v>
      </c>
      <c r="W68" t="str">
        <f ca="1">IF(Tabela1[[#This Row],[datVigencia]]=0,"Expirado",IF(Tabela1[[#This Row],[datVigencia]]&gt;TODAY(),"Vigente","Expirado"))</f>
        <v>Vigente</v>
      </c>
      <c r="X68" s="2">
        <v>540000</v>
      </c>
      <c r="Y68" s="2">
        <v>0</v>
      </c>
      <c r="Z68" s="2">
        <v>30000</v>
      </c>
      <c r="AA68" s="2">
        <v>0</v>
      </c>
      <c r="AB68" s="2">
        <f>Tabela1[[#This Row],[valPrincipal]]+Tabela1[[#This Row],[valReajustes]]+Tabela1[[#This Row],[valAditamentos]]-Tabela1[[#This Row],[valAnulacao]]</f>
        <v>570000</v>
      </c>
      <c r="AC68" s="2">
        <f>IF(Tabela1[[#This Row],[VigenciaMeses]]=0,Tabela1[[#This Row],[valTotal]]/1,Tabela1[[#This Row],[valTotal]]/Tabela1[[#This Row],[VigenciaMeses]])</f>
        <v>47500</v>
      </c>
      <c r="AD68" s="2">
        <f>Tabela1[[#This Row],[valMensal]]*12</f>
        <v>570000</v>
      </c>
      <c r="AE68" s="2">
        <v>892500</v>
      </c>
      <c r="AF68" s="2">
        <v>341714.89</v>
      </c>
      <c r="AG68" s="2">
        <v>550785.11</v>
      </c>
      <c r="AH68" s="2">
        <v>151164.49</v>
      </c>
      <c r="AI68" s="2">
        <v>150784.07999999999</v>
      </c>
      <c r="AJ68" t="s">
        <v>47</v>
      </c>
    </row>
    <row r="69" spans="1:36" x14ac:dyDescent="0.25">
      <c r="A69" t="s">
        <v>36</v>
      </c>
      <c r="B69" t="s">
        <v>37</v>
      </c>
      <c r="C69" t="s">
        <v>38</v>
      </c>
      <c r="D69" t="s">
        <v>39</v>
      </c>
      <c r="E69">
        <v>14</v>
      </c>
      <c r="F69">
        <v>422</v>
      </c>
      <c r="G69">
        <v>3013</v>
      </c>
      <c r="H69">
        <v>2431</v>
      </c>
      <c r="I69" t="s">
        <v>48</v>
      </c>
      <c r="J69" t="s">
        <v>176</v>
      </c>
      <c r="K69" t="s">
        <v>177</v>
      </c>
      <c r="L69">
        <v>6</v>
      </c>
      <c r="M69" t="s">
        <v>97</v>
      </c>
      <c r="N69">
        <v>2025</v>
      </c>
      <c r="O69">
        <v>1097</v>
      </c>
      <c r="Q69" t="s">
        <v>178</v>
      </c>
      <c r="R69" t="s">
        <v>181</v>
      </c>
      <c r="V69">
        <v>12</v>
      </c>
      <c r="W69" t="str">
        <f ca="1">IF(Tabela1[[#This Row],[datVigencia]]=0,"Expirado",IF(Tabela1[[#This Row],[datVigencia]]&gt;TODAY(),"Vigente","Expirado"))</f>
        <v>Expirado</v>
      </c>
      <c r="X69" s="2">
        <v>540000</v>
      </c>
      <c r="Y69" s="2">
        <v>0</v>
      </c>
      <c r="Z69" s="2">
        <v>0</v>
      </c>
      <c r="AA69" s="2">
        <v>0</v>
      </c>
      <c r="AB69" s="2">
        <f>Tabela1[[#This Row],[valPrincipal]]+Tabela1[[#This Row],[valReajustes]]+Tabela1[[#This Row],[valAditamentos]]-Tabela1[[#This Row],[valAnulacao]]</f>
        <v>540000</v>
      </c>
      <c r="AC69" s="2">
        <f>IF(Tabela1[[#This Row],[VigenciaMeses]]=0,Tabela1[[#This Row],[valTotal]]/1,Tabela1[[#This Row],[valTotal]]/Tabela1[[#This Row],[VigenciaMeses]])</f>
        <v>45000</v>
      </c>
      <c r="AD69" s="2">
        <f>Tabela1[[#This Row],[valMensal]]*12</f>
        <v>540000</v>
      </c>
      <c r="AE69" s="2">
        <v>30000</v>
      </c>
      <c r="AF69" s="2">
        <v>30000</v>
      </c>
      <c r="AG69" s="2">
        <v>0</v>
      </c>
      <c r="AH69" s="2">
        <v>0</v>
      </c>
      <c r="AI69" s="2">
        <v>0</v>
      </c>
      <c r="AJ69" t="s">
        <v>47</v>
      </c>
    </row>
    <row r="70" spans="1:36" x14ac:dyDescent="0.25">
      <c r="A70" t="s">
        <v>36</v>
      </c>
      <c r="B70" t="s">
        <v>37</v>
      </c>
      <c r="C70" t="s">
        <v>38</v>
      </c>
      <c r="D70" t="s">
        <v>39</v>
      </c>
      <c r="E70">
        <v>14</v>
      </c>
      <c r="F70">
        <v>422</v>
      </c>
      <c r="G70">
        <v>3013</v>
      </c>
      <c r="H70">
        <v>2053</v>
      </c>
      <c r="I70" t="s">
        <v>48</v>
      </c>
      <c r="J70" t="s">
        <v>55</v>
      </c>
      <c r="K70" t="s">
        <v>56</v>
      </c>
      <c r="L70">
        <v>8</v>
      </c>
      <c r="M70" t="s">
        <v>43</v>
      </c>
      <c r="N70">
        <v>2019</v>
      </c>
      <c r="O70">
        <v>23178</v>
      </c>
      <c r="P70" t="s">
        <v>633</v>
      </c>
      <c r="Q70" t="s">
        <v>634</v>
      </c>
      <c r="R70" t="s">
        <v>635</v>
      </c>
      <c r="S70" t="s">
        <v>636</v>
      </c>
      <c r="T70" t="s">
        <v>637</v>
      </c>
      <c r="U70" t="s">
        <v>638</v>
      </c>
      <c r="V70">
        <v>74</v>
      </c>
      <c r="W70" t="str">
        <f ca="1">IF(Tabela1[[#This Row],[datVigencia]]=0,"Expirado",IF(Tabela1[[#This Row],[datVigencia]]&gt;TODAY(),"Vigente","Expirado"))</f>
        <v>Vigente</v>
      </c>
      <c r="X70" s="2">
        <v>539863.19999999995</v>
      </c>
      <c r="Y70" s="2">
        <v>518700.6</v>
      </c>
      <c r="Z70" s="2">
        <v>2699316</v>
      </c>
      <c r="AA70" s="2">
        <v>0</v>
      </c>
      <c r="AB70" s="2">
        <f>Tabela1[[#This Row],[valPrincipal]]+Tabela1[[#This Row],[valReajustes]]+Tabela1[[#This Row],[valAditamentos]]-Tabela1[[#This Row],[valAnulacao]]</f>
        <v>3757879.8</v>
      </c>
      <c r="AC70" s="2">
        <f>IF(Tabela1[[#This Row],[VigenciaMeses]]=0,Tabela1[[#This Row],[valTotal]]/1,Tabela1[[#This Row],[valTotal]]/Tabela1[[#This Row],[VigenciaMeses]])</f>
        <v>50782.159459459457</v>
      </c>
      <c r="AD70" s="2">
        <f>Tabela1[[#This Row],[valMensal]]*12</f>
        <v>609385.91351351351</v>
      </c>
      <c r="AE70" s="2">
        <v>4059724.84</v>
      </c>
      <c r="AF70" s="2">
        <v>835516.96</v>
      </c>
      <c r="AG70" s="2">
        <v>3224207.88</v>
      </c>
      <c r="AH70" s="2">
        <v>3224207.88</v>
      </c>
      <c r="AI70" s="2">
        <v>3224207.88</v>
      </c>
      <c r="AJ70" t="s">
        <v>47</v>
      </c>
    </row>
    <row r="71" spans="1:36" x14ac:dyDescent="0.25">
      <c r="A71" t="s">
        <v>36</v>
      </c>
      <c r="B71" t="s">
        <v>37</v>
      </c>
      <c r="C71" t="s">
        <v>38</v>
      </c>
      <c r="D71" t="s">
        <v>39</v>
      </c>
      <c r="E71">
        <v>14</v>
      </c>
      <c r="F71">
        <v>126</v>
      </c>
      <c r="G71">
        <v>3024</v>
      </c>
      <c r="H71">
        <v>2171</v>
      </c>
      <c r="I71" t="s">
        <v>69</v>
      </c>
      <c r="J71" t="s">
        <v>55</v>
      </c>
      <c r="K71" t="s">
        <v>56</v>
      </c>
      <c r="L71">
        <v>12</v>
      </c>
      <c r="M71" t="s">
        <v>51</v>
      </c>
      <c r="N71">
        <v>2024</v>
      </c>
      <c r="O71">
        <v>22235</v>
      </c>
      <c r="P71" t="s">
        <v>164</v>
      </c>
      <c r="Q71" t="s">
        <v>165</v>
      </c>
      <c r="R71" t="s">
        <v>166</v>
      </c>
      <c r="S71" t="s">
        <v>167</v>
      </c>
      <c r="T71" t="s">
        <v>168</v>
      </c>
      <c r="U71" t="s">
        <v>169</v>
      </c>
      <c r="V71">
        <v>24</v>
      </c>
      <c r="W71" t="str">
        <f ca="1">IF(Tabela1[[#This Row],[datVigencia]]=0,"Expirado",IF(Tabela1[[#This Row],[datVigencia]]&gt;TODAY(),"Vigente","Expirado"))</f>
        <v>Vigente</v>
      </c>
      <c r="X71" s="2">
        <v>506030.4</v>
      </c>
      <c r="Y71" s="2">
        <v>0</v>
      </c>
      <c r="Z71" s="2">
        <v>0</v>
      </c>
      <c r="AA71" s="2">
        <v>0</v>
      </c>
      <c r="AB71" s="2">
        <f>Tabela1[[#This Row],[valPrincipal]]+Tabela1[[#This Row],[valReajustes]]+Tabela1[[#This Row],[valAditamentos]]-Tabela1[[#This Row],[valAnulacao]]</f>
        <v>506030.4</v>
      </c>
      <c r="AC71" s="2">
        <f>IF(Tabela1[[#This Row],[VigenciaMeses]]=0,Tabela1[[#This Row],[valTotal]]/1,Tabela1[[#This Row],[valTotal]]/Tabela1[[#This Row],[VigenciaMeses]])</f>
        <v>21084.600000000002</v>
      </c>
      <c r="AD71" s="2">
        <f>Tabela1[[#This Row],[valMensal]]*12</f>
        <v>253015.2</v>
      </c>
      <c r="AE71" s="2">
        <v>199965.3</v>
      </c>
      <c r="AF71" s="2">
        <v>70747.72</v>
      </c>
      <c r="AG71" s="2">
        <v>129217.58</v>
      </c>
      <c r="AH71" s="2">
        <v>89948.36</v>
      </c>
      <c r="AI71" s="2">
        <v>89948.36</v>
      </c>
      <c r="AJ71" t="s">
        <v>47</v>
      </c>
    </row>
    <row r="72" spans="1:36" x14ac:dyDescent="0.25">
      <c r="A72" t="s">
        <v>36</v>
      </c>
      <c r="B72" t="s">
        <v>37</v>
      </c>
      <c r="C72" t="s">
        <v>38</v>
      </c>
      <c r="D72" t="s">
        <v>39</v>
      </c>
      <c r="E72">
        <v>14</v>
      </c>
      <c r="F72">
        <v>122</v>
      </c>
      <c r="G72">
        <v>3024</v>
      </c>
      <c r="H72">
        <v>2100</v>
      </c>
      <c r="I72" t="s">
        <v>157</v>
      </c>
      <c r="J72" t="s">
        <v>55</v>
      </c>
      <c r="K72" t="s">
        <v>56</v>
      </c>
      <c r="L72">
        <v>12</v>
      </c>
      <c r="M72" t="s">
        <v>51</v>
      </c>
      <c r="N72">
        <v>2023</v>
      </c>
      <c r="O72">
        <v>26849</v>
      </c>
      <c r="P72" t="s">
        <v>318</v>
      </c>
      <c r="Q72" t="s">
        <v>319</v>
      </c>
      <c r="R72" t="s">
        <v>320</v>
      </c>
      <c r="S72" t="s">
        <v>82</v>
      </c>
      <c r="T72" t="s">
        <v>321</v>
      </c>
      <c r="U72" t="s">
        <v>322</v>
      </c>
      <c r="V72">
        <v>25</v>
      </c>
      <c r="W72" t="str">
        <f ca="1">IF(Tabela1[[#This Row],[datVigencia]]=0,"Expirado",IF(Tabela1[[#This Row],[datVigencia]]&gt;TODAY(),"Vigente","Expirado"))</f>
        <v>Vigente</v>
      </c>
      <c r="X72" s="2">
        <v>471600</v>
      </c>
      <c r="Y72" s="2">
        <v>18417.560000000001</v>
      </c>
      <c r="Z72" s="2">
        <v>517781.7</v>
      </c>
      <c r="AA72" s="2">
        <v>0</v>
      </c>
      <c r="AB72" s="2">
        <f>Tabela1[[#This Row],[valPrincipal]]+Tabela1[[#This Row],[valReajustes]]+Tabela1[[#This Row],[valAditamentos]]-Tabela1[[#This Row],[valAnulacao]]</f>
        <v>1007799.26</v>
      </c>
      <c r="AC72" s="2">
        <f>IF(Tabela1[[#This Row],[VigenciaMeses]]=0,Tabela1[[#This Row],[valTotal]]/1,Tabela1[[#This Row],[valTotal]]/Tabela1[[#This Row],[VigenciaMeses]])</f>
        <v>40311.970399999998</v>
      </c>
      <c r="AD72" s="2">
        <f>Tabela1[[#This Row],[valMensal]]*12</f>
        <v>483743.64480000001</v>
      </c>
      <c r="AE72" s="2">
        <v>1074641.02</v>
      </c>
      <c r="AF72" s="2">
        <v>78529.63</v>
      </c>
      <c r="AG72" s="2">
        <v>996111.39</v>
      </c>
      <c r="AH72" s="2">
        <v>728709.2</v>
      </c>
      <c r="AI72" s="2">
        <v>728709.2</v>
      </c>
      <c r="AJ72" t="s">
        <v>47</v>
      </c>
    </row>
    <row r="73" spans="1:36" x14ac:dyDescent="0.25">
      <c r="A73" t="s">
        <v>36</v>
      </c>
      <c r="B73" t="s">
        <v>37</v>
      </c>
      <c r="C73" t="s">
        <v>38</v>
      </c>
      <c r="D73" t="s">
        <v>39</v>
      </c>
      <c r="E73">
        <v>14</v>
      </c>
      <c r="F73">
        <v>126</v>
      </c>
      <c r="G73">
        <v>3024</v>
      </c>
      <c r="H73">
        <v>2171</v>
      </c>
      <c r="I73" t="s">
        <v>69</v>
      </c>
      <c r="J73" t="s">
        <v>55</v>
      </c>
      <c r="K73" t="s">
        <v>56</v>
      </c>
      <c r="L73">
        <v>6</v>
      </c>
      <c r="M73" t="s">
        <v>97</v>
      </c>
      <c r="N73">
        <v>2023</v>
      </c>
      <c r="O73">
        <v>32733</v>
      </c>
      <c r="P73" t="s">
        <v>196</v>
      </c>
      <c r="Q73" t="s">
        <v>197</v>
      </c>
      <c r="R73" t="s">
        <v>198</v>
      </c>
      <c r="S73" t="s">
        <v>191</v>
      </c>
      <c r="T73" t="s">
        <v>192</v>
      </c>
      <c r="U73" t="s">
        <v>199</v>
      </c>
      <c r="V73">
        <v>32</v>
      </c>
      <c r="W73" t="str">
        <f ca="1">IF(Tabela1[[#This Row],[datVigencia]]=0,"Expirado",IF(Tabela1[[#This Row],[datVigencia]]&gt;TODAY(),"Vigente","Expirado"))</f>
        <v>Vigente</v>
      </c>
      <c r="X73" s="2">
        <v>412521.12</v>
      </c>
      <c r="Y73" s="2">
        <v>16510.650000000001</v>
      </c>
      <c r="Z73" s="2">
        <v>933945.62</v>
      </c>
      <c r="AA73" s="2">
        <v>0</v>
      </c>
      <c r="AB73" s="2">
        <f>Tabela1[[#This Row],[valPrincipal]]+Tabela1[[#This Row],[valReajustes]]+Tabela1[[#This Row],[valAditamentos]]-Tabela1[[#This Row],[valAnulacao]]</f>
        <v>1362977.3900000001</v>
      </c>
      <c r="AC73" s="2">
        <f>IF(Tabela1[[#This Row],[VigenciaMeses]]=0,Tabela1[[#This Row],[valTotal]]/1,Tabela1[[#This Row],[valTotal]]/Tabela1[[#This Row],[VigenciaMeses]])</f>
        <v>42593.043437500004</v>
      </c>
      <c r="AD73" s="2">
        <f>Tabela1[[#This Row],[valMensal]]*12</f>
        <v>511116.52125000005</v>
      </c>
      <c r="AE73" s="2">
        <v>870570.48</v>
      </c>
      <c r="AF73" s="2">
        <v>127314.33</v>
      </c>
      <c r="AG73" s="2">
        <v>743256.15</v>
      </c>
      <c r="AH73" s="2">
        <v>596376.30000000005</v>
      </c>
      <c r="AI73" s="2">
        <v>562152.41</v>
      </c>
      <c r="AJ73" t="s">
        <v>47</v>
      </c>
    </row>
    <row r="74" spans="1:36" x14ac:dyDescent="0.25">
      <c r="A74" t="s">
        <v>36</v>
      </c>
      <c r="B74" t="s">
        <v>37</v>
      </c>
      <c r="C74" t="s">
        <v>38</v>
      </c>
      <c r="D74" t="s">
        <v>39</v>
      </c>
      <c r="E74">
        <v>14</v>
      </c>
      <c r="F74">
        <v>122</v>
      </c>
      <c r="G74">
        <v>3024</v>
      </c>
      <c r="H74">
        <v>2100</v>
      </c>
      <c r="I74" t="s">
        <v>48</v>
      </c>
      <c r="J74" t="s">
        <v>55</v>
      </c>
      <c r="K74" t="s">
        <v>56</v>
      </c>
      <c r="L74">
        <v>12</v>
      </c>
      <c r="M74" t="s">
        <v>51</v>
      </c>
      <c r="N74">
        <v>2023</v>
      </c>
      <c r="O74">
        <v>21250</v>
      </c>
      <c r="P74" t="s">
        <v>524</v>
      </c>
      <c r="Q74" t="s">
        <v>525</v>
      </c>
      <c r="R74" t="s">
        <v>526</v>
      </c>
      <c r="S74" t="s">
        <v>527</v>
      </c>
      <c r="T74" t="s">
        <v>528</v>
      </c>
      <c r="U74" t="s">
        <v>219</v>
      </c>
      <c r="V74">
        <v>24</v>
      </c>
      <c r="W74" t="str">
        <f ca="1">IF(Tabela1[[#This Row],[datVigencia]]=0,"Expirado",IF(Tabela1[[#This Row],[datVigencia]]&gt;TODAY(),"Vigente","Expirado"))</f>
        <v>Vigente</v>
      </c>
      <c r="X74" s="2">
        <v>381600</v>
      </c>
      <c r="Y74" s="2">
        <v>0</v>
      </c>
      <c r="Z74" s="2">
        <v>386670.63</v>
      </c>
      <c r="AA74" s="2">
        <v>0</v>
      </c>
      <c r="AB74" s="2">
        <f>Tabela1[[#This Row],[valPrincipal]]+Tabela1[[#This Row],[valReajustes]]+Tabela1[[#This Row],[valAditamentos]]-Tabela1[[#This Row],[valAnulacao]]</f>
        <v>768270.63</v>
      </c>
      <c r="AC74" s="2">
        <f>IF(Tabela1[[#This Row],[VigenciaMeses]]=0,Tabela1[[#This Row],[valTotal]]/1,Tabela1[[#This Row],[valTotal]]/Tabela1[[#This Row],[VigenciaMeses]])</f>
        <v>32011.276249999999</v>
      </c>
      <c r="AD74" s="2">
        <f>Tabela1[[#This Row],[valMensal]]*12</f>
        <v>384135.315</v>
      </c>
      <c r="AE74" s="2">
        <v>784170.39</v>
      </c>
      <c r="AF74" s="2">
        <v>15900</v>
      </c>
      <c r="AG74" s="2">
        <v>768270.39</v>
      </c>
      <c r="AH74" s="2">
        <v>683699.78</v>
      </c>
      <c r="AI74" s="2">
        <v>651899.79</v>
      </c>
      <c r="AJ74" t="s">
        <v>47</v>
      </c>
    </row>
    <row r="75" spans="1:36" x14ac:dyDescent="0.25">
      <c r="A75" t="s">
        <v>36</v>
      </c>
      <c r="B75" t="s">
        <v>37</v>
      </c>
      <c r="C75" t="s">
        <v>38</v>
      </c>
      <c r="D75" t="s">
        <v>39</v>
      </c>
      <c r="E75">
        <v>14</v>
      </c>
      <c r="F75">
        <v>122</v>
      </c>
      <c r="G75">
        <v>3024</v>
      </c>
      <c r="H75">
        <v>2100</v>
      </c>
      <c r="I75" t="s">
        <v>48</v>
      </c>
      <c r="J75" t="s">
        <v>55</v>
      </c>
      <c r="K75" t="s">
        <v>56</v>
      </c>
      <c r="L75">
        <v>12</v>
      </c>
      <c r="M75" t="s">
        <v>51</v>
      </c>
      <c r="N75">
        <v>2023</v>
      </c>
      <c r="O75">
        <v>3724</v>
      </c>
      <c r="P75" t="s">
        <v>443</v>
      </c>
      <c r="Q75" t="s">
        <v>444</v>
      </c>
      <c r="R75" t="s">
        <v>445</v>
      </c>
      <c r="S75" t="s">
        <v>446</v>
      </c>
      <c r="T75" t="s">
        <v>447</v>
      </c>
      <c r="U75" t="s">
        <v>448</v>
      </c>
      <c r="V75">
        <v>36</v>
      </c>
      <c r="W75" t="str">
        <f ca="1">IF(Tabela1[[#This Row],[datVigencia]]=0,"Expirado",IF(Tabela1[[#This Row],[datVigencia]]&gt;TODAY(),"Vigente","Expirado"))</f>
        <v>Vigente</v>
      </c>
      <c r="X75" s="2">
        <v>376460.79999999999</v>
      </c>
      <c r="Y75" s="2">
        <v>17016</v>
      </c>
      <c r="Z75" s="2">
        <v>752921.59999999998</v>
      </c>
      <c r="AA75" s="2">
        <v>0</v>
      </c>
      <c r="AB75" s="2">
        <f>Tabela1[[#This Row],[valPrincipal]]+Tabela1[[#This Row],[valReajustes]]+Tabela1[[#This Row],[valAditamentos]]-Tabela1[[#This Row],[valAnulacao]]</f>
        <v>1146398.3999999999</v>
      </c>
      <c r="AC75" s="2">
        <f>IF(Tabela1[[#This Row],[VigenciaMeses]]=0,Tabela1[[#This Row],[valTotal]]/1,Tabela1[[#This Row],[valTotal]]/Tabela1[[#This Row],[VigenciaMeses]])</f>
        <v>31844.399999999998</v>
      </c>
      <c r="AD75" s="2">
        <f>Tabela1[[#This Row],[valMensal]]*12</f>
        <v>382132.8</v>
      </c>
      <c r="AE75" s="2">
        <v>982025.27</v>
      </c>
      <c r="AF75" s="2">
        <v>270719.95</v>
      </c>
      <c r="AG75" s="2">
        <v>711305.32</v>
      </c>
      <c r="AH75" s="2">
        <v>594530.68000000005</v>
      </c>
      <c r="AI75" s="2">
        <v>594530.68000000005</v>
      </c>
      <c r="AJ75" t="s">
        <v>47</v>
      </c>
    </row>
    <row r="76" spans="1:36" x14ac:dyDescent="0.25">
      <c r="A76" t="s">
        <v>36</v>
      </c>
      <c r="B76" t="s">
        <v>37</v>
      </c>
      <c r="C76" t="s">
        <v>38</v>
      </c>
      <c r="D76" t="s">
        <v>39</v>
      </c>
      <c r="E76">
        <v>14</v>
      </c>
      <c r="F76">
        <v>422</v>
      </c>
      <c r="G76">
        <v>3013</v>
      </c>
      <c r="H76">
        <v>6178</v>
      </c>
      <c r="I76" t="s">
        <v>48</v>
      </c>
      <c r="J76" t="s">
        <v>55</v>
      </c>
      <c r="K76" t="s">
        <v>56</v>
      </c>
      <c r="L76">
        <v>12</v>
      </c>
      <c r="M76" t="s">
        <v>51</v>
      </c>
      <c r="N76">
        <v>2024</v>
      </c>
      <c r="O76">
        <v>42114</v>
      </c>
      <c r="Q76" t="s">
        <v>826</v>
      </c>
      <c r="R76" t="s">
        <v>827</v>
      </c>
      <c r="V76">
        <v>12</v>
      </c>
      <c r="W76" t="str">
        <f ca="1">IF(Tabela1[[#This Row],[datVigencia]]=0,"Expirado",IF(Tabela1[[#This Row],[datVigencia]]&gt;TODAY(),"Vigente","Expirado"))</f>
        <v>Expirado</v>
      </c>
      <c r="X76" s="2">
        <v>343000</v>
      </c>
      <c r="Y76" s="2">
        <v>0</v>
      </c>
      <c r="Z76" s="2">
        <v>0</v>
      </c>
      <c r="AA76" s="2">
        <v>0</v>
      </c>
      <c r="AB76" s="2">
        <f>Tabela1[[#This Row],[valPrincipal]]+Tabela1[[#This Row],[valReajustes]]+Tabela1[[#This Row],[valAditamentos]]-Tabela1[[#This Row],[valAnulacao]]</f>
        <v>343000</v>
      </c>
      <c r="AC76" s="2">
        <f>IF(Tabela1[[#This Row],[VigenciaMeses]]=0,Tabela1[[#This Row],[valTotal]]/1,Tabela1[[#This Row],[valTotal]]/Tabela1[[#This Row],[VigenciaMeses]])</f>
        <v>28583.333333333332</v>
      </c>
      <c r="AD76" s="2">
        <f>Tabela1[[#This Row],[valMensal]]*12</f>
        <v>343000</v>
      </c>
      <c r="AE76" s="2">
        <v>337283.29</v>
      </c>
      <c r="AF76" s="2">
        <v>7622.22</v>
      </c>
      <c r="AG76" s="2">
        <v>329661.07</v>
      </c>
      <c r="AH76" s="2">
        <v>0</v>
      </c>
      <c r="AI76" s="2">
        <v>0</v>
      </c>
      <c r="AJ76" t="s">
        <v>47</v>
      </c>
    </row>
    <row r="77" spans="1:36" x14ac:dyDescent="0.25">
      <c r="A77" t="s">
        <v>36</v>
      </c>
      <c r="B77" t="s">
        <v>37</v>
      </c>
      <c r="C77" t="s">
        <v>38</v>
      </c>
      <c r="D77" t="s">
        <v>39</v>
      </c>
      <c r="E77">
        <v>14</v>
      </c>
      <c r="F77">
        <v>422</v>
      </c>
      <c r="G77">
        <v>3018</v>
      </c>
      <c r="H77">
        <v>2051</v>
      </c>
      <c r="I77" t="s">
        <v>48</v>
      </c>
      <c r="J77" t="s">
        <v>55</v>
      </c>
      <c r="K77" t="s">
        <v>56</v>
      </c>
      <c r="L77">
        <v>12</v>
      </c>
      <c r="M77" t="s">
        <v>51</v>
      </c>
      <c r="N77">
        <v>2023</v>
      </c>
      <c r="O77">
        <v>15971</v>
      </c>
      <c r="P77" t="s">
        <v>551</v>
      </c>
      <c r="Q77" t="s">
        <v>552</v>
      </c>
      <c r="R77" t="s">
        <v>553</v>
      </c>
      <c r="S77" t="s">
        <v>554</v>
      </c>
      <c r="T77" t="s">
        <v>555</v>
      </c>
      <c r="U77" t="s">
        <v>556</v>
      </c>
      <c r="V77">
        <v>12</v>
      </c>
      <c r="W77" t="str">
        <f ca="1">IF(Tabela1[[#This Row],[datVigencia]]=0,"Expirado",IF(Tabela1[[#This Row],[datVigencia]]&gt;TODAY(),"Vigente","Expirado"))</f>
        <v>Vigente</v>
      </c>
      <c r="X77" s="2">
        <v>327600</v>
      </c>
      <c r="Y77" s="2">
        <v>10166.52</v>
      </c>
      <c r="Z77" s="2">
        <v>1310400</v>
      </c>
      <c r="AA77" s="2">
        <v>0</v>
      </c>
      <c r="AB77" s="2">
        <f>Tabela1[[#This Row],[valPrincipal]]+Tabela1[[#This Row],[valReajustes]]+Tabela1[[#This Row],[valAditamentos]]-Tabela1[[#This Row],[valAnulacao]]</f>
        <v>1648166.52</v>
      </c>
      <c r="AC77" s="2">
        <f>IF(Tabela1[[#This Row],[VigenciaMeses]]=0,Tabela1[[#This Row],[valTotal]]/1,Tabela1[[#This Row],[valTotal]]/Tabela1[[#This Row],[VigenciaMeses]])</f>
        <v>137347.21</v>
      </c>
      <c r="AD77" s="2">
        <f>Tabela1[[#This Row],[valMensal]]*12</f>
        <v>1648166.52</v>
      </c>
      <c r="AE77" s="2">
        <v>726894.61</v>
      </c>
      <c r="AF77" s="2">
        <v>133940.17000000001</v>
      </c>
      <c r="AG77" s="2">
        <v>592954.43999999994</v>
      </c>
      <c r="AH77" s="2">
        <v>506304.89</v>
      </c>
      <c r="AI77" s="2">
        <v>506304.89</v>
      </c>
      <c r="AJ77" t="s">
        <v>47</v>
      </c>
    </row>
    <row r="78" spans="1:36" x14ac:dyDescent="0.25">
      <c r="A78" t="s">
        <v>36</v>
      </c>
      <c r="B78" t="s">
        <v>37</v>
      </c>
      <c r="C78" t="s">
        <v>38</v>
      </c>
      <c r="D78" t="s">
        <v>39</v>
      </c>
      <c r="E78">
        <v>14</v>
      </c>
      <c r="F78">
        <v>422</v>
      </c>
      <c r="G78">
        <v>3018</v>
      </c>
      <c r="H78">
        <v>4334</v>
      </c>
      <c r="I78" t="s">
        <v>323</v>
      </c>
      <c r="J78" t="s">
        <v>55</v>
      </c>
      <c r="K78" t="s">
        <v>56</v>
      </c>
      <c r="L78">
        <v>12</v>
      </c>
      <c r="M78" t="s">
        <v>51</v>
      </c>
      <c r="N78">
        <v>2022</v>
      </c>
      <c r="O78">
        <v>31014</v>
      </c>
      <c r="P78" t="s">
        <v>348</v>
      </c>
      <c r="Q78" t="s">
        <v>345</v>
      </c>
      <c r="R78" t="s">
        <v>346</v>
      </c>
      <c r="S78" t="s">
        <v>349</v>
      </c>
      <c r="T78" t="s">
        <v>350</v>
      </c>
      <c r="U78" t="s">
        <v>351</v>
      </c>
      <c r="V78">
        <v>12</v>
      </c>
      <c r="W78" t="str">
        <f ca="1">IF(Tabela1[[#This Row],[datVigencia]]=0,"Expirado",IF(Tabela1[[#This Row],[datVigencia]]&gt;TODAY(),"Vigente","Expirado"))</f>
        <v>Vigente</v>
      </c>
      <c r="X78" s="2">
        <v>317999.88</v>
      </c>
      <c r="Y78" s="2">
        <v>33911.279999999999</v>
      </c>
      <c r="Z78" s="2">
        <v>635999.86</v>
      </c>
      <c r="AA78" s="2">
        <v>0</v>
      </c>
      <c r="AB78" s="2">
        <f>Tabela1[[#This Row],[valPrincipal]]+Tabela1[[#This Row],[valReajustes]]+Tabela1[[#This Row],[valAditamentos]]-Tabela1[[#This Row],[valAnulacao]]</f>
        <v>987911.02</v>
      </c>
      <c r="AC78" s="2">
        <f>IF(Tabela1[[#This Row],[VigenciaMeses]]=0,Tabela1[[#This Row],[valTotal]]/1,Tabela1[[#This Row],[valTotal]]/Tabela1[[#This Row],[VigenciaMeses]])</f>
        <v>82325.918333333335</v>
      </c>
      <c r="AD78" s="2">
        <f>Tabela1[[#This Row],[valMensal]]*12</f>
        <v>987911.02</v>
      </c>
      <c r="AE78" s="2">
        <v>1377134.79</v>
      </c>
      <c r="AF78" s="2">
        <v>392168.58</v>
      </c>
      <c r="AG78" s="2">
        <v>984966.21</v>
      </c>
      <c r="AH78" s="2">
        <v>780207.94</v>
      </c>
      <c r="AI78" s="2">
        <v>780207.94</v>
      </c>
      <c r="AJ78" t="s">
        <v>47</v>
      </c>
    </row>
    <row r="79" spans="1:36" x14ac:dyDescent="0.25">
      <c r="A79" t="s">
        <v>36</v>
      </c>
      <c r="B79" t="s">
        <v>37</v>
      </c>
      <c r="C79" t="s">
        <v>38</v>
      </c>
      <c r="D79" t="s">
        <v>39</v>
      </c>
      <c r="E79">
        <v>14</v>
      </c>
      <c r="F79">
        <v>422</v>
      </c>
      <c r="G79">
        <v>3013</v>
      </c>
      <c r="H79">
        <v>2053</v>
      </c>
      <c r="I79" t="s">
        <v>48</v>
      </c>
      <c r="J79" t="s">
        <v>55</v>
      </c>
      <c r="K79" t="s">
        <v>56</v>
      </c>
      <c r="L79">
        <v>12</v>
      </c>
      <c r="M79" t="s">
        <v>51</v>
      </c>
      <c r="N79">
        <v>2024</v>
      </c>
      <c r="O79">
        <v>25656</v>
      </c>
      <c r="P79" t="s">
        <v>808</v>
      </c>
      <c r="Q79" t="s">
        <v>809</v>
      </c>
      <c r="R79" t="s">
        <v>810</v>
      </c>
      <c r="S79" t="s">
        <v>811</v>
      </c>
      <c r="T79" t="s">
        <v>812</v>
      </c>
      <c r="U79" t="s">
        <v>813</v>
      </c>
      <c r="V79">
        <v>12</v>
      </c>
      <c r="W79" t="str">
        <f ca="1">IF(Tabela1[[#This Row],[datVigencia]]=0,"Expirado",IF(Tabela1[[#This Row],[datVigencia]]&gt;TODAY(),"Vigente","Expirado"))</f>
        <v>Vigente</v>
      </c>
      <c r="X79" s="2">
        <v>306000</v>
      </c>
      <c r="Y79" s="2">
        <v>0</v>
      </c>
      <c r="Z79" s="2">
        <v>0</v>
      </c>
      <c r="AA79" s="2">
        <v>0</v>
      </c>
      <c r="AB79" s="2">
        <f>Tabela1[[#This Row],[valPrincipal]]+Tabela1[[#This Row],[valReajustes]]+Tabela1[[#This Row],[valAditamentos]]-Tabela1[[#This Row],[valAnulacao]]</f>
        <v>306000</v>
      </c>
      <c r="AC79" s="2">
        <f>IF(Tabela1[[#This Row],[VigenciaMeses]]=0,Tabela1[[#This Row],[valTotal]]/1,Tabela1[[#This Row],[valTotal]]/Tabela1[[#This Row],[VigenciaMeses]])</f>
        <v>25500</v>
      </c>
      <c r="AD79" s="2">
        <f>Tabela1[[#This Row],[valMensal]]*12</f>
        <v>306000</v>
      </c>
      <c r="AE79" s="2">
        <v>145250</v>
      </c>
      <c r="AF79" s="2">
        <v>118195</v>
      </c>
      <c r="AG79" s="2">
        <v>27055</v>
      </c>
      <c r="AH79" s="2">
        <v>12339.7</v>
      </c>
      <c r="AI79" s="2">
        <v>12339.7</v>
      </c>
      <c r="AJ79" t="s">
        <v>47</v>
      </c>
    </row>
    <row r="80" spans="1:36" x14ac:dyDescent="0.25">
      <c r="A80" t="s">
        <v>36</v>
      </c>
      <c r="B80" t="s">
        <v>37</v>
      </c>
      <c r="C80" t="s">
        <v>38</v>
      </c>
      <c r="D80" t="s">
        <v>39</v>
      </c>
      <c r="E80">
        <v>14</v>
      </c>
      <c r="F80">
        <v>422</v>
      </c>
      <c r="G80">
        <v>3013</v>
      </c>
      <c r="H80">
        <v>2053</v>
      </c>
      <c r="I80" t="s">
        <v>48</v>
      </c>
      <c r="J80" t="s">
        <v>176</v>
      </c>
      <c r="K80" t="s">
        <v>177</v>
      </c>
      <c r="L80">
        <v>7</v>
      </c>
      <c r="M80" t="s">
        <v>324</v>
      </c>
      <c r="N80">
        <v>2025</v>
      </c>
      <c r="O80">
        <v>4777</v>
      </c>
      <c r="Q80" t="s">
        <v>816</v>
      </c>
      <c r="R80" t="s">
        <v>817</v>
      </c>
      <c r="U80" t="s">
        <v>46</v>
      </c>
      <c r="V80">
        <v>12</v>
      </c>
      <c r="W80" t="str">
        <f ca="1">IF(Tabela1[[#This Row],[datVigencia]]=0,"Expirado",IF(Tabela1[[#This Row],[datVigencia]]&gt;TODAY(),"Vigente","Expirado"))</f>
        <v>Vigente</v>
      </c>
      <c r="X80" s="2">
        <v>300000</v>
      </c>
      <c r="Y80" s="2">
        <v>0</v>
      </c>
      <c r="Z80" s="2">
        <v>0</v>
      </c>
      <c r="AA80" s="2">
        <v>0</v>
      </c>
      <c r="AB80" s="2">
        <f>Tabela1[[#This Row],[valPrincipal]]+Tabela1[[#This Row],[valReajustes]]+Tabela1[[#This Row],[valAditamentos]]-Tabela1[[#This Row],[valAnulacao]]</f>
        <v>300000</v>
      </c>
      <c r="AC80" s="2">
        <f>IF(Tabela1[[#This Row],[VigenciaMeses]]=0,Tabela1[[#This Row],[valTotal]]/1,Tabela1[[#This Row],[valTotal]]/Tabela1[[#This Row],[VigenciaMeses]])</f>
        <v>25000</v>
      </c>
      <c r="AD80" s="2">
        <f>Tabela1[[#This Row],[valMensal]]*12</f>
        <v>300000</v>
      </c>
      <c r="AE80" s="2">
        <v>600000</v>
      </c>
      <c r="AF80" s="2">
        <v>300000</v>
      </c>
      <c r="AG80" s="2">
        <v>300000</v>
      </c>
      <c r="AH80" s="2">
        <v>64720.49</v>
      </c>
      <c r="AI80" s="2">
        <v>63914.57</v>
      </c>
      <c r="AJ80" t="s">
        <v>47</v>
      </c>
    </row>
    <row r="81" spans="1:36" x14ac:dyDescent="0.25">
      <c r="A81" t="s">
        <v>36</v>
      </c>
      <c r="B81" t="s">
        <v>37</v>
      </c>
      <c r="C81" t="s">
        <v>38</v>
      </c>
      <c r="D81" t="s">
        <v>39</v>
      </c>
      <c r="E81">
        <v>14</v>
      </c>
      <c r="F81">
        <v>422</v>
      </c>
      <c r="G81">
        <v>3013</v>
      </c>
      <c r="H81">
        <v>6178</v>
      </c>
      <c r="I81" t="s">
        <v>48</v>
      </c>
      <c r="J81" t="s">
        <v>55</v>
      </c>
      <c r="K81" t="s">
        <v>56</v>
      </c>
      <c r="L81">
        <v>12</v>
      </c>
      <c r="M81" t="s">
        <v>51</v>
      </c>
      <c r="N81">
        <v>2022</v>
      </c>
      <c r="O81">
        <v>31664</v>
      </c>
      <c r="P81" t="s">
        <v>665</v>
      </c>
      <c r="Q81" t="s">
        <v>666</v>
      </c>
      <c r="R81" t="s">
        <v>667</v>
      </c>
      <c r="S81" t="s">
        <v>668</v>
      </c>
      <c r="T81" t="s">
        <v>669</v>
      </c>
      <c r="U81" t="s">
        <v>670</v>
      </c>
      <c r="V81">
        <v>36</v>
      </c>
      <c r="W81" t="str">
        <f ca="1">IF(Tabela1[[#This Row],[datVigencia]]=0,"Expirado",IF(Tabela1[[#This Row],[datVigencia]]&gt;TODAY(),"Vigente","Expirado"))</f>
        <v>Vigente</v>
      </c>
      <c r="X81" s="2">
        <v>294000</v>
      </c>
      <c r="Y81" s="2">
        <v>11760</v>
      </c>
      <c r="Z81" s="2">
        <v>588000</v>
      </c>
      <c r="AA81" s="2">
        <v>0</v>
      </c>
      <c r="AB81" s="2">
        <f>Tabela1[[#This Row],[valPrincipal]]+Tabela1[[#This Row],[valReajustes]]+Tabela1[[#This Row],[valAditamentos]]-Tabela1[[#This Row],[valAnulacao]]</f>
        <v>893760</v>
      </c>
      <c r="AC81" s="2">
        <f>IF(Tabela1[[#This Row],[VigenciaMeses]]=0,Tabela1[[#This Row],[valTotal]]/1,Tabela1[[#This Row],[valTotal]]/Tabela1[[#This Row],[VigenciaMeses]])</f>
        <v>24826.666666666668</v>
      </c>
      <c r="AD81" s="2">
        <f>Tabela1[[#This Row],[valMensal]]*12</f>
        <v>297920</v>
      </c>
      <c r="AE81" s="2">
        <v>867189.05</v>
      </c>
      <c r="AF81" s="2">
        <v>151260.06</v>
      </c>
      <c r="AG81" s="2">
        <v>715928.99</v>
      </c>
      <c r="AH81" s="2">
        <v>582360.86</v>
      </c>
      <c r="AI81" s="2">
        <v>536691.34</v>
      </c>
      <c r="AJ81" t="s">
        <v>47</v>
      </c>
    </row>
    <row r="82" spans="1:36" x14ac:dyDescent="0.25">
      <c r="A82" t="s">
        <v>36</v>
      </c>
      <c r="B82" t="s">
        <v>37</v>
      </c>
      <c r="C82" t="s">
        <v>38</v>
      </c>
      <c r="D82" t="s">
        <v>39</v>
      </c>
      <c r="E82">
        <v>14</v>
      </c>
      <c r="F82">
        <v>122</v>
      </c>
      <c r="G82">
        <v>3024</v>
      </c>
      <c r="H82">
        <v>2100</v>
      </c>
      <c r="I82" t="s">
        <v>48</v>
      </c>
      <c r="J82" t="s">
        <v>55</v>
      </c>
      <c r="K82" t="s">
        <v>56</v>
      </c>
      <c r="L82">
        <v>12</v>
      </c>
      <c r="M82" t="s">
        <v>51</v>
      </c>
      <c r="N82">
        <v>2022</v>
      </c>
      <c r="O82">
        <v>15764</v>
      </c>
      <c r="P82" t="s">
        <v>474</v>
      </c>
      <c r="Q82" t="s">
        <v>475</v>
      </c>
      <c r="R82" t="s">
        <v>476</v>
      </c>
      <c r="S82" t="s">
        <v>477</v>
      </c>
      <c r="T82" t="s">
        <v>478</v>
      </c>
      <c r="U82" t="s">
        <v>479</v>
      </c>
      <c r="V82">
        <v>37</v>
      </c>
      <c r="W82" t="str">
        <f ca="1">IF(Tabela1[[#This Row],[datVigencia]]=0,"Expirado",IF(Tabela1[[#This Row],[datVigencia]]&gt;TODAY(),"Vigente","Expirado"))</f>
        <v>Vigente</v>
      </c>
      <c r="X82" s="2">
        <v>267709.68</v>
      </c>
      <c r="Y82" s="2">
        <v>35314.29</v>
      </c>
      <c r="Z82" s="2">
        <v>712478.88</v>
      </c>
      <c r="AA82" s="2">
        <v>0</v>
      </c>
      <c r="AB82" s="2">
        <f>Tabela1[[#This Row],[valPrincipal]]+Tabela1[[#This Row],[valReajustes]]+Tabela1[[#This Row],[valAditamentos]]-Tabela1[[#This Row],[valAnulacao]]</f>
        <v>1015502.85</v>
      </c>
      <c r="AC82" s="2">
        <f>IF(Tabela1[[#This Row],[VigenciaMeses]]=0,Tabela1[[#This Row],[valTotal]]/1,Tabela1[[#This Row],[valTotal]]/Tabela1[[#This Row],[VigenciaMeses]])</f>
        <v>27446.022972972973</v>
      </c>
      <c r="AD82" s="2">
        <f>Tabela1[[#This Row],[valMensal]]*12</f>
        <v>329352.27567567566</v>
      </c>
      <c r="AE82" s="2">
        <v>992723.61</v>
      </c>
      <c r="AF82" s="2">
        <v>186075.59</v>
      </c>
      <c r="AG82" s="2">
        <v>806648.02</v>
      </c>
      <c r="AH82" s="2">
        <v>720718.41</v>
      </c>
      <c r="AI82" s="2">
        <v>696312.9</v>
      </c>
      <c r="AJ82" t="s">
        <v>47</v>
      </c>
    </row>
    <row r="83" spans="1:36" x14ac:dyDescent="0.25">
      <c r="A83" t="s">
        <v>36</v>
      </c>
      <c r="B83" t="s">
        <v>37</v>
      </c>
      <c r="C83" t="s">
        <v>38</v>
      </c>
      <c r="D83" t="s">
        <v>39</v>
      </c>
      <c r="E83">
        <v>14</v>
      </c>
      <c r="F83">
        <v>243</v>
      </c>
      <c r="G83">
        <v>3013</v>
      </c>
      <c r="H83">
        <v>2157</v>
      </c>
      <c r="I83" t="s">
        <v>48</v>
      </c>
      <c r="J83" t="s">
        <v>55</v>
      </c>
      <c r="K83" t="s">
        <v>56</v>
      </c>
      <c r="L83">
        <v>12</v>
      </c>
      <c r="M83" t="s">
        <v>51</v>
      </c>
      <c r="N83">
        <v>2020</v>
      </c>
      <c r="O83">
        <v>21258</v>
      </c>
      <c r="P83" t="s">
        <v>864</v>
      </c>
      <c r="Q83" t="s">
        <v>865</v>
      </c>
      <c r="R83" t="s">
        <v>866</v>
      </c>
      <c r="S83" t="s">
        <v>867</v>
      </c>
      <c r="T83" t="s">
        <v>868</v>
      </c>
      <c r="U83" t="s">
        <v>869</v>
      </c>
      <c r="V83">
        <v>60</v>
      </c>
      <c r="W83" t="str">
        <f ca="1">IF(Tabela1[[#This Row],[datVigencia]]=0,"Expirado",IF(Tabela1[[#This Row],[datVigencia]]&gt;TODAY(),"Vigente","Expirado"))</f>
        <v>Vigente</v>
      </c>
      <c r="X83" s="2">
        <v>228600</v>
      </c>
      <c r="Y83" s="2">
        <v>159114.84</v>
      </c>
      <c r="Z83" s="2">
        <v>901113.6</v>
      </c>
      <c r="AA83" s="2">
        <v>0</v>
      </c>
      <c r="AB83" s="2">
        <f>Tabela1[[#This Row],[valPrincipal]]+Tabela1[[#This Row],[valReajustes]]+Tabela1[[#This Row],[valAditamentos]]-Tabela1[[#This Row],[valAnulacao]]</f>
        <v>1288828.44</v>
      </c>
      <c r="AC83" s="2">
        <f>IF(Tabela1[[#This Row],[VigenciaMeses]]=0,Tabela1[[#This Row],[valTotal]]/1,Tabela1[[#This Row],[valTotal]]/Tabela1[[#This Row],[VigenciaMeses]])</f>
        <v>21480.473999999998</v>
      </c>
      <c r="AD83" s="2">
        <f>Tabela1[[#This Row],[valMensal]]*12</f>
        <v>257765.68799999997</v>
      </c>
      <c r="AE83" s="2">
        <v>1302410.01</v>
      </c>
      <c r="AF83" s="2">
        <v>41031.230000000003</v>
      </c>
      <c r="AG83" s="2">
        <v>1261378.78</v>
      </c>
      <c r="AH83" s="2">
        <v>1147100.8600000001</v>
      </c>
      <c r="AI83" s="2">
        <v>1123936.42</v>
      </c>
      <c r="AJ83" t="s">
        <v>47</v>
      </c>
    </row>
    <row r="84" spans="1:36" x14ac:dyDescent="0.25">
      <c r="A84" t="s">
        <v>36</v>
      </c>
      <c r="B84" t="s">
        <v>37</v>
      </c>
      <c r="C84" t="s">
        <v>38</v>
      </c>
      <c r="D84" t="s">
        <v>39</v>
      </c>
      <c r="E84">
        <v>14</v>
      </c>
      <c r="F84">
        <v>422</v>
      </c>
      <c r="G84">
        <v>3013</v>
      </c>
      <c r="H84">
        <v>6178</v>
      </c>
      <c r="I84" t="s">
        <v>48</v>
      </c>
      <c r="J84" t="s">
        <v>55</v>
      </c>
      <c r="K84" t="s">
        <v>56</v>
      </c>
      <c r="L84">
        <v>12</v>
      </c>
      <c r="M84" t="s">
        <v>51</v>
      </c>
      <c r="N84">
        <v>2022</v>
      </c>
      <c r="O84">
        <v>24727</v>
      </c>
      <c r="P84" t="s">
        <v>802</v>
      </c>
      <c r="Q84" t="s">
        <v>803</v>
      </c>
      <c r="R84" t="s">
        <v>804</v>
      </c>
      <c r="S84" t="s">
        <v>805</v>
      </c>
      <c r="T84" t="s">
        <v>806</v>
      </c>
      <c r="U84" t="s">
        <v>807</v>
      </c>
      <c r="V84">
        <v>36</v>
      </c>
      <c r="W84" t="str">
        <f ca="1">IF(Tabela1[[#This Row],[datVigencia]]=0,"Expirado",IF(Tabela1[[#This Row],[datVigencia]]&gt;TODAY(),"Vigente","Expirado"))</f>
        <v>Vigente</v>
      </c>
      <c r="X84" s="2">
        <v>222806.16</v>
      </c>
      <c r="Y84" s="2">
        <v>22773.119999999999</v>
      </c>
      <c r="Z84" s="2">
        <v>445612.32</v>
      </c>
      <c r="AA84" s="2">
        <v>0</v>
      </c>
      <c r="AB84" s="2">
        <f>Tabela1[[#This Row],[valPrincipal]]+Tabela1[[#This Row],[valReajustes]]+Tabela1[[#This Row],[valAditamentos]]-Tabela1[[#This Row],[valAnulacao]]</f>
        <v>691191.6</v>
      </c>
      <c r="AC84" s="2">
        <f>IF(Tabela1[[#This Row],[VigenciaMeses]]=0,Tabela1[[#This Row],[valTotal]]/1,Tabela1[[#This Row],[valTotal]]/Tabela1[[#This Row],[VigenciaMeses]])</f>
        <v>19199.766666666666</v>
      </c>
      <c r="AD84" s="2">
        <f>Tabela1[[#This Row],[valMensal]]*12</f>
        <v>230397.2</v>
      </c>
      <c r="AE84" s="2">
        <v>693060.42</v>
      </c>
      <c r="AF84" s="2">
        <v>25817.25</v>
      </c>
      <c r="AG84" s="2">
        <v>667243.17000000004</v>
      </c>
      <c r="AH84" s="2">
        <v>582687.68999999994</v>
      </c>
      <c r="AI84" s="2">
        <v>582687.68999999994</v>
      </c>
      <c r="AJ84" t="s">
        <v>47</v>
      </c>
    </row>
    <row r="85" spans="1:36" x14ac:dyDescent="0.25">
      <c r="A85" t="s">
        <v>36</v>
      </c>
      <c r="B85" t="s">
        <v>37</v>
      </c>
      <c r="C85" t="s">
        <v>38</v>
      </c>
      <c r="D85" t="s">
        <v>39</v>
      </c>
      <c r="E85">
        <v>14</v>
      </c>
      <c r="F85">
        <v>422</v>
      </c>
      <c r="G85">
        <v>3013</v>
      </c>
      <c r="H85">
        <v>2053</v>
      </c>
      <c r="I85" t="s">
        <v>48</v>
      </c>
      <c r="J85" t="s">
        <v>55</v>
      </c>
      <c r="K85" t="s">
        <v>56</v>
      </c>
      <c r="L85">
        <v>12</v>
      </c>
      <c r="M85" t="s">
        <v>51</v>
      </c>
      <c r="N85">
        <v>2021</v>
      </c>
      <c r="O85">
        <v>6410</v>
      </c>
      <c r="P85" t="s">
        <v>146</v>
      </c>
      <c r="Q85" t="s">
        <v>147</v>
      </c>
      <c r="R85" t="s">
        <v>148</v>
      </c>
      <c r="S85" t="s">
        <v>149</v>
      </c>
      <c r="T85" t="s">
        <v>150</v>
      </c>
      <c r="U85" t="s">
        <v>151</v>
      </c>
      <c r="V85">
        <v>55</v>
      </c>
      <c r="W85" t="str">
        <f ca="1">IF(Tabela1[[#This Row],[datVigencia]]=0,"Expirado",IF(Tabela1[[#This Row],[datVigencia]]&gt;TODAY(),"Vigente","Expirado"))</f>
        <v>Vigente</v>
      </c>
      <c r="X85" s="2">
        <v>221515.82</v>
      </c>
      <c r="Y85" s="2">
        <v>152169.95000000001</v>
      </c>
      <c r="Z85" s="2">
        <v>979875.65</v>
      </c>
      <c r="AA85" s="2">
        <v>0</v>
      </c>
      <c r="AB85" s="2">
        <f>Tabela1[[#This Row],[valPrincipal]]+Tabela1[[#This Row],[valReajustes]]+Tabela1[[#This Row],[valAditamentos]]-Tabela1[[#This Row],[valAnulacao]]</f>
        <v>1353561.42</v>
      </c>
      <c r="AC85" s="2">
        <f>IF(Tabela1[[#This Row],[VigenciaMeses]]=0,Tabela1[[#This Row],[valTotal]]/1,Tabela1[[#This Row],[valTotal]]/Tabela1[[#This Row],[VigenciaMeses]])</f>
        <v>24610.207636363633</v>
      </c>
      <c r="AD85" s="2">
        <f>Tabela1[[#This Row],[valMensal]]*12</f>
        <v>295322.49163636361</v>
      </c>
      <c r="AE85" s="2">
        <v>1673497.58</v>
      </c>
      <c r="AF85" s="2">
        <v>342890.95</v>
      </c>
      <c r="AG85" s="2">
        <v>1330606.6299999999</v>
      </c>
      <c r="AH85" s="2">
        <v>1216225.1599999999</v>
      </c>
      <c r="AI85" s="2">
        <v>1214319.93</v>
      </c>
      <c r="AJ85" t="s">
        <v>47</v>
      </c>
    </row>
    <row r="86" spans="1:36" x14ac:dyDescent="0.25">
      <c r="A86" t="s">
        <v>36</v>
      </c>
      <c r="B86" t="s">
        <v>37</v>
      </c>
      <c r="C86" t="s">
        <v>38</v>
      </c>
      <c r="D86" t="s">
        <v>39</v>
      </c>
      <c r="E86">
        <v>14</v>
      </c>
      <c r="F86">
        <v>243</v>
      </c>
      <c r="G86">
        <v>3013</v>
      </c>
      <c r="H86">
        <v>2157</v>
      </c>
      <c r="I86" t="s">
        <v>48</v>
      </c>
      <c r="J86" t="s">
        <v>176</v>
      </c>
      <c r="K86" t="s">
        <v>177</v>
      </c>
      <c r="L86">
        <v>6</v>
      </c>
      <c r="M86" t="s">
        <v>97</v>
      </c>
      <c r="N86">
        <v>2025</v>
      </c>
      <c r="O86">
        <v>191</v>
      </c>
      <c r="Q86" t="s">
        <v>182</v>
      </c>
      <c r="R86" t="s">
        <v>179</v>
      </c>
      <c r="U86" t="s">
        <v>46</v>
      </c>
      <c r="V86">
        <v>12</v>
      </c>
      <c r="W86" t="str">
        <f ca="1">IF(Tabela1[[#This Row],[datVigencia]]=0,"Expirado",IF(Tabela1[[#This Row],[datVigencia]]&gt;TODAY(),"Vigente","Expirado"))</f>
        <v>Vigente</v>
      </c>
      <c r="X86" s="2">
        <v>210000</v>
      </c>
      <c r="Y86" s="2">
        <v>0</v>
      </c>
      <c r="Z86" s="2">
        <v>0</v>
      </c>
      <c r="AA86" s="2">
        <v>0</v>
      </c>
      <c r="AB86" s="2">
        <f>Tabela1[[#This Row],[valPrincipal]]+Tabela1[[#This Row],[valReajustes]]+Tabela1[[#This Row],[valAditamentos]]-Tabela1[[#This Row],[valAnulacao]]</f>
        <v>210000</v>
      </c>
      <c r="AC86" s="2">
        <f>IF(Tabela1[[#This Row],[VigenciaMeses]]=0,Tabela1[[#This Row],[valTotal]]/1,Tabela1[[#This Row],[valTotal]]/Tabela1[[#This Row],[VigenciaMeses]])</f>
        <v>17500</v>
      </c>
      <c r="AD86" s="2">
        <f>Tabela1[[#This Row],[valMensal]]*12</f>
        <v>210000</v>
      </c>
      <c r="AE86" s="2">
        <v>210000</v>
      </c>
      <c r="AF86" s="2">
        <v>0</v>
      </c>
      <c r="AG86" s="2">
        <v>210000</v>
      </c>
      <c r="AH86" s="2">
        <v>69722.59</v>
      </c>
      <c r="AI86" s="2">
        <v>69544.960000000006</v>
      </c>
      <c r="AJ86" t="s">
        <v>47</v>
      </c>
    </row>
    <row r="87" spans="1:36" x14ac:dyDescent="0.25">
      <c r="A87" t="s">
        <v>36</v>
      </c>
      <c r="B87" t="s">
        <v>37</v>
      </c>
      <c r="C87" t="s">
        <v>38</v>
      </c>
      <c r="D87" t="s">
        <v>39</v>
      </c>
      <c r="E87">
        <v>14</v>
      </c>
      <c r="F87">
        <v>122</v>
      </c>
      <c r="G87">
        <v>3024</v>
      </c>
      <c r="H87">
        <v>2100</v>
      </c>
      <c r="I87" t="s">
        <v>206</v>
      </c>
      <c r="J87" t="s">
        <v>406</v>
      </c>
      <c r="K87" t="s">
        <v>407</v>
      </c>
      <c r="L87">
        <v>12</v>
      </c>
      <c r="M87" t="s">
        <v>51</v>
      </c>
      <c r="N87">
        <v>2025</v>
      </c>
      <c r="O87">
        <v>3961</v>
      </c>
      <c r="P87" t="s">
        <v>705</v>
      </c>
      <c r="Q87" t="s">
        <v>706</v>
      </c>
      <c r="R87" t="s">
        <v>707</v>
      </c>
      <c r="S87" t="s">
        <v>708</v>
      </c>
      <c r="T87" t="s">
        <v>645</v>
      </c>
      <c r="U87" t="s">
        <v>709</v>
      </c>
      <c r="V87">
        <v>3</v>
      </c>
      <c r="W87" t="str">
        <f ca="1">IF(Tabela1[[#This Row],[datVigencia]]=0,"Expirado",IF(Tabela1[[#This Row],[datVigencia]]&gt;TODAY(),"Vigente","Expirado"))</f>
        <v>Vigente</v>
      </c>
      <c r="X87" s="2">
        <v>208000</v>
      </c>
      <c r="Y87" s="2">
        <v>0</v>
      </c>
      <c r="Z87" s="2">
        <v>0</v>
      </c>
      <c r="AA87" s="2">
        <v>0</v>
      </c>
      <c r="AB87" s="2">
        <f>Tabela1[[#This Row],[valPrincipal]]+Tabela1[[#This Row],[valReajustes]]+Tabela1[[#This Row],[valAditamentos]]-Tabela1[[#This Row],[valAnulacao]]</f>
        <v>208000</v>
      </c>
      <c r="AC87" s="2">
        <f>IF(Tabela1[[#This Row],[VigenciaMeses]]=0,Tabela1[[#This Row],[valTotal]]/1,Tabela1[[#This Row],[valTotal]]/Tabela1[[#This Row],[VigenciaMeses]])</f>
        <v>69333.333333333328</v>
      </c>
      <c r="AD87" s="2">
        <f>Tabela1[[#This Row],[valMensal]]*12</f>
        <v>832000</v>
      </c>
      <c r="AE87" s="2">
        <v>208000</v>
      </c>
      <c r="AF87" s="2">
        <v>0</v>
      </c>
      <c r="AG87" s="2">
        <v>208000</v>
      </c>
      <c r="AH87" s="2">
        <v>208000</v>
      </c>
      <c r="AI87" s="2">
        <v>208000</v>
      </c>
      <c r="AJ87" t="s">
        <v>47</v>
      </c>
    </row>
    <row r="88" spans="1:36" x14ac:dyDescent="0.25">
      <c r="A88" t="s">
        <v>36</v>
      </c>
      <c r="B88" t="s">
        <v>37</v>
      </c>
      <c r="C88" t="s">
        <v>38</v>
      </c>
      <c r="D88" t="s">
        <v>39</v>
      </c>
      <c r="E88">
        <v>14</v>
      </c>
      <c r="F88">
        <v>243</v>
      </c>
      <c r="G88">
        <v>3013</v>
      </c>
      <c r="H88">
        <v>2157</v>
      </c>
      <c r="I88" t="s">
        <v>48</v>
      </c>
      <c r="J88" t="s">
        <v>176</v>
      </c>
      <c r="K88" t="s">
        <v>177</v>
      </c>
      <c r="L88">
        <v>6</v>
      </c>
      <c r="M88" t="s">
        <v>97</v>
      </c>
      <c r="N88">
        <v>2025</v>
      </c>
      <c r="O88">
        <v>1399</v>
      </c>
      <c r="Q88" t="s">
        <v>212</v>
      </c>
      <c r="R88" t="s">
        <v>213</v>
      </c>
      <c r="U88" t="s">
        <v>46</v>
      </c>
      <c r="V88">
        <v>12</v>
      </c>
      <c r="W88" t="str">
        <f ca="1">IF(Tabela1[[#This Row],[datVigencia]]=0,"Expirado",IF(Tabela1[[#This Row],[datVigencia]]&gt;TODAY(),"Vigente","Expirado"))</f>
        <v>Vigente</v>
      </c>
      <c r="X88" s="2">
        <v>200000</v>
      </c>
      <c r="Y88" s="2">
        <v>0</v>
      </c>
      <c r="Z88" s="2">
        <v>0</v>
      </c>
      <c r="AA88" s="2">
        <v>0</v>
      </c>
      <c r="AB88" s="2">
        <f>Tabela1[[#This Row],[valPrincipal]]+Tabela1[[#This Row],[valReajustes]]+Tabela1[[#This Row],[valAditamentos]]-Tabela1[[#This Row],[valAnulacao]]</f>
        <v>200000</v>
      </c>
      <c r="AC88" s="2">
        <f>IF(Tabela1[[#This Row],[VigenciaMeses]]=0,Tabela1[[#This Row],[valTotal]]/1,Tabela1[[#This Row],[valTotal]]/Tabela1[[#This Row],[VigenciaMeses]])</f>
        <v>16666.666666666668</v>
      </c>
      <c r="AD88" s="2">
        <f>Tabela1[[#This Row],[valMensal]]*12</f>
        <v>200000</v>
      </c>
      <c r="AE88" s="2">
        <v>200000</v>
      </c>
      <c r="AF88" s="2">
        <v>0</v>
      </c>
      <c r="AG88" s="2">
        <v>200000</v>
      </c>
      <c r="AH88" s="2">
        <v>52892.87</v>
      </c>
      <c r="AI88" s="2">
        <v>39590.120000000003</v>
      </c>
      <c r="AJ88" t="s">
        <v>47</v>
      </c>
    </row>
    <row r="89" spans="1:36" x14ac:dyDescent="0.25">
      <c r="A89" t="s">
        <v>36</v>
      </c>
      <c r="B89" t="s">
        <v>37</v>
      </c>
      <c r="C89" t="s">
        <v>38</v>
      </c>
      <c r="D89" t="s">
        <v>39</v>
      </c>
      <c r="E89">
        <v>14</v>
      </c>
      <c r="F89">
        <v>422</v>
      </c>
      <c r="G89">
        <v>3013</v>
      </c>
      <c r="H89">
        <v>6178</v>
      </c>
      <c r="I89" t="s">
        <v>48</v>
      </c>
      <c r="J89" t="s">
        <v>176</v>
      </c>
      <c r="K89" t="s">
        <v>177</v>
      </c>
      <c r="L89">
        <v>6</v>
      </c>
      <c r="M89" t="s">
        <v>97</v>
      </c>
      <c r="N89">
        <v>2025</v>
      </c>
      <c r="O89">
        <v>4763</v>
      </c>
      <c r="Q89" t="s">
        <v>814</v>
      </c>
      <c r="R89" t="s">
        <v>815</v>
      </c>
      <c r="U89" t="s">
        <v>413</v>
      </c>
      <c r="V89">
        <v>12</v>
      </c>
      <c r="W89" t="str">
        <f ca="1">IF(Tabela1[[#This Row],[datVigencia]]=0,"Expirado",IF(Tabela1[[#This Row],[datVigencia]]&gt;TODAY(),"Vigente","Expirado"))</f>
        <v>Vigente</v>
      </c>
      <c r="X89" s="2">
        <v>200000</v>
      </c>
      <c r="Y89" s="2">
        <v>0</v>
      </c>
      <c r="Z89" s="2">
        <v>0</v>
      </c>
      <c r="AA89" s="2">
        <v>0</v>
      </c>
      <c r="AB89" s="2">
        <f>Tabela1[[#This Row],[valPrincipal]]+Tabela1[[#This Row],[valReajustes]]+Tabela1[[#This Row],[valAditamentos]]-Tabela1[[#This Row],[valAnulacao]]</f>
        <v>200000</v>
      </c>
      <c r="AC89" s="2">
        <f>IF(Tabela1[[#This Row],[VigenciaMeses]]=0,Tabela1[[#This Row],[valTotal]]/1,Tabela1[[#This Row],[valTotal]]/Tabela1[[#This Row],[VigenciaMeses]])</f>
        <v>16666.666666666668</v>
      </c>
      <c r="AD89" s="2">
        <f>Tabela1[[#This Row],[valMensal]]*12</f>
        <v>200000</v>
      </c>
      <c r="AE89" s="2">
        <v>200000</v>
      </c>
      <c r="AF89" s="2">
        <v>0</v>
      </c>
      <c r="AG89" s="2">
        <v>200000</v>
      </c>
      <c r="AH89" s="2">
        <v>53704.36</v>
      </c>
      <c r="AI89" s="2">
        <v>53031.6</v>
      </c>
      <c r="AJ89" t="s">
        <v>47</v>
      </c>
    </row>
    <row r="90" spans="1:36" x14ac:dyDescent="0.25">
      <c r="A90" t="s">
        <v>36</v>
      </c>
      <c r="B90" t="s">
        <v>37</v>
      </c>
      <c r="C90" t="s">
        <v>38</v>
      </c>
      <c r="D90" t="s">
        <v>39</v>
      </c>
      <c r="E90">
        <v>14</v>
      </c>
      <c r="F90">
        <v>122</v>
      </c>
      <c r="G90">
        <v>3024</v>
      </c>
      <c r="H90">
        <v>2100</v>
      </c>
      <c r="I90" t="s">
        <v>48</v>
      </c>
      <c r="J90" t="s">
        <v>55</v>
      </c>
      <c r="K90" t="s">
        <v>56</v>
      </c>
      <c r="L90">
        <v>12</v>
      </c>
      <c r="M90" t="s">
        <v>51</v>
      </c>
      <c r="N90">
        <v>2025</v>
      </c>
      <c r="O90">
        <v>13480</v>
      </c>
      <c r="Q90" t="s">
        <v>1175</v>
      </c>
      <c r="R90" t="s">
        <v>1176</v>
      </c>
      <c r="V90">
        <v>12</v>
      </c>
      <c r="W90" t="str">
        <f ca="1">IF(Tabela1[[#This Row],[datVigencia]]=0,"Expirado",IF(Tabela1[[#This Row],[datVigencia]]&gt;TODAY(),"Vigente","Expirado"))</f>
        <v>Expirado</v>
      </c>
      <c r="X90" s="2">
        <v>191364.16</v>
      </c>
      <c r="Y90" s="2">
        <v>0</v>
      </c>
      <c r="Z90" s="2">
        <v>0</v>
      </c>
      <c r="AA90" s="2">
        <v>0</v>
      </c>
      <c r="AB90" s="2">
        <f>Tabela1[[#This Row],[valPrincipal]]+Tabela1[[#This Row],[valReajustes]]+Tabela1[[#This Row],[valAditamentos]]-Tabela1[[#This Row],[valAnulacao]]</f>
        <v>191364.16</v>
      </c>
      <c r="AC90" s="2">
        <f>IF(Tabela1[[#This Row],[VigenciaMeses]]=0,Tabela1[[#This Row],[valTotal]]/1,Tabela1[[#This Row],[valTotal]]/Tabela1[[#This Row],[VigenciaMeses]])</f>
        <v>15947.013333333334</v>
      </c>
      <c r="AD90" s="2">
        <f>Tabela1[[#This Row],[valMensal]]*12</f>
        <v>191364.16</v>
      </c>
      <c r="AE90" s="2">
        <v>191364.16</v>
      </c>
      <c r="AF90" s="2">
        <v>0</v>
      </c>
      <c r="AG90" s="2">
        <v>191364.16</v>
      </c>
      <c r="AH90" s="2">
        <v>0</v>
      </c>
      <c r="AI90" s="2">
        <v>0</v>
      </c>
      <c r="AJ90" t="s">
        <v>47</v>
      </c>
    </row>
    <row r="91" spans="1:36" x14ac:dyDescent="0.25">
      <c r="A91" t="s">
        <v>36</v>
      </c>
      <c r="B91" t="s">
        <v>37</v>
      </c>
      <c r="C91" t="s">
        <v>38</v>
      </c>
      <c r="D91" t="s">
        <v>39</v>
      </c>
      <c r="E91">
        <v>14</v>
      </c>
      <c r="F91">
        <v>422</v>
      </c>
      <c r="G91">
        <v>3013</v>
      </c>
      <c r="H91">
        <v>2053</v>
      </c>
      <c r="I91" t="s">
        <v>48</v>
      </c>
      <c r="J91" t="s">
        <v>55</v>
      </c>
      <c r="K91" t="s">
        <v>56</v>
      </c>
      <c r="L91">
        <v>12</v>
      </c>
      <c r="M91" t="s">
        <v>51</v>
      </c>
      <c r="N91">
        <v>2020</v>
      </c>
      <c r="O91">
        <v>16851</v>
      </c>
      <c r="P91" t="s">
        <v>657</v>
      </c>
      <c r="Q91" t="s">
        <v>658</v>
      </c>
      <c r="R91" t="s">
        <v>659</v>
      </c>
      <c r="S91" t="s">
        <v>660</v>
      </c>
      <c r="T91" t="s">
        <v>661</v>
      </c>
      <c r="U91" t="s">
        <v>662</v>
      </c>
      <c r="V91">
        <v>60</v>
      </c>
      <c r="W91" t="str">
        <f ca="1">IF(Tabela1[[#This Row],[datVigencia]]=0,"Expirado",IF(Tabela1[[#This Row],[datVigencia]]&gt;TODAY(),"Vigente","Expirado"))</f>
        <v>Vigente</v>
      </c>
      <c r="X91" s="2">
        <v>186533.76000000001</v>
      </c>
      <c r="Y91" s="2">
        <v>149469.07999999999</v>
      </c>
      <c r="Z91" s="2">
        <v>746135.04000000004</v>
      </c>
      <c r="AA91" s="2">
        <v>0</v>
      </c>
      <c r="AB91" s="2">
        <f>Tabela1[[#This Row],[valPrincipal]]+Tabela1[[#This Row],[valReajustes]]+Tabela1[[#This Row],[valAditamentos]]-Tabela1[[#This Row],[valAnulacao]]</f>
        <v>1082137.8799999999</v>
      </c>
      <c r="AC91" s="2">
        <f>IF(Tabela1[[#This Row],[VigenciaMeses]]=0,Tabela1[[#This Row],[valTotal]]/1,Tabela1[[#This Row],[valTotal]]/Tabela1[[#This Row],[VigenciaMeses]])</f>
        <v>18035.631333333331</v>
      </c>
      <c r="AD91" s="2">
        <f>Tabela1[[#This Row],[valMensal]]*12</f>
        <v>216427.57599999997</v>
      </c>
      <c r="AE91" s="2">
        <v>1410423.06</v>
      </c>
      <c r="AF91" s="2">
        <v>338644.79</v>
      </c>
      <c r="AG91" s="2">
        <v>1071778.27</v>
      </c>
      <c r="AH91" s="2">
        <v>987097.12</v>
      </c>
      <c r="AI91" s="2">
        <v>987097.12</v>
      </c>
      <c r="AJ91" t="s">
        <v>47</v>
      </c>
    </row>
    <row r="92" spans="1:36" x14ac:dyDescent="0.25">
      <c r="A92" t="s">
        <v>36</v>
      </c>
      <c r="B92" t="s">
        <v>37</v>
      </c>
      <c r="C92" t="s">
        <v>38</v>
      </c>
      <c r="D92" t="s">
        <v>39</v>
      </c>
      <c r="E92">
        <v>8</v>
      </c>
      <c r="F92">
        <v>605</v>
      </c>
      <c r="G92">
        <v>3016</v>
      </c>
      <c r="H92">
        <v>4470</v>
      </c>
      <c r="I92" t="s">
        <v>48</v>
      </c>
      <c r="J92" t="s">
        <v>55</v>
      </c>
      <c r="K92" t="s">
        <v>56</v>
      </c>
      <c r="L92">
        <v>12</v>
      </c>
      <c r="M92" t="s">
        <v>51</v>
      </c>
      <c r="N92">
        <v>2023</v>
      </c>
      <c r="O92">
        <v>36584</v>
      </c>
      <c r="P92" t="s">
        <v>575</v>
      </c>
      <c r="Q92" t="s">
        <v>576</v>
      </c>
      <c r="R92" t="s">
        <v>577</v>
      </c>
      <c r="S92" t="s">
        <v>578</v>
      </c>
      <c r="T92" t="s">
        <v>579</v>
      </c>
      <c r="U92" t="s">
        <v>580</v>
      </c>
      <c r="V92">
        <v>25</v>
      </c>
      <c r="W92" t="str">
        <f ca="1">IF(Tabela1[[#This Row],[datVigencia]]=0,"Expirado",IF(Tabela1[[#This Row],[datVigencia]]&gt;TODAY(),"Vigente","Expirado"))</f>
        <v>Vigente</v>
      </c>
      <c r="X92" s="2">
        <v>183594</v>
      </c>
      <c r="Y92" s="2">
        <v>5607.36</v>
      </c>
      <c r="Z92" s="2">
        <v>118548</v>
      </c>
      <c r="AA92" s="2">
        <v>0</v>
      </c>
      <c r="AB92" s="2">
        <f>Tabela1[[#This Row],[valPrincipal]]+Tabela1[[#This Row],[valReajustes]]+Tabela1[[#This Row],[valAditamentos]]-Tabela1[[#This Row],[valAnulacao]]</f>
        <v>307749.36</v>
      </c>
      <c r="AC92" s="2">
        <f>IF(Tabela1[[#This Row],[VigenciaMeses]]=0,Tabela1[[#This Row],[valTotal]]/1,Tabela1[[#This Row],[valTotal]]/Tabela1[[#This Row],[VigenciaMeses]])</f>
        <v>12309.974399999999</v>
      </c>
      <c r="AD92" s="2">
        <f>Tabela1[[#This Row],[valMensal]]*12</f>
        <v>147719.69279999999</v>
      </c>
      <c r="AE92" s="2">
        <v>392925.33</v>
      </c>
      <c r="AF92" s="2">
        <v>95164</v>
      </c>
      <c r="AG92" s="2">
        <v>297761.33</v>
      </c>
      <c r="AH92" s="2">
        <v>204644.81</v>
      </c>
      <c r="AI92" s="2">
        <v>204644.81</v>
      </c>
      <c r="AJ92" t="s">
        <v>47</v>
      </c>
    </row>
    <row r="93" spans="1:36" x14ac:dyDescent="0.25">
      <c r="A93" t="s">
        <v>36</v>
      </c>
      <c r="B93" t="s">
        <v>37</v>
      </c>
      <c r="C93" t="s">
        <v>38</v>
      </c>
      <c r="D93" t="s">
        <v>39</v>
      </c>
      <c r="E93">
        <v>14</v>
      </c>
      <c r="F93">
        <v>422</v>
      </c>
      <c r="G93">
        <v>3013</v>
      </c>
      <c r="H93">
        <v>2053</v>
      </c>
      <c r="I93" t="s">
        <v>48</v>
      </c>
      <c r="J93" t="s">
        <v>176</v>
      </c>
      <c r="K93" t="s">
        <v>177</v>
      </c>
      <c r="L93">
        <v>7</v>
      </c>
      <c r="M93" t="s">
        <v>324</v>
      </c>
      <c r="N93">
        <v>2025</v>
      </c>
      <c r="O93">
        <v>5475</v>
      </c>
      <c r="Q93" t="s">
        <v>862</v>
      </c>
      <c r="R93" t="s">
        <v>863</v>
      </c>
      <c r="U93" t="s">
        <v>46</v>
      </c>
      <c r="V93">
        <v>12</v>
      </c>
      <c r="W93" t="str">
        <f ca="1">IF(Tabela1[[#This Row],[datVigencia]]=0,"Expirado",IF(Tabela1[[#This Row],[datVigencia]]&gt;TODAY(),"Vigente","Expirado"))</f>
        <v>Vigente</v>
      </c>
      <c r="X93" s="2">
        <v>180000</v>
      </c>
      <c r="Y93" s="2">
        <v>0</v>
      </c>
      <c r="Z93" s="2">
        <v>0</v>
      </c>
      <c r="AA93" s="2">
        <v>0</v>
      </c>
      <c r="AB93" s="2">
        <f>Tabela1[[#This Row],[valPrincipal]]+Tabela1[[#This Row],[valReajustes]]+Tabela1[[#This Row],[valAditamentos]]-Tabela1[[#This Row],[valAnulacao]]</f>
        <v>180000</v>
      </c>
      <c r="AC93" s="2">
        <f>IF(Tabela1[[#This Row],[VigenciaMeses]]=0,Tabela1[[#This Row],[valTotal]]/1,Tabela1[[#This Row],[valTotal]]/Tabela1[[#This Row],[VigenciaMeses]])</f>
        <v>15000</v>
      </c>
      <c r="AD93" s="2">
        <f>Tabela1[[#This Row],[valMensal]]*12</f>
        <v>180000</v>
      </c>
      <c r="AE93" s="2">
        <v>180000</v>
      </c>
      <c r="AF93" s="2">
        <v>0</v>
      </c>
      <c r="AG93" s="2">
        <v>180000</v>
      </c>
      <c r="AH93" s="2">
        <v>75758.73</v>
      </c>
      <c r="AI93" s="2">
        <v>62908.5</v>
      </c>
      <c r="AJ93" t="s">
        <v>47</v>
      </c>
    </row>
    <row r="94" spans="1:36" x14ac:dyDescent="0.25">
      <c r="A94" t="s">
        <v>36</v>
      </c>
      <c r="B94" t="s">
        <v>37</v>
      </c>
      <c r="C94" t="s">
        <v>38</v>
      </c>
      <c r="D94" t="s">
        <v>39</v>
      </c>
      <c r="E94">
        <v>14</v>
      </c>
      <c r="F94">
        <v>122</v>
      </c>
      <c r="G94">
        <v>3024</v>
      </c>
      <c r="H94">
        <v>2100</v>
      </c>
      <c r="I94" t="s">
        <v>48</v>
      </c>
      <c r="J94" t="s">
        <v>55</v>
      </c>
      <c r="K94" t="s">
        <v>56</v>
      </c>
      <c r="L94">
        <v>12</v>
      </c>
      <c r="M94" t="s">
        <v>51</v>
      </c>
      <c r="N94">
        <v>2024</v>
      </c>
      <c r="O94">
        <v>39264</v>
      </c>
      <c r="P94" t="s">
        <v>696</v>
      </c>
      <c r="Q94" t="s">
        <v>697</v>
      </c>
      <c r="R94" t="s">
        <v>698</v>
      </c>
      <c r="S94" t="s">
        <v>680</v>
      </c>
      <c r="T94" t="s">
        <v>230</v>
      </c>
      <c r="U94" t="s">
        <v>699</v>
      </c>
      <c r="V94">
        <v>25</v>
      </c>
      <c r="W94" t="str">
        <f ca="1">IF(Tabela1[[#This Row],[datVigencia]]=0,"Expirado",IF(Tabela1[[#This Row],[datVigencia]]&gt;TODAY(),"Vigente","Expirado"))</f>
        <v>Vigente</v>
      </c>
      <c r="X94" s="2">
        <v>171000</v>
      </c>
      <c r="Y94" s="2">
        <v>0</v>
      </c>
      <c r="Z94" s="2">
        <v>0</v>
      </c>
      <c r="AA94" s="2">
        <v>0</v>
      </c>
      <c r="AB94" s="2">
        <f>Tabela1[[#This Row],[valPrincipal]]+Tabela1[[#This Row],[valReajustes]]+Tabela1[[#This Row],[valAditamentos]]-Tabela1[[#This Row],[valAnulacao]]</f>
        <v>171000</v>
      </c>
      <c r="AC94" s="2">
        <f>IF(Tabela1[[#This Row],[VigenciaMeses]]=0,Tabela1[[#This Row],[valTotal]]/1,Tabela1[[#This Row],[valTotal]]/Tabela1[[#This Row],[VigenciaMeses]])</f>
        <v>6840</v>
      </c>
      <c r="AD94" s="2">
        <f>Tabela1[[#This Row],[valMensal]]*12</f>
        <v>82080</v>
      </c>
      <c r="AE94" s="2">
        <v>86989.25</v>
      </c>
      <c r="AF94" s="2">
        <v>8614.25</v>
      </c>
      <c r="AG94" s="2">
        <v>78375</v>
      </c>
      <c r="AH94" s="2">
        <v>14324.25</v>
      </c>
      <c r="AI94" s="2">
        <v>0</v>
      </c>
      <c r="AJ94" t="s">
        <v>47</v>
      </c>
    </row>
    <row r="95" spans="1:36" x14ac:dyDescent="0.25">
      <c r="A95" t="s">
        <v>36</v>
      </c>
      <c r="B95" t="s">
        <v>37</v>
      </c>
      <c r="C95" t="s">
        <v>38</v>
      </c>
      <c r="D95" t="s">
        <v>39</v>
      </c>
      <c r="E95">
        <v>14</v>
      </c>
      <c r="F95">
        <v>126</v>
      </c>
      <c r="G95">
        <v>3024</v>
      </c>
      <c r="H95">
        <v>2171</v>
      </c>
      <c r="I95" t="s">
        <v>69</v>
      </c>
      <c r="J95" t="s">
        <v>55</v>
      </c>
      <c r="K95" t="s">
        <v>56</v>
      </c>
      <c r="L95">
        <v>6</v>
      </c>
      <c r="M95" t="s">
        <v>97</v>
      </c>
      <c r="N95">
        <v>2024</v>
      </c>
      <c r="O95">
        <v>23762</v>
      </c>
      <c r="P95" t="s">
        <v>170</v>
      </c>
      <c r="Q95" t="s">
        <v>171</v>
      </c>
      <c r="R95" t="s">
        <v>172</v>
      </c>
      <c r="S95" t="s">
        <v>173</v>
      </c>
      <c r="T95" t="s">
        <v>174</v>
      </c>
      <c r="U95" t="s">
        <v>175</v>
      </c>
      <c r="V95">
        <v>12</v>
      </c>
      <c r="W95" t="str">
        <f ca="1">IF(Tabela1[[#This Row],[datVigencia]]=0,"Expirado",IF(Tabela1[[#This Row],[datVigencia]]&gt;TODAY(),"Vigente","Expirado"))</f>
        <v>Vigente</v>
      </c>
      <c r="X95" s="2">
        <v>169136</v>
      </c>
      <c r="Y95" s="2">
        <v>0</v>
      </c>
      <c r="Z95" s="2">
        <v>0</v>
      </c>
      <c r="AA95" s="2">
        <v>0</v>
      </c>
      <c r="AB95" s="2">
        <f>Tabela1[[#This Row],[valPrincipal]]+Tabela1[[#This Row],[valReajustes]]+Tabela1[[#This Row],[valAditamentos]]-Tabela1[[#This Row],[valAnulacao]]</f>
        <v>169136</v>
      </c>
      <c r="AC95" s="2">
        <f>IF(Tabela1[[#This Row],[VigenciaMeses]]=0,Tabela1[[#This Row],[valTotal]]/1,Tabela1[[#This Row],[valTotal]]/Tabela1[[#This Row],[VigenciaMeses]])</f>
        <v>14094.666666666666</v>
      </c>
      <c r="AD95" s="2">
        <f>Tabela1[[#This Row],[valMensal]]*12</f>
        <v>169136</v>
      </c>
      <c r="AE95" s="2">
        <v>118580.99</v>
      </c>
      <c r="AF95" s="2">
        <v>25231.14</v>
      </c>
      <c r="AG95" s="2">
        <v>93349.85</v>
      </c>
      <c r="AH95" s="2">
        <v>69263.22</v>
      </c>
      <c r="AI95" s="2">
        <v>65716.44</v>
      </c>
      <c r="AJ95" t="s">
        <v>47</v>
      </c>
    </row>
    <row r="96" spans="1:36" x14ac:dyDescent="0.25">
      <c r="A96" t="s">
        <v>36</v>
      </c>
      <c r="B96" t="s">
        <v>37</v>
      </c>
      <c r="C96" t="s">
        <v>38</v>
      </c>
      <c r="D96" t="s">
        <v>39</v>
      </c>
      <c r="E96">
        <v>14</v>
      </c>
      <c r="F96">
        <v>122</v>
      </c>
      <c r="G96">
        <v>3024</v>
      </c>
      <c r="H96">
        <v>2100</v>
      </c>
      <c r="I96" t="s">
        <v>48</v>
      </c>
      <c r="J96" t="s">
        <v>55</v>
      </c>
      <c r="K96" t="s">
        <v>56</v>
      </c>
      <c r="L96">
        <v>12</v>
      </c>
      <c r="M96" t="s">
        <v>51</v>
      </c>
      <c r="N96">
        <v>2022</v>
      </c>
      <c r="O96">
        <v>36434</v>
      </c>
      <c r="P96" t="s">
        <v>480</v>
      </c>
      <c r="Q96" t="s">
        <v>481</v>
      </c>
      <c r="R96" t="s">
        <v>482</v>
      </c>
      <c r="S96" t="s">
        <v>483</v>
      </c>
      <c r="T96" t="s">
        <v>484</v>
      </c>
      <c r="U96" t="s">
        <v>485</v>
      </c>
      <c r="V96">
        <v>36</v>
      </c>
      <c r="W96" t="str">
        <f ca="1">IF(Tabela1[[#This Row],[datVigencia]]=0,"Expirado",IF(Tabela1[[#This Row],[datVigencia]]&gt;TODAY(),"Vigente","Expirado"))</f>
        <v>Vigente</v>
      </c>
      <c r="X96" s="2">
        <v>156457.07999999999</v>
      </c>
      <c r="Y96" s="2">
        <v>19245.599999999999</v>
      </c>
      <c r="Z96" s="2">
        <v>312914.15999999997</v>
      </c>
      <c r="AA96" s="2">
        <v>0</v>
      </c>
      <c r="AB96" s="2">
        <f>Tabela1[[#This Row],[valPrincipal]]+Tabela1[[#This Row],[valReajustes]]+Tabela1[[#This Row],[valAditamentos]]-Tabela1[[#This Row],[valAnulacao]]</f>
        <v>488616.83999999997</v>
      </c>
      <c r="AC96" s="2">
        <f>IF(Tabela1[[#This Row],[VigenciaMeses]]=0,Tabela1[[#This Row],[valTotal]]/1,Tabela1[[#This Row],[valTotal]]/Tabela1[[#This Row],[VigenciaMeses]])</f>
        <v>13572.689999999999</v>
      </c>
      <c r="AD96" s="2">
        <f>Tabela1[[#This Row],[valMensal]]*12</f>
        <v>162872.27999999997</v>
      </c>
      <c r="AE96" s="2">
        <v>434071.38</v>
      </c>
      <c r="AF96" s="2">
        <v>18535.2</v>
      </c>
      <c r="AG96" s="2">
        <v>415536.18</v>
      </c>
      <c r="AH96" s="2">
        <v>359220.12</v>
      </c>
      <c r="AI96" s="2">
        <v>359220.12</v>
      </c>
      <c r="AJ96" t="s">
        <v>47</v>
      </c>
    </row>
    <row r="97" spans="1:36" x14ac:dyDescent="0.25">
      <c r="A97" t="s">
        <v>36</v>
      </c>
      <c r="B97" t="s">
        <v>37</v>
      </c>
      <c r="C97" t="s">
        <v>38</v>
      </c>
      <c r="D97" t="s">
        <v>39</v>
      </c>
      <c r="E97">
        <v>14</v>
      </c>
      <c r="F97">
        <v>422</v>
      </c>
      <c r="G97">
        <v>3013</v>
      </c>
      <c r="H97">
        <v>2053</v>
      </c>
      <c r="I97" t="s">
        <v>48</v>
      </c>
      <c r="J97" t="s">
        <v>55</v>
      </c>
      <c r="K97" t="s">
        <v>56</v>
      </c>
      <c r="L97">
        <v>12</v>
      </c>
      <c r="M97" t="s">
        <v>51</v>
      </c>
      <c r="N97">
        <v>2020</v>
      </c>
      <c r="O97">
        <v>18241</v>
      </c>
      <c r="P97" t="s">
        <v>671</v>
      </c>
      <c r="Q97" t="s">
        <v>672</v>
      </c>
      <c r="R97" t="s">
        <v>673</v>
      </c>
      <c r="S97" t="s">
        <v>674</v>
      </c>
      <c r="T97" t="s">
        <v>675</v>
      </c>
      <c r="U97" t="s">
        <v>676</v>
      </c>
      <c r="V97">
        <v>60</v>
      </c>
      <c r="W97" t="str">
        <f ca="1">IF(Tabela1[[#This Row],[datVigencia]]=0,"Expirado",IF(Tabela1[[#This Row],[datVigencia]]&gt;TODAY(),"Vigente","Expirado"))</f>
        <v>Vigente</v>
      </c>
      <c r="X97" s="2">
        <v>156000</v>
      </c>
      <c r="Y97" s="2">
        <v>120365.16</v>
      </c>
      <c r="Z97" s="2">
        <v>624000</v>
      </c>
      <c r="AA97" s="2">
        <v>0</v>
      </c>
      <c r="AB97" s="2">
        <f>Tabela1[[#This Row],[valPrincipal]]+Tabela1[[#This Row],[valReajustes]]+Tabela1[[#This Row],[valAditamentos]]-Tabela1[[#This Row],[valAnulacao]]</f>
        <v>900365.16</v>
      </c>
      <c r="AC97" s="2">
        <f>IF(Tabela1[[#This Row],[VigenciaMeses]]=0,Tabela1[[#This Row],[valTotal]]/1,Tabela1[[#This Row],[valTotal]]/Tabela1[[#This Row],[VigenciaMeses]])</f>
        <v>15006.086000000001</v>
      </c>
      <c r="AD97" s="2">
        <f>Tabela1[[#This Row],[valMensal]]*12</f>
        <v>180073.03200000001</v>
      </c>
      <c r="AE97" s="2">
        <v>1303831.3799999999</v>
      </c>
      <c r="AF97" s="2">
        <v>408616.12</v>
      </c>
      <c r="AG97" s="2">
        <v>895215.26</v>
      </c>
      <c r="AH97" s="2">
        <v>829315.8</v>
      </c>
      <c r="AI97" s="2">
        <v>812977.09</v>
      </c>
      <c r="AJ97" t="s">
        <v>47</v>
      </c>
    </row>
    <row r="98" spans="1:36" x14ac:dyDescent="0.25">
      <c r="A98" t="s">
        <v>36</v>
      </c>
      <c r="B98" t="s">
        <v>37</v>
      </c>
      <c r="C98" t="s">
        <v>38</v>
      </c>
      <c r="D98" t="s">
        <v>39</v>
      </c>
      <c r="E98">
        <v>14</v>
      </c>
      <c r="F98">
        <v>122</v>
      </c>
      <c r="G98">
        <v>3024</v>
      </c>
      <c r="H98">
        <v>2100</v>
      </c>
      <c r="I98" t="s">
        <v>48</v>
      </c>
      <c r="J98" t="s">
        <v>49</v>
      </c>
      <c r="K98" t="s">
        <v>50</v>
      </c>
      <c r="L98">
        <v>12</v>
      </c>
      <c r="M98" t="s">
        <v>51</v>
      </c>
      <c r="N98">
        <v>2020</v>
      </c>
      <c r="O98">
        <v>23150</v>
      </c>
      <c r="P98" t="s">
        <v>420</v>
      </c>
      <c r="Q98" t="s">
        <v>421</v>
      </c>
      <c r="R98" t="s">
        <v>422</v>
      </c>
      <c r="S98" t="s">
        <v>423</v>
      </c>
      <c r="T98" t="s">
        <v>424</v>
      </c>
      <c r="U98" t="s">
        <v>425</v>
      </c>
      <c r="V98">
        <v>60</v>
      </c>
      <c r="W98" t="str">
        <f ca="1">IF(Tabela1[[#This Row],[datVigencia]]=0,"Expirado",IF(Tabela1[[#This Row],[datVigencia]]&gt;TODAY(),"Vigente","Expirado"))</f>
        <v>Vigente</v>
      </c>
      <c r="X98" s="2">
        <v>154560</v>
      </c>
      <c r="Y98" s="2">
        <v>141557.16</v>
      </c>
      <c r="Z98" s="2">
        <v>811440</v>
      </c>
      <c r="AA98" s="2">
        <v>0</v>
      </c>
      <c r="AB98" s="2">
        <f>Tabela1[[#This Row],[valPrincipal]]+Tabela1[[#This Row],[valReajustes]]+Tabela1[[#This Row],[valAditamentos]]-Tabela1[[#This Row],[valAnulacao]]</f>
        <v>1107557.1600000001</v>
      </c>
      <c r="AC98" s="2">
        <f>IF(Tabela1[[#This Row],[VigenciaMeses]]=0,Tabela1[[#This Row],[valTotal]]/1,Tabela1[[#This Row],[valTotal]]/Tabela1[[#This Row],[VigenciaMeses]])</f>
        <v>18459.286000000004</v>
      </c>
      <c r="AD98" s="2">
        <f>Tabela1[[#This Row],[valMensal]]*12</f>
        <v>221511.43200000003</v>
      </c>
      <c r="AE98" s="2">
        <v>1307095.23</v>
      </c>
      <c r="AF98" s="2">
        <v>264795.46000000002</v>
      </c>
      <c r="AG98" s="2">
        <v>1042299.77</v>
      </c>
      <c r="AH98" s="2">
        <v>925911.42</v>
      </c>
      <c r="AI98" s="2">
        <v>905728.47</v>
      </c>
      <c r="AJ98" t="s">
        <v>47</v>
      </c>
    </row>
    <row r="99" spans="1:36" x14ac:dyDescent="0.25">
      <c r="A99" t="s">
        <v>36</v>
      </c>
      <c r="B99" t="s">
        <v>37</v>
      </c>
      <c r="C99" t="s">
        <v>38</v>
      </c>
      <c r="D99" t="s">
        <v>39</v>
      </c>
      <c r="E99">
        <v>14</v>
      </c>
      <c r="F99">
        <v>422</v>
      </c>
      <c r="G99">
        <v>3013</v>
      </c>
      <c r="H99">
        <v>6178</v>
      </c>
      <c r="I99" t="s">
        <v>48</v>
      </c>
      <c r="J99" t="s">
        <v>55</v>
      </c>
      <c r="K99" t="s">
        <v>56</v>
      </c>
      <c r="L99">
        <v>12</v>
      </c>
      <c r="M99" t="s">
        <v>51</v>
      </c>
      <c r="N99">
        <v>2022</v>
      </c>
      <c r="O99">
        <v>18776</v>
      </c>
      <c r="P99" t="s">
        <v>126</v>
      </c>
      <c r="Q99" t="s">
        <v>127</v>
      </c>
      <c r="R99" t="s">
        <v>128</v>
      </c>
      <c r="S99" t="s">
        <v>129</v>
      </c>
      <c r="T99" t="s">
        <v>130</v>
      </c>
      <c r="U99" t="s">
        <v>131</v>
      </c>
      <c r="V99">
        <v>30</v>
      </c>
      <c r="W99" t="str">
        <f ca="1">IF(Tabela1[[#This Row],[datVigencia]]=0,"Expirado",IF(Tabela1[[#This Row],[datVigencia]]&gt;TODAY(),"Vigente","Expirado"))</f>
        <v>Vigente</v>
      </c>
      <c r="X99" s="2">
        <v>148800</v>
      </c>
      <c r="Y99" s="2">
        <v>2232</v>
      </c>
      <c r="Z99" s="2">
        <v>223200</v>
      </c>
      <c r="AA99" s="2">
        <v>0</v>
      </c>
      <c r="AB99" s="2">
        <f>Tabela1[[#This Row],[valPrincipal]]+Tabela1[[#This Row],[valReajustes]]+Tabela1[[#This Row],[valAditamentos]]-Tabela1[[#This Row],[valAnulacao]]</f>
        <v>374232</v>
      </c>
      <c r="AC99" s="2">
        <f>IF(Tabela1[[#This Row],[VigenciaMeses]]=0,Tabela1[[#This Row],[valTotal]]/1,Tabela1[[#This Row],[valTotal]]/Tabela1[[#This Row],[VigenciaMeses]])</f>
        <v>12474.4</v>
      </c>
      <c r="AD99" s="2">
        <f>Tabela1[[#This Row],[valMensal]]*12</f>
        <v>149692.79999999999</v>
      </c>
      <c r="AE99" s="2">
        <v>436434.27</v>
      </c>
      <c r="AF99" s="2">
        <v>265618.98</v>
      </c>
      <c r="AG99" s="2">
        <v>170815.29</v>
      </c>
      <c r="AH99" s="2">
        <v>106377.49</v>
      </c>
      <c r="AI99" s="2">
        <v>106377.49</v>
      </c>
      <c r="AJ99" t="s">
        <v>47</v>
      </c>
    </row>
    <row r="100" spans="1:36" x14ac:dyDescent="0.25">
      <c r="A100" t="s">
        <v>36</v>
      </c>
      <c r="B100" t="s">
        <v>37</v>
      </c>
      <c r="C100" t="s">
        <v>38</v>
      </c>
      <c r="D100" t="s">
        <v>39</v>
      </c>
      <c r="E100">
        <v>14</v>
      </c>
      <c r="F100">
        <v>122</v>
      </c>
      <c r="G100">
        <v>3024</v>
      </c>
      <c r="H100">
        <v>2100</v>
      </c>
      <c r="I100" t="s">
        <v>48</v>
      </c>
      <c r="J100" t="s">
        <v>55</v>
      </c>
      <c r="K100" t="s">
        <v>56</v>
      </c>
      <c r="L100">
        <v>12</v>
      </c>
      <c r="M100" t="s">
        <v>51</v>
      </c>
      <c r="N100">
        <v>2024</v>
      </c>
      <c r="O100">
        <v>39239</v>
      </c>
      <c r="Q100" t="s">
        <v>566</v>
      </c>
      <c r="R100" t="s">
        <v>567</v>
      </c>
      <c r="V100">
        <v>12</v>
      </c>
      <c r="W100" t="str">
        <f ca="1">IF(Tabela1[[#This Row],[datVigencia]]=0,"Expirado",IF(Tabela1[[#This Row],[datVigencia]]&gt;TODAY(),"Vigente","Expirado"))</f>
        <v>Expirado</v>
      </c>
      <c r="X100" s="2">
        <v>144540</v>
      </c>
      <c r="Y100" s="2">
        <v>0</v>
      </c>
      <c r="Z100" s="2">
        <v>0</v>
      </c>
      <c r="AA100" s="2">
        <v>0</v>
      </c>
      <c r="AB100" s="2">
        <f>Tabela1[[#This Row],[valPrincipal]]+Tabela1[[#This Row],[valReajustes]]+Tabela1[[#This Row],[valAditamentos]]-Tabela1[[#This Row],[valAnulacao]]</f>
        <v>144540</v>
      </c>
      <c r="AC100" s="2">
        <f>IF(Tabela1[[#This Row],[VigenciaMeses]]=0,Tabela1[[#This Row],[valTotal]]/1,Tabela1[[#This Row],[valTotal]]/Tabela1[[#This Row],[VigenciaMeses]])</f>
        <v>12045</v>
      </c>
      <c r="AD100" s="2">
        <f>Tabela1[[#This Row],[valMensal]]*12</f>
        <v>144540</v>
      </c>
      <c r="AE100" s="2">
        <v>47109.33</v>
      </c>
      <c r="AF100" s="2">
        <v>2944.33</v>
      </c>
      <c r="AG100" s="2">
        <v>44165</v>
      </c>
      <c r="AH100" s="2">
        <v>0</v>
      </c>
      <c r="AI100" s="2">
        <v>0</v>
      </c>
      <c r="AJ100" t="s">
        <v>47</v>
      </c>
    </row>
    <row r="101" spans="1:36" x14ac:dyDescent="0.25">
      <c r="A101" t="s">
        <v>36</v>
      </c>
      <c r="B101" t="s">
        <v>37</v>
      </c>
      <c r="C101" t="s">
        <v>38</v>
      </c>
      <c r="D101" t="s">
        <v>39</v>
      </c>
      <c r="E101">
        <v>14</v>
      </c>
      <c r="F101">
        <v>422</v>
      </c>
      <c r="G101">
        <v>3013</v>
      </c>
      <c r="H101">
        <v>2053</v>
      </c>
      <c r="I101" t="s">
        <v>48</v>
      </c>
      <c r="J101" t="s">
        <v>55</v>
      </c>
      <c r="K101" t="s">
        <v>56</v>
      </c>
      <c r="L101">
        <v>8</v>
      </c>
      <c r="M101" t="s">
        <v>43</v>
      </c>
      <c r="N101">
        <v>2019</v>
      </c>
      <c r="O101">
        <v>23189</v>
      </c>
      <c r="P101" t="s">
        <v>639</v>
      </c>
      <c r="Q101" t="s">
        <v>634</v>
      </c>
      <c r="R101" t="s">
        <v>640</v>
      </c>
      <c r="S101" t="s">
        <v>641</v>
      </c>
      <c r="T101" t="s">
        <v>637</v>
      </c>
      <c r="U101" t="s">
        <v>642</v>
      </c>
      <c r="V101">
        <v>74</v>
      </c>
      <c r="W101" t="str">
        <f ca="1">IF(Tabela1[[#This Row],[datVigencia]]=0,"Expirado",IF(Tabela1[[#This Row],[datVigencia]]&gt;TODAY(),"Vigente","Expirado"))</f>
        <v>Vigente</v>
      </c>
      <c r="X101" s="2">
        <v>139920</v>
      </c>
      <c r="Y101" s="2">
        <v>134435.04999999999</v>
      </c>
      <c r="Z101" s="2">
        <v>699600</v>
      </c>
      <c r="AA101" s="2">
        <v>0</v>
      </c>
      <c r="AB101" s="2">
        <f>Tabela1[[#This Row],[valPrincipal]]+Tabela1[[#This Row],[valReajustes]]+Tabela1[[#This Row],[valAditamentos]]-Tabela1[[#This Row],[valAnulacao]]</f>
        <v>973955.05</v>
      </c>
      <c r="AC101" s="2">
        <f>IF(Tabela1[[#This Row],[VigenciaMeses]]=0,Tabela1[[#This Row],[valTotal]]/1,Tabela1[[#This Row],[valTotal]]/Tabela1[[#This Row],[VigenciaMeses]])</f>
        <v>13161.554729729731</v>
      </c>
      <c r="AD101" s="2">
        <f>Tabela1[[#This Row],[valMensal]]*12</f>
        <v>157938.65675675677</v>
      </c>
      <c r="AE101" s="2">
        <v>1065239.77</v>
      </c>
      <c r="AF101" s="2">
        <v>222997.8</v>
      </c>
      <c r="AG101" s="2">
        <v>842241.97</v>
      </c>
      <c r="AH101" s="2">
        <v>841882.21</v>
      </c>
      <c r="AI101" s="2">
        <v>841882.21</v>
      </c>
      <c r="AJ101" t="s">
        <v>47</v>
      </c>
    </row>
    <row r="102" spans="1:36" x14ac:dyDescent="0.25">
      <c r="A102" t="s">
        <v>36</v>
      </c>
      <c r="B102" t="s">
        <v>37</v>
      </c>
      <c r="C102" t="s">
        <v>38</v>
      </c>
      <c r="D102" t="s">
        <v>39</v>
      </c>
      <c r="E102">
        <v>14</v>
      </c>
      <c r="F102">
        <v>122</v>
      </c>
      <c r="G102">
        <v>3024</v>
      </c>
      <c r="H102">
        <v>2100</v>
      </c>
      <c r="I102" t="s">
        <v>48</v>
      </c>
      <c r="J102" t="s">
        <v>55</v>
      </c>
      <c r="K102" t="s">
        <v>56</v>
      </c>
      <c r="L102">
        <v>12</v>
      </c>
      <c r="M102" t="s">
        <v>51</v>
      </c>
      <c r="N102">
        <v>2024</v>
      </c>
      <c r="O102">
        <v>36788</v>
      </c>
      <c r="P102" t="s">
        <v>599</v>
      </c>
      <c r="Q102" t="s">
        <v>600</v>
      </c>
      <c r="R102" t="s">
        <v>601</v>
      </c>
      <c r="S102" t="s">
        <v>602</v>
      </c>
      <c r="T102" t="s">
        <v>603</v>
      </c>
      <c r="U102" t="s">
        <v>604</v>
      </c>
      <c r="V102">
        <v>12</v>
      </c>
      <c r="W102" t="str">
        <f ca="1">IF(Tabela1[[#This Row],[datVigencia]]=0,"Expirado",IF(Tabela1[[#This Row],[datVigencia]]&gt;TODAY(),"Vigente","Expirado"))</f>
        <v>Vigente</v>
      </c>
      <c r="X102" s="2">
        <v>130729.32</v>
      </c>
      <c r="Y102" s="2">
        <v>0</v>
      </c>
      <c r="Z102" s="2">
        <v>0</v>
      </c>
      <c r="AA102" s="2">
        <v>0</v>
      </c>
      <c r="AB102" s="2">
        <f>Tabela1[[#This Row],[valPrincipal]]+Tabela1[[#This Row],[valReajustes]]+Tabela1[[#This Row],[valAditamentos]]-Tabela1[[#This Row],[valAnulacao]]</f>
        <v>130729.32</v>
      </c>
      <c r="AC102" s="2">
        <f>IF(Tabela1[[#This Row],[VigenciaMeses]]=0,Tabela1[[#This Row],[valTotal]]/1,Tabela1[[#This Row],[valTotal]]/Tabela1[[#This Row],[VigenciaMeses]])</f>
        <v>10894.11</v>
      </c>
      <c r="AD102" s="2">
        <f>Tabela1[[#This Row],[valMensal]]*12</f>
        <v>130729.32</v>
      </c>
      <c r="AE102" s="2">
        <v>141986.57</v>
      </c>
      <c r="AF102" s="2">
        <v>11257.25</v>
      </c>
      <c r="AG102" s="2">
        <v>130729.32</v>
      </c>
      <c r="AH102" s="2">
        <v>56649.37</v>
      </c>
      <c r="AI102" s="2">
        <v>56649.37</v>
      </c>
      <c r="AJ102" t="s">
        <v>47</v>
      </c>
    </row>
    <row r="103" spans="1:36" x14ac:dyDescent="0.25">
      <c r="A103" t="s">
        <v>36</v>
      </c>
      <c r="B103" t="s">
        <v>37</v>
      </c>
      <c r="C103" t="s">
        <v>38</v>
      </c>
      <c r="D103" t="s">
        <v>39</v>
      </c>
      <c r="E103">
        <v>14</v>
      </c>
      <c r="F103">
        <v>422</v>
      </c>
      <c r="G103">
        <v>3018</v>
      </c>
      <c r="H103">
        <v>4326</v>
      </c>
      <c r="I103" t="s">
        <v>48</v>
      </c>
      <c r="J103" t="s">
        <v>515</v>
      </c>
      <c r="K103" t="s">
        <v>516</v>
      </c>
      <c r="L103">
        <v>6</v>
      </c>
      <c r="M103" t="s">
        <v>97</v>
      </c>
      <c r="N103">
        <v>2022</v>
      </c>
      <c r="O103">
        <v>10026</v>
      </c>
      <c r="P103" t="s">
        <v>540</v>
      </c>
      <c r="Q103" t="s">
        <v>541</v>
      </c>
      <c r="R103" t="s">
        <v>542</v>
      </c>
      <c r="S103" t="s">
        <v>543</v>
      </c>
      <c r="T103" t="s">
        <v>544</v>
      </c>
      <c r="U103" t="s">
        <v>545</v>
      </c>
      <c r="V103">
        <v>36</v>
      </c>
      <c r="W103" t="str">
        <f ca="1">IF(Tabela1[[#This Row],[datVigencia]]=0,"Expirado",IF(Tabela1[[#This Row],[datVigencia]]&gt;TODAY(),"Vigente","Expirado"))</f>
        <v>Vigente</v>
      </c>
      <c r="X103" s="2">
        <v>127333.79</v>
      </c>
      <c r="Y103" s="2">
        <v>0</v>
      </c>
      <c r="Z103" s="2">
        <v>254667.58</v>
      </c>
      <c r="AA103" s="2">
        <v>0</v>
      </c>
      <c r="AB103" s="2">
        <f>Tabela1[[#This Row],[valPrincipal]]+Tabela1[[#This Row],[valReajustes]]+Tabela1[[#This Row],[valAditamentos]]-Tabela1[[#This Row],[valAnulacao]]</f>
        <v>382001.37</v>
      </c>
      <c r="AC103" s="2">
        <f>IF(Tabela1[[#This Row],[VigenciaMeses]]=0,Tabela1[[#This Row],[valTotal]]/1,Tabela1[[#This Row],[valTotal]]/Tabela1[[#This Row],[VigenciaMeses]])</f>
        <v>10611.149166666666</v>
      </c>
      <c r="AD103" s="2">
        <f>Tabela1[[#This Row],[valMensal]]*12</f>
        <v>127333.79</v>
      </c>
      <c r="AE103" s="2">
        <v>510526.26</v>
      </c>
      <c r="AF103" s="2">
        <v>413463.03999999998</v>
      </c>
      <c r="AG103" s="2">
        <v>97063.22</v>
      </c>
      <c r="AH103" s="2">
        <v>82142.7</v>
      </c>
      <c r="AI103" s="2">
        <v>82142.7</v>
      </c>
      <c r="AJ103" t="s">
        <v>47</v>
      </c>
    </row>
    <row r="104" spans="1:36" x14ac:dyDescent="0.25">
      <c r="A104" t="s">
        <v>36</v>
      </c>
      <c r="B104" t="s">
        <v>37</v>
      </c>
      <c r="C104" t="s">
        <v>38</v>
      </c>
      <c r="D104" t="s">
        <v>39</v>
      </c>
      <c r="E104">
        <v>14</v>
      </c>
      <c r="F104">
        <v>122</v>
      </c>
      <c r="G104">
        <v>3024</v>
      </c>
      <c r="H104">
        <v>2100</v>
      </c>
      <c r="I104" t="s">
        <v>48</v>
      </c>
      <c r="J104" t="s">
        <v>55</v>
      </c>
      <c r="K104" t="s">
        <v>56</v>
      </c>
      <c r="L104">
        <v>12</v>
      </c>
      <c r="M104" t="s">
        <v>51</v>
      </c>
      <c r="N104">
        <v>2025</v>
      </c>
      <c r="O104">
        <v>7922</v>
      </c>
      <c r="P104" t="s">
        <v>936</v>
      </c>
      <c r="Q104" t="s">
        <v>937</v>
      </c>
      <c r="R104" t="s">
        <v>938</v>
      </c>
      <c r="S104" t="s">
        <v>560</v>
      </c>
      <c r="T104" t="s">
        <v>875</v>
      </c>
      <c r="U104" t="s">
        <v>939</v>
      </c>
      <c r="V104">
        <v>10</v>
      </c>
      <c r="W104" t="str">
        <f ca="1">IF(Tabela1[[#This Row],[datVigencia]]=0,"Expirado",IF(Tabela1[[#This Row],[datVigencia]]&gt;TODAY(),"Vigente","Expirado"))</f>
        <v>Vigente</v>
      </c>
      <c r="X104" s="2">
        <v>125600</v>
      </c>
      <c r="Y104" s="2">
        <v>0</v>
      </c>
      <c r="Z104" s="2">
        <v>0</v>
      </c>
      <c r="AA104" s="2">
        <v>0</v>
      </c>
      <c r="AB104" s="2">
        <f>Tabela1[[#This Row],[valPrincipal]]+Tabela1[[#This Row],[valReajustes]]+Tabela1[[#This Row],[valAditamentos]]-Tabela1[[#This Row],[valAnulacao]]</f>
        <v>125600</v>
      </c>
      <c r="AC104" s="2">
        <f>IF(Tabela1[[#This Row],[VigenciaMeses]]=0,Tabela1[[#This Row],[valTotal]]/1,Tabela1[[#This Row],[valTotal]]/Tabela1[[#This Row],[VigenciaMeses]])</f>
        <v>12560</v>
      </c>
      <c r="AD104" s="2">
        <f>Tabela1[[#This Row],[valMensal]]*12</f>
        <v>150720</v>
      </c>
      <c r="AE104" s="2">
        <v>125600</v>
      </c>
      <c r="AF104" s="2">
        <v>0</v>
      </c>
      <c r="AG104" s="2">
        <v>125600</v>
      </c>
      <c r="AH104" s="2">
        <v>35168</v>
      </c>
      <c r="AI104" s="2">
        <v>22608</v>
      </c>
      <c r="AJ104" t="s">
        <v>47</v>
      </c>
    </row>
    <row r="105" spans="1:36" x14ac:dyDescent="0.25">
      <c r="A105" t="s">
        <v>36</v>
      </c>
      <c r="B105" t="s">
        <v>37</v>
      </c>
      <c r="C105" t="s">
        <v>38</v>
      </c>
      <c r="D105" t="s">
        <v>39</v>
      </c>
      <c r="E105">
        <v>14</v>
      </c>
      <c r="F105">
        <v>422</v>
      </c>
      <c r="G105">
        <v>3013</v>
      </c>
      <c r="H105">
        <v>6178</v>
      </c>
      <c r="I105" t="s">
        <v>157</v>
      </c>
      <c r="J105" t="s">
        <v>406</v>
      </c>
      <c r="K105" t="s">
        <v>407</v>
      </c>
      <c r="L105">
        <v>12</v>
      </c>
      <c r="M105" t="s">
        <v>51</v>
      </c>
      <c r="N105">
        <v>2025</v>
      </c>
      <c r="O105">
        <v>14553</v>
      </c>
      <c r="Q105" t="s">
        <v>1247</v>
      </c>
      <c r="R105" t="s">
        <v>1248</v>
      </c>
      <c r="V105">
        <v>12</v>
      </c>
      <c r="W105" t="str">
        <f ca="1">IF(Tabela1[[#This Row],[datVigencia]]=0,"Expirado",IF(Tabela1[[#This Row],[datVigencia]]&gt;TODAY(),"Vigente","Expirado"))</f>
        <v>Expirado</v>
      </c>
      <c r="X105" s="2">
        <v>123280</v>
      </c>
      <c r="Y105" s="2">
        <v>0</v>
      </c>
      <c r="Z105" s="2">
        <v>0</v>
      </c>
      <c r="AA105" s="2">
        <v>0</v>
      </c>
      <c r="AB105" s="2">
        <f>Tabela1[[#This Row],[valPrincipal]]+Tabela1[[#This Row],[valReajustes]]+Tabela1[[#This Row],[valAditamentos]]-Tabela1[[#This Row],[valAnulacao]]</f>
        <v>123280</v>
      </c>
      <c r="AC105" s="2">
        <f>IF(Tabela1[[#This Row],[VigenciaMeses]]=0,Tabela1[[#This Row],[valTotal]]/1,Tabela1[[#This Row],[valTotal]]/Tabela1[[#This Row],[VigenciaMeses]])</f>
        <v>10273.333333333334</v>
      </c>
      <c r="AD105" s="2">
        <f>Tabela1[[#This Row],[valMensal]]*12</f>
        <v>123280</v>
      </c>
      <c r="AE105" s="2">
        <v>30000</v>
      </c>
      <c r="AF105" s="2">
        <v>0</v>
      </c>
      <c r="AG105" s="2">
        <v>30000</v>
      </c>
      <c r="AH105" s="2">
        <v>0</v>
      </c>
      <c r="AI105" s="2">
        <v>0</v>
      </c>
      <c r="AJ105" t="s">
        <v>47</v>
      </c>
    </row>
    <row r="106" spans="1:36" x14ac:dyDescent="0.25">
      <c r="A106" t="s">
        <v>36</v>
      </c>
      <c r="B106" t="s">
        <v>37</v>
      </c>
      <c r="C106" t="s">
        <v>38</v>
      </c>
      <c r="D106" t="s">
        <v>39</v>
      </c>
      <c r="E106">
        <v>8</v>
      </c>
      <c r="F106">
        <v>605</v>
      </c>
      <c r="G106">
        <v>3016</v>
      </c>
      <c r="H106">
        <v>4470</v>
      </c>
      <c r="I106" t="s">
        <v>48</v>
      </c>
      <c r="J106" t="s">
        <v>55</v>
      </c>
      <c r="K106" t="s">
        <v>56</v>
      </c>
      <c r="L106">
        <v>6</v>
      </c>
      <c r="M106" t="s">
        <v>97</v>
      </c>
      <c r="N106">
        <v>2022</v>
      </c>
      <c r="O106">
        <v>5253</v>
      </c>
      <c r="P106" t="s">
        <v>846</v>
      </c>
      <c r="Q106" t="s">
        <v>847</v>
      </c>
      <c r="R106" t="s">
        <v>848</v>
      </c>
      <c r="S106" t="s">
        <v>849</v>
      </c>
      <c r="T106" t="s">
        <v>850</v>
      </c>
      <c r="U106" t="s">
        <v>851</v>
      </c>
      <c r="V106">
        <v>40</v>
      </c>
      <c r="W106" t="str">
        <f ca="1">IF(Tabela1[[#This Row],[datVigencia]]=0,"Expirado",IF(Tabela1[[#This Row],[datVigencia]]&gt;TODAY(),"Vigente","Expirado"))</f>
        <v>Vigente</v>
      </c>
      <c r="X106" s="2">
        <v>120020.4</v>
      </c>
      <c r="Y106" s="2">
        <v>0</v>
      </c>
      <c r="Z106" s="2">
        <v>240040.8</v>
      </c>
      <c r="AA106" s="2">
        <v>0</v>
      </c>
      <c r="AB106" s="2">
        <f>Tabela1[[#This Row],[valPrincipal]]+Tabela1[[#This Row],[valReajustes]]+Tabela1[[#This Row],[valAditamentos]]-Tabela1[[#This Row],[valAnulacao]]</f>
        <v>360061.19999999995</v>
      </c>
      <c r="AC106" s="2">
        <f>IF(Tabela1[[#This Row],[VigenciaMeses]]=0,Tabela1[[#This Row],[valTotal]]/1,Tabela1[[#This Row],[valTotal]]/Tabela1[[#This Row],[VigenciaMeses]])</f>
        <v>9001.5299999999988</v>
      </c>
      <c r="AD106" s="2">
        <f>Tabela1[[#This Row],[valMensal]]*12</f>
        <v>108018.35999999999</v>
      </c>
      <c r="AE106" s="2">
        <v>214891.36</v>
      </c>
      <c r="AF106" s="2">
        <v>172147.67</v>
      </c>
      <c r="AG106" s="2">
        <v>42743.69</v>
      </c>
      <c r="AH106" s="2">
        <v>28509.25</v>
      </c>
      <c r="AI106" s="2">
        <v>28346.67</v>
      </c>
      <c r="AJ106" t="s">
        <v>47</v>
      </c>
    </row>
    <row r="107" spans="1:36" x14ac:dyDescent="0.25">
      <c r="A107" t="s">
        <v>36</v>
      </c>
      <c r="B107" t="s">
        <v>37</v>
      </c>
      <c r="C107" t="s">
        <v>38</v>
      </c>
      <c r="D107" t="s">
        <v>39</v>
      </c>
      <c r="E107">
        <v>14</v>
      </c>
      <c r="F107">
        <v>243</v>
      </c>
      <c r="G107">
        <v>3013</v>
      </c>
      <c r="H107">
        <v>2157</v>
      </c>
      <c r="I107" t="s">
        <v>85</v>
      </c>
      <c r="J107" t="s">
        <v>55</v>
      </c>
      <c r="K107" t="s">
        <v>56</v>
      </c>
      <c r="L107">
        <v>12</v>
      </c>
      <c r="M107" t="s">
        <v>51</v>
      </c>
      <c r="N107">
        <v>2023</v>
      </c>
      <c r="O107">
        <v>6548</v>
      </c>
      <c r="P107" t="s">
        <v>86</v>
      </c>
      <c r="Q107" t="s">
        <v>87</v>
      </c>
      <c r="R107" t="s">
        <v>88</v>
      </c>
      <c r="S107" t="s">
        <v>89</v>
      </c>
      <c r="T107" t="s">
        <v>90</v>
      </c>
      <c r="U107" t="s">
        <v>91</v>
      </c>
      <c r="V107">
        <v>39</v>
      </c>
      <c r="W107" t="str">
        <f ca="1">IF(Tabela1[[#This Row],[datVigencia]]=0,"Expirado",IF(Tabela1[[#This Row],[datVigencia]]&gt;TODAY(),"Vigente","Expirado"))</f>
        <v>Vigente</v>
      </c>
      <c r="X107" s="2">
        <v>120000</v>
      </c>
      <c r="Y107" s="2">
        <v>0</v>
      </c>
      <c r="Z107" s="2">
        <v>240000</v>
      </c>
      <c r="AA107" s="2">
        <v>0</v>
      </c>
      <c r="AB107" s="2">
        <f>Tabela1[[#This Row],[valPrincipal]]+Tabela1[[#This Row],[valReajustes]]+Tabela1[[#This Row],[valAditamentos]]-Tabela1[[#This Row],[valAnulacao]]</f>
        <v>360000</v>
      </c>
      <c r="AC107" s="2">
        <f>IF(Tabela1[[#This Row],[VigenciaMeses]]=0,Tabela1[[#This Row],[valTotal]]/1,Tabela1[[#This Row],[valTotal]]/Tabela1[[#This Row],[VigenciaMeses]])</f>
        <v>9230.7692307692305</v>
      </c>
      <c r="AD107" s="2">
        <f>Tabela1[[#This Row],[valMensal]]*12</f>
        <v>110769.23076923077</v>
      </c>
      <c r="AE107" s="2">
        <v>392850.32</v>
      </c>
      <c r="AF107" s="2">
        <v>225199.16</v>
      </c>
      <c r="AG107" s="2">
        <v>167651.16</v>
      </c>
      <c r="AH107" s="2">
        <v>162321.25</v>
      </c>
      <c r="AI107" s="2">
        <v>162321.25</v>
      </c>
      <c r="AJ107" t="s">
        <v>47</v>
      </c>
    </row>
    <row r="108" spans="1:36" x14ac:dyDescent="0.25">
      <c r="A108" t="s">
        <v>36</v>
      </c>
      <c r="B108" t="s">
        <v>1076</v>
      </c>
      <c r="C108" t="s">
        <v>1077</v>
      </c>
      <c r="D108" t="s">
        <v>39</v>
      </c>
      <c r="E108">
        <v>14</v>
      </c>
      <c r="F108">
        <v>422</v>
      </c>
      <c r="G108">
        <v>3018</v>
      </c>
      <c r="H108">
        <v>4326</v>
      </c>
      <c r="I108" t="s">
        <v>48</v>
      </c>
      <c r="J108" t="s">
        <v>55</v>
      </c>
      <c r="K108" t="s">
        <v>56</v>
      </c>
      <c r="L108">
        <v>7</v>
      </c>
      <c r="M108" t="s">
        <v>324</v>
      </c>
      <c r="N108">
        <v>2025</v>
      </c>
      <c r="O108">
        <v>16912</v>
      </c>
      <c r="P108" t="s">
        <v>1422</v>
      </c>
      <c r="Q108" t="s">
        <v>1423</v>
      </c>
      <c r="R108" t="s">
        <v>1424</v>
      </c>
      <c r="S108" t="s">
        <v>1354</v>
      </c>
      <c r="T108" t="s">
        <v>1326</v>
      </c>
      <c r="U108" t="s">
        <v>1202</v>
      </c>
      <c r="V108">
        <v>0</v>
      </c>
      <c r="W108" t="str">
        <f ca="1">IF(Tabela1[[#This Row],[datVigencia]]=0,"Expirado",IF(Tabela1[[#This Row],[datVigencia]]&gt;TODAY(),"Vigente","Expirado"))</f>
        <v>Vigente</v>
      </c>
      <c r="X108" s="2">
        <v>120000</v>
      </c>
      <c r="Y108" s="2">
        <v>0</v>
      </c>
      <c r="Z108" s="2">
        <v>0</v>
      </c>
      <c r="AA108" s="2">
        <v>0</v>
      </c>
      <c r="AB108" s="2">
        <f>Tabela1[[#This Row],[valPrincipal]]+Tabela1[[#This Row],[valReajustes]]+Tabela1[[#This Row],[valAditamentos]]-Tabela1[[#This Row],[valAnulacao]]</f>
        <v>120000</v>
      </c>
      <c r="AC108" s="2">
        <f>IF(Tabela1[[#This Row],[VigenciaMeses]]=0,Tabela1[[#This Row],[valTotal]]/1,Tabela1[[#This Row],[valTotal]]/Tabela1[[#This Row],[VigenciaMeses]])</f>
        <v>120000</v>
      </c>
      <c r="AD108" s="2">
        <f>Tabela1[[#This Row],[valMensal]]*12</f>
        <v>1440000</v>
      </c>
      <c r="AE108" s="2">
        <v>120000</v>
      </c>
      <c r="AF108" s="2">
        <v>0</v>
      </c>
      <c r="AG108" s="2">
        <v>120000</v>
      </c>
      <c r="AH108" s="2">
        <v>0</v>
      </c>
      <c r="AI108" s="2">
        <v>0</v>
      </c>
      <c r="AJ108" t="s">
        <v>47</v>
      </c>
    </row>
    <row r="109" spans="1:36" x14ac:dyDescent="0.25">
      <c r="A109" t="s">
        <v>36</v>
      </c>
      <c r="B109" t="s">
        <v>37</v>
      </c>
      <c r="C109" t="s">
        <v>38</v>
      </c>
      <c r="D109" t="s">
        <v>39</v>
      </c>
      <c r="E109">
        <v>14</v>
      </c>
      <c r="F109">
        <v>422</v>
      </c>
      <c r="G109">
        <v>3013</v>
      </c>
      <c r="H109">
        <v>6178</v>
      </c>
      <c r="I109" t="s">
        <v>48</v>
      </c>
      <c r="J109" t="s">
        <v>55</v>
      </c>
      <c r="K109" t="s">
        <v>56</v>
      </c>
      <c r="L109">
        <v>12</v>
      </c>
      <c r="M109" t="s">
        <v>51</v>
      </c>
      <c r="N109">
        <v>2023</v>
      </c>
      <c r="O109">
        <v>21153</v>
      </c>
      <c r="P109" t="s">
        <v>820</v>
      </c>
      <c r="Q109" t="s">
        <v>821</v>
      </c>
      <c r="R109" t="s">
        <v>822</v>
      </c>
      <c r="S109" t="s">
        <v>527</v>
      </c>
      <c r="T109" t="s">
        <v>528</v>
      </c>
      <c r="U109" t="s">
        <v>102</v>
      </c>
      <c r="V109">
        <v>18</v>
      </c>
      <c r="W109" t="str">
        <f ca="1">IF(Tabela1[[#This Row],[datVigencia]]=0,"Expirado",IF(Tabela1[[#This Row],[datVigencia]]&gt;TODAY(),"Vigente","Expirado"))</f>
        <v>Vigente</v>
      </c>
      <c r="X109" s="2">
        <v>118800</v>
      </c>
      <c r="Y109" s="2">
        <v>1764.2</v>
      </c>
      <c r="Z109" s="2">
        <v>59400</v>
      </c>
      <c r="AA109" s="2">
        <v>0</v>
      </c>
      <c r="AB109" s="2">
        <f>Tabela1[[#This Row],[valPrincipal]]+Tabela1[[#This Row],[valReajustes]]+Tabela1[[#This Row],[valAditamentos]]-Tabela1[[#This Row],[valAnulacao]]</f>
        <v>179964.2</v>
      </c>
      <c r="AC109" s="2">
        <f>IF(Tabela1[[#This Row],[VigenciaMeses]]=0,Tabela1[[#This Row],[valTotal]]/1,Tabela1[[#This Row],[valTotal]]/Tabela1[[#This Row],[VigenciaMeses]])</f>
        <v>9998.0111111111109</v>
      </c>
      <c r="AD109" s="2">
        <f>Tabela1[[#This Row],[valMensal]]*12</f>
        <v>119976.13333333333</v>
      </c>
      <c r="AE109" s="2">
        <v>258834.18</v>
      </c>
      <c r="AF109" s="2">
        <v>86790</v>
      </c>
      <c r="AG109" s="2">
        <v>172044.18</v>
      </c>
      <c r="AH109" s="2">
        <v>170345.18</v>
      </c>
      <c r="AI109" s="2">
        <v>170345.18</v>
      </c>
      <c r="AJ109" t="s">
        <v>47</v>
      </c>
    </row>
    <row r="110" spans="1:36" x14ac:dyDescent="0.25">
      <c r="A110" t="s">
        <v>36</v>
      </c>
      <c r="B110" t="s">
        <v>37</v>
      </c>
      <c r="C110" t="s">
        <v>38</v>
      </c>
      <c r="D110" t="s">
        <v>39</v>
      </c>
      <c r="E110">
        <v>14</v>
      </c>
      <c r="F110">
        <v>126</v>
      </c>
      <c r="G110">
        <v>3024</v>
      </c>
      <c r="H110">
        <v>2171</v>
      </c>
      <c r="I110" t="s">
        <v>69</v>
      </c>
      <c r="J110" t="s">
        <v>55</v>
      </c>
      <c r="K110" t="s">
        <v>56</v>
      </c>
      <c r="L110">
        <v>12</v>
      </c>
      <c r="M110" t="s">
        <v>51</v>
      </c>
      <c r="N110">
        <v>2023</v>
      </c>
      <c r="O110">
        <v>26119</v>
      </c>
      <c r="P110" t="s">
        <v>78</v>
      </c>
      <c r="Q110" t="s">
        <v>79</v>
      </c>
      <c r="R110" t="s">
        <v>80</v>
      </c>
      <c r="S110" t="s">
        <v>81</v>
      </c>
      <c r="T110" t="s">
        <v>82</v>
      </c>
      <c r="U110" t="s">
        <v>84</v>
      </c>
      <c r="V110">
        <v>12</v>
      </c>
      <c r="W110" t="str">
        <f ca="1">IF(Tabela1[[#This Row],[datVigencia]]=0,"Expirado",IF(Tabela1[[#This Row],[datVigencia]]&gt;TODAY(),"Vigente","Expirado"))</f>
        <v>Vigente</v>
      </c>
      <c r="X110" s="2">
        <v>117265.32</v>
      </c>
      <c r="Y110" s="2">
        <v>5679.51</v>
      </c>
      <c r="Z110" s="2">
        <v>159487.21</v>
      </c>
      <c r="AA110" s="2">
        <v>0</v>
      </c>
      <c r="AB110" s="2">
        <f>Tabela1[[#This Row],[valPrincipal]]+Tabela1[[#This Row],[valReajustes]]+Tabela1[[#This Row],[valAditamentos]]-Tabela1[[#This Row],[valAnulacao]]</f>
        <v>282432.03999999998</v>
      </c>
      <c r="AC110" s="2">
        <f>IF(Tabela1[[#This Row],[VigenciaMeses]]=0,Tabela1[[#This Row],[valTotal]]/1,Tabela1[[#This Row],[valTotal]]/Tabela1[[#This Row],[VigenciaMeses]])</f>
        <v>23536.00333333333</v>
      </c>
      <c r="AD110" s="2">
        <f>Tabela1[[#This Row],[valMensal]]*12</f>
        <v>282432.03999999998</v>
      </c>
      <c r="AE110" s="2">
        <v>255870.46</v>
      </c>
      <c r="AF110" s="2">
        <v>108938.68</v>
      </c>
      <c r="AG110" s="2">
        <v>146931.78</v>
      </c>
      <c r="AH110" s="2">
        <v>102324.79</v>
      </c>
      <c r="AI110" s="2">
        <v>102324.79</v>
      </c>
      <c r="AJ110" t="s">
        <v>47</v>
      </c>
    </row>
    <row r="111" spans="1:36" x14ac:dyDescent="0.25">
      <c r="A111" t="s">
        <v>36</v>
      </c>
      <c r="B111" t="s">
        <v>37</v>
      </c>
      <c r="C111" t="s">
        <v>38</v>
      </c>
      <c r="D111" t="s">
        <v>39</v>
      </c>
      <c r="E111">
        <v>14</v>
      </c>
      <c r="F111">
        <v>422</v>
      </c>
      <c r="G111">
        <v>3018</v>
      </c>
      <c r="H111">
        <v>4334</v>
      </c>
      <c r="I111" t="s">
        <v>48</v>
      </c>
      <c r="J111" t="s">
        <v>55</v>
      </c>
      <c r="K111" t="s">
        <v>56</v>
      </c>
      <c r="L111">
        <v>12</v>
      </c>
      <c r="M111" t="s">
        <v>51</v>
      </c>
      <c r="N111">
        <v>2022</v>
      </c>
      <c r="O111">
        <v>31724</v>
      </c>
      <c r="P111" t="s">
        <v>367</v>
      </c>
      <c r="Q111" t="s">
        <v>368</v>
      </c>
      <c r="R111" t="s">
        <v>369</v>
      </c>
      <c r="S111" t="s">
        <v>350</v>
      </c>
      <c r="T111" t="s">
        <v>370</v>
      </c>
      <c r="U111" t="s">
        <v>371</v>
      </c>
      <c r="V111">
        <v>36</v>
      </c>
      <c r="W111" t="str">
        <f ca="1">IF(Tabela1[[#This Row],[datVigencia]]=0,"Expirado",IF(Tabela1[[#This Row],[datVigencia]]&gt;TODAY(),"Vigente","Expirado"))</f>
        <v>Vigente</v>
      </c>
      <c r="X111" s="2">
        <v>113400</v>
      </c>
      <c r="Y111" s="2">
        <v>4503.6000000000004</v>
      </c>
      <c r="Z111" s="2">
        <v>226800</v>
      </c>
      <c r="AA111" s="2">
        <v>0</v>
      </c>
      <c r="AB111" s="2">
        <f>Tabela1[[#This Row],[valPrincipal]]+Tabela1[[#This Row],[valReajustes]]+Tabela1[[#This Row],[valAditamentos]]-Tabela1[[#This Row],[valAnulacao]]</f>
        <v>344703.6</v>
      </c>
      <c r="AC111" s="2">
        <f>IF(Tabela1[[#This Row],[VigenciaMeses]]=0,Tabela1[[#This Row],[valTotal]]/1,Tabela1[[#This Row],[valTotal]]/Tabela1[[#This Row],[VigenciaMeses]])</f>
        <v>9575.0999999999985</v>
      </c>
      <c r="AD111" s="2">
        <f>Tabela1[[#This Row],[valMensal]]*12</f>
        <v>114901.19999999998</v>
      </c>
      <c r="AE111" s="2">
        <v>295141.44</v>
      </c>
      <c r="AF111" s="2">
        <v>86193.38</v>
      </c>
      <c r="AG111" s="2">
        <v>208948.06</v>
      </c>
      <c r="AH111" s="2">
        <v>150510.35</v>
      </c>
      <c r="AI111" s="2">
        <v>121095.22</v>
      </c>
      <c r="AJ111" t="s">
        <v>47</v>
      </c>
    </row>
    <row r="112" spans="1:36" x14ac:dyDescent="0.25">
      <c r="A112" t="s">
        <v>36</v>
      </c>
      <c r="B112" t="s">
        <v>37</v>
      </c>
      <c r="C112" t="s">
        <v>38</v>
      </c>
      <c r="D112" t="s">
        <v>39</v>
      </c>
      <c r="E112">
        <v>14</v>
      </c>
      <c r="F112">
        <v>122</v>
      </c>
      <c r="G112">
        <v>3024</v>
      </c>
      <c r="H112">
        <v>2100</v>
      </c>
      <c r="I112" t="s">
        <v>48</v>
      </c>
      <c r="J112" t="s">
        <v>55</v>
      </c>
      <c r="K112" t="s">
        <v>56</v>
      </c>
      <c r="L112">
        <v>12</v>
      </c>
      <c r="M112" t="s">
        <v>51</v>
      </c>
      <c r="N112">
        <v>2025</v>
      </c>
      <c r="O112">
        <v>250</v>
      </c>
      <c r="P112" t="s">
        <v>57</v>
      </c>
      <c r="Q112" t="s">
        <v>58</v>
      </c>
      <c r="R112" t="s">
        <v>59</v>
      </c>
      <c r="S112" t="s">
        <v>60</v>
      </c>
      <c r="T112" t="s">
        <v>61</v>
      </c>
      <c r="U112" t="s">
        <v>62</v>
      </c>
      <c r="V112">
        <v>61</v>
      </c>
      <c r="W112" t="str">
        <f ca="1">IF(Tabela1[[#This Row],[datVigencia]]=0,"Expirado",IF(Tabela1[[#This Row],[datVigencia]]&gt;TODAY(),"Vigente","Expirado"))</f>
        <v>Vigente</v>
      </c>
      <c r="X112" s="2">
        <v>111996</v>
      </c>
      <c r="Y112" s="2">
        <v>0</v>
      </c>
      <c r="Z112" s="2">
        <v>0</v>
      </c>
      <c r="AA112" s="2">
        <v>0</v>
      </c>
      <c r="AB112" s="2">
        <f>Tabela1[[#This Row],[valPrincipal]]+Tabela1[[#This Row],[valReajustes]]+Tabela1[[#This Row],[valAditamentos]]-Tabela1[[#This Row],[valAnulacao]]</f>
        <v>111996</v>
      </c>
      <c r="AC112" s="2">
        <f>IF(Tabela1[[#This Row],[VigenciaMeses]]=0,Tabela1[[#This Row],[valTotal]]/1,Tabela1[[#This Row],[valTotal]]/Tabela1[[#This Row],[VigenciaMeses]])</f>
        <v>1836</v>
      </c>
      <c r="AD112" s="2">
        <f>Tabela1[[#This Row],[valMensal]]*12</f>
        <v>22032</v>
      </c>
      <c r="AE112" s="2">
        <v>17857.14</v>
      </c>
      <c r="AF112" s="2">
        <v>0</v>
      </c>
      <c r="AG112" s="2">
        <v>17857.14</v>
      </c>
      <c r="AH112" s="2">
        <v>4790.9399999999996</v>
      </c>
      <c r="AI112" s="2">
        <v>2924.34</v>
      </c>
      <c r="AJ112" t="s">
        <v>47</v>
      </c>
    </row>
    <row r="113" spans="1:36" x14ac:dyDescent="0.25">
      <c r="A113" t="s">
        <v>36</v>
      </c>
      <c r="B113" t="s">
        <v>37</v>
      </c>
      <c r="C113" t="s">
        <v>38</v>
      </c>
      <c r="D113" t="s">
        <v>39</v>
      </c>
      <c r="E113">
        <v>14</v>
      </c>
      <c r="F113">
        <v>422</v>
      </c>
      <c r="G113">
        <v>3013</v>
      </c>
      <c r="H113">
        <v>2053</v>
      </c>
      <c r="I113" t="s">
        <v>48</v>
      </c>
      <c r="J113" t="s">
        <v>55</v>
      </c>
      <c r="K113" t="s">
        <v>56</v>
      </c>
      <c r="L113">
        <v>12</v>
      </c>
      <c r="M113" t="s">
        <v>51</v>
      </c>
      <c r="N113">
        <v>2020</v>
      </c>
      <c r="O113">
        <v>15588</v>
      </c>
      <c r="P113" t="s">
        <v>615</v>
      </c>
      <c r="Q113" t="s">
        <v>616</v>
      </c>
      <c r="R113" t="s">
        <v>617</v>
      </c>
      <c r="S113" t="s">
        <v>618</v>
      </c>
      <c r="T113" t="s">
        <v>619</v>
      </c>
      <c r="U113" t="s">
        <v>620</v>
      </c>
      <c r="V113">
        <v>55</v>
      </c>
      <c r="W113" t="str">
        <f ca="1">IF(Tabela1[[#This Row],[datVigencia]]=0,"Expirado",IF(Tabela1[[#This Row],[datVigencia]]&gt;TODAY(),"Vigente","Expirado"))</f>
        <v>Vigente</v>
      </c>
      <c r="X113" s="2">
        <v>107784</v>
      </c>
      <c r="Y113" s="2">
        <v>32076</v>
      </c>
      <c r="Z113" s="2">
        <v>377244</v>
      </c>
      <c r="AA113" s="2">
        <v>0</v>
      </c>
      <c r="AB113" s="2">
        <f>Tabela1[[#This Row],[valPrincipal]]+Tabela1[[#This Row],[valReajustes]]+Tabela1[[#This Row],[valAditamentos]]-Tabela1[[#This Row],[valAnulacao]]</f>
        <v>517104</v>
      </c>
      <c r="AC113" s="2">
        <f>IF(Tabela1[[#This Row],[VigenciaMeses]]=0,Tabela1[[#This Row],[valTotal]]/1,Tabela1[[#This Row],[valTotal]]/Tabela1[[#This Row],[VigenciaMeses]])</f>
        <v>9401.8909090909092</v>
      </c>
      <c r="AD113" s="2">
        <f>Tabela1[[#This Row],[valMensal]]*12</f>
        <v>112822.69090909092</v>
      </c>
      <c r="AE113" s="2">
        <v>711666.6</v>
      </c>
      <c r="AF113" s="2">
        <v>202599.6</v>
      </c>
      <c r="AG113" s="2">
        <v>509067</v>
      </c>
      <c r="AH113" s="2">
        <v>509067</v>
      </c>
      <c r="AI113" s="2">
        <v>509067</v>
      </c>
      <c r="AJ113" t="s">
        <v>47</v>
      </c>
    </row>
    <row r="114" spans="1:36" x14ac:dyDescent="0.25">
      <c r="A114" t="s">
        <v>36</v>
      </c>
      <c r="B114" t="s">
        <v>37</v>
      </c>
      <c r="C114" t="s">
        <v>38</v>
      </c>
      <c r="D114" t="s">
        <v>39</v>
      </c>
      <c r="E114">
        <v>14</v>
      </c>
      <c r="F114">
        <v>126</v>
      </c>
      <c r="G114">
        <v>3024</v>
      </c>
      <c r="H114">
        <v>2171</v>
      </c>
      <c r="I114" t="s">
        <v>69</v>
      </c>
      <c r="J114" t="s">
        <v>55</v>
      </c>
      <c r="K114" t="s">
        <v>56</v>
      </c>
      <c r="L114">
        <v>12</v>
      </c>
      <c r="M114" t="s">
        <v>51</v>
      </c>
      <c r="N114">
        <v>2022</v>
      </c>
      <c r="O114">
        <v>4726</v>
      </c>
      <c r="P114" t="s">
        <v>70</v>
      </c>
      <c r="Q114" t="s">
        <v>71</v>
      </c>
      <c r="R114" t="s">
        <v>72</v>
      </c>
      <c r="S114" t="s">
        <v>73</v>
      </c>
      <c r="T114" t="s">
        <v>74</v>
      </c>
      <c r="U114" t="s">
        <v>75</v>
      </c>
      <c r="V114">
        <v>48</v>
      </c>
      <c r="W114" t="str">
        <f ca="1">IF(Tabela1[[#This Row],[datVigencia]]=0,"Expirado",IF(Tabela1[[#This Row],[datVigencia]]&gt;TODAY(),"Vigente","Expirado"))</f>
        <v>Vigente</v>
      </c>
      <c r="X114" s="2">
        <v>104719.8</v>
      </c>
      <c r="Y114" s="2">
        <v>42851.95</v>
      </c>
      <c r="Z114" s="2">
        <v>376991.28</v>
      </c>
      <c r="AA114" s="2">
        <v>0</v>
      </c>
      <c r="AB114" s="2">
        <f>Tabela1[[#This Row],[valPrincipal]]+Tabela1[[#This Row],[valReajustes]]+Tabela1[[#This Row],[valAditamentos]]-Tabela1[[#This Row],[valAnulacao]]</f>
        <v>524563.03</v>
      </c>
      <c r="AC114" s="2">
        <f>IF(Tabela1[[#This Row],[VigenciaMeses]]=0,Tabela1[[#This Row],[valTotal]]/1,Tabela1[[#This Row],[valTotal]]/Tabela1[[#This Row],[VigenciaMeses]])</f>
        <v>10928.396458333335</v>
      </c>
      <c r="AD114" s="2">
        <f>Tabela1[[#This Row],[valMensal]]*12</f>
        <v>131140.75750000001</v>
      </c>
      <c r="AE114" s="2">
        <v>491450.09</v>
      </c>
      <c r="AF114" s="2">
        <v>20441.84</v>
      </c>
      <c r="AG114" s="2">
        <v>471008.25</v>
      </c>
      <c r="AH114" s="2">
        <v>382439.61</v>
      </c>
      <c r="AI114" s="2">
        <v>370951.83</v>
      </c>
      <c r="AJ114" t="s">
        <v>47</v>
      </c>
    </row>
    <row r="115" spans="1:36" x14ac:dyDescent="0.25">
      <c r="A115" t="s">
        <v>36</v>
      </c>
      <c r="B115" t="s">
        <v>37</v>
      </c>
      <c r="C115" t="s">
        <v>38</v>
      </c>
      <c r="D115" t="s">
        <v>39</v>
      </c>
      <c r="E115">
        <v>14</v>
      </c>
      <c r="F115">
        <v>243</v>
      </c>
      <c r="G115">
        <v>3013</v>
      </c>
      <c r="H115">
        <v>2157</v>
      </c>
      <c r="I115" t="s">
        <v>48</v>
      </c>
      <c r="J115" t="s">
        <v>55</v>
      </c>
      <c r="K115" t="s">
        <v>56</v>
      </c>
      <c r="L115">
        <v>3</v>
      </c>
      <c r="M115" t="s">
        <v>500</v>
      </c>
      <c r="N115">
        <v>2020</v>
      </c>
      <c r="O115">
        <v>16833</v>
      </c>
      <c r="P115" t="s">
        <v>501</v>
      </c>
      <c r="Q115" t="s">
        <v>502</v>
      </c>
      <c r="R115" t="s">
        <v>503</v>
      </c>
      <c r="S115" t="s">
        <v>504</v>
      </c>
      <c r="T115" t="s">
        <v>505</v>
      </c>
      <c r="U115" t="s">
        <v>506</v>
      </c>
      <c r="V115">
        <v>60</v>
      </c>
      <c r="W115" t="str">
        <f ca="1">IF(Tabela1[[#This Row],[datVigencia]]=0,"Expirado",IF(Tabela1[[#This Row],[datVigencia]]&gt;TODAY(),"Vigente","Expirado"))</f>
        <v>Vigente</v>
      </c>
      <c r="X115" s="2">
        <v>102953.76</v>
      </c>
      <c r="Y115" s="2">
        <v>0</v>
      </c>
      <c r="Z115" s="2">
        <v>435606</v>
      </c>
      <c r="AA115" s="2">
        <v>0</v>
      </c>
      <c r="AB115" s="2">
        <f>Tabela1[[#This Row],[valPrincipal]]+Tabela1[[#This Row],[valReajustes]]+Tabela1[[#This Row],[valAditamentos]]-Tabela1[[#This Row],[valAnulacao]]</f>
        <v>538559.76</v>
      </c>
      <c r="AC115" s="2">
        <f>IF(Tabela1[[#This Row],[VigenciaMeses]]=0,Tabela1[[#This Row],[valTotal]]/1,Tabela1[[#This Row],[valTotal]]/Tabela1[[#This Row],[VigenciaMeses]])</f>
        <v>8975.996000000001</v>
      </c>
      <c r="AD115" s="2">
        <f>Tabela1[[#This Row],[valMensal]]*12</f>
        <v>107711.95200000002</v>
      </c>
      <c r="AE115" s="2">
        <v>466110.39</v>
      </c>
      <c r="AF115" s="2">
        <v>176627.3</v>
      </c>
      <c r="AG115" s="2">
        <v>289483.09000000003</v>
      </c>
      <c r="AH115" s="2">
        <v>267238.12</v>
      </c>
      <c r="AI115" s="2">
        <v>261944.9</v>
      </c>
      <c r="AJ115" t="s">
        <v>47</v>
      </c>
    </row>
    <row r="116" spans="1:36" x14ac:dyDescent="0.25">
      <c r="A116" t="s">
        <v>36</v>
      </c>
      <c r="B116" t="s">
        <v>37</v>
      </c>
      <c r="C116" t="s">
        <v>38</v>
      </c>
      <c r="D116" t="s">
        <v>39</v>
      </c>
      <c r="E116">
        <v>14</v>
      </c>
      <c r="F116">
        <v>122</v>
      </c>
      <c r="G116">
        <v>3024</v>
      </c>
      <c r="H116">
        <v>2100</v>
      </c>
      <c r="I116" t="s">
        <v>48</v>
      </c>
      <c r="J116" t="s">
        <v>55</v>
      </c>
      <c r="K116" t="s">
        <v>56</v>
      </c>
      <c r="L116">
        <v>12</v>
      </c>
      <c r="M116" t="s">
        <v>51</v>
      </c>
      <c r="N116">
        <v>2025</v>
      </c>
      <c r="O116">
        <v>12987</v>
      </c>
      <c r="P116" t="s">
        <v>1147</v>
      </c>
      <c r="Q116" t="s">
        <v>1148</v>
      </c>
      <c r="R116" t="s">
        <v>1149</v>
      </c>
      <c r="S116" t="s">
        <v>545</v>
      </c>
      <c r="T116" t="s">
        <v>1047</v>
      </c>
      <c r="U116" t="s">
        <v>1150</v>
      </c>
      <c r="V116">
        <v>1</v>
      </c>
      <c r="W116" t="str">
        <f ca="1">IF(Tabela1[[#This Row],[datVigencia]]=0,"Expirado",IF(Tabela1[[#This Row],[datVigencia]]&gt;TODAY(),"Vigente","Expirado"))</f>
        <v>Vigente</v>
      </c>
      <c r="X116" s="2">
        <v>102816.16</v>
      </c>
      <c r="Y116" s="2">
        <v>0</v>
      </c>
      <c r="Z116" s="2">
        <v>0</v>
      </c>
      <c r="AA116" s="2">
        <v>0</v>
      </c>
      <c r="AB116" s="2">
        <f>Tabela1[[#This Row],[valPrincipal]]+Tabela1[[#This Row],[valReajustes]]+Tabela1[[#This Row],[valAditamentos]]-Tabela1[[#This Row],[valAnulacao]]</f>
        <v>102816.16</v>
      </c>
      <c r="AC116" s="2">
        <f>IF(Tabela1[[#This Row],[VigenciaMeses]]=0,Tabela1[[#This Row],[valTotal]]/1,Tabela1[[#This Row],[valTotal]]/Tabela1[[#This Row],[VigenciaMeses]])</f>
        <v>102816.16</v>
      </c>
      <c r="AD116" s="2">
        <f>Tabela1[[#This Row],[valMensal]]*12</f>
        <v>1233793.92</v>
      </c>
      <c r="AE116" s="2">
        <v>102816.16</v>
      </c>
      <c r="AF116" s="2">
        <v>0</v>
      </c>
      <c r="AG116" s="2">
        <v>102816.16</v>
      </c>
      <c r="AH116" s="2">
        <v>102816.16</v>
      </c>
      <c r="AI116" s="2">
        <v>102816.16</v>
      </c>
      <c r="AJ116" t="s">
        <v>47</v>
      </c>
    </row>
    <row r="117" spans="1:36" x14ac:dyDescent="0.25">
      <c r="A117" t="s">
        <v>36</v>
      </c>
      <c r="B117" t="s">
        <v>1076</v>
      </c>
      <c r="C117" t="s">
        <v>1077</v>
      </c>
      <c r="D117" t="s">
        <v>39</v>
      </c>
      <c r="E117">
        <v>14</v>
      </c>
      <c r="F117">
        <v>422</v>
      </c>
      <c r="G117">
        <v>3018</v>
      </c>
      <c r="H117">
        <v>4326</v>
      </c>
      <c r="I117" t="s">
        <v>48</v>
      </c>
      <c r="J117" t="s">
        <v>55</v>
      </c>
      <c r="K117" t="s">
        <v>56</v>
      </c>
      <c r="L117">
        <v>7</v>
      </c>
      <c r="M117" t="s">
        <v>324</v>
      </c>
      <c r="N117">
        <v>2025</v>
      </c>
      <c r="O117">
        <v>16935</v>
      </c>
      <c r="Q117" t="s">
        <v>1431</v>
      </c>
      <c r="R117" t="s">
        <v>1432</v>
      </c>
      <c r="V117">
        <v>12</v>
      </c>
      <c r="W117" t="str">
        <f ca="1">IF(Tabela1[[#This Row],[datVigencia]]=0,"Expirado",IF(Tabela1[[#This Row],[datVigencia]]&gt;TODAY(),"Vigente","Expirado"))</f>
        <v>Expirado</v>
      </c>
      <c r="X117" s="2">
        <v>101415.84</v>
      </c>
      <c r="Y117" s="2">
        <v>0</v>
      </c>
      <c r="Z117" s="2">
        <v>0</v>
      </c>
      <c r="AA117" s="2">
        <v>0</v>
      </c>
      <c r="AB117" s="2">
        <f>Tabela1[[#This Row],[valPrincipal]]+Tabela1[[#This Row],[valReajustes]]+Tabela1[[#This Row],[valAditamentos]]-Tabela1[[#This Row],[valAnulacao]]</f>
        <v>101415.84</v>
      </c>
      <c r="AC117" s="2">
        <f>IF(Tabela1[[#This Row],[VigenciaMeses]]=0,Tabela1[[#This Row],[valTotal]]/1,Tabela1[[#This Row],[valTotal]]/Tabela1[[#This Row],[VigenciaMeses]])</f>
        <v>8451.32</v>
      </c>
      <c r="AD117" s="2">
        <f>Tabela1[[#This Row],[valMensal]]*12</f>
        <v>101415.84</v>
      </c>
      <c r="AE117" s="2">
        <v>101415.84</v>
      </c>
      <c r="AF117" s="2">
        <v>0</v>
      </c>
      <c r="AG117" s="2">
        <v>101415.84</v>
      </c>
      <c r="AH117" s="2">
        <v>0</v>
      </c>
      <c r="AI117" s="2">
        <v>0</v>
      </c>
      <c r="AJ117" t="s">
        <v>47</v>
      </c>
    </row>
    <row r="118" spans="1:36" x14ac:dyDescent="0.25">
      <c r="A118" t="s">
        <v>36</v>
      </c>
      <c r="B118" t="s">
        <v>37</v>
      </c>
      <c r="C118" t="s">
        <v>38</v>
      </c>
      <c r="D118" t="s">
        <v>39</v>
      </c>
      <c r="E118">
        <v>14</v>
      </c>
      <c r="F118">
        <v>122</v>
      </c>
      <c r="G118">
        <v>3024</v>
      </c>
      <c r="H118">
        <v>2100</v>
      </c>
      <c r="I118" t="s">
        <v>48</v>
      </c>
      <c r="J118" t="s">
        <v>406</v>
      </c>
      <c r="K118" t="s">
        <v>407</v>
      </c>
      <c r="L118">
        <v>12</v>
      </c>
      <c r="M118" t="s">
        <v>51</v>
      </c>
      <c r="N118">
        <v>2025</v>
      </c>
      <c r="O118">
        <v>11279</v>
      </c>
      <c r="P118" t="s">
        <v>1068</v>
      </c>
      <c r="Q118" t="s">
        <v>1069</v>
      </c>
      <c r="R118" t="s">
        <v>1070</v>
      </c>
      <c r="S118" t="s">
        <v>991</v>
      </c>
      <c r="T118" t="s">
        <v>1071</v>
      </c>
      <c r="U118" t="s">
        <v>912</v>
      </c>
      <c r="V118">
        <v>1</v>
      </c>
      <c r="W118" t="str">
        <f ca="1">IF(Tabela1[[#This Row],[datVigencia]]=0,"Expirado",IF(Tabela1[[#This Row],[datVigencia]]&gt;TODAY(),"Vigente","Expirado"))</f>
        <v>Vigente</v>
      </c>
      <c r="X118" s="2">
        <v>100480</v>
      </c>
      <c r="Y118" s="2">
        <v>0</v>
      </c>
      <c r="Z118" s="2">
        <v>0</v>
      </c>
      <c r="AA118" s="2">
        <v>0</v>
      </c>
      <c r="AB118" s="2">
        <f>Tabela1[[#This Row],[valPrincipal]]+Tabela1[[#This Row],[valReajustes]]+Tabela1[[#This Row],[valAditamentos]]-Tabela1[[#This Row],[valAnulacao]]</f>
        <v>100480</v>
      </c>
      <c r="AC118" s="2">
        <f>IF(Tabela1[[#This Row],[VigenciaMeses]]=0,Tabela1[[#This Row],[valTotal]]/1,Tabela1[[#This Row],[valTotal]]/Tabela1[[#This Row],[VigenciaMeses]])</f>
        <v>100480</v>
      </c>
      <c r="AD118" s="2">
        <f>Tabela1[[#This Row],[valMensal]]*12</f>
        <v>1205760</v>
      </c>
      <c r="AE118" s="2">
        <v>100480</v>
      </c>
      <c r="AF118" s="2">
        <v>0</v>
      </c>
      <c r="AG118" s="2">
        <v>100480</v>
      </c>
      <c r="AH118" s="2">
        <v>100480</v>
      </c>
      <c r="AI118" s="2">
        <v>100480</v>
      </c>
      <c r="AJ118" t="s">
        <v>47</v>
      </c>
    </row>
    <row r="119" spans="1:36" x14ac:dyDescent="0.25">
      <c r="A119" t="s">
        <v>36</v>
      </c>
      <c r="B119" t="s">
        <v>37</v>
      </c>
      <c r="C119" t="s">
        <v>38</v>
      </c>
      <c r="D119" t="s">
        <v>39</v>
      </c>
      <c r="E119">
        <v>14</v>
      </c>
      <c r="F119">
        <v>122</v>
      </c>
      <c r="G119">
        <v>3024</v>
      </c>
      <c r="H119">
        <v>2100</v>
      </c>
      <c r="I119" t="s">
        <v>85</v>
      </c>
      <c r="J119" t="s">
        <v>55</v>
      </c>
      <c r="K119" t="s">
        <v>56</v>
      </c>
      <c r="L119">
        <v>12</v>
      </c>
      <c r="M119" t="s">
        <v>51</v>
      </c>
      <c r="N119">
        <v>2023</v>
      </c>
      <c r="O119">
        <v>10549</v>
      </c>
      <c r="P119" t="s">
        <v>92</v>
      </c>
      <c r="Q119" t="s">
        <v>93</v>
      </c>
      <c r="R119" t="s">
        <v>94</v>
      </c>
      <c r="S119" t="s">
        <v>95</v>
      </c>
      <c r="T119" t="s">
        <v>96</v>
      </c>
      <c r="U119" t="s">
        <v>91</v>
      </c>
      <c r="V119">
        <v>38</v>
      </c>
      <c r="W119" t="str">
        <f ca="1">IF(Tabela1[[#This Row],[datVigencia]]=0,"Expirado",IF(Tabela1[[#This Row],[datVigencia]]&gt;TODAY(),"Vigente","Expirado"))</f>
        <v>Vigente</v>
      </c>
      <c r="X119" s="2">
        <v>100000</v>
      </c>
      <c r="Y119" s="2">
        <v>0</v>
      </c>
      <c r="Z119" s="2">
        <v>200000</v>
      </c>
      <c r="AA119" s="2">
        <v>0</v>
      </c>
      <c r="AB119" s="2">
        <f>Tabela1[[#This Row],[valPrincipal]]+Tabela1[[#This Row],[valReajustes]]+Tabela1[[#This Row],[valAditamentos]]-Tabela1[[#This Row],[valAnulacao]]</f>
        <v>300000</v>
      </c>
      <c r="AC119" s="2">
        <f>IF(Tabela1[[#This Row],[VigenciaMeses]]=0,Tabela1[[#This Row],[valTotal]]/1,Tabela1[[#This Row],[valTotal]]/Tabela1[[#This Row],[VigenciaMeses]])</f>
        <v>7894.7368421052633</v>
      </c>
      <c r="AD119" s="2">
        <f>Tabela1[[#This Row],[valMensal]]*12</f>
        <v>94736.84210526316</v>
      </c>
      <c r="AE119" s="2">
        <v>340222.57</v>
      </c>
      <c r="AF119" s="2">
        <v>131388.20000000001</v>
      </c>
      <c r="AG119" s="2">
        <v>208834.37</v>
      </c>
      <c r="AH119" s="2">
        <v>143808.82999999999</v>
      </c>
      <c r="AI119" s="2">
        <v>143808.82999999999</v>
      </c>
      <c r="AJ119" t="s">
        <v>47</v>
      </c>
    </row>
    <row r="120" spans="1:36" x14ac:dyDescent="0.25">
      <c r="A120" t="s">
        <v>36</v>
      </c>
      <c r="B120" t="s">
        <v>37</v>
      </c>
      <c r="C120" t="s">
        <v>38</v>
      </c>
      <c r="D120" t="s">
        <v>39</v>
      </c>
      <c r="E120">
        <v>14</v>
      </c>
      <c r="F120">
        <v>244</v>
      </c>
      <c r="G120">
        <v>3013</v>
      </c>
      <c r="H120">
        <v>4329</v>
      </c>
      <c r="I120" t="s">
        <v>103</v>
      </c>
      <c r="J120" t="s">
        <v>295</v>
      </c>
      <c r="K120" t="s">
        <v>296</v>
      </c>
      <c r="L120">
        <v>8</v>
      </c>
      <c r="M120" t="s">
        <v>43</v>
      </c>
      <c r="N120">
        <v>2025</v>
      </c>
      <c r="O120">
        <v>15985</v>
      </c>
      <c r="Q120" t="s">
        <v>1282</v>
      </c>
      <c r="R120" t="s">
        <v>1283</v>
      </c>
      <c r="V120">
        <v>12</v>
      </c>
      <c r="W120" t="str">
        <f ca="1">IF(Tabela1[[#This Row],[datVigencia]]=0,"Expirado",IF(Tabela1[[#This Row],[datVigencia]]&gt;TODAY(),"Vigente","Expirado"))</f>
        <v>Expirado</v>
      </c>
      <c r="X120" s="2">
        <v>100000</v>
      </c>
      <c r="Y120" s="2">
        <v>0</v>
      </c>
      <c r="Z120" s="2">
        <v>0</v>
      </c>
      <c r="AA120" s="2">
        <v>0</v>
      </c>
      <c r="AB120" s="2">
        <f>Tabela1[[#This Row],[valPrincipal]]+Tabela1[[#This Row],[valReajustes]]+Tabela1[[#This Row],[valAditamentos]]-Tabela1[[#This Row],[valAnulacao]]</f>
        <v>100000</v>
      </c>
      <c r="AC120" s="2">
        <f>IF(Tabela1[[#This Row],[VigenciaMeses]]=0,Tabela1[[#This Row],[valTotal]]/1,Tabela1[[#This Row],[valTotal]]/Tabela1[[#This Row],[VigenciaMeses]])</f>
        <v>8333.3333333333339</v>
      </c>
      <c r="AD120" s="2">
        <f>Tabela1[[#This Row],[valMensal]]*12</f>
        <v>100000</v>
      </c>
      <c r="AE120" s="2">
        <v>100000</v>
      </c>
      <c r="AF120" s="2">
        <v>0</v>
      </c>
      <c r="AG120" s="2">
        <v>100000</v>
      </c>
      <c r="AH120" s="2">
        <v>0</v>
      </c>
      <c r="AI120" s="2">
        <v>0</v>
      </c>
      <c r="AJ120" t="s">
        <v>47</v>
      </c>
    </row>
    <row r="121" spans="1:36" x14ac:dyDescent="0.25">
      <c r="A121" t="s">
        <v>36</v>
      </c>
      <c r="B121" t="s">
        <v>37</v>
      </c>
      <c r="C121" t="s">
        <v>38</v>
      </c>
      <c r="D121" t="s">
        <v>39</v>
      </c>
      <c r="E121">
        <v>8</v>
      </c>
      <c r="F121">
        <v>243</v>
      </c>
      <c r="G121">
        <v>3013</v>
      </c>
      <c r="H121">
        <v>4328</v>
      </c>
      <c r="I121" t="s">
        <v>40</v>
      </c>
      <c r="J121" t="s">
        <v>41</v>
      </c>
      <c r="K121" t="s">
        <v>42</v>
      </c>
      <c r="L121">
        <v>8</v>
      </c>
      <c r="M121" t="s">
        <v>43</v>
      </c>
      <c r="N121">
        <v>2025</v>
      </c>
      <c r="O121">
        <v>482</v>
      </c>
      <c r="Q121" t="s">
        <v>44</v>
      </c>
      <c r="R121" t="s">
        <v>45</v>
      </c>
      <c r="U121" t="s">
        <v>46</v>
      </c>
      <c r="V121">
        <v>12</v>
      </c>
      <c r="W121" t="str">
        <f ca="1">IF(Tabela1[[#This Row],[datVigencia]]=0,"Expirado",IF(Tabela1[[#This Row],[datVigencia]]&gt;TODAY(),"Vigente","Expirado"))</f>
        <v>Vigente</v>
      </c>
      <c r="X121" s="2">
        <v>99200</v>
      </c>
      <c r="Y121" s="2">
        <v>0</v>
      </c>
      <c r="Z121" s="2">
        <v>519250</v>
      </c>
      <c r="AA121" s="2">
        <v>0</v>
      </c>
      <c r="AB121" s="2">
        <f>Tabela1[[#This Row],[valPrincipal]]+Tabela1[[#This Row],[valReajustes]]+Tabela1[[#This Row],[valAditamentos]]-Tabela1[[#This Row],[valAnulacao]]</f>
        <v>618450</v>
      </c>
      <c r="AC121" s="2">
        <f>IF(Tabela1[[#This Row],[VigenciaMeses]]=0,Tabela1[[#This Row],[valTotal]]/1,Tabela1[[#This Row],[valTotal]]/Tabela1[[#This Row],[VigenciaMeses]])</f>
        <v>51537.5</v>
      </c>
      <c r="AD121" s="2">
        <f>Tabela1[[#This Row],[valMensal]]*12</f>
        <v>618450</v>
      </c>
      <c r="AE121" s="2">
        <v>618450</v>
      </c>
      <c r="AF121" s="2">
        <v>0</v>
      </c>
      <c r="AG121" s="2">
        <v>618450</v>
      </c>
      <c r="AH121" s="2">
        <v>618450</v>
      </c>
      <c r="AI121" s="2">
        <v>618450</v>
      </c>
      <c r="AJ121" t="s">
        <v>47</v>
      </c>
    </row>
    <row r="122" spans="1:36" x14ac:dyDescent="0.25">
      <c r="A122" t="s">
        <v>36</v>
      </c>
      <c r="B122" t="s">
        <v>37</v>
      </c>
      <c r="C122" t="s">
        <v>38</v>
      </c>
      <c r="D122" t="s">
        <v>39</v>
      </c>
      <c r="E122">
        <v>14</v>
      </c>
      <c r="F122">
        <v>122</v>
      </c>
      <c r="G122">
        <v>3024</v>
      </c>
      <c r="H122">
        <v>2100</v>
      </c>
      <c r="I122" t="s">
        <v>48</v>
      </c>
      <c r="J122" t="s">
        <v>55</v>
      </c>
      <c r="K122" t="s">
        <v>56</v>
      </c>
      <c r="L122">
        <v>12</v>
      </c>
      <c r="M122" t="s">
        <v>51</v>
      </c>
      <c r="N122">
        <v>2021</v>
      </c>
      <c r="O122">
        <v>22767</v>
      </c>
      <c r="P122" t="s">
        <v>593</v>
      </c>
      <c r="Q122" t="s">
        <v>594</v>
      </c>
      <c r="R122" t="s">
        <v>595</v>
      </c>
      <c r="S122" t="s">
        <v>596</v>
      </c>
      <c r="T122" t="s">
        <v>597</v>
      </c>
      <c r="U122" t="s">
        <v>425</v>
      </c>
      <c r="V122">
        <v>48</v>
      </c>
      <c r="W122" t="str">
        <f ca="1">IF(Tabela1[[#This Row],[datVigencia]]=0,"Expirado",IF(Tabela1[[#This Row],[datVigencia]]&gt;TODAY(),"Vigente","Expirado"))</f>
        <v>Vigente</v>
      </c>
      <c r="X122" s="2">
        <v>95760</v>
      </c>
      <c r="Y122" s="2">
        <v>35984.61</v>
      </c>
      <c r="Z122" s="2">
        <v>324209.65999999997</v>
      </c>
      <c r="AA122" s="2">
        <v>0</v>
      </c>
      <c r="AB122" s="2">
        <f>Tabela1[[#This Row],[valPrincipal]]+Tabela1[[#This Row],[valReajustes]]+Tabela1[[#This Row],[valAditamentos]]-Tabela1[[#This Row],[valAnulacao]]</f>
        <v>455954.26999999996</v>
      </c>
      <c r="AC122" s="2">
        <f>IF(Tabela1[[#This Row],[VigenciaMeses]]=0,Tabela1[[#This Row],[valTotal]]/1,Tabela1[[#This Row],[valTotal]]/Tabela1[[#This Row],[VigenciaMeses]])</f>
        <v>9499.0472916666658</v>
      </c>
      <c r="AD122" s="2">
        <f>Tabela1[[#This Row],[valMensal]]*12</f>
        <v>113988.56749999999</v>
      </c>
      <c r="AE122" s="2">
        <v>385724.58</v>
      </c>
      <c r="AF122" s="2">
        <v>197325.89</v>
      </c>
      <c r="AG122" s="2">
        <v>188398.69</v>
      </c>
      <c r="AH122" s="2">
        <v>141973.51</v>
      </c>
      <c r="AI122" s="2">
        <v>141973.51</v>
      </c>
      <c r="AJ122" t="s">
        <v>47</v>
      </c>
    </row>
    <row r="123" spans="1:36" x14ac:dyDescent="0.25">
      <c r="A123" t="s">
        <v>36</v>
      </c>
      <c r="B123" t="s">
        <v>37</v>
      </c>
      <c r="C123" t="s">
        <v>38</v>
      </c>
      <c r="D123" t="s">
        <v>39</v>
      </c>
      <c r="E123">
        <v>14</v>
      </c>
      <c r="F123">
        <v>122</v>
      </c>
      <c r="G123">
        <v>3024</v>
      </c>
      <c r="H123">
        <v>2100</v>
      </c>
      <c r="I123" t="s">
        <v>48</v>
      </c>
      <c r="J123" t="s">
        <v>55</v>
      </c>
      <c r="K123" t="s">
        <v>56</v>
      </c>
      <c r="L123">
        <v>12</v>
      </c>
      <c r="M123" t="s">
        <v>51</v>
      </c>
      <c r="N123">
        <v>2025</v>
      </c>
      <c r="O123">
        <v>14411</v>
      </c>
      <c r="P123" t="s">
        <v>1209</v>
      </c>
      <c r="Q123" t="s">
        <v>1234</v>
      </c>
      <c r="R123" t="s">
        <v>1235</v>
      </c>
      <c r="S123" t="s">
        <v>1114</v>
      </c>
      <c r="T123" t="s">
        <v>1159</v>
      </c>
      <c r="U123" t="s">
        <v>1202</v>
      </c>
      <c r="V123">
        <v>1</v>
      </c>
      <c r="W123" t="str">
        <f ca="1">IF(Tabela1[[#This Row],[datVigencia]]=0,"Expirado",IF(Tabela1[[#This Row],[datVigencia]]&gt;TODAY(),"Vigente","Expirado"))</f>
        <v>Vigente</v>
      </c>
      <c r="X123" s="2">
        <v>95682.08</v>
      </c>
      <c r="Y123" s="2">
        <v>0</v>
      </c>
      <c r="Z123" s="2">
        <v>0</v>
      </c>
      <c r="AA123" s="2">
        <v>0</v>
      </c>
      <c r="AB123" s="2">
        <f>Tabela1[[#This Row],[valPrincipal]]+Tabela1[[#This Row],[valReajustes]]+Tabela1[[#This Row],[valAditamentos]]-Tabela1[[#This Row],[valAnulacao]]</f>
        <v>95682.08</v>
      </c>
      <c r="AC123" s="2">
        <f>IF(Tabela1[[#This Row],[VigenciaMeses]]=0,Tabela1[[#This Row],[valTotal]]/1,Tabela1[[#This Row],[valTotal]]/Tabela1[[#This Row],[VigenciaMeses]])</f>
        <v>95682.08</v>
      </c>
      <c r="AD123" s="2">
        <f>Tabela1[[#This Row],[valMensal]]*12</f>
        <v>1148184.96</v>
      </c>
      <c r="AE123" s="2">
        <v>95682.08</v>
      </c>
      <c r="AF123" s="2">
        <v>0</v>
      </c>
      <c r="AG123" s="2">
        <v>95682.08</v>
      </c>
      <c r="AH123" s="2">
        <v>95682.08</v>
      </c>
      <c r="AI123" s="2">
        <v>0</v>
      </c>
      <c r="AJ123" t="s">
        <v>47</v>
      </c>
    </row>
    <row r="124" spans="1:36" x14ac:dyDescent="0.25">
      <c r="A124" t="s">
        <v>36</v>
      </c>
      <c r="B124" t="s">
        <v>37</v>
      </c>
      <c r="C124" t="s">
        <v>38</v>
      </c>
      <c r="D124" t="s">
        <v>39</v>
      </c>
      <c r="E124">
        <v>14</v>
      </c>
      <c r="F124">
        <v>243</v>
      </c>
      <c r="G124">
        <v>3013</v>
      </c>
      <c r="H124">
        <v>2157</v>
      </c>
      <c r="I124" t="s">
        <v>69</v>
      </c>
      <c r="J124" t="s">
        <v>55</v>
      </c>
      <c r="K124" t="s">
        <v>56</v>
      </c>
      <c r="L124">
        <v>12</v>
      </c>
      <c r="M124" t="s">
        <v>51</v>
      </c>
      <c r="N124">
        <v>2020</v>
      </c>
      <c r="O124">
        <v>11093</v>
      </c>
      <c r="P124" t="s">
        <v>455</v>
      </c>
      <c r="Q124" t="s">
        <v>456</v>
      </c>
      <c r="R124" t="s">
        <v>457</v>
      </c>
      <c r="S124" t="s">
        <v>458</v>
      </c>
      <c r="T124" t="s">
        <v>459</v>
      </c>
      <c r="U124" t="s">
        <v>460</v>
      </c>
      <c r="V124">
        <v>73</v>
      </c>
      <c r="W124" t="str">
        <f ca="1">IF(Tabela1[[#This Row],[datVigencia]]=0,"Expirado",IF(Tabela1[[#This Row],[datVigencia]]&gt;TODAY(),"Vigente","Expirado"))</f>
        <v>Vigente</v>
      </c>
      <c r="X124" s="2">
        <v>90136.8</v>
      </c>
      <c r="Y124" s="2">
        <v>41606.28</v>
      </c>
      <c r="Z124" s="2">
        <v>564980.53</v>
      </c>
      <c r="AA124" s="2">
        <v>0</v>
      </c>
      <c r="AB124" s="2">
        <f>Tabela1[[#This Row],[valPrincipal]]+Tabela1[[#This Row],[valReajustes]]+Tabela1[[#This Row],[valAditamentos]]-Tabela1[[#This Row],[valAnulacao]]</f>
        <v>696723.6100000001</v>
      </c>
      <c r="AC124" s="2">
        <f>IF(Tabela1[[#This Row],[VigenciaMeses]]=0,Tabela1[[#This Row],[valTotal]]/1,Tabela1[[#This Row],[valTotal]]/Tabela1[[#This Row],[VigenciaMeses]])</f>
        <v>9544.1590410958925</v>
      </c>
      <c r="AD124" s="2">
        <f>Tabela1[[#This Row],[valMensal]]*12</f>
        <v>114529.90849315071</v>
      </c>
      <c r="AE124" s="2">
        <v>648900.6</v>
      </c>
      <c r="AF124" s="2">
        <v>24059.91</v>
      </c>
      <c r="AG124" s="2">
        <v>624840.68999999994</v>
      </c>
      <c r="AH124" s="2">
        <v>544071.68000000005</v>
      </c>
      <c r="AI124" s="2">
        <v>533242.80000000005</v>
      </c>
      <c r="AJ124" t="s">
        <v>47</v>
      </c>
    </row>
    <row r="125" spans="1:36" x14ac:dyDescent="0.25">
      <c r="A125" t="s">
        <v>36</v>
      </c>
      <c r="B125" t="s">
        <v>37</v>
      </c>
      <c r="C125" t="s">
        <v>38</v>
      </c>
      <c r="D125" t="s">
        <v>39</v>
      </c>
      <c r="E125">
        <v>14</v>
      </c>
      <c r="F125">
        <v>243</v>
      </c>
      <c r="G125">
        <v>3013</v>
      </c>
      <c r="H125">
        <v>2157</v>
      </c>
      <c r="I125" t="s">
        <v>48</v>
      </c>
      <c r="J125" t="s">
        <v>55</v>
      </c>
      <c r="K125" t="s">
        <v>56</v>
      </c>
      <c r="L125">
        <v>12</v>
      </c>
      <c r="M125" t="s">
        <v>51</v>
      </c>
      <c r="N125">
        <v>2020</v>
      </c>
      <c r="O125">
        <v>21214</v>
      </c>
      <c r="P125" t="s">
        <v>886</v>
      </c>
      <c r="Q125" t="s">
        <v>887</v>
      </c>
      <c r="R125" t="s">
        <v>888</v>
      </c>
      <c r="S125" t="s">
        <v>889</v>
      </c>
      <c r="T125" t="s">
        <v>890</v>
      </c>
      <c r="U125" t="s">
        <v>891</v>
      </c>
      <c r="V125">
        <v>60</v>
      </c>
      <c r="W125" t="str">
        <f ca="1">IF(Tabela1[[#This Row],[datVigencia]]=0,"Expirado",IF(Tabela1[[#This Row],[datVigencia]]&gt;TODAY(),"Vigente","Expirado"))</f>
        <v>Vigente</v>
      </c>
      <c r="X125" s="2">
        <v>80000</v>
      </c>
      <c r="Y125" s="2">
        <v>57846.61</v>
      </c>
      <c r="Z125" s="2">
        <v>309528.96000000002</v>
      </c>
      <c r="AA125" s="2">
        <v>0</v>
      </c>
      <c r="AB125" s="2">
        <f>Tabela1[[#This Row],[valPrincipal]]+Tabela1[[#This Row],[valReajustes]]+Tabela1[[#This Row],[valAditamentos]]-Tabela1[[#This Row],[valAnulacao]]</f>
        <v>447375.57</v>
      </c>
      <c r="AC125" s="2">
        <f>IF(Tabela1[[#This Row],[VigenciaMeses]]=0,Tabela1[[#This Row],[valTotal]]/1,Tabela1[[#This Row],[valTotal]]/Tabela1[[#This Row],[VigenciaMeses]])</f>
        <v>7456.2595000000001</v>
      </c>
      <c r="AD125" s="2">
        <f>Tabela1[[#This Row],[valMensal]]*12</f>
        <v>89475.114000000001</v>
      </c>
      <c r="AE125" s="2">
        <v>532243.31999999995</v>
      </c>
      <c r="AF125" s="2">
        <v>131625.31</v>
      </c>
      <c r="AG125" s="2">
        <v>400618.01</v>
      </c>
      <c r="AH125" s="2">
        <v>359691.09</v>
      </c>
      <c r="AI125" s="2">
        <v>351613.41</v>
      </c>
      <c r="AJ125" t="s">
        <v>47</v>
      </c>
    </row>
    <row r="126" spans="1:36" x14ac:dyDescent="0.25">
      <c r="A126" t="s">
        <v>36</v>
      </c>
      <c r="B126" t="s">
        <v>37</v>
      </c>
      <c r="C126" t="s">
        <v>38</v>
      </c>
      <c r="D126" t="s">
        <v>39</v>
      </c>
      <c r="E126">
        <v>14</v>
      </c>
      <c r="F126">
        <v>122</v>
      </c>
      <c r="G126">
        <v>3024</v>
      </c>
      <c r="H126">
        <v>2100</v>
      </c>
      <c r="I126" t="s">
        <v>48</v>
      </c>
      <c r="J126" t="s">
        <v>55</v>
      </c>
      <c r="K126" t="s">
        <v>56</v>
      </c>
      <c r="L126">
        <v>7</v>
      </c>
      <c r="M126" t="s">
        <v>324</v>
      </c>
      <c r="N126">
        <v>2025</v>
      </c>
      <c r="O126">
        <v>14560</v>
      </c>
      <c r="P126" t="s">
        <v>1249</v>
      </c>
      <c r="Q126" t="s">
        <v>1250</v>
      </c>
      <c r="R126" t="s">
        <v>1251</v>
      </c>
      <c r="S126" t="s">
        <v>1114</v>
      </c>
      <c r="T126" t="s">
        <v>1252</v>
      </c>
      <c r="U126" t="s">
        <v>709</v>
      </c>
      <c r="V126">
        <v>0</v>
      </c>
      <c r="W126" t="str">
        <f ca="1">IF(Tabela1[[#This Row],[datVigencia]]=0,"Expirado",IF(Tabela1[[#This Row],[datVigencia]]&gt;TODAY(),"Vigente","Expirado"))</f>
        <v>Vigente</v>
      </c>
      <c r="X126" s="2">
        <v>80000</v>
      </c>
      <c r="Y126" s="2">
        <v>0</v>
      </c>
      <c r="Z126" s="2">
        <v>0</v>
      </c>
      <c r="AA126" s="2">
        <v>0</v>
      </c>
      <c r="AB126" s="2">
        <f>Tabela1[[#This Row],[valPrincipal]]+Tabela1[[#This Row],[valReajustes]]+Tabela1[[#This Row],[valAditamentos]]-Tabela1[[#This Row],[valAnulacao]]</f>
        <v>80000</v>
      </c>
      <c r="AC126" s="2">
        <f>IF(Tabela1[[#This Row],[VigenciaMeses]]=0,Tabela1[[#This Row],[valTotal]]/1,Tabela1[[#This Row],[valTotal]]/Tabela1[[#This Row],[VigenciaMeses]])</f>
        <v>80000</v>
      </c>
      <c r="AD126" s="2">
        <f>Tabela1[[#This Row],[valMensal]]*12</f>
        <v>960000</v>
      </c>
      <c r="AE126" s="2">
        <v>80000</v>
      </c>
      <c r="AF126" s="2">
        <v>0</v>
      </c>
      <c r="AG126" s="2">
        <v>80000</v>
      </c>
      <c r="AH126" s="2">
        <v>80000</v>
      </c>
      <c r="AI126" s="2">
        <v>80000</v>
      </c>
      <c r="AJ126" t="s">
        <v>47</v>
      </c>
    </row>
    <row r="127" spans="1:36" x14ac:dyDescent="0.25">
      <c r="A127" t="s">
        <v>36</v>
      </c>
      <c r="B127" t="s">
        <v>37</v>
      </c>
      <c r="C127" t="s">
        <v>38</v>
      </c>
      <c r="D127" t="s">
        <v>39</v>
      </c>
      <c r="E127">
        <v>14</v>
      </c>
      <c r="F127">
        <v>122</v>
      </c>
      <c r="G127">
        <v>3024</v>
      </c>
      <c r="H127">
        <v>2100</v>
      </c>
      <c r="I127" t="s">
        <v>48</v>
      </c>
      <c r="J127" t="s">
        <v>55</v>
      </c>
      <c r="K127" t="s">
        <v>56</v>
      </c>
      <c r="L127">
        <v>8</v>
      </c>
      <c r="M127" t="s">
        <v>43</v>
      </c>
      <c r="N127">
        <v>2020</v>
      </c>
      <c r="O127">
        <v>14535</v>
      </c>
      <c r="P127" t="s">
        <v>331</v>
      </c>
      <c r="Q127" t="s">
        <v>507</v>
      </c>
      <c r="R127" t="s">
        <v>508</v>
      </c>
      <c r="S127" t="s">
        <v>509</v>
      </c>
      <c r="T127" t="s">
        <v>510</v>
      </c>
      <c r="U127" t="s">
        <v>511</v>
      </c>
      <c r="V127">
        <v>60</v>
      </c>
      <c r="W127" t="str">
        <f ca="1">IF(Tabela1[[#This Row],[datVigencia]]=0,"Expirado",IF(Tabela1[[#This Row],[datVigencia]]&gt;TODAY(),"Vigente","Expirado"))</f>
        <v>Vigente</v>
      </c>
      <c r="X127" s="2">
        <v>71520</v>
      </c>
      <c r="Y127" s="2">
        <v>64296.24</v>
      </c>
      <c r="Z127" s="2">
        <v>286080</v>
      </c>
      <c r="AA127" s="2">
        <v>0</v>
      </c>
      <c r="AB127" s="2">
        <f>Tabela1[[#This Row],[valPrincipal]]+Tabela1[[#This Row],[valReajustes]]+Tabela1[[#This Row],[valAditamentos]]-Tabela1[[#This Row],[valAnulacao]]</f>
        <v>421896.24</v>
      </c>
      <c r="AC127" s="2">
        <f>IF(Tabela1[[#This Row],[VigenciaMeses]]=0,Tabela1[[#This Row],[valTotal]]/1,Tabela1[[#This Row],[valTotal]]/Tabela1[[#This Row],[VigenciaMeses]])</f>
        <v>7031.6040000000003</v>
      </c>
      <c r="AD127" s="2">
        <f>Tabela1[[#This Row],[valMensal]]*12</f>
        <v>84379.248000000007</v>
      </c>
      <c r="AE127" s="2">
        <v>402815.26</v>
      </c>
      <c r="AF127" s="2">
        <v>1701.06</v>
      </c>
      <c r="AG127" s="2">
        <v>401114.2</v>
      </c>
      <c r="AH127" s="2">
        <v>376400.16</v>
      </c>
      <c r="AI127" s="2">
        <v>376400.16</v>
      </c>
      <c r="AJ127" t="s">
        <v>47</v>
      </c>
    </row>
    <row r="128" spans="1:36" x14ac:dyDescent="0.25">
      <c r="A128" t="s">
        <v>36</v>
      </c>
      <c r="B128" t="s">
        <v>37</v>
      </c>
      <c r="C128" t="s">
        <v>38</v>
      </c>
      <c r="D128" t="s">
        <v>39</v>
      </c>
      <c r="E128">
        <v>14</v>
      </c>
      <c r="F128">
        <v>243</v>
      </c>
      <c r="G128">
        <v>3013</v>
      </c>
      <c r="H128">
        <v>2157</v>
      </c>
      <c r="I128" t="s">
        <v>48</v>
      </c>
      <c r="J128" t="s">
        <v>55</v>
      </c>
      <c r="K128" t="s">
        <v>56</v>
      </c>
      <c r="L128">
        <v>12</v>
      </c>
      <c r="M128" t="s">
        <v>51</v>
      </c>
      <c r="N128">
        <v>2021</v>
      </c>
      <c r="O128">
        <v>15405</v>
      </c>
      <c r="P128" t="s">
        <v>312</v>
      </c>
      <c r="Q128" t="s">
        <v>313</v>
      </c>
      <c r="R128" t="s">
        <v>314</v>
      </c>
      <c r="S128" t="s">
        <v>315</v>
      </c>
      <c r="T128" t="s">
        <v>316</v>
      </c>
      <c r="U128" t="s">
        <v>317</v>
      </c>
      <c r="V128">
        <v>48</v>
      </c>
      <c r="W128" t="str">
        <f ca="1">IF(Tabela1[[#This Row],[datVigencia]]=0,"Expirado",IF(Tabela1[[#This Row],[datVigencia]]&gt;TODAY(),"Vigente","Expirado"))</f>
        <v>Vigente</v>
      </c>
      <c r="X128" s="2">
        <v>71179.62</v>
      </c>
      <c r="Y128" s="2">
        <v>39773.339999999997</v>
      </c>
      <c r="Z128" s="2">
        <v>411565.77</v>
      </c>
      <c r="AA128" s="2">
        <v>0</v>
      </c>
      <c r="AB128" s="2">
        <f>Tabela1[[#This Row],[valPrincipal]]+Tabela1[[#This Row],[valReajustes]]+Tabela1[[#This Row],[valAditamentos]]-Tabela1[[#This Row],[valAnulacao]]</f>
        <v>522518.73</v>
      </c>
      <c r="AC128" s="2">
        <f>IF(Tabela1[[#This Row],[VigenciaMeses]]=0,Tabela1[[#This Row],[valTotal]]/1,Tabela1[[#This Row],[valTotal]]/Tabela1[[#This Row],[VigenciaMeses]])</f>
        <v>10885.806875</v>
      </c>
      <c r="AD128" s="2">
        <f>Tabela1[[#This Row],[valMensal]]*12</f>
        <v>130629.6825</v>
      </c>
      <c r="AE128" s="2">
        <v>579356</v>
      </c>
      <c r="AF128" s="2">
        <v>91078.36</v>
      </c>
      <c r="AG128" s="2">
        <v>488277.64</v>
      </c>
      <c r="AH128" s="2">
        <v>471396.4</v>
      </c>
      <c r="AI128" s="2">
        <v>464985.8</v>
      </c>
      <c r="AJ128" t="s">
        <v>47</v>
      </c>
    </row>
    <row r="129" spans="1:36" x14ac:dyDescent="0.25">
      <c r="A129" t="s">
        <v>36</v>
      </c>
      <c r="B129" t="s">
        <v>37</v>
      </c>
      <c r="C129" t="s">
        <v>38</v>
      </c>
      <c r="D129" t="s">
        <v>39</v>
      </c>
      <c r="E129">
        <v>14</v>
      </c>
      <c r="F129">
        <v>422</v>
      </c>
      <c r="G129">
        <v>3013</v>
      </c>
      <c r="H129">
        <v>6178</v>
      </c>
      <c r="I129" t="s">
        <v>48</v>
      </c>
      <c r="J129" t="s">
        <v>515</v>
      </c>
      <c r="K129" t="s">
        <v>516</v>
      </c>
      <c r="L129">
        <v>12</v>
      </c>
      <c r="M129" t="s">
        <v>51</v>
      </c>
      <c r="N129">
        <v>2025</v>
      </c>
      <c r="O129">
        <v>4714</v>
      </c>
      <c r="Q129" t="s">
        <v>796</v>
      </c>
      <c r="R129" t="s">
        <v>797</v>
      </c>
      <c r="V129">
        <v>12</v>
      </c>
      <c r="W129" t="str">
        <f ca="1">IF(Tabela1[[#This Row],[datVigencia]]=0,"Expirado",IF(Tabela1[[#This Row],[datVigencia]]&gt;TODAY(),"Vigente","Expirado"))</f>
        <v>Expirado</v>
      </c>
      <c r="X129" s="2">
        <v>65613.440000000002</v>
      </c>
      <c r="Y129" s="2">
        <v>0</v>
      </c>
      <c r="Z129" s="2">
        <v>0</v>
      </c>
      <c r="AA129" s="2">
        <v>65613.440000000002</v>
      </c>
      <c r="AB129" s="2">
        <f>Tabela1[[#This Row],[valPrincipal]]+Tabela1[[#This Row],[valReajustes]]+Tabela1[[#This Row],[valAditamentos]]-Tabela1[[#This Row],[valAnulacao]]</f>
        <v>0</v>
      </c>
      <c r="AC129" s="2">
        <f>IF(Tabela1[[#This Row],[VigenciaMeses]]=0,Tabela1[[#This Row],[valTotal]]/1,Tabela1[[#This Row],[valTotal]]/Tabela1[[#This Row],[VigenciaMeses]])</f>
        <v>0</v>
      </c>
      <c r="AD129" s="2">
        <f>Tabela1[[#This Row],[valMensal]]*12</f>
        <v>0</v>
      </c>
      <c r="AE129" s="2">
        <v>65613.440000000002</v>
      </c>
      <c r="AF129" s="2">
        <v>65613.440000000002</v>
      </c>
      <c r="AG129" s="2">
        <v>0</v>
      </c>
      <c r="AH129" s="2">
        <v>0</v>
      </c>
      <c r="AI129" s="2">
        <v>0</v>
      </c>
      <c r="AJ129" t="s">
        <v>47</v>
      </c>
    </row>
    <row r="130" spans="1:36" x14ac:dyDescent="0.25">
      <c r="A130" t="s">
        <v>36</v>
      </c>
      <c r="B130" t="s">
        <v>37</v>
      </c>
      <c r="C130" t="s">
        <v>38</v>
      </c>
      <c r="D130" t="s">
        <v>39</v>
      </c>
      <c r="E130">
        <v>14</v>
      </c>
      <c r="F130">
        <v>422</v>
      </c>
      <c r="G130">
        <v>3013</v>
      </c>
      <c r="H130">
        <v>6178</v>
      </c>
      <c r="I130" t="s">
        <v>48</v>
      </c>
      <c r="J130" t="s">
        <v>55</v>
      </c>
      <c r="K130" t="s">
        <v>56</v>
      </c>
      <c r="L130">
        <v>12</v>
      </c>
      <c r="M130" t="s">
        <v>51</v>
      </c>
      <c r="N130">
        <v>2025</v>
      </c>
      <c r="O130">
        <v>4847</v>
      </c>
      <c r="P130" t="s">
        <v>798</v>
      </c>
      <c r="Q130" t="s">
        <v>796</v>
      </c>
      <c r="R130" t="s">
        <v>799</v>
      </c>
      <c r="S130" t="s">
        <v>489</v>
      </c>
      <c r="T130" t="s">
        <v>800</v>
      </c>
      <c r="U130" t="s">
        <v>801</v>
      </c>
      <c r="V130">
        <v>12</v>
      </c>
      <c r="W130" t="str">
        <f ca="1">IF(Tabela1[[#This Row],[datVigencia]]=0,"Expirado",IF(Tabela1[[#This Row],[datVigencia]]&gt;TODAY(),"Vigente","Expirado"))</f>
        <v>Vigente</v>
      </c>
      <c r="X130" s="2">
        <v>65613.440000000002</v>
      </c>
      <c r="Y130" s="2">
        <v>0</v>
      </c>
      <c r="Z130" s="2">
        <v>0</v>
      </c>
      <c r="AA130" s="2">
        <v>0</v>
      </c>
      <c r="AB130" s="2">
        <f>Tabela1[[#This Row],[valPrincipal]]+Tabela1[[#This Row],[valReajustes]]+Tabela1[[#This Row],[valAditamentos]]-Tabela1[[#This Row],[valAnulacao]]</f>
        <v>65613.440000000002</v>
      </c>
      <c r="AC130" s="2">
        <f>IF(Tabela1[[#This Row],[VigenciaMeses]]=0,Tabela1[[#This Row],[valTotal]]/1,Tabela1[[#This Row],[valTotal]]/Tabela1[[#This Row],[VigenciaMeses]])</f>
        <v>5467.7866666666669</v>
      </c>
      <c r="AD130" s="2">
        <f>Tabela1[[#This Row],[valMensal]]*12</f>
        <v>65613.440000000002</v>
      </c>
      <c r="AE130" s="2">
        <v>65613.440000000002</v>
      </c>
      <c r="AF130" s="2">
        <v>0</v>
      </c>
      <c r="AG130" s="2">
        <v>65613.440000000002</v>
      </c>
      <c r="AH130" s="2">
        <v>65613.440000000002</v>
      </c>
      <c r="AI130" s="2">
        <v>65613.440000000002</v>
      </c>
      <c r="AJ130" t="s">
        <v>47</v>
      </c>
    </row>
    <row r="131" spans="1:36" x14ac:dyDescent="0.25">
      <c r="A131" t="s">
        <v>36</v>
      </c>
      <c r="B131" t="s">
        <v>37</v>
      </c>
      <c r="C131" t="s">
        <v>38</v>
      </c>
      <c r="D131" t="s">
        <v>39</v>
      </c>
      <c r="E131">
        <v>8</v>
      </c>
      <c r="F131">
        <v>605</v>
      </c>
      <c r="G131">
        <v>3016</v>
      </c>
      <c r="H131">
        <v>4470</v>
      </c>
      <c r="I131" t="s">
        <v>48</v>
      </c>
      <c r="J131" t="s">
        <v>55</v>
      </c>
      <c r="K131" t="s">
        <v>56</v>
      </c>
      <c r="L131">
        <v>12</v>
      </c>
      <c r="M131" t="s">
        <v>51</v>
      </c>
      <c r="N131">
        <v>2025</v>
      </c>
      <c r="O131">
        <v>13641</v>
      </c>
      <c r="Q131" t="s">
        <v>1184</v>
      </c>
      <c r="R131" t="s">
        <v>1185</v>
      </c>
      <c r="V131">
        <v>12</v>
      </c>
      <c r="W131" t="str">
        <f ca="1">IF(Tabela1[[#This Row],[datVigencia]]=0,"Expirado",IF(Tabela1[[#This Row],[datVigencia]]&gt;TODAY(),"Vigente","Expirado"))</f>
        <v>Expirado</v>
      </c>
      <c r="X131" s="2">
        <v>63258</v>
      </c>
      <c r="Y131" s="2">
        <v>0</v>
      </c>
      <c r="Z131" s="2">
        <v>0</v>
      </c>
      <c r="AA131" s="2">
        <v>0</v>
      </c>
      <c r="AB131" s="2">
        <f>Tabela1[[#This Row],[valPrincipal]]+Tabela1[[#This Row],[valReajustes]]+Tabela1[[#This Row],[valAditamentos]]-Tabela1[[#This Row],[valAnulacao]]</f>
        <v>63258</v>
      </c>
      <c r="AC131" s="2">
        <f>IF(Tabela1[[#This Row],[VigenciaMeses]]=0,Tabela1[[#This Row],[valTotal]]/1,Tabela1[[#This Row],[valTotal]]/Tabela1[[#This Row],[VigenciaMeses]])</f>
        <v>5271.5</v>
      </c>
      <c r="AD131" s="2">
        <f>Tabela1[[#This Row],[valMensal]]*12</f>
        <v>63258</v>
      </c>
      <c r="AE131" s="2">
        <v>63258</v>
      </c>
      <c r="AF131" s="2">
        <v>0</v>
      </c>
      <c r="AG131" s="2">
        <v>63258</v>
      </c>
      <c r="AH131" s="2">
        <v>0</v>
      </c>
      <c r="AI131" s="2">
        <v>0</v>
      </c>
      <c r="AJ131" t="s">
        <v>47</v>
      </c>
    </row>
    <row r="132" spans="1:36" x14ac:dyDescent="0.25">
      <c r="A132" t="s">
        <v>36</v>
      </c>
      <c r="B132" t="s">
        <v>37</v>
      </c>
      <c r="C132" t="s">
        <v>38</v>
      </c>
      <c r="D132" t="s">
        <v>39</v>
      </c>
      <c r="E132">
        <v>14</v>
      </c>
      <c r="F132">
        <v>122</v>
      </c>
      <c r="G132">
        <v>3024</v>
      </c>
      <c r="H132">
        <v>2100</v>
      </c>
      <c r="I132" t="s">
        <v>206</v>
      </c>
      <c r="J132" t="s">
        <v>406</v>
      </c>
      <c r="K132" t="s">
        <v>407</v>
      </c>
      <c r="L132">
        <v>12</v>
      </c>
      <c r="M132" t="s">
        <v>51</v>
      </c>
      <c r="N132">
        <v>2025</v>
      </c>
      <c r="O132">
        <v>6678</v>
      </c>
      <c r="P132" t="s">
        <v>882</v>
      </c>
      <c r="Q132" t="s">
        <v>883</v>
      </c>
      <c r="R132" t="s">
        <v>884</v>
      </c>
      <c r="S132" t="s">
        <v>620</v>
      </c>
      <c r="T132" t="s">
        <v>825</v>
      </c>
      <c r="U132" t="s">
        <v>885</v>
      </c>
      <c r="V132">
        <v>0</v>
      </c>
      <c r="W132" t="str">
        <f ca="1">IF(Tabela1[[#This Row],[datVigencia]]=0,"Expirado",IF(Tabela1[[#This Row],[datVigencia]]&gt;TODAY(),"Vigente","Expirado"))</f>
        <v>Vigente</v>
      </c>
      <c r="X132" s="2">
        <v>62000</v>
      </c>
      <c r="Y132" s="2">
        <v>0</v>
      </c>
      <c r="Z132" s="2">
        <v>0</v>
      </c>
      <c r="AA132" s="2">
        <v>0</v>
      </c>
      <c r="AB132" s="2">
        <f>Tabela1[[#This Row],[valPrincipal]]+Tabela1[[#This Row],[valReajustes]]+Tabela1[[#This Row],[valAditamentos]]-Tabela1[[#This Row],[valAnulacao]]</f>
        <v>62000</v>
      </c>
      <c r="AC132" s="2">
        <f>IF(Tabela1[[#This Row],[VigenciaMeses]]=0,Tabela1[[#This Row],[valTotal]]/1,Tabela1[[#This Row],[valTotal]]/Tabela1[[#This Row],[VigenciaMeses]])</f>
        <v>62000</v>
      </c>
      <c r="AD132" s="2">
        <f>Tabela1[[#This Row],[valMensal]]*12</f>
        <v>744000</v>
      </c>
      <c r="AE132" s="2">
        <v>62000</v>
      </c>
      <c r="AF132" s="2">
        <v>0</v>
      </c>
      <c r="AG132" s="2">
        <v>62000</v>
      </c>
      <c r="AH132" s="2">
        <v>62000</v>
      </c>
      <c r="AI132" s="2">
        <v>62000</v>
      </c>
      <c r="AJ132" t="s">
        <v>47</v>
      </c>
    </row>
    <row r="133" spans="1:36" x14ac:dyDescent="0.25">
      <c r="A133" t="s">
        <v>36</v>
      </c>
      <c r="B133" t="s">
        <v>37</v>
      </c>
      <c r="C133" t="s">
        <v>38</v>
      </c>
      <c r="D133" t="s">
        <v>39</v>
      </c>
      <c r="E133">
        <v>14</v>
      </c>
      <c r="F133">
        <v>422</v>
      </c>
      <c r="G133">
        <v>3013</v>
      </c>
      <c r="H133">
        <v>2053</v>
      </c>
      <c r="I133" t="s">
        <v>48</v>
      </c>
      <c r="J133" t="s">
        <v>55</v>
      </c>
      <c r="K133" t="s">
        <v>56</v>
      </c>
      <c r="L133">
        <v>12</v>
      </c>
      <c r="M133" t="s">
        <v>51</v>
      </c>
      <c r="N133">
        <v>2021</v>
      </c>
      <c r="O133">
        <v>10319</v>
      </c>
      <c r="P133" t="s">
        <v>152</v>
      </c>
      <c r="Q133" t="s">
        <v>147</v>
      </c>
      <c r="R133" t="s">
        <v>153</v>
      </c>
      <c r="S133" t="s">
        <v>154</v>
      </c>
      <c r="T133" t="s">
        <v>150</v>
      </c>
      <c r="U133" t="s">
        <v>151</v>
      </c>
      <c r="V133">
        <v>55</v>
      </c>
      <c r="W133" t="str">
        <f ca="1">IF(Tabela1[[#This Row],[datVigencia]]=0,"Expirado",IF(Tabela1[[#This Row],[datVigencia]]&gt;TODAY(),"Vigente","Expirado"))</f>
        <v>Vigente</v>
      </c>
      <c r="X133" s="2">
        <v>55378.95</v>
      </c>
      <c r="Y133" s="2">
        <v>0</v>
      </c>
      <c r="Z133" s="2">
        <v>267077.52</v>
      </c>
      <c r="AA133" s="2">
        <v>0</v>
      </c>
      <c r="AB133" s="2">
        <f>Tabela1[[#This Row],[valPrincipal]]+Tabela1[[#This Row],[valReajustes]]+Tabela1[[#This Row],[valAditamentos]]-Tabela1[[#This Row],[valAnulacao]]</f>
        <v>322456.47000000003</v>
      </c>
      <c r="AC133" s="2">
        <f>IF(Tabela1[[#This Row],[VigenciaMeses]]=0,Tabela1[[#This Row],[valTotal]]/1,Tabela1[[#This Row],[valTotal]]/Tabela1[[#This Row],[VigenciaMeses]])</f>
        <v>5862.8449090909098</v>
      </c>
      <c r="AD133" s="2">
        <f>Tabela1[[#This Row],[valMensal]]*12</f>
        <v>70354.138909090922</v>
      </c>
      <c r="AE133" s="2">
        <v>383823.46</v>
      </c>
      <c r="AF133" s="2">
        <v>61433.32</v>
      </c>
      <c r="AG133" s="2">
        <v>322390.14</v>
      </c>
      <c r="AH133" s="2">
        <v>295120.57</v>
      </c>
      <c r="AI133" s="2">
        <v>295120.57</v>
      </c>
      <c r="AJ133" t="s">
        <v>47</v>
      </c>
    </row>
    <row r="134" spans="1:36" x14ac:dyDescent="0.25">
      <c r="A134" t="s">
        <v>36</v>
      </c>
      <c r="B134" t="s">
        <v>37</v>
      </c>
      <c r="C134" t="s">
        <v>38</v>
      </c>
      <c r="D134" t="s">
        <v>39</v>
      </c>
      <c r="E134">
        <v>14</v>
      </c>
      <c r="F134">
        <v>422</v>
      </c>
      <c r="G134">
        <v>3013</v>
      </c>
      <c r="H134">
        <v>6178</v>
      </c>
      <c r="I134" t="s">
        <v>48</v>
      </c>
      <c r="J134" t="s">
        <v>176</v>
      </c>
      <c r="K134" t="s">
        <v>177</v>
      </c>
      <c r="L134">
        <v>6</v>
      </c>
      <c r="M134" t="s">
        <v>97</v>
      </c>
      <c r="N134">
        <v>2025</v>
      </c>
      <c r="O134">
        <v>6881</v>
      </c>
      <c r="Q134" t="s">
        <v>896</v>
      </c>
      <c r="R134" t="s">
        <v>897</v>
      </c>
      <c r="U134" t="s">
        <v>46</v>
      </c>
      <c r="V134">
        <v>12</v>
      </c>
      <c r="W134" t="str">
        <f ca="1">IF(Tabela1[[#This Row],[datVigencia]]=0,"Expirado",IF(Tabela1[[#This Row],[datVigencia]]&gt;TODAY(),"Vigente","Expirado"))</f>
        <v>Vigente</v>
      </c>
      <c r="X134" s="2">
        <v>54000</v>
      </c>
      <c r="Y134" s="2">
        <v>0</v>
      </c>
      <c r="Z134" s="2">
        <v>0</v>
      </c>
      <c r="AA134" s="2">
        <v>0</v>
      </c>
      <c r="AB134" s="2">
        <f>Tabela1[[#This Row],[valPrincipal]]+Tabela1[[#This Row],[valReajustes]]+Tabela1[[#This Row],[valAditamentos]]-Tabela1[[#This Row],[valAnulacao]]</f>
        <v>54000</v>
      </c>
      <c r="AC134" s="2">
        <f>IF(Tabela1[[#This Row],[VigenciaMeses]]=0,Tabela1[[#This Row],[valTotal]]/1,Tabela1[[#This Row],[valTotal]]/Tabela1[[#This Row],[VigenciaMeses]])</f>
        <v>4500</v>
      </c>
      <c r="AD134" s="2">
        <f>Tabela1[[#This Row],[valMensal]]*12</f>
        <v>54000</v>
      </c>
      <c r="AE134" s="2">
        <v>54000</v>
      </c>
      <c r="AF134" s="2">
        <v>0</v>
      </c>
      <c r="AG134" s="2">
        <v>54000</v>
      </c>
      <c r="AH134" s="2">
        <v>12891.97</v>
      </c>
      <c r="AI134" s="2">
        <v>12857.93</v>
      </c>
      <c r="AJ134" t="s">
        <v>47</v>
      </c>
    </row>
    <row r="135" spans="1:36" x14ac:dyDescent="0.25">
      <c r="A135" t="s">
        <v>36</v>
      </c>
      <c r="B135" t="s">
        <v>37</v>
      </c>
      <c r="C135" t="s">
        <v>38</v>
      </c>
      <c r="D135" t="s">
        <v>39</v>
      </c>
      <c r="E135">
        <v>14</v>
      </c>
      <c r="F135">
        <v>422</v>
      </c>
      <c r="G135">
        <v>3013</v>
      </c>
      <c r="H135">
        <v>6178</v>
      </c>
      <c r="I135" t="s">
        <v>157</v>
      </c>
      <c r="J135" t="s">
        <v>406</v>
      </c>
      <c r="K135" t="s">
        <v>407</v>
      </c>
      <c r="L135">
        <v>12</v>
      </c>
      <c r="M135" t="s">
        <v>51</v>
      </c>
      <c r="N135">
        <v>2025</v>
      </c>
      <c r="O135">
        <v>14546</v>
      </c>
      <c r="Q135" t="s">
        <v>1244</v>
      </c>
      <c r="R135" t="s">
        <v>1245</v>
      </c>
      <c r="V135">
        <v>12</v>
      </c>
      <c r="W135" t="str">
        <f ca="1">IF(Tabela1[[#This Row],[datVigencia]]=0,"Expirado",IF(Tabela1[[#This Row],[datVigencia]]&gt;TODAY(),"Vigente","Expirado"))</f>
        <v>Expirado</v>
      </c>
      <c r="X135" s="2">
        <v>52000</v>
      </c>
      <c r="Y135" s="2">
        <v>0</v>
      </c>
      <c r="Z135" s="2">
        <v>0</v>
      </c>
      <c r="AA135" s="2">
        <v>52000</v>
      </c>
      <c r="AB135" s="2">
        <f>Tabela1[[#This Row],[valPrincipal]]+Tabela1[[#This Row],[valReajustes]]+Tabela1[[#This Row],[valAditamentos]]-Tabela1[[#This Row],[valAnulacao]]</f>
        <v>0</v>
      </c>
      <c r="AC135" s="2">
        <f>IF(Tabela1[[#This Row],[VigenciaMeses]]=0,Tabela1[[#This Row],[valTotal]]/1,Tabela1[[#This Row],[valTotal]]/Tabela1[[#This Row],[VigenciaMeses]])</f>
        <v>0</v>
      </c>
      <c r="AD135" s="2">
        <f>Tabela1[[#This Row],[valMensal]]*12</f>
        <v>0</v>
      </c>
      <c r="AE135" s="2">
        <v>10000</v>
      </c>
      <c r="AF135" s="2">
        <v>10000</v>
      </c>
      <c r="AG135" s="2">
        <v>0</v>
      </c>
      <c r="AH135" s="2">
        <v>0</v>
      </c>
      <c r="AI135" s="2">
        <v>0</v>
      </c>
      <c r="AJ135" t="s">
        <v>47</v>
      </c>
    </row>
    <row r="136" spans="1:36" x14ac:dyDescent="0.25">
      <c r="A136" t="s">
        <v>36</v>
      </c>
      <c r="B136" t="s">
        <v>37</v>
      </c>
      <c r="C136" t="s">
        <v>38</v>
      </c>
      <c r="D136" t="s">
        <v>39</v>
      </c>
      <c r="E136">
        <v>14</v>
      </c>
      <c r="F136">
        <v>422</v>
      </c>
      <c r="G136">
        <v>3013</v>
      </c>
      <c r="H136">
        <v>6178</v>
      </c>
      <c r="I136" t="s">
        <v>157</v>
      </c>
      <c r="J136" t="s">
        <v>406</v>
      </c>
      <c r="K136" t="s">
        <v>407</v>
      </c>
      <c r="L136">
        <v>12</v>
      </c>
      <c r="M136" t="s">
        <v>51</v>
      </c>
      <c r="N136">
        <v>2025</v>
      </c>
      <c r="O136">
        <v>14552</v>
      </c>
      <c r="Q136" t="s">
        <v>1244</v>
      </c>
      <c r="R136" t="s">
        <v>1246</v>
      </c>
      <c r="V136">
        <v>12</v>
      </c>
      <c r="W136" t="str">
        <f ca="1">IF(Tabela1[[#This Row],[datVigencia]]=0,"Expirado",IF(Tabela1[[#This Row],[datVigencia]]&gt;TODAY(),"Vigente","Expirado"))</f>
        <v>Expirado</v>
      </c>
      <c r="X136" s="2">
        <v>52000</v>
      </c>
      <c r="Y136" s="2">
        <v>0</v>
      </c>
      <c r="Z136" s="2">
        <v>0</v>
      </c>
      <c r="AA136" s="2">
        <v>0</v>
      </c>
      <c r="AB136" s="2">
        <f>Tabela1[[#This Row],[valPrincipal]]+Tabela1[[#This Row],[valReajustes]]+Tabela1[[#This Row],[valAditamentos]]-Tabela1[[#This Row],[valAnulacao]]</f>
        <v>52000</v>
      </c>
      <c r="AC136" s="2">
        <f>IF(Tabela1[[#This Row],[VigenciaMeses]]=0,Tabela1[[#This Row],[valTotal]]/1,Tabela1[[#This Row],[valTotal]]/Tabela1[[#This Row],[VigenciaMeses]])</f>
        <v>4333.333333333333</v>
      </c>
      <c r="AD136" s="2">
        <f>Tabela1[[#This Row],[valMensal]]*12</f>
        <v>52000</v>
      </c>
      <c r="AE136" s="2">
        <v>10000</v>
      </c>
      <c r="AF136" s="2">
        <v>0</v>
      </c>
      <c r="AG136" s="2">
        <v>10000</v>
      </c>
      <c r="AH136" s="2">
        <v>0</v>
      </c>
      <c r="AI136" s="2">
        <v>0</v>
      </c>
      <c r="AJ136" t="s">
        <v>47</v>
      </c>
    </row>
    <row r="137" spans="1:36" x14ac:dyDescent="0.25">
      <c r="A137" t="s">
        <v>36</v>
      </c>
      <c r="B137" t="s">
        <v>37</v>
      </c>
      <c r="C137" t="s">
        <v>38</v>
      </c>
      <c r="D137" t="s">
        <v>39</v>
      </c>
      <c r="E137">
        <v>8</v>
      </c>
      <c r="F137">
        <v>605</v>
      </c>
      <c r="G137">
        <v>3016</v>
      </c>
      <c r="H137">
        <v>4470</v>
      </c>
      <c r="I137" t="s">
        <v>323</v>
      </c>
      <c r="J137" t="s">
        <v>55</v>
      </c>
      <c r="K137" t="s">
        <v>56</v>
      </c>
      <c r="L137">
        <v>12</v>
      </c>
      <c r="M137" t="s">
        <v>51</v>
      </c>
      <c r="N137">
        <v>2024</v>
      </c>
      <c r="O137">
        <v>594</v>
      </c>
      <c r="P137" t="s">
        <v>784</v>
      </c>
      <c r="Q137" t="s">
        <v>785</v>
      </c>
      <c r="R137" t="s">
        <v>786</v>
      </c>
      <c r="S137" t="s">
        <v>787</v>
      </c>
      <c r="T137" t="s">
        <v>788</v>
      </c>
      <c r="U137" t="s">
        <v>789</v>
      </c>
      <c r="V137">
        <v>26</v>
      </c>
      <c r="W137" t="str">
        <f ca="1">IF(Tabela1[[#This Row],[datVigencia]]=0,"Expirado",IF(Tabela1[[#This Row],[datVigencia]]&gt;TODAY(),"Vigente","Expirado"))</f>
        <v>Vigente</v>
      </c>
      <c r="X137" s="2">
        <v>51997.88</v>
      </c>
      <c r="Y137" s="2">
        <v>182992.92</v>
      </c>
      <c r="Z137" s="2">
        <v>3180772.8</v>
      </c>
      <c r="AA137" s="2">
        <v>0</v>
      </c>
      <c r="AB137" s="2">
        <f>Tabela1[[#This Row],[valPrincipal]]+Tabela1[[#This Row],[valReajustes]]+Tabela1[[#This Row],[valAditamentos]]-Tabela1[[#This Row],[valAnulacao]]</f>
        <v>3415763.5999999996</v>
      </c>
      <c r="AC137" s="2">
        <f>IF(Tabela1[[#This Row],[VigenciaMeses]]=0,Tabela1[[#This Row],[valTotal]]/1,Tabela1[[#This Row],[valTotal]]/Tabela1[[#This Row],[VigenciaMeses]])</f>
        <v>131375.52307692307</v>
      </c>
      <c r="AD137" s="2">
        <f>Tabela1[[#This Row],[valMensal]]*12</f>
        <v>1576506.2769230767</v>
      </c>
      <c r="AE137" s="2">
        <v>5296596.0999999996</v>
      </c>
      <c r="AF137" s="2">
        <v>1981662.4</v>
      </c>
      <c r="AG137" s="2">
        <v>3314933.7</v>
      </c>
      <c r="AH137" s="2">
        <v>2178372.92</v>
      </c>
      <c r="AI137" s="2">
        <v>2178372.92</v>
      </c>
      <c r="AJ137" t="s">
        <v>47</v>
      </c>
    </row>
    <row r="138" spans="1:36" x14ac:dyDescent="0.25">
      <c r="A138" t="s">
        <v>36</v>
      </c>
      <c r="B138" t="s">
        <v>37</v>
      </c>
      <c r="C138" t="s">
        <v>38</v>
      </c>
      <c r="D138" t="s">
        <v>39</v>
      </c>
      <c r="E138">
        <v>14</v>
      </c>
      <c r="F138">
        <v>126</v>
      </c>
      <c r="G138">
        <v>3011</v>
      </c>
      <c r="H138">
        <v>2818</v>
      </c>
      <c r="I138" t="s">
        <v>69</v>
      </c>
      <c r="J138" t="s">
        <v>55</v>
      </c>
      <c r="K138" t="s">
        <v>56</v>
      </c>
      <c r="L138">
        <v>12</v>
      </c>
      <c r="M138" t="s">
        <v>51</v>
      </c>
      <c r="N138">
        <v>2020</v>
      </c>
      <c r="O138">
        <v>18117</v>
      </c>
      <c r="P138" t="s">
        <v>764</v>
      </c>
      <c r="Q138" t="s">
        <v>765</v>
      </c>
      <c r="R138" t="s">
        <v>766</v>
      </c>
      <c r="S138" t="s">
        <v>767</v>
      </c>
      <c r="T138" t="s">
        <v>768</v>
      </c>
      <c r="U138" t="s">
        <v>769</v>
      </c>
      <c r="V138">
        <v>36</v>
      </c>
      <c r="W138" t="str">
        <f ca="1">IF(Tabela1[[#This Row],[datVigencia]]=0,"Expirado",IF(Tabela1[[#This Row],[datVigencia]]&gt;TODAY(),"Vigente","Expirado"))</f>
        <v>Vigente</v>
      </c>
      <c r="X138" s="2">
        <v>51780</v>
      </c>
      <c r="Y138" s="2">
        <v>2021.54</v>
      </c>
      <c r="Z138" s="2">
        <v>213935.83</v>
      </c>
      <c r="AA138" s="2">
        <v>0</v>
      </c>
      <c r="AB138" s="2">
        <f>Tabela1[[#This Row],[valPrincipal]]+Tabela1[[#This Row],[valReajustes]]+Tabela1[[#This Row],[valAditamentos]]-Tabela1[[#This Row],[valAnulacao]]</f>
        <v>267737.37</v>
      </c>
      <c r="AC138" s="2">
        <f>IF(Tabela1[[#This Row],[VigenciaMeses]]=0,Tabela1[[#This Row],[valTotal]]/1,Tabela1[[#This Row],[valTotal]]/Tabela1[[#This Row],[VigenciaMeses]])</f>
        <v>7437.1491666666661</v>
      </c>
      <c r="AD138" s="2">
        <f>Tabela1[[#This Row],[valMensal]]*12</f>
        <v>89245.79</v>
      </c>
      <c r="AE138" s="2">
        <v>254637.5</v>
      </c>
      <c r="AF138" s="2">
        <v>19308.63</v>
      </c>
      <c r="AG138" s="2">
        <v>235328.87</v>
      </c>
      <c r="AH138" s="2">
        <v>229355.16</v>
      </c>
      <c r="AI138" s="2">
        <v>229355.16</v>
      </c>
      <c r="AJ138" t="s">
        <v>47</v>
      </c>
    </row>
    <row r="139" spans="1:36" x14ac:dyDescent="0.25">
      <c r="A139" t="s">
        <v>36</v>
      </c>
      <c r="B139" t="s">
        <v>1076</v>
      </c>
      <c r="C139" t="s">
        <v>1077</v>
      </c>
      <c r="D139" t="s">
        <v>39</v>
      </c>
      <c r="E139">
        <v>14</v>
      </c>
      <c r="F139">
        <v>122</v>
      </c>
      <c r="G139">
        <v>3024</v>
      </c>
      <c r="H139">
        <v>2100</v>
      </c>
      <c r="I139" t="s">
        <v>48</v>
      </c>
      <c r="J139" t="s">
        <v>55</v>
      </c>
      <c r="K139" t="s">
        <v>56</v>
      </c>
      <c r="L139">
        <v>7</v>
      </c>
      <c r="M139" t="s">
        <v>324</v>
      </c>
      <c r="N139">
        <v>2025</v>
      </c>
      <c r="O139">
        <v>11534</v>
      </c>
      <c r="P139" t="s">
        <v>1082</v>
      </c>
      <c r="Q139" t="s">
        <v>1083</v>
      </c>
      <c r="R139" t="s">
        <v>1084</v>
      </c>
      <c r="S139" t="s">
        <v>1014</v>
      </c>
      <c r="T139" t="s">
        <v>1015</v>
      </c>
      <c r="U139" t="s">
        <v>1085</v>
      </c>
      <c r="V139">
        <v>0</v>
      </c>
      <c r="W139" t="str">
        <f ca="1">IF(Tabela1[[#This Row],[datVigencia]]=0,"Expirado",IF(Tabela1[[#This Row],[datVigencia]]&gt;TODAY(),"Vigente","Expirado"))</f>
        <v>Vigente</v>
      </c>
      <c r="X139" s="2">
        <v>50000</v>
      </c>
      <c r="Y139" s="2">
        <v>0</v>
      </c>
      <c r="Z139" s="2">
        <v>0</v>
      </c>
      <c r="AA139" s="2">
        <v>0</v>
      </c>
      <c r="AB139" s="2">
        <f>Tabela1[[#This Row],[valPrincipal]]+Tabela1[[#This Row],[valReajustes]]+Tabela1[[#This Row],[valAditamentos]]-Tabela1[[#This Row],[valAnulacao]]</f>
        <v>50000</v>
      </c>
      <c r="AC139" s="2">
        <f>IF(Tabela1[[#This Row],[VigenciaMeses]]=0,Tabela1[[#This Row],[valTotal]]/1,Tabela1[[#This Row],[valTotal]]/Tabela1[[#This Row],[VigenciaMeses]])</f>
        <v>50000</v>
      </c>
      <c r="AD139" s="2">
        <f>Tabela1[[#This Row],[valMensal]]*12</f>
        <v>600000</v>
      </c>
      <c r="AE139" s="2">
        <v>50000</v>
      </c>
      <c r="AF139" s="2">
        <v>0</v>
      </c>
      <c r="AG139" s="2">
        <v>50000</v>
      </c>
      <c r="AH139" s="2">
        <v>50000</v>
      </c>
      <c r="AI139" s="2">
        <v>50000</v>
      </c>
      <c r="AJ139" t="s">
        <v>47</v>
      </c>
    </row>
    <row r="140" spans="1:36" x14ac:dyDescent="0.25">
      <c r="A140" t="s">
        <v>36</v>
      </c>
      <c r="B140" t="s">
        <v>37</v>
      </c>
      <c r="C140" t="s">
        <v>38</v>
      </c>
      <c r="D140" t="s">
        <v>39</v>
      </c>
      <c r="E140">
        <v>14</v>
      </c>
      <c r="F140">
        <v>244</v>
      </c>
      <c r="G140">
        <v>3013</v>
      </c>
      <c r="H140">
        <v>4329</v>
      </c>
      <c r="I140" t="s">
        <v>103</v>
      </c>
      <c r="J140" t="s">
        <v>295</v>
      </c>
      <c r="K140" t="s">
        <v>296</v>
      </c>
      <c r="L140">
        <v>8</v>
      </c>
      <c r="M140" t="s">
        <v>43</v>
      </c>
      <c r="N140">
        <v>2025</v>
      </c>
      <c r="O140">
        <v>15560</v>
      </c>
      <c r="P140" t="s">
        <v>1265</v>
      </c>
      <c r="Q140" t="s">
        <v>1266</v>
      </c>
      <c r="R140" t="s">
        <v>1267</v>
      </c>
      <c r="S140" t="s">
        <v>405</v>
      </c>
      <c r="T140" t="s">
        <v>1150</v>
      </c>
      <c r="U140" t="s">
        <v>1268</v>
      </c>
      <c r="V140">
        <v>2</v>
      </c>
      <c r="W140" t="str">
        <f ca="1">IF(Tabela1[[#This Row],[datVigencia]]=0,"Expirado",IF(Tabela1[[#This Row],[datVigencia]]&gt;TODAY(),"Vigente","Expirado"))</f>
        <v>Vigente</v>
      </c>
      <c r="X140" s="2">
        <v>50000</v>
      </c>
      <c r="Y140" s="2">
        <v>0</v>
      </c>
      <c r="Z140" s="2">
        <v>0</v>
      </c>
      <c r="AA140" s="2">
        <v>0</v>
      </c>
      <c r="AB140" s="2">
        <f>Tabela1[[#This Row],[valPrincipal]]+Tabela1[[#This Row],[valReajustes]]+Tabela1[[#This Row],[valAditamentos]]-Tabela1[[#This Row],[valAnulacao]]</f>
        <v>50000</v>
      </c>
      <c r="AC140" s="2">
        <f>IF(Tabela1[[#This Row],[VigenciaMeses]]=0,Tabela1[[#This Row],[valTotal]]/1,Tabela1[[#This Row],[valTotal]]/Tabela1[[#This Row],[VigenciaMeses]])</f>
        <v>25000</v>
      </c>
      <c r="AD140" s="2">
        <f>Tabela1[[#This Row],[valMensal]]*12</f>
        <v>300000</v>
      </c>
      <c r="AE140" s="2">
        <v>50000</v>
      </c>
      <c r="AF140" s="2">
        <v>0</v>
      </c>
      <c r="AG140" s="2">
        <v>50000</v>
      </c>
      <c r="AH140" s="2">
        <v>50000</v>
      </c>
      <c r="AI140" s="2">
        <v>50000</v>
      </c>
      <c r="AJ140" t="s">
        <v>47</v>
      </c>
    </row>
    <row r="141" spans="1:36" x14ac:dyDescent="0.25">
      <c r="A141" t="s">
        <v>36</v>
      </c>
      <c r="B141" t="s">
        <v>37</v>
      </c>
      <c r="C141" t="s">
        <v>38</v>
      </c>
      <c r="D141" t="s">
        <v>39</v>
      </c>
      <c r="E141">
        <v>14</v>
      </c>
      <c r="F141">
        <v>422</v>
      </c>
      <c r="G141">
        <v>3018</v>
      </c>
      <c r="H141">
        <v>4326</v>
      </c>
      <c r="I141" t="s">
        <v>48</v>
      </c>
      <c r="J141" t="s">
        <v>55</v>
      </c>
      <c r="K141" t="s">
        <v>56</v>
      </c>
      <c r="L141">
        <v>7</v>
      </c>
      <c r="M141" t="s">
        <v>324</v>
      </c>
      <c r="N141">
        <v>2025</v>
      </c>
      <c r="O141">
        <v>8756</v>
      </c>
      <c r="P141" t="s">
        <v>956</v>
      </c>
      <c r="Q141" t="s">
        <v>957</v>
      </c>
      <c r="R141" t="s">
        <v>958</v>
      </c>
      <c r="S141" t="s">
        <v>923</v>
      </c>
      <c r="T141" t="s">
        <v>959</v>
      </c>
      <c r="U141" t="s">
        <v>960</v>
      </c>
      <c r="V141">
        <v>9</v>
      </c>
      <c r="W141" t="str">
        <f ca="1">IF(Tabela1[[#This Row],[datVigencia]]=0,"Expirado",IF(Tabela1[[#This Row],[datVigencia]]&gt;TODAY(),"Vigente","Expirado"))</f>
        <v>Vigente</v>
      </c>
      <c r="X141" s="2">
        <v>45720</v>
      </c>
      <c r="Y141" s="2">
        <v>0</v>
      </c>
      <c r="Z141" s="2">
        <v>0</v>
      </c>
      <c r="AA141" s="2">
        <v>0</v>
      </c>
      <c r="AB141" s="2">
        <f>Tabela1[[#This Row],[valPrincipal]]+Tabela1[[#This Row],[valReajustes]]+Tabela1[[#This Row],[valAditamentos]]-Tabela1[[#This Row],[valAnulacao]]</f>
        <v>45720</v>
      </c>
      <c r="AC141" s="2">
        <f>IF(Tabela1[[#This Row],[VigenciaMeses]]=0,Tabela1[[#This Row],[valTotal]]/1,Tabela1[[#This Row],[valTotal]]/Tabela1[[#This Row],[VigenciaMeses]])</f>
        <v>5080</v>
      </c>
      <c r="AD141" s="2">
        <f>Tabela1[[#This Row],[valMensal]]*12</f>
        <v>60960</v>
      </c>
      <c r="AE141" s="2">
        <v>45720</v>
      </c>
      <c r="AF141" s="2">
        <v>0</v>
      </c>
      <c r="AG141" s="2">
        <v>45720</v>
      </c>
      <c r="AH141" s="2">
        <v>10858.3</v>
      </c>
      <c r="AI141" s="2">
        <v>10858.3</v>
      </c>
      <c r="AJ141" t="s">
        <v>47</v>
      </c>
    </row>
    <row r="142" spans="1:36" x14ac:dyDescent="0.25">
      <c r="A142" t="s">
        <v>36</v>
      </c>
      <c r="B142" t="s">
        <v>37</v>
      </c>
      <c r="C142" t="s">
        <v>38</v>
      </c>
      <c r="D142" t="s">
        <v>39</v>
      </c>
      <c r="E142">
        <v>14</v>
      </c>
      <c r="F142">
        <v>243</v>
      </c>
      <c r="G142">
        <v>3013</v>
      </c>
      <c r="H142">
        <v>2157</v>
      </c>
      <c r="I142" t="s">
        <v>48</v>
      </c>
      <c r="J142" t="s">
        <v>55</v>
      </c>
      <c r="K142" t="s">
        <v>56</v>
      </c>
      <c r="L142">
        <v>12</v>
      </c>
      <c r="M142" t="s">
        <v>51</v>
      </c>
      <c r="N142">
        <v>2024</v>
      </c>
      <c r="O142">
        <v>27770</v>
      </c>
      <c r="P142" t="s">
        <v>877</v>
      </c>
      <c r="Q142" t="s">
        <v>878</v>
      </c>
      <c r="R142" t="s">
        <v>879</v>
      </c>
      <c r="S142" t="s">
        <v>880</v>
      </c>
      <c r="T142" t="s">
        <v>881</v>
      </c>
      <c r="U142" t="s">
        <v>735</v>
      </c>
      <c r="V142">
        <v>12</v>
      </c>
      <c r="W142" t="str">
        <f ca="1">IF(Tabela1[[#This Row],[datVigencia]]=0,"Expirado",IF(Tabela1[[#This Row],[datVigencia]]&gt;TODAY(),"Vigente","Expirado"))</f>
        <v>Vigente</v>
      </c>
      <c r="X142" s="2">
        <v>39996</v>
      </c>
      <c r="Y142" s="2">
        <v>0</v>
      </c>
      <c r="Z142" s="2">
        <v>0</v>
      </c>
      <c r="AA142" s="2">
        <v>0</v>
      </c>
      <c r="AB142" s="2">
        <f>Tabela1[[#This Row],[valPrincipal]]+Tabela1[[#This Row],[valReajustes]]+Tabela1[[#This Row],[valAditamentos]]-Tabela1[[#This Row],[valAnulacao]]</f>
        <v>39996</v>
      </c>
      <c r="AC142" s="2">
        <f>IF(Tabela1[[#This Row],[VigenciaMeses]]=0,Tabela1[[#This Row],[valTotal]]/1,Tabela1[[#This Row],[valTotal]]/Tabela1[[#This Row],[VigenciaMeses]])</f>
        <v>3333</v>
      </c>
      <c r="AD142" s="2">
        <f>Tabela1[[#This Row],[valMensal]]*12</f>
        <v>39996</v>
      </c>
      <c r="AE142" s="2">
        <v>66104.5</v>
      </c>
      <c r="AF142" s="2">
        <v>37617</v>
      </c>
      <c r="AG142" s="2">
        <v>28487.5</v>
      </c>
      <c r="AH142" s="2">
        <v>5233</v>
      </c>
      <c r="AI142" s="2">
        <v>4758</v>
      </c>
      <c r="AJ142" t="s">
        <v>47</v>
      </c>
    </row>
    <row r="143" spans="1:36" x14ac:dyDescent="0.25">
      <c r="A143" t="s">
        <v>36</v>
      </c>
      <c r="B143" t="s">
        <v>37</v>
      </c>
      <c r="C143" t="s">
        <v>38</v>
      </c>
      <c r="D143" t="s">
        <v>39</v>
      </c>
      <c r="E143">
        <v>14</v>
      </c>
      <c r="F143">
        <v>243</v>
      </c>
      <c r="G143">
        <v>3013</v>
      </c>
      <c r="H143">
        <v>2157</v>
      </c>
      <c r="I143" t="s">
        <v>48</v>
      </c>
      <c r="J143" t="s">
        <v>55</v>
      </c>
      <c r="K143" t="s">
        <v>56</v>
      </c>
      <c r="L143">
        <v>12</v>
      </c>
      <c r="M143" t="s">
        <v>51</v>
      </c>
      <c r="N143">
        <v>2023</v>
      </c>
      <c r="O143">
        <v>23852</v>
      </c>
      <c r="P143" t="s">
        <v>730</v>
      </c>
      <c r="Q143" t="s">
        <v>731</v>
      </c>
      <c r="R143" t="s">
        <v>732</v>
      </c>
      <c r="S143" t="s">
        <v>733</v>
      </c>
      <c r="T143" t="s">
        <v>734</v>
      </c>
      <c r="U143" t="s">
        <v>735</v>
      </c>
      <c r="V143">
        <v>24</v>
      </c>
      <c r="W143" t="str">
        <f ca="1">IF(Tabela1[[#This Row],[datVigencia]]=0,"Expirado",IF(Tabela1[[#This Row],[datVigencia]]&gt;TODAY(),"Vigente","Expirado"))</f>
        <v>Vigente</v>
      </c>
      <c r="X143" s="2">
        <v>39936</v>
      </c>
      <c r="Y143" s="2">
        <v>1260.48</v>
      </c>
      <c r="Z143" s="2">
        <v>39936</v>
      </c>
      <c r="AA143" s="2">
        <v>0</v>
      </c>
      <c r="AB143" s="2">
        <f>Tabela1[[#This Row],[valPrincipal]]+Tabela1[[#This Row],[valReajustes]]+Tabela1[[#This Row],[valAditamentos]]-Tabela1[[#This Row],[valAnulacao]]</f>
        <v>81132.48000000001</v>
      </c>
      <c r="AC143" s="2">
        <f>IF(Tabela1[[#This Row],[VigenciaMeses]]=0,Tabela1[[#This Row],[valTotal]]/1,Tabela1[[#This Row],[valTotal]]/Tabela1[[#This Row],[VigenciaMeses]])</f>
        <v>3380.5200000000004</v>
      </c>
      <c r="AD143" s="2">
        <f>Tabela1[[#This Row],[valMensal]]*12</f>
        <v>40566.240000000005</v>
      </c>
      <c r="AE143" s="2">
        <v>84174.45</v>
      </c>
      <c r="AF143" s="2">
        <v>10839.86</v>
      </c>
      <c r="AG143" s="2">
        <v>73334.59</v>
      </c>
      <c r="AH143" s="2">
        <v>62566.04</v>
      </c>
      <c r="AI143" s="2">
        <v>59335.040000000001</v>
      </c>
      <c r="AJ143" t="s">
        <v>47</v>
      </c>
    </row>
    <row r="144" spans="1:36" x14ac:dyDescent="0.25">
      <c r="A144" t="s">
        <v>36</v>
      </c>
      <c r="B144" t="s">
        <v>37</v>
      </c>
      <c r="C144" t="s">
        <v>38</v>
      </c>
      <c r="D144" t="s">
        <v>39</v>
      </c>
      <c r="E144">
        <v>14</v>
      </c>
      <c r="F144">
        <v>122</v>
      </c>
      <c r="G144">
        <v>3024</v>
      </c>
      <c r="H144">
        <v>2100</v>
      </c>
      <c r="I144" t="s">
        <v>48</v>
      </c>
      <c r="J144" t="s">
        <v>55</v>
      </c>
      <c r="K144" t="s">
        <v>56</v>
      </c>
      <c r="L144">
        <v>8</v>
      </c>
      <c r="M144" t="s">
        <v>43</v>
      </c>
      <c r="N144">
        <v>2019</v>
      </c>
      <c r="O144">
        <v>14295</v>
      </c>
      <c r="P144" t="s">
        <v>400</v>
      </c>
      <c r="Q144" t="s">
        <v>401</v>
      </c>
      <c r="R144" t="s">
        <v>402</v>
      </c>
      <c r="S144" t="s">
        <v>403</v>
      </c>
      <c r="T144" t="s">
        <v>404</v>
      </c>
      <c r="U144" t="s">
        <v>405</v>
      </c>
      <c r="V144">
        <v>73</v>
      </c>
      <c r="W144" t="str">
        <f ca="1">IF(Tabela1[[#This Row],[datVigencia]]=0,"Expirado",IF(Tabela1[[#This Row],[datVigencia]]&gt;TODAY(),"Vigente","Expirado"))</f>
        <v>Vigente</v>
      </c>
      <c r="X144" s="2">
        <v>39498</v>
      </c>
      <c r="Y144" s="2">
        <v>0</v>
      </c>
      <c r="Z144" s="2">
        <v>78996</v>
      </c>
      <c r="AA144" s="2">
        <v>0</v>
      </c>
      <c r="AB144" s="2">
        <f>Tabela1[[#This Row],[valPrincipal]]+Tabela1[[#This Row],[valReajustes]]+Tabela1[[#This Row],[valAditamentos]]-Tabela1[[#This Row],[valAnulacao]]</f>
        <v>118494</v>
      </c>
      <c r="AC144" s="2">
        <f>IF(Tabela1[[#This Row],[VigenciaMeses]]=0,Tabela1[[#This Row],[valTotal]]/1,Tabela1[[#This Row],[valTotal]]/Tabela1[[#This Row],[VigenciaMeses]])</f>
        <v>1623.2054794520548</v>
      </c>
      <c r="AD144" s="2">
        <f>Tabela1[[#This Row],[valMensal]]*12</f>
        <v>19478.465753424658</v>
      </c>
      <c r="AE144" s="2">
        <v>126221.03</v>
      </c>
      <c r="AF144" s="2">
        <v>74003.12</v>
      </c>
      <c r="AG144" s="2">
        <v>52217.91</v>
      </c>
      <c r="AH144" s="2">
        <v>45060.41</v>
      </c>
      <c r="AI144" s="2">
        <v>45060.41</v>
      </c>
      <c r="AJ144" t="s">
        <v>47</v>
      </c>
    </row>
    <row r="145" spans="1:36" x14ac:dyDescent="0.25">
      <c r="A145" t="s">
        <v>36</v>
      </c>
      <c r="B145" t="s">
        <v>37</v>
      </c>
      <c r="C145" t="s">
        <v>38</v>
      </c>
      <c r="D145" t="s">
        <v>39</v>
      </c>
      <c r="E145">
        <v>14</v>
      </c>
      <c r="F145">
        <v>422</v>
      </c>
      <c r="G145">
        <v>3013</v>
      </c>
      <c r="H145">
        <v>6178</v>
      </c>
      <c r="I145" t="s">
        <v>157</v>
      </c>
      <c r="J145" t="s">
        <v>406</v>
      </c>
      <c r="K145" t="s">
        <v>407</v>
      </c>
      <c r="L145">
        <v>12</v>
      </c>
      <c r="M145" t="s">
        <v>51</v>
      </c>
      <c r="N145">
        <v>2025</v>
      </c>
      <c r="O145">
        <v>9738</v>
      </c>
      <c r="Q145" t="s">
        <v>974</v>
      </c>
      <c r="R145" t="s">
        <v>975</v>
      </c>
      <c r="V145">
        <v>12</v>
      </c>
      <c r="W145" t="str">
        <f ca="1">IF(Tabela1[[#This Row],[datVigencia]]=0,"Expirado",IF(Tabela1[[#This Row],[datVigencia]]&gt;TODAY(),"Vigente","Expirado"))</f>
        <v>Expirado</v>
      </c>
      <c r="X145" s="2">
        <v>38815.199999999997</v>
      </c>
      <c r="Y145" s="2">
        <v>0</v>
      </c>
      <c r="Z145" s="2">
        <v>0</v>
      </c>
      <c r="AA145" s="2">
        <v>0</v>
      </c>
      <c r="AB145" s="2">
        <f>Tabela1[[#This Row],[valPrincipal]]+Tabela1[[#This Row],[valReajustes]]+Tabela1[[#This Row],[valAditamentos]]-Tabela1[[#This Row],[valAnulacao]]</f>
        <v>38815.199999999997</v>
      </c>
      <c r="AC145" s="2">
        <f>IF(Tabela1[[#This Row],[VigenciaMeses]]=0,Tabela1[[#This Row],[valTotal]]/1,Tabela1[[#This Row],[valTotal]]/Tabela1[[#This Row],[VigenciaMeses]])</f>
        <v>3234.6</v>
      </c>
      <c r="AD145" s="2">
        <f>Tabela1[[#This Row],[valMensal]]*12</f>
        <v>38815.199999999997</v>
      </c>
      <c r="AE145" s="2">
        <v>38815.199999999997</v>
      </c>
      <c r="AF145" s="2">
        <v>0</v>
      </c>
      <c r="AG145" s="2">
        <v>38815.199999999997</v>
      </c>
      <c r="AH145" s="2">
        <v>0</v>
      </c>
      <c r="AI145" s="2">
        <v>0</v>
      </c>
      <c r="AJ145" t="s">
        <v>47</v>
      </c>
    </row>
    <row r="146" spans="1:36" x14ac:dyDescent="0.25">
      <c r="A146" t="s">
        <v>36</v>
      </c>
      <c r="B146" t="s">
        <v>37</v>
      </c>
      <c r="C146" t="s">
        <v>38</v>
      </c>
      <c r="D146" t="s">
        <v>39</v>
      </c>
      <c r="E146">
        <v>14</v>
      </c>
      <c r="F146">
        <v>422</v>
      </c>
      <c r="G146">
        <v>3013</v>
      </c>
      <c r="H146">
        <v>2053</v>
      </c>
      <c r="I146" t="s">
        <v>157</v>
      </c>
      <c r="J146" t="s">
        <v>406</v>
      </c>
      <c r="K146" t="s">
        <v>407</v>
      </c>
      <c r="L146">
        <v>6</v>
      </c>
      <c r="M146" t="s">
        <v>97</v>
      </c>
      <c r="N146">
        <v>2024</v>
      </c>
      <c r="O146">
        <v>11198</v>
      </c>
      <c r="P146" t="s">
        <v>907</v>
      </c>
      <c r="Q146" t="s">
        <v>908</v>
      </c>
      <c r="R146" t="s">
        <v>909</v>
      </c>
      <c r="S146" t="s">
        <v>910</v>
      </c>
      <c r="T146" t="s">
        <v>911</v>
      </c>
      <c r="U146" t="s">
        <v>912</v>
      </c>
      <c r="V146">
        <v>12</v>
      </c>
      <c r="W146" t="str">
        <f ca="1">IF(Tabela1[[#This Row],[datVigencia]]=0,"Expirado",IF(Tabela1[[#This Row],[datVigencia]]&gt;TODAY(),"Vigente","Expirado"))</f>
        <v>Vigente</v>
      </c>
      <c r="X146" s="2">
        <v>38304</v>
      </c>
      <c r="Y146" s="2">
        <v>0</v>
      </c>
      <c r="Z146" s="2">
        <v>9576</v>
      </c>
      <c r="AA146" s="2">
        <v>0</v>
      </c>
      <c r="AB146" s="2">
        <f>Tabela1[[#This Row],[valPrincipal]]+Tabela1[[#This Row],[valReajustes]]+Tabela1[[#This Row],[valAditamentos]]-Tabela1[[#This Row],[valAnulacao]]</f>
        <v>47880</v>
      </c>
      <c r="AC146" s="2">
        <f>IF(Tabela1[[#This Row],[VigenciaMeses]]=0,Tabela1[[#This Row],[valTotal]]/1,Tabela1[[#This Row],[valTotal]]/Tabela1[[#This Row],[VigenciaMeses]])</f>
        <v>3990</v>
      </c>
      <c r="AD146" s="2">
        <f>Tabela1[[#This Row],[valMensal]]*12</f>
        <v>47880</v>
      </c>
      <c r="AE146" s="2">
        <v>65435.28</v>
      </c>
      <c r="AF146" s="2">
        <v>36308.28</v>
      </c>
      <c r="AG146" s="2">
        <v>29127</v>
      </c>
      <c r="AH146" s="2">
        <v>7581</v>
      </c>
      <c r="AI146" s="2">
        <v>7581</v>
      </c>
      <c r="AJ146" t="s">
        <v>47</v>
      </c>
    </row>
    <row r="147" spans="1:36" x14ac:dyDescent="0.25">
      <c r="A147" t="s">
        <v>36</v>
      </c>
      <c r="B147" t="s">
        <v>37</v>
      </c>
      <c r="C147" t="s">
        <v>38</v>
      </c>
      <c r="D147" t="s">
        <v>39</v>
      </c>
      <c r="E147">
        <v>14</v>
      </c>
      <c r="F147">
        <v>122</v>
      </c>
      <c r="G147">
        <v>3024</v>
      </c>
      <c r="H147">
        <v>2100</v>
      </c>
      <c r="I147" t="s">
        <v>48</v>
      </c>
      <c r="J147" t="s">
        <v>55</v>
      </c>
      <c r="K147" t="s">
        <v>56</v>
      </c>
      <c r="L147">
        <v>12</v>
      </c>
      <c r="M147" t="s">
        <v>51</v>
      </c>
      <c r="N147">
        <v>2019</v>
      </c>
      <c r="O147">
        <v>14086</v>
      </c>
      <c r="P147" t="s">
        <v>529</v>
      </c>
      <c r="Q147" t="s">
        <v>530</v>
      </c>
      <c r="R147" t="s">
        <v>531</v>
      </c>
      <c r="S147" t="s">
        <v>532</v>
      </c>
      <c r="T147" t="s">
        <v>533</v>
      </c>
      <c r="U147" t="s">
        <v>534</v>
      </c>
      <c r="V147">
        <v>73</v>
      </c>
      <c r="W147" t="str">
        <f ca="1">IF(Tabela1[[#This Row],[datVigencia]]=0,"Expirado",IF(Tabela1[[#This Row],[datVigencia]]&gt;TODAY(),"Vigente","Expirado"))</f>
        <v>Vigente</v>
      </c>
      <c r="X147" s="2">
        <v>35990</v>
      </c>
      <c r="Y147" s="2">
        <v>32673.96</v>
      </c>
      <c r="Z147" s="2">
        <v>174000</v>
      </c>
      <c r="AA147" s="2">
        <v>0</v>
      </c>
      <c r="AB147" s="2">
        <f>Tabela1[[#This Row],[valPrincipal]]+Tabela1[[#This Row],[valReajustes]]+Tabela1[[#This Row],[valAditamentos]]-Tabela1[[#This Row],[valAnulacao]]</f>
        <v>242663.96</v>
      </c>
      <c r="AC147" s="2">
        <f>IF(Tabela1[[#This Row],[VigenciaMeses]]=0,Tabela1[[#This Row],[valTotal]]/1,Tabela1[[#This Row],[valTotal]]/Tabela1[[#This Row],[VigenciaMeses]])</f>
        <v>3324.1638356164381</v>
      </c>
      <c r="AD147" s="2">
        <f>Tabela1[[#This Row],[valMensal]]*12</f>
        <v>39889.966027397255</v>
      </c>
      <c r="AE147" s="2">
        <v>320646.53999999998</v>
      </c>
      <c r="AF147" s="2">
        <v>85909.25</v>
      </c>
      <c r="AG147" s="2">
        <v>234737.29</v>
      </c>
      <c r="AH147" s="2">
        <v>234108.63</v>
      </c>
      <c r="AI147" s="2">
        <v>230336.58</v>
      </c>
      <c r="AJ147" t="s">
        <v>47</v>
      </c>
    </row>
    <row r="148" spans="1:36" x14ac:dyDescent="0.25">
      <c r="A148" t="s">
        <v>36</v>
      </c>
      <c r="B148" t="s">
        <v>37</v>
      </c>
      <c r="C148" t="s">
        <v>38</v>
      </c>
      <c r="D148" t="s">
        <v>39</v>
      </c>
      <c r="E148">
        <v>14</v>
      </c>
      <c r="F148">
        <v>243</v>
      </c>
      <c r="G148">
        <v>3013</v>
      </c>
      <c r="H148">
        <v>2157</v>
      </c>
      <c r="I148" t="s">
        <v>157</v>
      </c>
      <c r="J148" t="s">
        <v>207</v>
      </c>
      <c r="K148" t="s">
        <v>208</v>
      </c>
      <c r="L148">
        <v>6</v>
      </c>
      <c r="M148" t="s">
        <v>97</v>
      </c>
      <c r="N148">
        <v>2025</v>
      </c>
      <c r="O148">
        <v>9773</v>
      </c>
      <c r="Q148" t="s">
        <v>976</v>
      </c>
      <c r="R148" t="s">
        <v>977</v>
      </c>
      <c r="U148" t="s">
        <v>978</v>
      </c>
      <c r="V148">
        <v>12</v>
      </c>
      <c r="W148" t="str">
        <f ca="1">IF(Tabela1[[#This Row],[datVigencia]]=0,"Expirado",IF(Tabela1[[#This Row],[datVigencia]]&gt;TODAY(),"Vigente","Expirado"))</f>
        <v>Vigente</v>
      </c>
      <c r="X148" s="2">
        <v>35412</v>
      </c>
      <c r="Y148" s="2">
        <v>0</v>
      </c>
      <c r="Z148" s="2">
        <v>0</v>
      </c>
      <c r="AA148" s="2">
        <v>0</v>
      </c>
      <c r="AB148" s="2">
        <f>Tabela1[[#This Row],[valPrincipal]]+Tabela1[[#This Row],[valReajustes]]+Tabela1[[#This Row],[valAditamentos]]-Tabela1[[#This Row],[valAnulacao]]</f>
        <v>35412</v>
      </c>
      <c r="AC148" s="2">
        <f>IF(Tabela1[[#This Row],[VigenciaMeses]]=0,Tabela1[[#This Row],[valTotal]]/1,Tabela1[[#This Row],[valTotal]]/Tabela1[[#This Row],[VigenciaMeses]])</f>
        <v>2951</v>
      </c>
      <c r="AD148" s="2">
        <f>Tabela1[[#This Row],[valMensal]]*12</f>
        <v>35412</v>
      </c>
      <c r="AE148" s="2">
        <v>35412</v>
      </c>
      <c r="AF148" s="2">
        <v>0</v>
      </c>
      <c r="AG148" s="2">
        <v>35412</v>
      </c>
      <c r="AH148" s="2">
        <v>35412</v>
      </c>
      <c r="AI148" s="2">
        <v>35412</v>
      </c>
      <c r="AJ148" t="s">
        <v>47</v>
      </c>
    </row>
    <row r="149" spans="1:36" x14ac:dyDescent="0.25">
      <c r="A149" t="s">
        <v>36</v>
      </c>
      <c r="B149" t="s">
        <v>37</v>
      </c>
      <c r="C149" t="s">
        <v>38</v>
      </c>
      <c r="D149" t="s">
        <v>39</v>
      </c>
      <c r="E149">
        <v>14</v>
      </c>
      <c r="F149">
        <v>422</v>
      </c>
      <c r="G149">
        <v>3018</v>
      </c>
      <c r="H149">
        <v>4334</v>
      </c>
      <c r="I149" t="s">
        <v>48</v>
      </c>
      <c r="J149" t="s">
        <v>55</v>
      </c>
      <c r="K149" t="s">
        <v>56</v>
      </c>
      <c r="L149">
        <v>6</v>
      </c>
      <c r="M149" t="s">
        <v>97</v>
      </c>
      <c r="N149">
        <v>2023</v>
      </c>
      <c r="O149">
        <v>6172</v>
      </c>
      <c r="P149" t="s">
        <v>717</v>
      </c>
      <c r="Q149" t="s">
        <v>718</v>
      </c>
      <c r="R149" t="s">
        <v>719</v>
      </c>
      <c r="S149" t="s">
        <v>90</v>
      </c>
      <c r="T149" t="s">
        <v>720</v>
      </c>
      <c r="U149" t="s">
        <v>721</v>
      </c>
      <c r="V149">
        <v>37</v>
      </c>
      <c r="W149" t="str">
        <f ca="1">IF(Tabela1[[#This Row],[datVigencia]]=0,"Expirado",IF(Tabela1[[#This Row],[datVigencia]]&gt;TODAY(),"Vigente","Expirado"))</f>
        <v>Vigente</v>
      </c>
      <c r="X149" s="2">
        <v>32868</v>
      </c>
      <c r="Y149" s="2">
        <v>0</v>
      </c>
      <c r="Z149" s="2">
        <v>26056</v>
      </c>
      <c r="AA149" s="2">
        <v>0</v>
      </c>
      <c r="AB149" s="2">
        <f>Tabela1[[#This Row],[valPrincipal]]+Tabela1[[#This Row],[valReajustes]]+Tabela1[[#This Row],[valAditamentos]]-Tabela1[[#This Row],[valAnulacao]]</f>
        <v>58924</v>
      </c>
      <c r="AC149" s="2">
        <f>IF(Tabela1[[#This Row],[VigenciaMeses]]=0,Tabela1[[#This Row],[valTotal]]/1,Tabela1[[#This Row],[valTotal]]/Tabela1[[#This Row],[VigenciaMeses]])</f>
        <v>1592.5405405405406</v>
      </c>
      <c r="AD149" s="2">
        <f>Tabela1[[#This Row],[valMensal]]*12</f>
        <v>19110.486486486487</v>
      </c>
      <c r="AE149" s="2">
        <v>75898.7</v>
      </c>
      <c r="AF149" s="2">
        <v>65190.7</v>
      </c>
      <c r="AG149" s="2">
        <v>10708</v>
      </c>
      <c r="AH149" s="2">
        <v>4379.12</v>
      </c>
      <c r="AI149" s="2">
        <v>3214.97</v>
      </c>
      <c r="AJ149" t="s">
        <v>47</v>
      </c>
    </row>
    <row r="150" spans="1:36" x14ac:dyDescent="0.25">
      <c r="A150" t="s">
        <v>36</v>
      </c>
      <c r="B150" t="s">
        <v>37</v>
      </c>
      <c r="C150" t="s">
        <v>38</v>
      </c>
      <c r="D150" t="s">
        <v>39</v>
      </c>
      <c r="E150">
        <v>14</v>
      </c>
      <c r="F150">
        <v>122</v>
      </c>
      <c r="G150">
        <v>3024</v>
      </c>
      <c r="H150">
        <v>2100</v>
      </c>
      <c r="I150" t="s">
        <v>48</v>
      </c>
      <c r="J150" t="s">
        <v>55</v>
      </c>
      <c r="K150" t="s">
        <v>56</v>
      </c>
      <c r="L150">
        <v>6</v>
      </c>
      <c r="M150" t="s">
        <v>97</v>
      </c>
      <c r="N150">
        <v>2024</v>
      </c>
      <c r="O150">
        <v>6745</v>
      </c>
      <c r="P150" t="s">
        <v>587</v>
      </c>
      <c r="Q150" t="s">
        <v>588</v>
      </c>
      <c r="R150" t="s">
        <v>589</v>
      </c>
      <c r="S150" t="s">
        <v>590</v>
      </c>
      <c r="T150" t="s">
        <v>591</v>
      </c>
      <c r="U150" t="s">
        <v>560</v>
      </c>
      <c r="V150">
        <v>12</v>
      </c>
      <c r="W150" t="str">
        <f ca="1">IF(Tabela1[[#This Row],[datVigencia]]=0,"Expirado",IF(Tabela1[[#This Row],[datVigencia]]&gt;TODAY(),"Vigente","Expirado"))</f>
        <v>Vigente</v>
      </c>
      <c r="X150" s="2">
        <v>32400</v>
      </c>
      <c r="Y150" s="2">
        <v>0</v>
      </c>
      <c r="Z150" s="2">
        <v>0</v>
      </c>
      <c r="AA150" s="2">
        <v>0</v>
      </c>
      <c r="AB150" s="2">
        <f>Tabela1[[#This Row],[valPrincipal]]+Tabela1[[#This Row],[valReajustes]]+Tabela1[[#This Row],[valAditamentos]]-Tabela1[[#This Row],[valAnulacao]]</f>
        <v>32400</v>
      </c>
      <c r="AC150" s="2">
        <f>IF(Tabela1[[#This Row],[VigenciaMeses]]=0,Tabela1[[#This Row],[valTotal]]/1,Tabela1[[#This Row],[valTotal]]/Tabela1[[#This Row],[VigenciaMeses]])</f>
        <v>2700</v>
      </c>
      <c r="AD150" s="2">
        <f>Tabela1[[#This Row],[valMensal]]*12</f>
        <v>32400</v>
      </c>
      <c r="AE150" s="2">
        <v>33570</v>
      </c>
      <c r="AF150" s="2">
        <v>1170</v>
      </c>
      <c r="AG150" s="2">
        <v>32400</v>
      </c>
      <c r="AH150" s="2">
        <v>32400</v>
      </c>
      <c r="AI150" s="2">
        <v>32400</v>
      </c>
      <c r="AJ150" t="s">
        <v>47</v>
      </c>
    </row>
    <row r="151" spans="1:36" x14ac:dyDescent="0.25">
      <c r="A151" t="s">
        <v>36</v>
      </c>
      <c r="B151" t="s">
        <v>37</v>
      </c>
      <c r="C151" t="s">
        <v>38</v>
      </c>
      <c r="D151" t="s">
        <v>39</v>
      </c>
      <c r="E151">
        <v>8</v>
      </c>
      <c r="F151">
        <v>605</v>
      </c>
      <c r="G151">
        <v>3016</v>
      </c>
      <c r="H151">
        <v>4470</v>
      </c>
      <c r="I151" t="s">
        <v>157</v>
      </c>
      <c r="J151" t="s">
        <v>207</v>
      </c>
      <c r="K151" t="s">
        <v>208</v>
      </c>
      <c r="L151">
        <v>6</v>
      </c>
      <c r="M151" t="s">
        <v>97</v>
      </c>
      <c r="N151">
        <v>2025</v>
      </c>
      <c r="O151">
        <v>13470</v>
      </c>
      <c r="Q151" t="s">
        <v>1180</v>
      </c>
      <c r="R151" t="s">
        <v>1181</v>
      </c>
      <c r="V151">
        <v>12</v>
      </c>
      <c r="W151" t="str">
        <f ca="1">IF(Tabela1[[#This Row],[datVigencia]]=0,"Expirado",IF(Tabela1[[#This Row],[datVigencia]]&gt;TODAY(),"Vigente","Expirado"))</f>
        <v>Expirado</v>
      </c>
      <c r="X151" s="2">
        <v>31900</v>
      </c>
      <c r="Y151" s="2">
        <v>0</v>
      </c>
      <c r="Z151" s="2">
        <v>0</v>
      </c>
      <c r="AA151" s="2">
        <v>0</v>
      </c>
      <c r="AB151" s="2">
        <f>Tabela1[[#This Row],[valPrincipal]]+Tabela1[[#This Row],[valReajustes]]+Tabela1[[#This Row],[valAditamentos]]-Tabela1[[#This Row],[valAnulacao]]</f>
        <v>31900</v>
      </c>
      <c r="AC151" s="2">
        <f>IF(Tabela1[[#This Row],[VigenciaMeses]]=0,Tabela1[[#This Row],[valTotal]]/1,Tabela1[[#This Row],[valTotal]]/Tabela1[[#This Row],[VigenciaMeses]])</f>
        <v>2658.3333333333335</v>
      </c>
      <c r="AD151" s="2">
        <f>Tabela1[[#This Row],[valMensal]]*12</f>
        <v>31900</v>
      </c>
      <c r="AE151" s="2">
        <v>31900</v>
      </c>
      <c r="AF151" s="2">
        <v>0</v>
      </c>
      <c r="AG151" s="2">
        <v>31900</v>
      </c>
      <c r="AH151" s="2">
        <v>0</v>
      </c>
      <c r="AI151" s="2">
        <v>0</v>
      </c>
      <c r="AJ151" t="s">
        <v>47</v>
      </c>
    </row>
    <row r="152" spans="1:36" x14ac:dyDescent="0.25">
      <c r="A152" t="s">
        <v>36</v>
      </c>
      <c r="B152" t="s">
        <v>1076</v>
      </c>
      <c r="C152" t="s">
        <v>1077</v>
      </c>
      <c r="D152" t="s">
        <v>39</v>
      </c>
      <c r="E152">
        <v>14</v>
      </c>
      <c r="F152">
        <v>422</v>
      </c>
      <c r="G152">
        <v>3018</v>
      </c>
      <c r="H152">
        <v>4326</v>
      </c>
      <c r="I152" t="s">
        <v>48</v>
      </c>
      <c r="J152" t="s">
        <v>55</v>
      </c>
      <c r="K152" t="s">
        <v>56</v>
      </c>
      <c r="L152">
        <v>7</v>
      </c>
      <c r="M152" t="s">
        <v>324</v>
      </c>
      <c r="N152">
        <v>2025</v>
      </c>
      <c r="O152">
        <v>16770</v>
      </c>
      <c r="Q152" t="s">
        <v>1361</v>
      </c>
      <c r="R152" t="s">
        <v>1362</v>
      </c>
      <c r="V152">
        <v>12</v>
      </c>
      <c r="W152" t="str">
        <f ca="1">IF(Tabela1[[#This Row],[datVigencia]]=0,"Expirado",IF(Tabela1[[#This Row],[datVigencia]]&gt;TODAY(),"Vigente","Expirado"))</f>
        <v>Expirado</v>
      </c>
      <c r="X152" s="2">
        <v>31200</v>
      </c>
      <c r="Y152" s="2">
        <v>0</v>
      </c>
      <c r="Z152" s="2">
        <v>0</v>
      </c>
      <c r="AA152" s="2">
        <v>0</v>
      </c>
      <c r="AB152" s="2">
        <f>Tabela1[[#This Row],[valPrincipal]]+Tabela1[[#This Row],[valReajustes]]+Tabela1[[#This Row],[valAditamentos]]-Tabela1[[#This Row],[valAnulacao]]</f>
        <v>31200</v>
      </c>
      <c r="AC152" s="2">
        <f>IF(Tabela1[[#This Row],[VigenciaMeses]]=0,Tabela1[[#This Row],[valTotal]]/1,Tabela1[[#This Row],[valTotal]]/Tabela1[[#This Row],[VigenciaMeses]])</f>
        <v>2600</v>
      </c>
      <c r="AD152" s="2">
        <f>Tabela1[[#This Row],[valMensal]]*12</f>
        <v>31200</v>
      </c>
      <c r="AE152" s="2">
        <v>31200</v>
      </c>
      <c r="AF152" s="2">
        <v>0</v>
      </c>
      <c r="AG152" s="2">
        <v>31200</v>
      </c>
      <c r="AH152" s="2">
        <v>0</v>
      </c>
      <c r="AI152" s="2">
        <v>0</v>
      </c>
      <c r="AJ152" t="s">
        <v>47</v>
      </c>
    </row>
    <row r="153" spans="1:36" x14ac:dyDescent="0.25">
      <c r="A153" t="s">
        <v>36</v>
      </c>
      <c r="B153" t="s">
        <v>37</v>
      </c>
      <c r="C153" t="s">
        <v>38</v>
      </c>
      <c r="D153" t="s">
        <v>39</v>
      </c>
      <c r="E153">
        <v>14</v>
      </c>
      <c r="F153">
        <v>422</v>
      </c>
      <c r="G153">
        <v>3013</v>
      </c>
      <c r="H153">
        <v>2053</v>
      </c>
      <c r="I153" t="s">
        <v>157</v>
      </c>
      <c r="J153" t="s">
        <v>207</v>
      </c>
      <c r="K153" t="s">
        <v>208</v>
      </c>
      <c r="L153">
        <v>6</v>
      </c>
      <c r="M153" t="s">
        <v>97</v>
      </c>
      <c r="N153">
        <v>2025</v>
      </c>
      <c r="O153">
        <v>11743</v>
      </c>
      <c r="Q153" t="s">
        <v>1101</v>
      </c>
      <c r="R153" t="s">
        <v>1102</v>
      </c>
      <c r="U153" t="s">
        <v>1100</v>
      </c>
      <c r="V153">
        <v>12</v>
      </c>
      <c r="W153" t="str">
        <f ca="1">IF(Tabela1[[#This Row],[datVigencia]]=0,"Expirado",IF(Tabela1[[#This Row],[datVigencia]]&gt;TODAY(),"Vigente","Expirado"))</f>
        <v>Vigente</v>
      </c>
      <c r="X153" s="2">
        <v>30000</v>
      </c>
      <c r="Y153" s="2">
        <v>0</v>
      </c>
      <c r="Z153" s="2">
        <v>0</v>
      </c>
      <c r="AA153" s="2">
        <v>0</v>
      </c>
      <c r="AB153" s="2">
        <f>Tabela1[[#This Row],[valPrincipal]]+Tabela1[[#This Row],[valReajustes]]+Tabela1[[#This Row],[valAditamentos]]-Tabela1[[#This Row],[valAnulacao]]</f>
        <v>30000</v>
      </c>
      <c r="AC153" s="2">
        <f>IF(Tabela1[[#This Row],[VigenciaMeses]]=0,Tabela1[[#This Row],[valTotal]]/1,Tabela1[[#This Row],[valTotal]]/Tabela1[[#This Row],[VigenciaMeses]])</f>
        <v>2500</v>
      </c>
      <c r="AD153" s="2">
        <f>Tabela1[[#This Row],[valMensal]]*12</f>
        <v>30000</v>
      </c>
      <c r="AE153" s="2">
        <v>30000</v>
      </c>
      <c r="AF153" s="2">
        <v>0</v>
      </c>
      <c r="AG153" s="2">
        <v>30000</v>
      </c>
      <c r="AH153" s="2">
        <v>30000</v>
      </c>
      <c r="AI153" s="2">
        <v>30000</v>
      </c>
      <c r="AJ153" t="s">
        <v>47</v>
      </c>
    </row>
    <row r="154" spans="1:36" x14ac:dyDescent="0.25">
      <c r="A154" t="s">
        <v>36</v>
      </c>
      <c r="B154" t="s">
        <v>37</v>
      </c>
      <c r="C154" t="s">
        <v>38</v>
      </c>
      <c r="D154" t="s">
        <v>39</v>
      </c>
      <c r="E154">
        <v>14</v>
      </c>
      <c r="F154">
        <v>122</v>
      </c>
      <c r="G154">
        <v>3024</v>
      </c>
      <c r="H154">
        <v>2100</v>
      </c>
      <c r="I154" t="s">
        <v>157</v>
      </c>
      <c r="J154" t="s">
        <v>49</v>
      </c>
      <c r="K154" t="s">
        <v>50</v>
      </c>
      <c r="L154">
        <v>12</v>
      </c>
      <c r="M154" t="s">
        <v>51</v>
      </c>
      <c r="N154">
        <v>2025</v>
      </c>
      <c r="O154">
        <v>13073</v>
      </c>
      <c r="Q154" t="s">
        <v>1163</v>
      </c>
      <c r="R154" t="s">
        <v>1164</v>
      </c>
      <c r="U154" t="s">
        <v>1165</v>
      </c>
      <c r="V154">
        <v>12</v>
      </c>
      <c r="W154" t="str">
        <f ca="1">IF(Tabela1[[#This Row],[datVigencia]]=0,"Expirado",IF(Tabela1[[#This Row],[datVigencia]]&gt;TODAY(),"Vigente","Expirado"))</f>
        <v>Vigente</v>
      </c>
      <c r="X154" s="2">
        <v>28000</v>
      </c>
      <c r="Y154" s="2">
        <v>0</v>
      </c>
      <c r="Z154" s="2">
        <v>0</v>
      </c>
      <c r="AA154" s="2">
        <v>0</v>
      </c>
      <c r="AB154" s="2">
        <f>Tabela1[[#This Row],[valPrincipal]]+Tabela1[[#This Row],[valReajustes]]+Tabela1[[#This Row],[valAditamentos]]-Tabela1[[#This Row],[valAnulacao]]</f>
        <v>28000</v>
      </c>
      <c r="AC154" s="2">
        <f>IF(Tabela1[[#This Row],[VigenciaMeses]]=0,Tabela1[[#This Row],[valTotal]]/1,Tabela1[[#This Row],[valTotal]]/Tabela1[[#This Row],[VigenciaMeses]])</f>
        <v>2333.3333333333335</v>
      </c>
      <c r="AD154" s="2">
        <f>Tabela1[[#This Row],[valMensal]]*12</f>
        <v>28000</v>
      </c>
      <c r="AE154" s="2">
        <v>28000</v>
      </c>
      <c r="AF154" s="2">
        <v>0</v>
      </c>
      <c r="AG154" s="2">
        <v>28000</v>
      </c>
      <c r="AH154" s="2">
        <v>28000</v>
      </c>
      <c r="AI154" s="2">
        <v>28000</v>
      </c>
      <c r="AJ154" t="s">
        <v>47</v>
      </c>
    </row>
    <row r="155" spans="1:36" x14ac:dyDescent="0.25">
      <c r="A155" t="s">
        <v>36</v>
      </c>
      <c r="B155" t="s">
        <v>37</v>
      </c>
      <c r="C155" t="s">
        <v>38</v>
      </c>
      <c r="D155" t="s">
        <v>39</v>
      </c>
      <c r="E155">
        <v>14</v>
      </c>
      <c r="F155">
        <v>422</v>
      </c>
      <c r="G155">
        <v>3013</v>
      </c>
      <c r="H155">
        <v>2053</v>
      </c>
      <c r="I155" t="s">
        <v>157</v>
      </c>
      <c r="J155" t="s">
        <v>406</v>
      </c>
      <c r="K155" t="s">
        <v>407</v>
      </c>
      <c r="L155">
        <v>6</v>
      </c>
      <c r="M155" t="s">
        <v>97</v>
      </c>
      <c r="N155">
        <v>2025</v>
      </c>
      <c r="O155">
        <v>15829</v>
      </c>
      <c r="Q155" t="s">
        <v>1280</v>
      </c>
      <c r="R155" t="s">
        <v>1281</v>
      </c>
      <c r="V155">
        <v>12</v>
      </c>
      <c r="W155" t="str">
        <f ca="1">IF(Tabela1[[#This Row],[datVigencia]]=0,"Expirado",IF(Tabela1[[#This Row],[datVigencia]]&gt;TODAY(),"Vigente","Expirado"))</f>
        <v>Expirado</v>
      </c>
      <c r="X155" s="2">
        <v>26199.65</v>
      </c>
      <c r="Y155" s="2">
        <v>0</v>
      </c>
      <c r="Z155" s="2">
        <v>0</v>
      </c>
      <c r="AA155" s="2">
        <v>0</v>
      </c>
      <c r="AB155" s="2">
        <f>Tabela1[[#This Row],[valPrincipal]]+Tabela1[[#This Row],[valReajustes]]+Tabela1[[#This Row],[valAditamentos]]-Tabela1[[#This Row],[valAnulacao]]</f>
        <v>26199.65</v>
      </c>
      <c r="AC155" s="2">
        <f>IF(Tabela1[[#This Row],[VigenciaMeses]]=0,Tabela1[[#This Row],[valTotal]]/1,Tabela1[[#This Row],[valTotal]]/Tabela1[[#This Row],[VigenciaMeses]])</f>
        <v>2183.3041666666668</v>
      </c>
      <c r="AD155" s="2">
        <f>Tabela1[[#This Row],[valMensal]]*12</f>
        <v>26199.65</v>
      </c>
      <c r="AE155" s="2">
        <v>26199.65</v>
      </c>
      <c r="AF155" s="2">
        <v>0</v>
      </c>
      <c r="AG155" s="2">
        <v>26199.65</v>
      </c>
      <c r="AH155" s="2">
        <v>0</v>
      </c>
      <c r="AI155" s="2">
        <v>0</v>
      </c>
      <c r="AJ155" t="s">
        <v>47</v>
      </c>
    </row>
    <row r="156" spans="1:36" x14ac:dyDescent="0.25">
      <c r="A156" t="s">
        <v>36</v>
      </c>
      <c r="B156" t="s">
        <v>37</v>
      </c>
      <c r="C156" t="s">
        <v>38</v>
      </c>
      <c r="D156" t="s">
        <v>39</v>
      </c>
      <c r="E156">
        <v>14</v>
      </c>
      <c r="F156">
        <v>122</v>
      </c>
      <c r="G156">
        <v>3024</v>
      </c>
      <c r="H156">
        <v>2100</v>
      </c>
      <c r="I156" t="s">
        <v>48</v>
      </c>
      <c r="J156" t="s">
        <v>55</v>
      </c>
      <c r="K156" t="s">
        <v>56</v>
      </c>
      <c r="L156">
        <v>12</v>
      </c>
      <c r="M156" t="s">
        <v>51</v>
      </c>
      <c r="N156">
        <v>2022</v>
      </c>
      <c r="O156">
        <v>29091</v>
      </c>
      <c r="P156" t="s">
        <v>627</v>
      </c>
      <c r="Q156" t="s">
        <v>628</v>
      </c>
      <c r="R156" t="s">
        <v>629</v>
      </c>
      <c r="S156" t="s">
        <v>630</v>
      </c>
      <c r="T156" t="s">
        <v>631</v>
      </c>
      <c r="U156" t="s">
        <v>632</v>
      </c>
      <c r="V156">
        <v>36</v>
      </c>
      <c r="W156" t="str">
        <f ca="1">IF(Tabela1[[#This Row],[datVigencia]]=0,"Expirado",IF(Tabela1[[#This Row],[datVigencia]]&gt;TODAY(),"Vigente","Expirado"))</f>
        <v>Vigente</v>
      </c>
      <c r="X156" s="2">
        <v>25320</v>
      </c>
      <c r="Y156" s="2">
        <v>1005.24</v>
      </c>
      <c r="Z156" s="2">
        <v>50640</v>
      </c>
      <c r="AA156" s="2">
        <v>0</v>
      </c>
      <c r="AB156" s="2">
        <f>Tabela1[[#This Row],[valPrincipal]]+Tabela1[[#This Row],[valReajustes]]+Tabela1[[#This Row],[valAditamentos]]-Tabela1[[#This Row],[valAnulacao]]</f>
        <v>76965.240000000005</v>
      </c>
      <c r="AC156" s="2">
        <f>IF(Tabela1[[#This Row],[VigenciaMeses]]=0,Tabela1[[#This Row],[valTotal]]/1,Tabela1[[#This Row],[valTotal]]/Tabela1[[#This Row],[VigenciaMeses]])</f>
        <v>2137.9233333333336</v>
      </c>
      <c r="AD156" s="2">
        <f>Tabela1[[#This Row],[valMensal]]*12</f>
        <v>25655.08</v>
      </c>
      <c r="AE156" s="2">
        <v>77459.679999999993</v>
      </c>
      <c r="AF156" s="2">
        <v>3499.77</v>
      </c>
      <c r="AG156" s="2">
        <v>73959.91</v>
      </c>
      <c r="AH156" s="2">
        <v>61309.17</v>
      </c>
      <c r="AI156" s="2">
        <v>61309.17</v>
      </c>
      <c r="AJ156" t="s">
        <v>47</v>
      </c>
    </row>
    <row r="157" spans="1:36" x14ac:dyDescent="0.25">
      <c r="A157" t="s">
        <v>36</v>
      </c>
      <c r="B157" t="s">
        <v>37</v>
      </c>
      <c r="C157" t="s">
        <v>38</v>
      </c>
      <c r="D157" t="s">
        <v>39</v>
      </c>
      <c r="E157">
        <v>14</v>
      </c>
      <c r="F157">
        <v>122</v>
      </c>
      <c r="G157">
        <v>3024</v>
      </c>
      <c r="H157">
        <v>2100</v>
      </c>
      <c r="I157" t="s">
        <v>48</v>
      </c>
      <c r="J157" t="s">
        <v>571</v>
      </c>
      <c r="K157" t="s">
        <v>572</v>
      </c>
      <c r="L157">
        <v>6</v>
      </c>
      <c r="M157" t="s">
        <v>97</v>
      </c>
      <c r="N157">
        <v>2025</v>
      </c>
      <c r="O157">
        <v>3373</v>
      </c>
      <c r="Q157" t="s">
        <v>573</v>
      </c>
      <c r="R157" t="s">
        <v>574</v>
      </c>
      <c r="U157" t="s">
        <v>46</v>
      </c>
      <c r="V157">
        <v>12</v>
      </c>
      <c r="W157" t="str">
        <f ca="1">IF(Tabela1[[#This Row],[datVigencia]]=0,"Expirado",IF(Tabela1[[#This Row],[datVigencia]]&gt;TODAY(),"Vigente","Expirado"))</f>
        <v>Vigente</v>
      </c>
      <c r="X157" s="2">
        <v>25000</v>
      </c>
      <c r="Y157" s="2">
        <v>0</v>
      </c>
      <c r="Z157" s="2">
        <v>0</v>
      </c>
      <c r="AA157" s="2">
        <v>0</v>
      </c>
      <c r="AB157" s="2">
        <f>Tabela1[[#This Row],[valPrincipal]]+Tabela1[[#This Row],[valReajustes]]+Tabela1[[#This Row],[valAditamentos]]-Tabela1[[#This Row],[valAnulacao]]</f>
        <v>25000</v>
      </c>
      <c r="AC157" s="2">
        <f>IF(Tabela1[[#This Row],[VigenciaMeses]]=0,Tabela1[[#This Row],[valTotal]]/1,Tabela1[[#This Row],[valTotal]]/Tabela1[[#This Row],[VigenciaMeses]])</f>
        <v>2083.3333333333335</v>
      </c>
      <c r="AD157" s="2">
        <f>Tabela1[[#This Row],[valMensal]]*12</f>
        <v>25000</v>
      </c>
      <c r="AE157" s="2">
        <v>25000</v>
      </c>
      <c r="AF157" s="2">
        <v>668.66</v>
      </c>
      <c r="AG157" s="2">
        <v>24331.34</v>
      </c>
      <c r="AH157" s="2">
        <v>1271.6199999999999</v>
      </c>
      <c r="AI157" s="2">
        <v>1271.6199999999999</v>
      </c>
      <c r="AJ157" t="s">
        <v>47</v>
      </c>
    </row>
    <row r="158" spans="1:36" x14ac:dyDescent="0.25">
      <c r="A158" t="s">
        <v>36</v>
      </c>
      <c r="B158" t="s">
        <v>37</v>
      </c>
      <c r="C158" t="s">
        <v>38</v>
      </c>
      <c r="D158" t="s">
        <v>39</v>
      </c>
      <c r="E158">
        <v>14</v>
      </c>
      <c r="F158">
        <v>422</v>
      </c>
      <c r="G158">
        <v>3013</v>
      </c>
      <c r="H158">
        <v>6178</v>
      </c>
      <c r="I158" t="s">
        <v>48</v>
      </c>
      <c r="J158" t="s">
        <v>55</v>
      </c>
      <c r="K158" t="s">
        <v>56</v>
      </c>
      <c r="L158">
        <v>8</v>
      </c>
      <c r="M158" t="s">
        <v>43</v>
      </c>
      <c r="N158">
        <v>2020</v>
      </c>
      <c r="O158">
        <v>10771</v>
      </c>
      <c r="P158" t="s">
        <v>700</v>
      </c>
      <c r="Q158" t="s">
        <v>701</v>
      </c>
      <c r="R158" t="s">
        <v>702</v>
      </c>
      <c r="S158" t="s">
        <v>703</v>
      </c>
      <c r="T158" t="s">
        <v>618</v>
      </c>
      <c r="U158" t="s">
        <v>704</v>
      </c>
      <c r="V158">
        <v>60</v>
      </c>
      <c r="W158" t="str">
        <f ca="1">IF(Tabela1[[#This Row],[datVigencia]]=0,"Expirado",IF(Tabela1[[#This Row],[datVigencia]]&gt;TODAY(),"Vigente","Expirado"))</f>
        <v>Vigente</v>
      </c>
      <c r="X158" s="2">
        <v>24055.200000000001</v>
      </c>
      <c r="Y158" s="2">
        <v>0</v>
      </c>
      <c r="Z158" s="2">
        <v>177148.79999999999</v>
      </c>
      <c r="AA158" s="2">
        <v>0</v>
      </c>
      <c r="AB158" s="2">
        <f>Tabela1[[#This Row],[valPrincipal]]+Tabela1[[#This Row],[valReajustes]]+Tabela1[[#This Row],[valAditamentos]]-Tabela1[[#This Row],[valAnulacao]]</f>
        <v>201204</v>
      </c>
      <c r="AC158" s="2">
        <f>IF(Tabela1[[#This Row],[VigenciaMeses]]=0,Tabela1[[#This Row],[valTotal]]/1,Tabela1[[#This Row],[valTotal]]/Tabela1[[#This Row],[VigenciaMeses]])</f>
        <v>3353.4</v>
      </c>
      <c r="AD158" s="2">
        <f>Tabela1[[#This Row],[valMensal]]*12</f>
        <v>40240.800000000003</v>
      </c>
      <c r="AE158" s="2">
        <v>242731.01</v>
      </c>
      <c r="AF158" s="2">
        <v>197266.81</v>
      </c>
      <c r="AG158" s="2">
        <v>45464.2</v>
      </c>
      <c r="AH158" s="2">
        <v>20432.38</v>
      </c>
      <c r="AI158" s="2">
        <v>20432.38</v>
      </c>
      <c r="AJ158" t="s">
        <v>47</v>
      </c>
    </row>
    <row r="159" spans="1:36" x14ac:dyDescent="0.25">
      <c r="A159" t="s">
        <v>36</v>
      </c>
      <c r="B159" t="s">
        <v>37</v>
      </c>
      <c r="C159" t="s">
        <v>38</v>
      </c>
      <c r="D159" t="s">
        <v>39</v>
      </c>
      <c r="E159">
        <v>14</v>
      </c>
      <c r="F159">
        <v>122</v>
      </c>
      <c r="G159">
        <v>3024</v>
      </c>
      <c r="H159">
        <v>2100</v>
      </c>
      <c r="I159" t="s">
        <v>48</v>
      </c>
      <c r="J159" t="s">
        <v>55</v>
      </c>
      <c r="K159" t="s">
        <v>56</v>
      </c>
      <c r="L159">
        <v>6</v>
      </c>
      <c r="M159" t="s">
        <v>97</v>
      </c>
      <c r="N159">
        <v>2025</v>
      </c>
      <c r="O159">
        <v>4963</v>
      </c>
      <c r="P159" t="s">
        <v>828</v>
      </c>
      <c r="Q159" t="s">
        <v>829</v>
      </c>
      <c r="R159" t="s">
        <v>830</v>
      </c>
      <c r="S159" t="s">
        <v>800</v>
      </c>
      <c r="T159" t="s">
        <v>464</v>
      </c>
      <c r="U159" t="s">
        <v>831</v>
      </c>
      <c r="V159">
        <v>1</v>
      </c>
      <c r="W159" t="str">
        <f ca="1">IF(Tabela1[[#This Row],[datVigencia]]=0,"Expirado",IF(Tabela1[[#This Row],[datVigencia]]&gt;TODAY(),"Vigente","Expirado"))</f>
        <v>Vigente</v>
      </c>
      <c r="X159" s="2">
        <v>22700</v>
      </c>
      <c r="Y159" s="2">
        <v>0</v>
      </c>
      <c r="Z159" s="2">
        <v>0</v>
      </c>
      <c r="AA159" s="2">
        <v>0</v>
      </c>
      <c r="AB159" s="2">
        <f>Tabela1[[#This Row],[valPrincipal]]+Tabela1[[#This Row],[valReajustes]]+Tabela1[[#This Row],[valAditamentos]]-Tabela1[[#This Row],[valAnulacao]]</f>
        <v>22700</v>
      </c>
      <c r="AC159" s="2">
        <f>IF(Tabela1[[#This Row],[VigenciaMeses]]=0,Tabela1[[#This Row],[valTotal]]/1,Tabela1[[#This Row],[valTotal]]/Tabela1[[#This Row],[VigenciaMeses]])</f>
        <v>22700</v>
      </c>
      <c r="AD159" s="2">
        <f>Tabela1[[#This Row],[valMensal]]*12</f>
        <v>272400</v>
      </c>
      <c r="AE159" s="2">
        <v>22700</v>
      </c>
      <c r="AF159" s="2">
        <v>0</v>
      </c>
      <c r="AG159" s="2">
        <v>22700</v>
      </c>
      <c r="AH159" s="2">
        <v>22700</v>
      </c>
      <c r="AI159" s="2">
        <v>22700</v>
      </c>
      <c r="AJ159" t="s">
        <v>47</v>
      </c>
    </row>
    <row r="160" spans="1:36" x14ac:dyDescent="0.25">
      <c r="A160" t="s">
        <v>36</v>
      </c>
      <c r="B160" t="s">
        <v>37</v>
      </c>
      <c r="C160" t="s">
        <v>38</v>
      </c>
      <c r="D160" t="s">
        <v>39</v>
      </c>
      <c r="E160">
        <v>14</v>
      </c>
      <c r="F160">
        <v>422</v>
      </c>
      <c r="G160">
        <v>3013</v>
      </c>
      <c r="H160">
        <v>6178</v>
      </c>
      <c r="I160" t="s">
        <v>157</v>
      </c>
      <c r="J160" t="s">
        <v>406</v>
      </c>
      <c r="K160" t="s">
        <v>407</v>
      </c>
      <c r="L160">
        <v>12</v>
      </c>
      <c r="M160" t="s">
        <v>51</v>
      </c>
      <c r="N160">
        <v>2025</v>
      </c>
      <c r="O160">
        <v>9492</v>
      </c>
      <c r="Q160" t="s">
        <v>969</v>
      </c>
      <c r="R160" t="s">
        <v>970</v>
      </c>
      <c r="V160">
        <v>12</v>
      </c>
      <c r="W160" t="str">
        <f ca="1">IF(Tabela1[[#This Row],[datVigencia]]=0,"Expirado",IF(Tabela1[[#This Row],[datVigencia]]&gt;TODAY(),"Vigente","Expirado"))</f>
        <v>Expirado</v>
      </c>
      <c r="X160" s="2">
        <v>22580</v>
      </c>
      <c r="Y160" s="2">
        <v>0</v>
      </c>
      <c r="Z160" s="2">
        <v>0</v>
      </c>
      <c r="AA160" s="2">
        <v>0</v>
      </c>
      <c r="AB160" s="2">
        <f>Tabela1[[#This Row],[valPrincipal]]+Tabela1[[#This Row],[valReajustes]]+Tabela1[[#This Row],[valAditamentos]]-Tabela1[[#This Row],[valAnulacao]]</f>
        <v>22580</v>
      </c>
      <c r="AC160" s="2">
        <f>IF(Tabela1[[#This Row],[VigenciaMeses]]=0,Tabela1[[#This Row],[valTotal]]/1,Tabela1[[#This Row],[valTotal]]/Tabela1[[#This Row],[VigenciaMeses]])</f>
        <v>1881.6666666666667</v>
      </c>
      <c r="AD160" s="2">
        <f>Tabela1[[#This Row],[valMensal]]*12</f>
        <v>22580</v>
      </c>
      <c r="AE160" s="2">
        <v>22580</v>
      </c>
      <c r="AF160" s="2">
        <v>0</v>
      </c>
      <c r="AG160" s="2">
        <v>22580</v>
      </c>
      <c r="AH160" s="2">
        <v>0</v>
      </c>
      <c r="AI160" s="2">
        <v>0</v>
      </c>
      <c r="AJ160" t="s">
        <v>47</v>
      </c>
    </row>
    <row r="161" spans="1:36" x14ac:dyDescent="0.25">
      <c r="A161" t="s">
        <v>36</v>
      </c>
      <c r="B161" t="s">
        <v>76</v>
      </c>
      <c r="C161" t="s">
        <v>77</v>
      </c>
      <c r="D161" t="s">
        <v>39</v>
      </c>
      <c r="E161">
        <v>14</v>
      </c>
      <c r="F161">
        <v>126</v>
      </c>
      <c r="G161">
        <v>3024</v>
      </c>
      <c r="H161">
        <v>2171</v>
      </c>
      <c r="I161" t="s">
        <v>69</v>
      </c>
      <c r="J161" t="s">
        <v>55</v>
      </c>
      <c r="K161" t="s">
        <v>56</v>
      </c>
      <c r="L161">
        <v>12</v>
      </c>
      <c r="M161" t="s">
        <v>51</v>
      </c>
      <c r="N161">
        <v>2023</v>
      </c>
      <c r="O161">
        <v>26118</v>
      </c>
      <c r="P161" t="s">
        <v>78</v>
      </c>
      <c r="Q161" t="s">
        <v>79</v>
      </c>
      <c r="R161" t="s">
        <v>80</v>
      </c>
      <c r="S161" t="s">
        <v>81</v>
      </c>
      <c r="T161" t="s">
        <v>82</v>
      </c>
      <c r="U161" t="s">
        <v>83</v>
      </c>
      <c r="V161">
        <v>12</v>
      </c>
      <c r="W161" t="str">
        <f ca="1">IF(Tabela1[[#This Row],[datVigencia]]=0,"Expirado",IF(Tabela1[[#This Row],[datVigencia]]&gt;TODAY(),"Vigente","Expirado"))</f>
        <v>Vigente</v>
      </c>
      <c r="X161" s="2">
        <v>21334.560000000001</v>
      </c>
      <c r="Y161" s="2">
        <v>0</v>
      </c>
      <c r="Z161" s="2">
        <v>0</v>
      </c>
      <c r="AA161" s="2">
        <v>0</v>
      </c>
      <c r="AB161" s="2">
        <f>Tabela1[[#This Row],[valPrincipal]]+Tabela1[[#This Row],[valReajustes]]+Tabela1[[#This Row],[valAditamentos]]-Tabela1[[#This Row],[valAnulacao]]</f>
        <v>21334.560000000001</v>
      </c>
      <c r="AC161" s="2">
        <f>IF(Tabela1[[#This Row],[VigenciaMeses]]=0,Tabela1[[#This Row],[valTotal]]/1,Tabela1[[#This Row],[valTotal]]/Tabela1[[#This Row],[VigenciaMeses]])</f>
        <v>1777.88</v>
      </c>
      <c r="AD161" s="2">
        <f>Tabela1[[#This Row],[valMensal]]*12</f>
        <v>21334.560000000001</v>
      </c>
      <c r="AE161" s="2">
        <v>7289.31</v>
      </c>
      <c r="AF161" s="2">
        <v>5701.55</v>
      </c>
      <c r="AG161" s="2">
        <v>1587.76</v>
      </c>
      <c r="AH161" s="2">
        <v>1587.76</v>
      </c>
      <c r="AI161" s="2">
        <v>1587.76</v>
      </c>
      <c r="AJ161" t="s">
        <v>47</v>
      </c>
    </row>
    <row r="162" spans="1:36" x14ac:dyDescent="0.25">
      <c r="A162" t="s">
        <v>36</v>
      </c>
      <c r="B162" t="s">
        <v>37</v>
      </c>
      <c r="C162" t="s">
        <v>38</v>
      </c>
      <c r="D162" t="s">
        <v>39</v>
      </c>
      <c r="E162">
        <v>14</v>
      </c>
      <c r="F162">
        <v>243</v>
      </c>
      <c r="G162">
        <v>3013</v>
      </c>
      <c r="H162">
        <v>2157</v>
      </c>
      <c r="I162" t="s">
        <v>48</v>
      </c>
      <c r="J162" t="s">
        <v>55</v>
      </c>
      <c r="K162" t="s">
        <v>56</v>
      </c>
      <c r="L162">
        <v>12</v>
      </c>
      <c r="M162" t="s">
        <v>51</v>
      </c>
      <c r="N162">
        <v>2024</v>
      </c>
      <c r="O162">
        <v>37882</v>
      </c>
      <c r="P162" t="s">
        <v>1238</v>
      </c>
      <c r="Q162" t="s">
        <v>1239</v>
      </c>
      <c r="R162" t="s">
        <v>1240</v>
      </c>
      <c r="S162" t="s">
        <v>859</v>
      </c>
      <c r="T162" t="s">
        <v>860</v>
      </c>
      <c r="U162" t="s">
        <v>1241</v>
      </c>
      <c r="V162">
        <v>7</v>
      </c>
      <c r="W162" t="str">
        <f ca="1">IF(Tabela1[[#This Row],[datVigencia]]=0,"Expirado",IF(Tabela1[[#This Row],[datVigencia]]&gt;TODAY(),"Vigente","Expirado"))</f>
        <v>Vigente</v>
      </c>
      <c r="X162" s="2">
        <v>21000</v>
      </c>
      <c r="Y162" s="2">
        <v>0</v>
      </c>
      <c r="Z162" s="2">
        <v>0</v>
      </c>
      <c r="AA162" s="2">
        <v>0</v>
      </c>
      <c r="AB162" s="2">
        <f>Tabela1[[#This Row],[valPrincipal]]+Tabela1[[#This Row],[valReajustes]]+Tabela1[[#This Row],[valAditamentos]]-Tabela1[[#This Row],[valAnulacao]]</f>
        <v>21000</v>
      </c>
      <c r="AC162" s="2">
        <f>IF(Tabela1[[#This Row],[VigenciaMeses]]=0,Tabela1[[#This Row],[valTotal]]/1,Tabela1[[#This Row],[valTotal]]/Tabela1[[#This Row],[VigenciaMeses]])</f>
        <v>3000</v>
      </c>
      <c r="AD162" s="2">
        <f>Tabela1[[#This Row],[valMensal]]*12</f>
        <v>36000</v>
      </c>
      <c r="AE162" s="2">
        <v>42000</v>
      </c>
      <c r="AF162" s="2">
        <v>21000</v>
      </c>
      <c r="AG162" s="2">
        <v>21000</v>
      </c>
      <c r="AH162" s="2">
        <v>21000</v>
      </c>
      <c r="AI162" s="2">
        <v>21000</v>
      </c>
      <c r="AJ162" t="s">
        <v>47</v>
      </c>
    </row>
    <row r="163" spans="1:36" x14ac:dyDescent="0.25">
      <c r="A163" t="s">
        <v>36</v>
      </c>
      <c r="B163" t="s">
        <v>37</v>
      </c>
      <c r="C163" t="s">
        <v>38</v>
      </c>
      <c r="D163" t="s">
        <v>39</v>
      </c>
      <c r="E163">
        <v>8</v>
      </c>
      <c r="F163">
        <v>605</v>
      </c>
      <c r="G163">
        <v>3016</v>
      </c>
      <c r="H163">
        <v>4470</v>
      </c>
      <c r="I163" t="s">
        <v>206</v>
      </c>
      <c r="J163" t="s">
        <v>207</v>
      </c>
      <c r="K163" t="s">
        <v>208</v>
      </c>
      <c r="L163">
        <v>6</v>
      </c>
      <c r="M163" t="s">
        <v>97</v>
      </c>
      <c r="N163">
        <v>2025</v>
      </c>
      <c r="O163">
        <v>2987</v>
      </c>
      <c r="Q163" t="s">
        <v>491</v>
      </c>
      <c r="R163" t="s">
        <v>492</v>
      </c>
      <c r="U163" t="s">
        <v>493</v>
      </c>
      <c r="V163">
        <v>12</v>
      </c>
      <c r="W163" t="str">
        <f ca="1">IF(Tabela1[[#This Row],[datVigencia]]=0,"Expirado",IF(Tabela1[[#This Row],[datVigencia]]&gt;TODAY(),"Vigente","Expirado"))</f>
        <v>Vigente</v>
      </c>
      <c r="X163" s="2">
        <v>20000</v>
      </c>
      <c r="Y163" s="2">
        <v>0</v>
      </c>
      <c r="Z163" s="2">
        <v>0</v>
      </c>
      <c r="AA163" s="2">
        <v>0</v>
      </c>
      <c r="AB163" s="2">
        <f>Tabela1[[#This Row],[valPrincipal]]+Tabela1[[#This Row],[valReajustes]]+Tabela1[[#This Row],[valAditamentos]]-Tabela1[[#This Row],[valAnulacao]]</f>
        <v>20000</v>
      </c>
      <c r="AC163" s="2">
        <f>IF(Tabela1[[#This Row],[VigenciaMeses]]=0,Tabela1[[#This Row],[valTotal]]/1,Tabela1[[#This Row],[valTotal]]/Tabela1[[#This Row],[VigenciaMeses]])</f>
        <v>1666.6666666666667</v>
      </c>
      <c r="AD163" s="2">
        <f>Tabela1[[#This Row],[valMensal]]*12</f>
        <v>20000</v>
      </c>
      <c r="AE163" s="2">
        <v>20000</v>
      </c>
      <c r="AF163" s="2">
        <v>0</v>
      </c>
      <c r="AG163" s="2">
        <v>20000</v>
      </c>
      <c r="AH163" s="2">
        <v>20000</v>
      </c>
      <c r="AI163" s="2">
        <v>20000</v>
      </c>
      <c r="AJ163" t="s">
        <v>47</v>
      </c>
    </row>
    <row r="164" spans="1:36" x14ac:dyDescent="0.25">
      <c r="A164" t="s">
        <v>36</v>
      </c>
      <c r="B164" t="s">
        <v>37</v>
      </c>
      <c r="C164" t="s">
        <v>38</v>
      </c>
      <c r="D164" t="s">
        <v>39</v>
      </c>
      <c r="E164">
        <v>14</v>
      </c>
      <c r="F164">
        <v>422</v>
      </c>
      <c r="G164">
        <v>3013</v>
      </c>
      <c r="H164">
        <v>6178</v>
      </c>
      <c r="I164" t="s">
        <v>157</v>
      </c>
      <c r="J164" t="s">
        <v>207</v>
      </c>
      <c r="K164" t="s">
        <v>208</v>
      </c>
      <c r="L164">
        <v>6</v>
      </c>
      <c r="M164" t="s">
        <v>97</v>
      </c>
      <c r="N164">
        <v>2025</v>
      </c>
      <c r="O164">
        <v>3637</v>
      </c>
      <c r="Q164" t="s">
        <v>643</v>
      </c>
      <c r="R164" t="s">
        <v>644</v>
      </c>
      <c r="U164" t="s">
        <v>645</v>
      </c>
      <c r="V164">
        <v>12</v>
      </c>
      <c r="W164" t="str">
        <f ca="1">IF(Tabela1[[#This Row],[datVigencia]]=0,"Expirado",IF(Tabela1[[#This Row],[datVigencia]]&gt;TODAY(),"Vigente","Expirado"))</f>
        <v>Vigente</v>
      </c>
      <c r="X164" s="2">
        <v>20000</v>
      </c>
      <c r="Y164" s="2">
        <v>0</v>
      </c>
      <c r="Z164" s="2">
        <v>0</v>
      </c>
      <c r="AA164" s="2">
        <v>0</v>
      </c>
      <c r="AB164" s="2">
        <f>Tabela1[[#This Row],[valPrincipal]]+Tabela1[[#This Row],[valReajustes]]+Tabela1[[#This Row],[valAditamentos]]-Tabela1[[#This Row],[valAnulacao]]</f>
        <v>20000</v>
      </c>
      <c r="AC164" s="2">
        <f>IF(Tabela1[[#This Row],[VigenciaMeses]]=0,Tabela1[[#This Row],[valTotal]]/1,Tabela1[[#This Row],[valTotal]]/Tabela1[[#This Row],[VigenciaMeses]])</f>
        <v>1666.6666666666667</v>
      </c>
      <c r="AD164" s="2">
        <f>Tabela1[[#This Row],[valMensal]]*12</f>
        <v>20000</v>
      </c>
      <c r="AE164" s="2">
        <v>20000</v>
      </c>
      <c r="AF164" s="2">
        <v>0</v>
      </c>
      <c r="AG164" s="2">
        <v>20000</v>
      </c>
      <c r="AH164" s="2">
        <v>20000</v>
      </c>
      <c r="AI164" s="2">
        <v>20000</v>
      </c>
      <c r="AJ164" t="s">
        <v>47</v>
      </c>
    </row>
    <row r="165" spans="1:36" x14ac:dyDescent="0.25">
      <c r="A165" t="s">
        <v>36</v>
      </c>
      <c r="B165" t="s">
        <v>1076</v>
      </c>
      <c r="C165" t="s">
        <v>1077</v>
      </c>
      <c r="D165" t="s">
        <v>39</v>
      </c>
      <c r="E165">
        <v>14</v>
      </c>
      <c r="F165">
        <v>122</v>
      </c>
      <c r="G165">
        <v>3024</v>
      </c>
      <c r="H165">
        <v>2100</v>
      </c>
      <c r="I165" t="s">
        <v>48</v>
      </c>
      <c r="J165" t="s">
        <v>55</v>
      </c>
      <c r="K165" t="s">
        <v>56</v>
      </c>
      <c r="L165">
        <v>7</v>
      </c>
      <c r="M165" t="s">
        <v>324</v>
      </c>
      <c r="N165">
        <v>2025</v>
      </c>
      <c r="O165">
        <v>11535</v>
      </c>
      <c r="P165" t="s">
        <v>1078</v>
      </c>
      <c r="Q165" t="s">
        <v>1079</v>
      </c>
      <c r="R165" t="s">
        <v>1080</v>
      </c>
      <c r="S165" t="s">
        <v>1014</v>
      </c>
      <c r="T165" t="s">
        <v>1081</v>
      </c>
      <c r="U165" t="s">
        <v>1015</v>
      </c>
      <c r="V165">
        <v>0</v>
      </c>
      <c r="W165" t="str">
        <f ca="1">IF(Tabela1[[#This Row],[datVigencia]]=0,"Expirado",IF(Tabela1[[#This Row],[datVigencia]]&gt;TODAY(),"Vigente","Expirado"))</f>
        <v>Vigente</v>
      </c>
      <c r="X165" s="2">
        <v>20000</v>
      </c>
      <c r="Y165" s="2">
        <v>0</v>
      </c>
      <c r="Z165" s="2">
        <v>0</v>
      </c>
      <c r="AA165" s="2">
        <v>0</v>
      </c>
      <c r="AB165" s="2">
        <f>Tabela1[[#This Row],[valPrincipal]]+Tabela1[[#This Row],[valReajustes]]+Tabela1[[#This Row],[valAditamentos]]-Tabela1[[#This Row],[valAnulacao]]</f>
        <v>20000</v>
      </c>
      <c r="AC165" s="2">
        <f>IF(Tabela1[[#This Row],[VigenciaMeses]]=0,Tabela1[[#This Row],[valTotal]]/1,Tabela1[[#This Row],[valTotal]]/Tabela1[[#This Row],[VigenciaMeses]])</f>
        <v>20000</v>
      </c>
      <c r="AD165" s="2">
        <f>Tabela1[[#This Row],[valMensal]]*12</f>
        <v>240000</v>
      </c>
      <c r="AE165" s="2">
        <v>20000</v>
      </c>
      <c r="AF165" s="2">
        <v>0</v>
      </c>
      <c r="AG165" s="2">
        <v>20000</v>
      </c>
      <c r="AH165" s="2">
        <v>20000</v>
      </c>
      <c r="AI165" s="2">
        <v>20000</v>
      </c>
      <c r="AJ165" t="s">
        <v>47</v>
      </c>
    </row>
    <row r="166" spans="1:36" x14ac:dyDescent="0.25">
      <c r="A166" t="s">
        <v>36</v>
      </c>
      <c r="B166" t="s">
        <v>37</v>
      </c>
      <c r="C166" t="s">
        <v>38</v>
      </c>
      <c r="D166" t="s">
        <v>39</v>
      </c>
      <c r="E166">
        <v>14</v>
      </c>
      <c r="F166">
        <v>122</v>
      </c>
      <c r="G166">
        <v>3024</v>
      </c>
      <c r="H166">
        <v>2100</v>
      </c>
      <c r="I166" t="s">
        <v>48</v>
      </c>
      <c r="J166" t="s">
        <v>55</v>
      </c>
      <c r="K166" t="s">
        <v>56</v>
      </c>
      <c r="L166">
        <v>7</v>
      </c>
      <c r="M166" t="s">
        <v>324</v>
      </c>
      <c r="N166">
        <v>2025</v>
      </c>
      <c r="O166">
        <v>13475</v>
      </c>
      <c r="P166" t="s">
        <v>1170</v>
      </c>
      <c r="Q166" t="s">
        <v>1171</v>
      </c>
      <c r="R166" t="s">
        <v>1172</v>
      </c>
      <c r="S166" t="s">
        <v>1047</v>
      </c>
      <c r="T166" t="s">
        <v>1173</v>
      </c>
      <c r="U166" t="s">
        <v>1174</v>
      </c>
      <c r="V166">
        <v>0</v>
      </c>
      <c r="W166" t="str">
        <f ca="1">IF(Tabela1[[#This Row],[datVigencia]]=0,"Expirado",IF(Tabela1[[#This Row],[datVigencia]]&gt;TODAY(),"Vigente","Expirado"))</f>
        <v>Vigente</v>
      </c>
      <c r="X166" s="2">
        <v>19732.5</v>
      </c>
      <c r="Y166" s="2">
        <v>0</v>
      </c>
      <c r="Z166" s="2">
        <v>0</v>
      </c>
      <c r="AA166" s="2">
        <v>0</v>
      </c>
      <c r="AB166" s="2">
        <f>Tabela1[[#This Row],[valPrincipal]]+Tabela1[[#This Row],[valReajustes]]+Tabela1[[#This Row],[valAditamentos]]-Tabela1[[#This Row],[valAnulacao]]</f>
        <v>19732.5</v>
      </c>
      <c r="AC166" s="2">
        <f>IF(Tabela1[[#This Row],[VigenciaMeses]]=0,Tabela1[[#This Row],[valTotal]]/1,Tabela1[[#This Row],[valTotal]]/Tabela1[[#This Row],[VigenciaMeses]])</f>
        <v>19732.5</v>
      </c>
      <c r="AD166" s="2">
        <f>Tabela1[[#This Row],[valMensal]]*12</f>
        <v>236790</v>
      </c>
      <c r="AE166" s="2">
        <v>39465</v>
      </c>
      <c r="AF166" s="2">
        <v>19732.5</v>
      </c>
      <c r="AG166" s="2">
        <v>19732.5</v>
      </c>
      <c r="AH166" s="2">
        <v>0</v>
      </c>
      <c r="AI166" s="2">
        <v>0</v>
      </c>
      <c r="AJ166" t="s">
        <v>47</v>
      </c>
    </row>
    <row r="167" spans="1:36" x14ac:dyDescent="0.25">
      <c r="A167" t="s">
        <v>36</v>
      </c>
      <c r="B167" t="s">
        <v>37</v>
      </c>
      <c r="C167" t="s">
        <v>38</v>
      </c>
      <c r="D167" t="s">
        <v>39</v>
      </c>
      <c r="E167">
        <v>14</v>
      </c>
      <c r="F167">
        <v>422</v>
      </c>
      <c r="G167">
        <v>3013</v>
      </c>
      <c r="H167">
        <v>6178</v>
      </c>
      <c r="I167" t="s">
        <v>157</v>
      </c>
      <c r="J167" t="s">
        <v>406</v>
      </c>
      <c r="K167" t="s">
        <v>407</v>
      </c>
      <c r="L167">
        <v>12</v>
      </c>
      <c r="M167" t="s">
        <v>51</v>
      </c>
      <c r="N167">
        <v>2025</v>
      </c>
      <c r="O167">
        <v>16705</v>
      </c>
      <c r="Q167" t="s">
        <v>1304</v>
      </c>
      <c r="R167" t="s">
        <v>1305</v>
      </c>
      <c r="V167">
        <v>12</v>
      </c>
      <c r="W167" t="str">
        <f ca="1">IF(Tabela1[[#This Row],[datVigencia]]=0,"Expirado",IF(Tabela1[[#This Row],[datVigencia]]&gt;TODAY(),"Vigente","Expirado"))</f>
        <v>Expirado</v>
      </c>
      <c r="X167" s="2">
        <v>19200</v>
      </c>
      <c r="Y167" s="2">
        <v>0</v>
      </c>
      <c r="Z167" s="2">
        <v>0</v>
      </c>
      <c r="AA167" s="2">
        <v>0</v>
      </c>
      <c r="AB167" s="2">
        <f>Tabela1[[#This Row],[valPrincipal]]+Tabela1[[#This Row],[valReajustes]]+Tabela1[[#This Row],[valAditamentos]]-Tabela1[[#This Row],[valAnulacao]]</f>
        <v>19200</v>
      </c>
      <c r="AC167" s="2">
        <f>IF(Tabela1[[#This Row],[VigenciaMeses]]=0,Tabela1[[#This Row],[valTotal]]/1,Tabela1[[#This Row],[valTotal]]/Tabela1[[#This Row],[VigenciaMeses]])</f>
        <v>1600</v>
      </c>
      <c r="AD167" s="2">
        <f>Tabela1[[#This Row],[valMensal]]*12</f>
        <v>19200</v>
      </c>
      <c r="AE167" s="2">
        <v>19200</v>
      </c>
      <c r="AF167" s="2">
        <v>0</v>
      </c>
      <c r="AG167" s="2">
        <v>19200</v>
      </c>
      <c r="AH167" s="2">
        <v>0</v>
      </c>
      <c r="AI167" s="2">
        <v>0</v>
      </c>
      <c r="AJ167" t="s">
        <v>47</v>
      </c>
    </row>
    <row r="168" spans="1:36" x14ac:dyDescent="0.25">
      <c r="A168" t="s">
        <v>36</v>
      </c>
      <c r="B168" t="s">
        <v>37</v>
      </c>
      <c r="C168" t="s">
        <v>38</v>
      </c>
      <c r="D168" t="s">
        <v>39</v>
      </c>
      <c r="E168">
        <v>14</v>
      </c>
      <c r="F168">
        <v>422</v>
      </c>
      <c r="G168">
        <v>3013</v>
      </c>
      <c r="H168">
        <v>6178</v>
      </c>
      <c r="I168" t="s">
        <v>48</v>
      </c>
      <c r="J168" t="s">
        <v>55</v>
      </c>
      <c r="K168" t="s">
        <v>56</v>
      </c>
      <c r="L168">
        <v>12</v>
      </c>
      <c r="M168" t="s">
        <v>51</v>
      </c>
      <c r="N168">
        <v>2024</v>
      </c>
      <c r="O168">
        <v>680</v>
      </c>
      <c r="P168" t="s">
        <v>63</v>
      </c>
      <c r="Q168" t="s">
        <v>64</v>
      </c>
      <c r="R168" t="s">
        <v>65</v>
      </c>
      <c r="S168" t="s">
        <v>66</v>
      </c>
      <c r="T168" t="s">
        <v>67</v>
      </c>
      <c r="U168" t="s">
        <v>68</v>
      </c>
      <c r="V168">
        <v>25</v>
      </c>
      <c r="W168" t="str">
        <f ca="1">IF(Tabela1[[#This Row],[datVigencia]]=0,"Expirado",IF(Tabela1[[#This Row],[datVigencia]]&gt;TODAY(),"Vigente","Expirado"))</f>
        <v>Vigente</v>
      </c>
      <c r="X168" s="2">
        <v>18000</v>
      </c>
      <c r="Y168" s="2">
        <v>843.24</v>
      </c>
      <c r="Z168" s="2">
        <v>26035.439999999999</v>
      </c>
      <c r="AA168" s="2">
        <v>0</v>
      </c>
      <c r="AB168" s="2">
        <f>Tabela1[[#This Row],[valPrincipal]]+Tabela1[[#This Row],[valReajustes]]+Tabela1[[#This Row],[valAditamentos]]-Tabela1[[#This Row],[valAnulacao]]</f>
        <v>44878.68</v>
      </c>
      <c r="AC168" s="2">
        <f>IF(Tabela1[[#This Row],[VigenciaMeses]]=0,Tabela1[[#This Row],[valTotal]]/1,Tabela1[[#This Row],[valTotal]]/Tabela1[[#This Row],[VigenciaMeses]])</f>
        <v>1795.1472000000001</v>
      </c>
      <c r="AD168" s="2">
        <f>Tabela1[[#This Row],[valMensal]]*12</f>
        <v>21541.7664</v>
      </c>
      <c r="AE168" s="2">
        <v>44013.91</v>
      </c>
      <c r="AF168" s="2">
        <v>1700</v>
      </c>
      <c r="AG168" s="2">
        <v>42313.91</v>
      </c>
      <c r="AH168" s="2">
        <v>31322.02</v>
      </c>
      <c r="AI168" s="2">
        <v>29751.75</v>
      </c>
      <c r="AJ168" t="s">
        <v>47</v>
      </c>
    </row>
    <row r="169" spans="1:36" x14ac:dyDescent="0.25">
      <c r="A169" t="s">
        <v>36</v>
      </c>
      <c r="B169" t="s">
        <v>37</v>
      </c>
      <c r="C169" t="s">
        <v>38</v>
      </c>
      <c r="D169" t="s">
        <v>39</v>
      </c>
      <c r="E169">
        <v>14</v>
      </c>
      <c r="F169">
        <v>122</v>
      </c>
      <c r="G169">
        <v>3024</v>
      </c>
      <c r="H169">
        <v>2100</v>
      </c>
      <c r="I169" t="s">
        <v>157</v>
      </c>
      <c r="J169" t="s">
        <v>406</v>
      </c>
      <c r="K169" t="s">
        <v>407</v>
      </c>
      <c r="L169">
        <v>12</v>
      </c>
      <c r="M169" t="s">
        <v>51</v>
      </c>
      <c r="N169">
        <v>2025</v>
      </c>
      <c r="O169">
        <v>2740</v>
      </c>
      <c r="P169" t="s">
        <v>434</v>
      </c>
      <c r="Q169" t="s">
        <v>435</v>
      </c>
      <c r="R169" t="s">
        <v>436</v>
      </c>
      <c r="S169" t="s">
        <v>366</v>
      </c>
      <c r="T169" t="s">
        <v>412</v>
      </c>
      <c r="U169" t="s">
        <v>437</v>
      </c>
      <c r="V169">
        <v>1</v>
      </c>
      <c r="W169" t="str">
        <f ca="1">IF(Tabela1[[#This Row],[datVigencia]]=0,"Expirado",IF(Tabela1[[#This Row],[datVigencia]]&gt;TODAY(),"Vigente","Expirado"))</f>
        <v>Vigente</v>
      </c>
      <c r="X169" s="2">
        <v>17800</v>
      </c>
      <c r="Y169" s="2">
        <v>0</v>
      </c>
      <c r="Z169" s="2">
        <v>0</v>
      </c>
      <c r="AA169" s="2">
        <v>0</v>
      </c>
      <c r="AB169" s="2">
        <f>Tabela1[[#This Row],[valPrincipal]]+Tabela1[[#This Row],[valReajustes]]+Tabela1[[#This Row],[valAditamentos]]-Tabela1[[#This Row],[valAnulacao]]</f>
        <v>17800</v>
      </c>
      <c r="AC169" s="2">
        <f>IF(Tabela1[[#This Row],[VigenciaMeses]]=0,Tabela1[[#This Row],[valTotal]]/1,Tabela1[[#This Row],[valTotal]]/Tabela1[[#This Row],[VigenciaMeses]])</f>
        <v>17800</v>
      </c>
      <c r="AD169" s="2">
        <f>Tabela1[[#This Row],[valMensal]]*12</f>
        <v>213600</v>
      </c>
      <c r="AE169" s="2">
        <v>17800</v>
      </c>
      <c r="AF169" s="2">
        <v>0</v>
      </c>
      <c r="AG169" s="2">
        <v>17800</v>
      </c>
      <c r="AH169" s="2">
        <v>17800</v>
      </c>
      <c r="AI169" s="2">
        <v>17800</v>
      </c>
      <c r="AJ169" t="s">
        <v>47</v>
      </c>
    </row>
    <row r="170" spans="1:36" x14ac:dyDescent="0.25">
      <c r="A170" t="s">
        <v>36</v>
      </c>
      <c r="B170" t="s">
        <v>37</v>
      </c>
      <c r="C170" t="s">
        <v>38</v>
      </c>
      <c r="D170" t="s">
        <v>39</v>
      </c>
      <c r="E170">
        <v>14</v>
      </c>
      <c r="F170">
        <v>122</v>
      </c>
      <c r="G170">
        <v>3024</v>
      </c>
      <c r="H170">
        <v>2100</v>
      </c>
      <c r="I170" t="s">
        <v>157</v>
      </c>
      <c r="J170" t="s">
        <v>207</v>
      </c>
      <c r="K170" t="s">
        <v>208</v>
      </c>
      <c r="L170">
        <v>6</v>
      </c>
      <c r="M170" t="s">
        <v>97</v>
      </c>
      <c r="N170">
        <v>2025</v>
      </c>
      <c r="O170">
        <v>5035</v>
      </c>
      <c r="Q170" t="s">
        <v>854</v>
      </c>
      <c r="R170" t="s">
        <v>855</v>
      </c>
      <c r="U170" t="s">
        <v>757</v>
      </c>
      <c r="V170">
        <v>12</v>
      </c>
      <c r="W170" t="str">
        <f ca="1">IF(Tabela1[[#This Row],[datVigencia]]=0,"Expirado",IF(Tabela1[[#This Row],[datVigencia]]&gt;TODAY(),"Vigente","Expirado"))</f>
        <v>Vigente</v>
      </c>
      <c r="X170" s="2">
        <v>17499</v>
      </c>
      <c r="Y170" s="2">
        <v>0</v>
      </c>
      <c r="Z170" s="2">
        <v>0</v>
      </c>
      <c r="AA170" s="2">
        <v>0</v>
      </c>
      <c r="AB170" s="2">
        <f>Tabela1[[#This Row],[valPrincipal]]+Tabela1[[#This Row],[valReajustes]]+Tabela1[[#This Row],[valAditamentos]]-Tabela1[[#This Row],[valAnulacao]]</f>
        <v>17499</v>
      </c>
      <c r="AC170" s="2">
        <f>IF(Tabela1[[#This Row],[VigenciaMeses]]=0,Tabela1[[#This Row],[valTotal]]/1,Tabela1[[#This Row],[valTotal]]/Tabela1[[#This Row],[VigenciaMeses]])</f>
        <v>1458.25</v>
      </c>
      <c r="AD170" s="2">
        <f>Tabela1[[#This Row],[valMensal]]*12</f>
        <v>17499</v>
      </c>
      <c r="AE170" s="2">
        <v>17499</v>
      </c>
      <c r="AF170" s="2">
        <v>0</v>
      </c>
      <c r="AG170" s="2">
        <v>17499</v>
      </c>
      <c r="AH170" s="2">
        <v>17499</v>
      </c>
      <c r="AI170" s="2">
        <v>17499</v>
      </c>
      <c r="AJ170" t="s">
        <v>47</v>
      </c>
    </row>
    <row r="171" spans="1:36" x14ac:dyDescent="0.25">
      <c r="A171" t="s">
        <v>36</v>
      </c>
      <c r="B171" t="s">
        <v>37</v>
      </c>
      <c r="C171" t="s">
        <v>38</v>
      </c>
      <c r="D171" t="s">
        <v>39</v>
      </c>
      <c r="E171">
        <v>14</v>
      </c>
      <c r="F171">
        <v>422</v>
      </c>
      <c r="G171">
        <v>3013</v>
      </c>
      <c r="H171">
        <v>2053</v>
      </c>
      <c r="I171" t="s">
        <v>157</v>
      </c>
      <c r="J171" t="s">
        <v>406</v>
      </c>
      <c r="K171" t="s">
        <v>407</v>
      </c>
      <c r="L171">
        <v>12</v>
      </c>
      <c r="M171" t="s">
        <v>51</v>
      </c>
      <c r="N171">
        <v>2025</v>
      </c>
      <c r="O171">
        <v>13502</v>
      </c>
      <c r="Q171" t="s">
        <v>1182</v>
      </c>
      <c r="R171" t="s">
        <v>1183</v>
      </c>
      <c r="V171">
        <v>12</v>
      </c>
      <c r="W171" t="str">
        <f ca="1">IF(Tabela1[[#This Row],[datVigencia]]=0,"Expirado",IF(Tabela1[[#This Row],[datVigencia]]&gt;TODAY(),"Vigente","Expirado"))</f>
        <v>Expirado</v>
      </c>
      <c r="X171" s="2">
        <v>16727</v>
      </c>
      <c r="Y171" s="2">
        <v>0</v>
      </c>
      <c r="Z171" s="2">
        <v>0</v>
      </c>
      <c r="AA171" s="2">
        <v>0</v>
      </c>
      <c r="AB171" s="2">
        <f>Tabela1[[#This Row],[valPrincipal]]+Tabela1[[#This Row],[valReajustes]]+Tabela1[[#This Row],[valAditamentos]]-Tabela1[[#This Row],[valAnulacao]]</f>
        <v>16727</v>
      </c>
      <c r="AC171" s="2">
        <f>IF(Tabela1[[#This Row],[VigenciaMeses]]=0,Tabela1[[#This Row],[valTotal]]/1,Tabela1[[#This Row],[valTotal]]/Tabela1[[#This Row],[VigenciaMeses]])</f>
        <v>1393.9166666666667</v>
      </c>
      <c r="AD171" s="2">
        <f>Tabela1[[#This Row],[valMensal]]*12</f>
        <v>16727</v>
      </c>
      <c r="AE171" s="2">
        <v>16727</v>
      </c>
      <c r="AF171" s="2">
        <v>0</v>
      </c>
      <c r="AG171" s="2">
        <v>16727</v>
      </c>
      <c r="AH171" s="2">
        <v>0</v>
      </c>
      <c r="AI171" s="2">
        <v>0</v>
      </c>
      <c r="AJ171" t="s">
        <v>47</v>
      </c>
    </row>
    <row r="172" spans="1:36" x14ac:dyDescent="0.25">
      <c r="A172" t="s">
        <v>36</v>
      </c>
      <c r="B172" t="s">
        <v>37</v>
      </c>
      <c r="C172" t="s">
        <v>38</v>
      </c>
      <c r="D172" t="s">
        <v>39</v>
      </c>
      <c r="E172">
        <v>14</v>
      </c>
      <c r="F172">
        <v>422</v>
      </c>
      <c r="G172">
        <v>3013</v>
      </c>
      <c r="H172">
        <v>6178</v>
      </c>
      <c r="I172" t="s">
        <v>48</v>
      </c>
      <c r="J172" t="s">
        <v>55</v>
      </c>
      <c r="K172" t="s">
        <v>56</v>
      </c>
      <c r="L172">
        <v>12</v>
      </c>
      <c r="M172" t="s">
        <v>51</v>
      </c>
      <c r="N172">
        <v>2025</v>
      </c>
      <c r="O172">
        <v>6135</v>
      </c>
      <c r="P172" t="s">
        <v>871</v>
      </c>
      <c r="Q172" t="s">
        <v>872</v>
      </c>
      <c r="R172" t="s">
        <v>873</v>
      </c>
      <c r="S172" t="s">
        <v>874</v>
      </c>
      <c r="T172" t="s">
        <v>875</v>
      </c>
      <c r="U172" t="s">
        <v>876</v>
      </c>
      <c r="V172">
        <v>1</v>
      </c>
      <c r="W172" t="str">
        <f ca="1">IF(Tabela1[[#This Row],[datVigencia]]=0,"Expirado",IF(Tabela1[[#This Row],[datVigencia]]&gt;TODAY(),"Vigente","Expirado"))</f>
        <v>Vigente</v>
      </c>
      <c r="X172" s="2">
        <v>16490</v>
      </c>
      <c r="Y172" s="2">
        <v>0</v>
      </c>
      <c r="Z172" s="2">
        <v>0</v>
      </c>
      <c r="AA172" s="2">
        <v>0</v>
      </c>
      <c r="AB172" s="2">
        <f>Tabela1[[#This Row],[valPrincipal]]+Tabela1[[#This Row],[valReajustes]]+Tabela1[[#This Row],[valAditamentos]]-Tabela1[[#This Row],[valAnulacao]]</f>
        <v>16490</v>
      </c>
      <c r="AC172" s="2">
        <f>IF(Tabela1[[#This Row],[VigenciaMeses]]=0,Tabela1[[#This Row],[valTotal]]/1,Tabela1[[#This Row],[valTotal]]/Tabela1[[#This Row],[VigenciaMeses]])</f>
        <v>16490</v>
      </c>
      <c r="AD172" s="2">
        <f>Tabela1[[#This Row],[valMensal]]*12</f>
        <v>197880</v>
      </c>
      <c r="AE172" s="2">
        <v>16490</v>
      </c>
      <c r="AF172" s="2">
        <v>0</v>
      </c>
      <c r="AG172" s="2">
        <v>16490</v>
      </c>
      <c r="AH172" s="2">
        <v>16490</v>
      </c>
      <c r="AI172" s="2">
        <v>16490</v>
      </c>
      <c r="AJ172" t="s">
        <v>47</v>
      </c>
    </row>
    <row r="173" spans="1:36" x14ac:dyDescent="0.25">
      <c r="A173" t="s">
        <v>36</v>
      </c>
      <c r="B173" t="s">
        <v>37</v>
      </c>
      <c r="C173" t="s">
        <v>38</v>
      </c>
      <c r="D173" t="s">
        <v>39</v>
      </c>
      <c r="E173">
        <v>14</v>
      </c>
      <c r="F173">
        <v>422</v>
      </c>
      <c r="G173">
        <v>3013</v>
      </c>
      <c r="H173">
        <v>2053</v>
      </c>
      <c r="I173" t="s">
        <v>48</v>
      </c>
      <c r="J173" t="s">
        <v>55</v>
      </c>
      <c r="K173" t="s">
        <v>56</v>
      </c>
      <c r="L173">
        <v>12</v>
      </c>
      <c r="M173" t="s">
        <v>51</v>
      </c>
      <c r="N173">
        <v>2020</v>
      </c>
      <c r="O173">
        <v>15344</v>
      </c>
      <c r="P173" t="s">
        <v>621</v>
      </c>
      <c r="Q173" t="s">
        <v>622</v>
      </c>
      <c r="R173" t="s">
        <v>623</v>
      </c>
      <c r="S173" t="s">
        <v>624</v>
      </c>
      <c r="T173" t="s">
        <v>625</v>
      </c>
      <c r="U173" t="s">
        <v>626</v>
      </c>
      <c r="V173">
        <v>60</v>
      </c>
      <c r="W173" t="str">
        <f ca="1">IF(Tabela1[[#This Row],[datVigencia]]=0,"Expirado",IF(Tabela1[[#This Row],[datVigencia]]&gt;TODAY(),"Vigente","Expirado"))</f>
        <v>Vigente</v>
      </c>
      <c r="X173" s="2">
        <v>16032</v>
      </c>
      <c r="Y173" s="2">
        <v>0</v>
      </c>
      <c r="Z173" s="2">
        <v>75978.240000000005</v>
      </c>
      <c r="AA173" s="2">
        <v>0</v>
      </c>
      <c r="AB173" s="2">
        <f>Tabela1[[#This Row],[valPrincipal]]+Tabela1[[#This Row],[valReajustes]]+Tabela1[[#This Row],[valAditamentos]]-Tabela1[[#This Row],[valAnulacao]]</f>
        <v>92010.240000000005</v>
      </c>
      <c r="AC173" s="2">
        <f>IF(Tabela1[[#This Row],[VigenciaMeses]]=0,Tabela1[[#This Row],[valTotal]]/1,Tabela1[[#This Row],[valTotal]]/Tabela1[[#This Row],[VigenciaMeses]])</f>
        <v>1533.5040000000001</v>
      </c>
      <c r="AD173" s="2">
        <f>Tabela1[[#This Row],[valMensal]]*12</f>
        <v>18402.048000000003</v>
      </c>
      <c r="AE173" s="2">
        <v>100814.72</v>
      </c>
      <c r="AF173" s="2">
        <v>87976.39</v>
      </c>
      <c r="AG173" s="2">
        <v>12838.33</v>
      </c>
      <c r="AH173" s="2">
        <v>10293.719999999999</v>
      </c>
      <c r="AI173" s="2">
        <v>10233.39</v>
      </c>
      <c r="AJ173" t="s">
        <v>47</v>
      </c>
    </row>
    <row r="174" spans="1:36" x14ac:dyDescent="0.25">
      <c r="A174" t="s">
        <v>36</v>
      </c>
      <c r="B174" t="s">
        <v>37</v>
      </c>
      <c r="C174" t="s">
        <v>38</v>
      </c>
      <c r="D174" t="s">
        <v>39</v>
      </c>
      <c r="E174">
        <v>14</v>
      </c>
      <c r="F174">
        <v>422</v>
      </c>
      <c r="G174">
        <v>3018</v>
      </c>
      <c r="H174">
        <v>4334</v>
      </c>
      <c r="I174" t="s">
        <v>48</v>
      </c>
      <c r="J174" t="s">
        <v>838</v>
      </c>
      <c r="K174" t="s">
        <v>839</v>
      </c>
      <c r="L174">
        <v>12</v>
      </c>
      <c r="M174" t="s">
        <v>51</v>
      </c>
      <c r="N174">
        <v>2022</v>
      </c>
      <c r="O174">
        <v>32740</v>
      </c>
      <c r="P174" t="s">
        <v>840</v>
      </c>
      <c r="Q174" t="s">
        <v>841</v>
      </c>
      <c r="R174" t="s">
        <v>842</v>
      </c>
      <c r="S174" t="s">
        <v>843</v>
      </c>
      <c r="T174" t="s">
        <v>844</v>
      </c>
      <c r="U174" t="s">
        <v>845</v>
      </c>
      <c r="V174">
        <v>36</v>
      </c>
      <c r="W174" t="str">
        <f ca="1">IF(Tabela1[[#This Row],[datVigencia]]=0,"Expirado",IF(Tabela1[[#This Row],[datVigencia]]&gt;TODAY(),"Vigente","Expirado"))</f>
        <v>Vigente</v>
      </c>
      <c r="X174" s="2">
        <v>15290</v>
      </c>
      <c r="Y174" s="2">
        <v>0</v>
      </c>
      <c r="Z174" s="2">
        <v>30580</v>
      </c>
      <c r="AA174" s="2">
        <v>0</v>
      </c>
      <c r="AB174" s="2">
        <f>Tabela1[[#This Row],[valPrincipal]]+Tabela1[[#This Row],[valReajustes]]+Tabela1[[#This Row],[valAditamentos]]-Tabela1[[#This Row],[valAnulacao]]</f>
        <v>45870</v>
      </c>
      <c r="AC174" s="2">
        <f>IF(Tabela1[[#This Row],[VigenciaMeses]]=0,Tabela1[[#This Row],[valTotal]]/1,Tabela1[[#This Row],[valTotal]]/Tabela1[[#This Row],[VigenciaMeses]])</f>
        <v>1274.1666666666667</v>
      </c>
      <c r="AD174" s="2">
        <f>Tabela1[[#This Row],[valMensal]]*12</f>
        <v>15290</v>
      </c>
      <c r="AE174" s="2">
        <v>78670</v>
      </c>
      <c r="AF174" s="2">
        <v>53800</v>
      </c>
      <c r="AG174" s="2">
        <v>24870</v>
      </c>
      <c r="AH174" s="2">
        <v>13070</v>
      </c>
      <c r="AI174" s="2">
        <v>13070</v>
      </c>
      <c r="AJ174" t="s">
        <v>47</v>
      </c>
    </row>
    <row r="175" spans="1:36" x14ac:dyDescent="0.25">
      <c r="A175" t="s">
        <v>36</v>
      </c>
      <c r="B175" t="s">
        <v>37</v>
      </c>
      <c r="C175" t="s">
        <v>38</v>
      </c>
      <c r="D175" t="s">
        <v>39</v>
      </c>
      <c r="E175">
        <v>8</v>
      </c>
      <c r="F175">
        <v>605</v>
      </c>
      <c r="G175">
        <v>3016</v>
      </c>
      <c r="H175">
        <v>4470</v>
      </c>
      <c r="I175" t="s">
        <v>157</v>
      </c>
      <c r="J175" t="s">
        <v>207</v>
      </c>
      <c r="K175" t="s">
        <v>208</v>
      </c>
      <c r="L175">
        <v>6</v>
      </c>
      <c r="M175" t="s">
        <v>97</v>
      </c>
      <c r="N175">
        <v>2025</v>
      </c>
      <c r="O175">
        <v>2823</v>
      </c>
      <c r="Q175" t="s">
        <v>466</v>
      </c>
      <c r="R175" t="s">
        <v>467</v>
      </c>
      <c r="U175" t="s">
        <v>468</v>
      </c>
      <c r="V175">
        <v>12</v>
      </c>
      <c r="W175" t="str">
        <f ca="1">IF(Tabela1[[#This Row],[datVigencia]]=0,"Expirado",IF(Tabela1[[#This Row],[datVigencia]]&gt;TODAY(),"Vigente","Expirado"))</f>
        <v>Vigente</v>
      </c>
      <c r="X175" s="2">
        <v>15000</v>
      </c>
      <c r="Y175" s="2">
        <v>0</v>
      </c>
      <c r="Z175" s="2">
        <v>0</v>
      </c>
      <c r="AA175" s="2">
        <v>0</v>
      </c>
      <c r="AB175" s="2">
        <f>Tabela1[[#This Row],[valPrincipal]]+Tabela1[[#This Row],[valReajustes]]+Tabela1[[#This Row],[valAditamentos]]-Tabela1[[#This Row],[valAnulacao]]</f>
        <v>15000</v>
      </c>
      <c r="AC175" s="2">
        <f>IF(Tabela1[[#This Row],[VigenciaMeses]]=0,Tabela1[[#This Row],[valTotal]]/1,Tabela1[[#This Row],[valTotal]]/Tabela1[[#This Row],[VigenciaMeses]])</f>
        <v>1250</v>
      </c>
      <c r="AD175" s="2">
        <f>Tabela1[[#This Row],[valMensal]]*12</f>
        <v>15000</v>
      </c>
      <c r="AE175" s="2">
        <v>15000</v>
      </c>
      <c r="AF175" s="2">
        <v>0</v>
      </c>
      <c r="AG175" s="2">
        <v>15000</v>
      </c>
      <c r="AH175" s="2">
        <v>15000</v>
      </c>
      <c r="AI175" s="2">
        <v>0</v>
      </c>
      <c r="AJ175" t="s">
        <v>47</v>
      </c>
    </row>
    <row r="176" spans="1:36" x14ac:dyDescent="0.25">
      <c r="A176" t="s">
        <v>36</v>
      </c>
      <c r="B176" t="s">
        <v>37</v>
      </c>
      <c r="C176" t="s">
        <v>38</v>
      </c>
      <c r="D176" t="s">
        <v>39</v>
      </c>
      <c r="E176">
        <v>14</v>
      </c>
      <c r="F176">
        <v>422</v>
      </c>
      <c r="G176">
        <v>3018</v>
      </c>
      <c r="H176">
        <v>4319</v>
      </c>
      <c r="I176" t="s">
        <v>1144</v>
      </c>
      <c r="J176" t="s">
        <v>951</v>
      </c>
      <c r="K176" t="s">
        <v>952</v>
      </c>
      <c r="L176">
        <v>8</v>
      </c>
      <c r="M176" t="s">
        <v>43</v>
      </c>
      <c r="N176">
        <v>2025</v>
      </c>
      <c r="O176">
        <v>12899</v>
      </c>
      <c r="Q176" t="s">
        <v>1145</v>
      </c>
      <c r="R176" t="s">
        <v>1146</v>
      </c>
      <c r="U176" t="s">
        <v>413</v>
      </c>
      <c r="V176">
        <v>12</v>
      </c>
      <c r="W176" t="str">
        <f ca="1">IF(Tabela1[[#This Row],[datVigencia]]=0,"Expirado",IF(Tabela1[[#This Row],[datVigencia]]&gt;TODAY(),"Vigente","Expirado"))</f>
        <v>Vigente</v>
      </c>
      <c r="X176" s="2">
        <v>15000</v>
      </c>
      <c r="Y176" s="2">
        <v>0</v>
      </c>
      <c r="Z176" s="2">
        <v>0</v>
      </c>
      <c r="AA176" s="2">
        <v>4680</v>
      </c>
      <c r="AB176" s="2">
        <f>Tabela1[[#This Row],[valPrincipal]]+Tabela1[[#This Row],[valReajustes]]+Tabela1[[#This Row],[valAditamentos]]-Tabela1[[#This Row],[valAnulacao]]</f>
        <v>10320</v>
      </c>
      <c r="AC176" s="2">
        <f>IF(Tabela1[[#This Row],[VigenciaMeses]]=0,Tabela1[[#This Row],[valTotal]]/1,Tabela1[[#This Row],[valTotal]]/Tabela1[[#This Row],[VigenciaMeses]])</f>
        <v>860</v>
      </c>
      <c r="AD176" s="2">
        <f>Tabela1[[#This Row],[valMensal]]*12</f>
        <v>10320</v>
      </c>
      <c r="AE176" s="2">
        <v>15000</v>
      </c>
      <c r="AF176" s="2">
        <v>4680</v>
      </c>
      <c r="AG176" s="2">
        <v>10320</v>
      </c>
      <c r="AH176" s="2">
        <v>10320</v>
      </c>
      <c r="AI176" s="2">
        <v>10320</v>
      </c>
      <c r="AJ176" t="s">
        <v>47</v>
      </c>
    </row>
    <row r="177" spans="1:36" x14ac:dyDescent="0.25">
      <c r="A177" t="s">
        <v>36</v>
      </c>
      <c r="B177" t="s">
        <v>37</v>
      </c>
      <c r="C177" t="s">
        <v>38</v>
      </c>
      <c r="D177" t="s">
        <v>39</v>
      </c>
      <c r="E177">
        <v>14</v>
      </c>
      <c r="F177">
        <v>122</v>
      </c>
      <c r="G177">
        <v>3024</v>
      </c>
      <c r="H177">
        <v>2100</v>
      </c>
      <c r="I177" t="s">
        <v>157</v>
      </c>
      <c r="J177" t="s">
        <v>207</v>
      </c>
      <c r="K177" t="s">
        <v>208</v>
      </c>
      <c r="L177">
        <v>6</v>
      </c>
      <c r="M177" t="s">
        <v>97</v>
      </c>
      <c r="N177">
        <v>2025</v>
      </c>
      <c r="O177">
        <v>3528</v>
      </c>
      <c r="Q177" t="s">
        <v>611</v>
      </c>
      <c r="R177" t="s">
        <v>612</v>
      </c>
      <c r="U177" t="s">
        <v>613</v>
      </c>
      <c r="V177">
        <v>12</v>
      </c>
      <c r="W177" t="str">
        <f ca="1">IF(Tabela1[[#This Row],[datVigencia]]=0,"Expirado",IF(Tabela1[[#This Row],[datVigencia]]&gt;TODAY(),"Vigente","Expirado"))</f>
        <v>Vigente</v>
      </c>
      <c r="X177" s="2">
        <v>14877.9</v>
      </c>
      <c r="Y177" s="2">
        <v>0</v>
      </c>
      <c r="Z177" s="2">
        <v>0</v>
      </c>
      <c r="AA177" s="2">
        <v>0</v>
      </c>
      <c r="AB177" s="2">
        <f>Tabela1[[#This Row],[valPrincipal]]+Tabela1[[#This Row],[valReajustes]]+Tabela1[[#This Row],[valAditamentos]]-Tabela1[[#This Row],[valAnulacao]]</f>
        <v>14877.9</v>
      </c>
      <c r="AC177" s="2">
        <f>IF(Tabela1[[#This Row],[VigenciaMeses]]=0,Tabela1[[#This Row],[valTotal]]/1,Tabela1[[#This Row],[valTotal]]/Tabela1[[#This Row],[VigenciaMeses]])</f>
        <v>1239.825</v>
      </c>
      <c r="AD177" s="2">
        <f>Tabela1[[#This Row],[valMensal]]*12</f>
        <v>14877.900000000001</v>
      </c>
      <c r="AE177" s="2">
        <v>14877.9</v>
      </c>
      <c r="AF177" s="2">
        <v>0</v>
      </c>
      <c r="AG177" s="2">
        <v>14877.9</v>
      </c>
      <c r="AH177" s="2">
        <v>14877.9</v>
      </c>
      <c r="AI177" s="2">
        <v>14877.9</v>
      </c>
      <c r="AJ177" t="s">
        <v>47</v>
      </c>
    </row>
    <row r="178" spans="1:36" x14ac:dyDescent="0.25">
      <c r="A178" t="s">
        <v>36</v>
      </c>
      <c r="B178" t="s">
        <v>37</v>
      </c>
      <c r="C178" t="s">
        <v>38</v>
      </c>
      <c r="D178" t="s">
        <v>39</v>
      </c>
      <c r="E178">
        <v>14</v>
      </c>
      <c r="F178">
        <v>122</v>
      </c>
      <c r="G178">
        <v>3024</v>
      </c>
      <c r="H178">
        <v>2100</v>
      </c>
      <c r="I178" t="s">
        <v>157</v>
      </c>
      <c r="J178" t="s">
        <v>207</v>
      </c>
      <c r="K178" t="s">
        <v>208</v>
      </c>
      <c r="L178">
        <v>6</v>
      </c>
      <c r="M178" t="s">
        <v>97</v>
      </c>
      <c r="N178">
        <v>2025</v>
      </c>
      <c r="O178">
        <v>3324</v>
      </c>
      <c r="Q178" t="s">
        <v>568</v>
      </c>
      <c r="R178" t="s">
        <v>569</v>
      </c>
      <c r="U178" t="s">
        <v>570</v>
      </c>
      <c r="V178">
        <v>12</v>
      </c>
      <c r="W178" t="str">
        <f ca="1">IF(Tabela1[[#This Row],[datVigencia]]=0,"Expirado",IF(Tabela1[[#This Row],[datVigencia]]&gt;TODAY(),"Vigente","Expirado"))</f>
        <v>Vigente</v>
      </c>
      <c r="X178" s="2">
        <v>14563.8</v>
      </c>
      <c r="Y178" s="2">
        <v>0</v>
      </c>
      <c r="Z178" s="2">
        <v>0</v>
      </c>
      <c r="AA178" s="2">
        <v>0</v>
      </c>
      <c r="AB178" s="2">
        <f>Tabela1[[#This Row],[valPrincipal]]+Tabela1[[#This Row],[valReajustes]]+Tabela1[[#This Row],[valAditamentos]]-Tabela1[[#This Row],[valAnulacao]]</f>
        <v>14563.8</v>
      </c>
      <c r="AC178" s="2">
        <f>IF(Tabela1[[#This Row],[VigenciaMeses]]=0,Tabela1[[#This Row],[valTotal]]/1,Tabela1[[#This Row],[valTotal]]/Tabela1[[#This Row],[VigenciaMeses]])</f>
        <v>1213.6499999999999</v>
      </c>
      <c r="AD178" s="2">
        <f>Tabela1[[#This Row],[valMensal]]*12</f>
        <v>14563.8</v>
      </c>
      <c r="AE178" s="2">
        <v>14563.8</v>
      </c>
      <c r="AF178" s="2">
        <v>0</v>
      </c>
      <c r="AG178" s="2">
        <v>14563.8</v>
      </c>
      <c r="AH178" s="2">
        <v>14563.8</v>
      </c>
      <c r="AI178" s="2">
        <v>14563.8</v>
      </c>
      <c r="AJ178" t="s">
        <v>47</v>
      </c>
    </row>
    <row r="179" spans="1:36" x14ac:dyDescent="0.25">
      <c r="A179" t="s">
        <v>36</v>
      </c>
      <c r="B179" t="s">
        <v>1076</v>
      </c>
      <c r="C179" t="s">
        <v>1077</v>
      </c>
      <c r="D179" t="s">
        <v>39</v>
      </c>
      <c r="E179">
        <v>14</v>
      </c>
      <c r="F179">
        <v>422</v>
      </c>
      <c r="G179">
        <v>3018</v>
      </c>
      <c r="H179">
        <v>4326</v>
      </c>
      <c r="I179" t="s">
        <v>48</v>
      </c>
      <c r="J179" t="s">
        <v>55</v>
      </c>
      <c r="K179" t="s">
        <v>56</v>
      </c>
      <c r="L179">
        <v>7</v>
      </c>
      <c r="M179" t="s">
        <v>324</v>
      </c>
      <c r="N179">
        <v>2025</v>
      </c>
      <c r="O179">
        <v>16682</v>
      </c>
      <c r="P179" t="s">
        <v>1299</v>
      </c>
      <c r="Q179" t="s">
        <v>1300</v>
      </c>
      <c r="R179" t="s">
        <v>1301</v>
      </c>
      <c r="S179" t="s">
        <v>1288</v>
      </c>
      <c r="T179" t="s">
        <v>1111</v>
      </c>
      <c r="U179" t="s">
        <v>1202</v>
      </c>
      <c r="V179">
        <v>0</v>
      </c>
      <c r="W179" t="str">
        <f ca="1">IF(Tabela1[[#This Row],[datVigencia]]=0,"Expirado",IF(Tabela1[[#This Row],[datVigencia]]&gt;TODAY(),"Vigente","Expirado"))</f>
        <v>Vigente</v>
      </c>
      <c r="X179" s="2">
        <v>14200</v>
      </c>
      <c r="Y179" s="2">
        <v>0</v>
      </c>
      <c r="Z179" s="2">
        <v>0</v>
      </c>
      <c r="AA179" s="2">
        <v>0</v>
      </c>
      <c r="AB179" s="2">
        <f>Tabela1[[#This Row],[valPrincipal]]+Tabela1[[#This Row],[valReajustes]]+Tabela1[[#This Row],[valAditamentos]]-Tabela1[[#This Row],[valAnulacao]]</f>
        <v>14200</v>
      </c>
      <c r="AC179" s="2">
        <f>IF(Tabela1[[#This Row],[VigenciaMeses]]=0,Tabela1[[#This Row],[valTotal]]/1,Tabela1[[#This Row],[valTotal]]/Tabela1[[#This Row],[VigenciaMeses]])</f>
        <v>14200</v>
      </c>
      <c r="AD179" s="2">
        <f>Tabela1[[#This Row],[valMensal]]*12</f>
        <v>170400</v>
      </c>
      <c r="AE179" s="2">
        <v>14200</v>
      </c>
      <c r="AF179" s="2">
        <v>0</v>
      </c>
      <c r="AG179" s="2">
        <v>14200</v>
      </c>
      <c r="AH179" s="2">
        <v>0</v>
      </c>
      <c r="AI179" s="2">
        <v>0</v>
      </c>
      <c r="AJ179" t="s">
        <v>47</v>
      </c>
    </row>
    <row r="180" spans="1:36" x14ac:dyDescent="0.25">
      <c r="A180" t="s">
        <v>36</v>
      </c>
      <c r="B180" t="s">
        <v>1076</v>
      </c>
      <c r="C180" t="s">
        <v>1077</v>
      </c>
      <c r="D180" t="s">
        <v>39</v>
      </c>
      <c r="E180">
        <v>14</v>
      </c>
      <c r="F180">
        <v>422</v>
      </c>
      <c r="G180">
        <v>3018</v>
      </c>
      <c r="H180">
        <v>4326</v>
      </c>
      <c r="I180" t="s">
        <v>48</v>
      </c>
      <c r="J180" t="s">
        <v>55</v>
      </c>
      <c r="K180" t="s">
        <v>56</v>
      </c>
      <c r="L180">
        <v>7</v>
      </c>
      <c r="M180" t="s">
        <v>324</v>
      </c>
      <c r="N180">
        <v>2025</v>
      </c>
      <c r="O180">
        <v>16726</v>
      </c>
      <c r="Q180" t="s">
        <v>1308</v>
      </c>
      <c r="R180" t="s">
        <v>1309</v>
      </c>
      <c r="V180">
        <v>12</v>
      </c>
      <c r="W180" t="str">
        <f ca="1">IF(Tabela1[[#This Row],[datVigencia]]=0,"Expirado",IF(Tabela1[[#This Row],[datVigencia]]&gt;TODAY(),"Vigente","Expirado"))</f>
        <v>Expirado</v>
      </c>
      <c r="X180" s="2">
        <v>14200</v>
      </c>
      <c r="Y180" s="2">
        <v>0</v>
      </c>
      <c r="Z180" s="2">
        <v>0</v>
      </c>
      <c r="AA180" s="2">
        <v>0</v>
      </c>
      <c r="AB180" s="2">
        <f>Tabela1[[#This Row],[valPrincipal]]+Tabela1[[#This Row],[valReajustes]]+Tabela1[[#This Row],[valAditamentos]]-Tabela1[[#This Row],[valAnulacao]]</f>
        <v>14200</v>
      </c>
      <c r="AC180" s="2">
        <f>IF(Tabela1[[#This Row],[VigenciaMeses]]=0,Tabela1[[#This Row],[valTotal]]/1,Tabela1[[#This Row],[valTotal]]/Tabela1[[#This Row],[VigenciaMeses]])</f>
        <v>1183.3333333333333</v>
      </c>
      <c r="AD180" s="2">
        <f>Tabela1[[#This Row],[valMensal]]*12</f>
        <v>14200</v>
      </c>
      <c r="AE180" s="2">
        <v>14200</v>
      </c>
      <c r="AF180" s="2">
        <v>0</v>
      </c>
      <c r="AG180" s="2">
        <v>14200</v>
      </c>
      <c r="AH180" s="2">
        <v>0</v>
      </c>
      <c r="AI180" s="2">
        <v>0</v>
      </c>
      <c r="AJ180" t="s">
        <v>47</v>
      </c>
    </row>
    <row r="181" spans="1:36" x14ac:dyDescent="0.25">
      <c r="A181" t="s">
        <v>36</v>
      </c>
      <c r="B181" t="s">
        <v>1076</v>
      </c>
      <c r="C181" t="s">
        <v>1077</v>
      </c>
      <c r="D181" t="s">
        <v>39</v>
      </c>
      <c r="E181">
        <v>14</v>
      </c>
      <c r="F181">
        <v>422</v>
      </c>
      <c r="G181">
        <v>3018</v>
      </c>
      <c r="H181">
        <v>4326</v>
      </c>
      <c r="I181" t="s">
        <v>48</v>
      </c>
      <c r="J181" t="s">
        <v>55</v>
      </c>
      <c r="K181" t="s">
        <v>56</v>
      </c>
      <c r="L181">
        <v>7</v>
      </c>
      <c r="M181" t="s">
        <v>324</v>
      </c>
      <c r="N181">
        <v>2025</v>
      </c>
      <c r="O181">
        <v>16731</v>
      </c>
      <c r="P181" t="s">
        <v>1310</v>
      </c>
      <c r="Q181" t="s">
        <v>1311</v>
      </c>
      <c r="R181" t="s">
        <v>1312</v>
      </c>
      <c r="S181" t="s">
        <v>1288</v>
      </c>
      <c r="T181" t="s">
        <v>1111</v>
      </c>
      <c r="U181" t="s">
        <v>1202</v>
      </c>
      <c r="V181">
        <v>0</v>
      </c>
      <c r="W181" t="str">
        <f ca="1">IF(Tabela1[[#This Row],[datVigencia]]=0,"Expirado",IF(Tabela1[[#This Row],[datVigencia]]&gt;TODAY(),"Vigente","Expirado"))</f>
        <v>Vigente</v>
      </c>
      <c r="X181" s="2">
        <v>14200</v>
      </c>
      <c r="Y181" s="2">
        <v>0</v>
      </c>
      <c r="Z181" s="2">
        <v>0</v>
      </c>
      <c r="AA181" s="2">
        <v>0</v>
      </c>
      <c r="AB181" s="2">
        <f>Tabela1[[#This Row],[valPrincipal]]+Tabela1[[#This Row],[valReajustes]]+Tabela1[[#This Row],[valAditamentos]]-Tabela1[[#This Row],[valAnulacao]]</f>
        <v>14200</v>
      </c>
      <c r="AC181" s="2">
        <f>IF(Tabela1[[#This Row],[VigenciaMeses]]=0,Tabela1[[#This Row],[valTotal]]/1,Tabela1[[#This Row],[valTotal]]/Tabela1[[#This Row],[VigenciaMeses]])</f>
        <v>14200</v>
      </c>
      <c r="AD181" s="2">
        <f>Tabela1[[#This Row],[valMensal]]*12</f>
        <v>170400</v>
      </c>
      <c r="AE181" s="2">
        <v>14200</v>
      </c>
      <c r="AF181" s="2">
        <v>0</v>
      </c>
      <c r="AG181" s="2">
        <v>14200</v>
      </c>
      <c r="AH181" s="2">
        <v>0</v>
      </c>
      <c r="AI181" s="2">
        <v>0</v>
      </c>
      <c r="AJ181" t="s">
        <v>47</v>
      </c>
    </row>
    <row r="182" spans="1:36" x14ac:dyDescent="0.25">
      <c r="A182" t="s">
        <v>36</v>
      </c>
      <c r="B182" t="s">
        <v>1076</v>
      </c>
      <c r="C182" t="s">
        <v>1077</v>
      </c>
      <c r="D182" t="s">
        <v>39</v>
      </c>
      <c r="E182">
        <v>14</v>
      </c>
      <c r="F182">
        <v>422</v>
      </c>
      <c r="G182">
        <v>3018</v>
      </c>
      <c r="H182">
        <v>4326</v>
      </c>
      <c r="I182" t="s">
        <v>48</v>
      </c>
      <c r="J182" t="s">
        <v>55</v>
      </c>
      <c r="K182" t="s">
        <v>56</v>
      </c>
      <c r="L182">
        <v>7</v>
      </c>
      <c r="M182" t="s">
        <v>324</v>
      </c>
      <c r="N182">
        <v>2025</v>
      </c>
      <c r="O182">
        <v>16730</v>
      </c>
      <c r="Q182" t="s">
        <v>1313</v>
      </c>
      <c r="R182" t="s">
        <v>1314</v>
      </c>
      <c r="V182">
        <v>12</v>
      </c>
      <c r="W182" t="str">
        <f ca="1">IF(Tabela1[[#This Row],[datVigencia]]=0,"Expirado",IF(Tabela1[[#This Row],[datVigencia]]&gt;TODAY(),"Vigente","Expirado"))</f>
        <v>Expirado</v>
      </c>
      <c r="X182" s="2">
        <v>14200</v>
      </c>
      <c r="Y182" s="2">
        <v>0</v>
      </c>
      <c r="Z182" s="2">
        <v>0</v>
      </c>
      <c r="AA182" s="2">
        <v>0</v>
      </c>
      <c r="AB182" s="2">
        <f>Tabela1[[#This Row],[valPrincipal]]+Tabela1[[#This Row],[valReajustes]]+Tabela1[[#This Row],[valAditamentos]]-Tabela1[[#This Row],[valAnulacao]]</f>
        <v>14200</v>
      </c>
      <c r="AC182" s="2">
        <f>IF(Tabela1[[#This Row],[VigenciaMeses]]=0,Tabela1[[#This Row],[valTotal]]/1,Tabela1[[#This Row],[valTotal]]/Tabela1[[#This Row],[VigenciaMeses]])</f>
        <v>1183.3333333333333</v>
      </c>
      <c r="AD182" s="2">
        <f>Tabela1[[#This Row],[valMensal]]*12</f>
        <v>14200</v>
      </c>
      <c r="AE182" s="2">
        <v>14200</v>
      </c>
      <c r="AF182" s="2">
        <v>0</v>
      </c>
      <c r="AG182" s="2">
        <v>14200</v>
      </c>
      <c r="AH182" s="2">
        <v>0</v>
      </c>
      <c r="AI182" s="2">
        <v>0</v>
      </c>
      <c r="AJ182" t="s">
        <v>47</v>
      </c>
    </row>
    <row r="183" spans="1:36" x14ac:dyDescent="0.25">
      <c r="A183" t="s">
        <v>36</v>
      </c>
      <c r="B183" t="s">
        <v>1076</v>
      </c>
      <c r="C183" t="s">
        <v>1077</v>
      </c>
      <c r="D183" t="s">
        <v>39</v>
      </c>
      <c r="E183">
        <v>14</v>
      </c>
      <c r="F183">
        <v>422</v>
      </c>
      <c r="G183">
        <v>3018</v>
      </c>
      <c r="H183">
        <v>4326</v>
      </c>
      <c r="I183" t="s">
        <v>48</v>
      </c>
      <c r="J183" t="s">
        <v>55</v>
      </c>
      <c r="K183" t="s">
        <v>56</v>
      </c>
      <c r="L183">
        <v>7</v>
      </c>
      <c r="M183" t="s">
        <v>324</v>
      </c>
      <c r="N183">
        <v>2025</v>
      </c>
      <c r="O183">
        <v>16739</v>
      </c>
      <c r="Q183" t="s">
        <v>1319</v>
      </c>
      <c r="R183" t="s">
        <v>1320</v>
      </c>
      <c r="V183">
        <v>12</v>
      </c>
      <c r="W183" t="str">
        <f ca="1">IF(Tabela1[[#This Row],[datVigencia]]=0,"Expirado",IF(Tabela1[[#This Row],[datVigencia]]&gt;TODAY(),"Vigente","Expirado"))</f>
        <v>Expirado</v>
      </c>
      <c r="X183" s="2">
        <v>14200</v>
      </c>
      <c r="Y183" s="2">
        <v>0</v>
      </c>
      <c r="Z183" s="2">
        <v>0</v>
      </c>
      <c r="AA183" s="2">
        <v>0</v>
      </c>
      <c r="AB183" s="2">
        <f>Tabela1[[#This Row],[valPrincipal]]+Tabela1[[#This Row],[valReajustes]]+Tabela1[[#This Row],[valAditamentos]]-Tabela1[[#This Row],[valAnulacao]]</f>
        <v>14200</v>
      </c>
      <c r="AC183" s="2">
        <f>IF(Tabela1[[#This Row],[VigenciaMeses]]=0,Tabela1[[#This Row],[valTotal]]/1,Tabela1[[#This Row],[valTotal]]/Tabela1[[#This Row],[VigenciaMeses]])</f>
        <v>1183.3333333333333</v>
      </c>
      <c r="AD183" s="2">
        <f>Tabela1[[#This Row],[valMensal]]*12</f>
        <v>14200</v>
      </c>
      <c r="AE183" s="2">
        <v>14200</v>
      </c>
      <c r="AF183" s="2">
        <v>0</v>
      </c>
      <c r="AG183" s="2">
        <v>14200</v>
      </c>
      <c r="AH183" s="2">
        <v>0</v>
      </c>
      <c r="AI183" s="2">
        <v>0</v>
      </c>
      <c r="AJ183" t="s">
        <v>47</v>
      </c>
    </row>
    <row r="184" spans="1:36" x14ac:dyDescent="0.25">
      <c r="A184" t="s">
        <v>36</v>
      </c>
      <c r="B184" t="s">
        <v>1076</v>
      </c>
      <c r="C184" t="s">
        <v>1077</v>
      </c>
      <c r="D184" t="s">
        <v>39</v>
      </c>
      <c r="E184">
        <v>14</v>
      </c>
      <c r="F184">
        <v>422</v>
      </c>
      <c r="G184">
        <v>3018</v>
      </c>
      <c r="H184">
        <v>4326</v>
      </c>
      <c r="I184" t="s">
        <v>48</v>
      </c>
      <c r="J184" t="s">
        <v>55</v>
      </c>
      <c r="K184" t="s">
        <v>56</v>
      </c>
      <c r="L184">
        <v>7</v>
      </c>
      <c r="M184" t="s">
        <v>324</v>
      </c>
      <c r="N184">
        <v>2025</v>
      </c>
      <c r="O184">
        <v>16742</v>
      </c>
      <c r="P184" t="s">
        <v>1335</v>
      </c>
      <c r="Q184" t="s">
        <v>1336</v>
      </c>
      <c r="R184" t="s">
        <v>1337</v>
      </c>
      <c r="S184" t="s">
        <v>1288</v>
      </c>
      <c r="T184" t="s">
        <v>1111</v>
      </c>
      <c r="U184" t="s">
        <v>1202</v>
      </c>
      <c r="V184">
        <v>0</v>
      </c>
      <c r="W184" t="str">
        <f ca="1">IF(Tabela1[[#This Row],[datVigencia]]=0,"Expirado",IF(Tabela1[[#This Row],[datVigencia]]&gt;TODAY(),"Vigente","Expirado"))</f>
        <v>Vigente</v>
      </c>
      <c r="X184" s="2">
        <v>14200</v>
      </c>
      <c r="Y184" s="2">
        <v>0</v>
      </c>
      <c r="Z184" s="2">
        <v>0</v>
      </c>
      <c r="AA184" s="2">
        <v>0</v>
      </c>
      <c r="AB184" s="2">
        <f>Tabela1[[#This Row],[valPrincipal]]+Tabela1[[#This Row],[valReajustes]]+Tabela1[[#This Row],[valAditamentos]]-Tabela1[[#This Row],[valAnulacao]]</f>
        <v>14200</v>
      </c>
      <c r="AC184" s="2">
        <f>IF(Tabela1[[#This Row],[VigenciaMeses]]=0,Tabela1[[#This Row],[valTotal]]/1,Tabela1[[#This Row],[valTotal]]/Tabela1[[#This Row],[VigenciaMeses]])</f>
        <v>14200</v>
      </c>
      <c r="AD184" s="2">
        <f>Tabela1[[#This Row],[valMensal]]*12</f>
        <v>170400</v>
      </c>
      <c r="AE184" s="2">
        <v>14200</v>
      </c>
      <c r="AF184" s="2">
        <v>0</v>
      </c>
      <c r="AG184" s="2">
        <v>14200</v>
      </c>
      <c r="AH184" s="2">
        <v>0</v>
      </c>
      <c r="AI184" s="2">
        <v>0</v>
      </c>
      <c r="AJ184" t="s">
        <v>47</v>
      </c>
    </row>
    <row r="185" spans="1:36" x14ac:dyDescent="0.25">
      <c r="A185" t="s">
        <v>36</v>
      </c>
      <c r="B185" t="s">
        <v>1076</v>
      </c>
      <c r="C185" t="s">
        <v>1077</v>
      </c>
      <c r="D185" t="s">
        <v>39</v>
      </c>
      <c r="E185">
        <v>14</v>
      </c>
      <c r="F185">
        <v>422</v>
      </c>
      <c r="G185">
        <v>3018</v>
      </c>
      <c r="H185">
        <v>4326</v>
      </c>
      <c r="I185" t="s">
        <v>48</v>
      </c>
      <c r="J185" t="s">
        <v>55</v>
      </c>
      <c r="K185" t="s">
        <v>56</v>
      </c>
      <c r="L185">
        <v>7</v>
      </c>
      <c r="M185" t="s">
        <v>324</v>
      </c>
      <c r="N185">
        <v>2025</v>
      </c>
      <c r="O185">
        <v>16769</v>
      </c>
      <c r="Q185" t="s">
        <v>1359</v>
      </c>
      <c r="R185" t="s">
        <v>1360</v>
      </c>
      <c r="V185">
        <v>12</v>
      </c>
      <c r="W185" t="str">
        <f ca="1">IF(Tabela1[[#This Row],[datVigencia]]=0,"Expirado",IF(Tabela1[[#This Row],[datVigencia]]&gt;TODAY(),"Vigente","Expirado"))</f>
        <v>Expirado</v>
      </c>
      <c r="X185" s="2">
        <v>14200</v>
      </c>
      <c r="Y185" s="2">
        <v>0</v>
      </c>
      <c r="Z185" s="2">
        <v>0</v>
      </c>
      <c r="AA185" s="2">
        <v>0</v>
      </c>
      <c r="AB185" s="2">
        <f>Tabela1[[#This Row],[valPrincipal]]+Tabela1[[#This Row],[valReajustes]]+Tabela1[[#This Row],[valAditamentos]]-Tabela1[[#This Row],[valAnulacao]]</f>
        <v>14200</v>
      </c>
      <c r="AC185" s="2">
        <f>IF(Tabela1[[#This Row],[VigenciaMeses]]=0,Tabela1[[#This Row],[valTotal]]/1,Tabela1[[#This Row],[valTotal]]/Tabela1[[#This Row],[VigenciaMeses]])</f>
        <v>1183.3333333333333</v>
      </c>
      <c r="AD185" s="2">
        <f>Tabela1[[#This Row],[valMensal]]*12</f>
        <v>14200</v>
      </c>
      <c r="AE185" s="2">
        <v>14200</v>
      </c>
      <c r="AF185" s="2">
        <v>0</v>
      </c>
      <c r="AG185" s="2">
        <v>14200</v>
      </c>
      <c r="AH185" s="2">
        <v>0</v>
      </c>
      <c r="AI185" s="2">
        <v>0</v>
      </c>
      <c r="AJ185" t="s">
        <v>47</v>
      </c>
    </row>
    <row r="186" spans="1:36" x14ac:dyDescent="0.25">
      <c r="A186" t="s">
        <v>36</v>
      </c>
      <c r="B186" t="s">
        <v>1076</v>
      </c>
      <c r="C186" t="s">
        <v>1077</v>
      </c>
      <c r="D186" t="s">
        <v>39</v>
      </c>
      <c r="E186">
        <v>14</v>
      </c>
      <c r="F186">
        <v>422</v>
      </c>
      <c r="G186">
        <v>3018</v>
      </c>
      <c r="H186">
        <v>4326</v>
      </c>
      <c r="I186" t="s">
        <v>48</v>
      </c>
      <c r="J186" t="s">
        <v>55</v>
      </c>
      <c r="K186" t="s">
        <v>56</v>
      </c>
      <c r="L186">
        <v>7</v>
      </c>
      <c r="M186" t="s">
        <v>324</v>
      </c>
      <c r="N186">
        <v>2025</v>
      </c>
      <c r="O186">
        <v>16806</v>
      </c>
      <c r="Q186" t="s">
        <v>1383</v>
      </c>
      <c r="R186" t="s">
        <v>1384</v>
      </c>
      <c r="V186">
        <v>12</v>
      </c>
      <c r="W186" t="str">
        <f ca="1">IF(Tabela1[[#This Row],[datVigencia]]=0,"Expirado",IF(Tabela1[[#This Row],[datVigencia]]&gt;TODAY(),"Vigente","Expirado"))</f>
        <v>Expirado</v>
      </c>
      <c r="X186" s="2">
        <v>14200</v>
      </c>
      <c r="Y186" s="2">
        <v>0</v>
      </c>
      <c r="Z186" s="2">
        <v>0</v>
      </c>
      <c r="AA186" s="2">
        <v>0</v>
      </c>
      <c r="AB186" s="2">
        <f>Tabela1[[#This Row],[valPrincipal]]+Tabela1[[#This Row],[valReajustes]]+Tabela1[[#This Row],[valAditamentos]]-Tabela1[[#This Row],[valAnulacao]]</f>
        <v>14200</v>
      </c>
      <c r="AC186" s="2">
        <f>IF(Tabela1[[#This Row],[VigenciaMeses]]=0,Tabela1[[#This Row],[valTotal]]/1,Tabela1[[#This Row],[valTotal]]/Tabela1[[#This Row],[VigenciaMeses]])</f>
        <v>1183.3333333333333</v>
      </c>
      <c r="AD186" s="2">
        <f>Tabela1[[#This Row],[valMensal]]*12</f>
        <v>14200</v>
      </c>
      <c r="AE186" s="2">
        <v>14200</v>
      </c>
      <c r="AF186" s="2">
        <v>0</v>
      </c>
      <c r="AG186" s="2">
        <v>14200</v>
      </c>
      <c r="AH186" s="2">
        <v>0</v>
      </c>
      <c r="AI186" s="2">
        <v>0</v>
      </c>
      <c r="AJ186" t="s">
        <v>47</v>
      </c>
    </row>
    <row r="187" spans="1:36" x14ac:dyDescent="0.25">
      <c r="A187" t="s">
        <v>36</v>
      </c>
      <c r="B187" t="s">
        <v>1076</v>
      </c>
      <c r="C187" t="s">
        <v>1077</v>
      </c>
      <c r="D187" t="s">
        <v>39</v>
      </c>
      <c r="E187">
        <v>14</v>
      </c>
      <c r="F187">
        <v>422</v>
      </c>
      <c r="G187">
        <v>3018</v>
      </c>
      <c r="H187">
        <v>4326</v>
      </c>
      <c r="I187" t="s">
        <v>48</v>
      </c>
      <c r="J187" t="s">
        <v>55</v>
      </c>
      <c r="K187" t="s">
        <v>56</v>
      </c>
      <c r="L187">
        <v>7</v>
      </c>
      <c r="M187" t="s">
        <v>324</v>
      </c>
      <c r="N187">
        <v>2025</v>
      </c>
      <c r="O187">
        <v>16840</v>
      </c>
      <c r="Q187" t="s">
        <v>1393</v>
      </c>
      <c r="R187" t="s">
        <v>1394</v>
      </c>
      <c r="V187">
        <v>12</v>
      </c>
      <c r="W187" t="str">
        <f ca="1">IF(Tabela1[[#This Row],[datVigencia]]=0,"Expirado",IF(Tabela1[[#This Row],[datVigencia]]&gt;TODAY(),"Vigente","Expirado"))</f>
        <v>Expirado</v>
      </c>
      <c r="X187" s="2">
        <v>14200</v>
      </c>
      <c r="Y187" s="2">
        <v>0</v>
      </c>
      <c r="Z187" s="2">
        <v>0</v>
      </c>
      <c r="AA187" s="2">
        <v>0</v>
      </c>
      <c r="AB187" s="2">
        <f>Tabela1[[#This Row],[valPrincipal]]+Tabela1[[#This Row],[valReajustes]]+Tabela1[[#This Row],[valAditamentos]]-Tabela1[[#This Row],[valAnulacao]]</f>
        <v>14200</v>
      </c>
      <c r="AC187" s="2">
        <f>IF(Tabela1[[#This Row],[VigenciaMeses]]=0,Tabela1[[#This Row],[valTotal]]/1,Tabela1[[#This Row],[valTotal]]/Tabela1[[#This Row],[VigenciaMeses]])</f>
        <v>1183.3333333333333</v>
      </c>
      <c r="AD187" s="2">
        <f>Tabela1[[#This Row],[valMensal]]*12</f>
        <v>14200</v>
      </c>
      <c r="AE187" s="2">
        <v>14200</v>
      </c>
      <c r="AF187" s="2">
        <v>0</v>
      </c>
      <c r="AG187" s="2">
        <v>14200</v>
      </c>
      <c r="AH187" s="2">
        <v>0</v>
      </c>
      <c r="AI187" s="2">
        <v>0</v>
      </c>
      <c r="AJ187" t="s">
        <v>47</v>
      </c>
    </row>
    <row r="188" spans="1:36" x14ac:dyDescent="0.25">
      <c r="A188" t="s">
        <v>36</v>
      </c>
      <c r="B188" t="s">
        <v>1076</v>
      </c>
      <c r="C188" t="s">
        <v>1077</v>
      </c>
      <c r="D188" t="s">
        <v>39</v>
      </c>
      <c r="E188">
        <v>14</v>
      </c>
      <c r="F188">
        <v>422</v>
      </c>
      <c r="G188">
        <v>3018</v>
      </c>
      <c r="H188">
        <v>4326</v>
      </c>
      <c r="I188" t="s">
        <v>48</v>
      </c>
      <c r="J188" t="s">
        <v>55</v>
      </c>
      <c r="K188" t="s">
        <v>56</v>
      </c>
      <c r="L188">
        <v>7</v>
      </c>
      <c r="M188" t="s">
        <v>324</v>
      </c>
      <c r="N188">
        <v>2025</v>
      </c>
      <c r="O188">
        <v>16838</v>
      </c>
      <c r="Q188" t="s">
        <v>1395</v>
      </c>
      <c r="R188" t="s">
        <v>1396</v>
      </c>
      <c r="V188">
        <v>12</v>
      </c>
      <c r="W188" t="str">
        <f ca="1">IF(Tabela1[[#This Row],[datVigencia]]=0,"Expirado",IF(Tabela1[[#This Row],[datVigencia]]&gt;TODAY(),"Vigente","Expirado"))</f>
        <v>Expirado</v>
      </c>
      <c r="X188" s="2">
        <v>14200</v>
      </c>
      <c r="Y188" s="2">
        <v>0</v>
      </c>
      <c r="Z188" s="2">
        <v>0</v>
      </c>
      <c r="AA188" s="2">
        <v>0</v>
      </c>
      <c r="AB188" s="2">
        <f>Tabela1[[#This Row],[valPrincipal]]+Tabela1[[#This Row],[valReajustes]]+Tabela1[[#This Row],[valAditamentos]]-Tabela1[[#This Row],[valAnulacao]]</f>
        <v>14200</v>
      </c>
      <c r="AC188" s="2">
        <f>IF(Tabela1[[#This Row],[VigenciaMeses]]=0,Tabela1[[#This Row],[valTotal]]/1,Tabela1[[#This Row],[valTotal]]/Tabela1[[#This Row],[VigenciaMeses]])</f>
        <v>1183.3333333333333</v>
      </c>
      <c r="AD188" s="2">
        <f>Tabela1[[#This Row],[valMensal]]*12</f>
        <v>14200</v>
      </c>
      <c r="AE188" s="2">
        <v>14200</v>
      </c>
      <c r="AF188" s="2">
        <v>0</v>
      </c>
      <c r="AG188" s="2">
        <v>14200</v>
      </c>
      <c r="AH188" s="2">
        <v>0</v>
      </c>
      <c r="AI188" s="2">
        <v>0</v>
      </c>
      <c r="AJ188" t="s">
        <v>47</v>
      </c>
    </row>
    <row r="189" spans="1:36" x14ac:dyDescent="0.25">
      <c r="A189" t="s">
        <v>36</v>
      </c>
      <c r="B189" t="s">
        <v>1076</v>
      </c>
      <c r="C189" t="s">
        <v>1077</v>
      </c>
      <c r="D189" t="s">
        <v>39</v>
      </c>
      <c r="E189">
        <v>14</v>
      </c>
      <c r="F189">
        <v>422</v>
      </c>
      <c r="G189">
        <v>3018</v>
      </c>
      <c r="H189">
        <v>4326</v>
      </c>
      <c r="I189" t="s">
        <v>48</v>
      </c>
      <c r="J189" t="s">
        <v>55</v>
      </c>
      <c r="K189" t="s">
        <v>56</v>
      </c>
      <c r="L189">
        <v>7</v>
      </c>
      <c r="M189" t="s">
        <v>324</v>
      </c>
      <c r="N189">
        <v>2025</v>
      </c>
      <c r="O189">
        <v>16849</v>
      </c>
      <c r="Q189" t="s">
        <v>1403</v>
      </c>
      <c r="R189" t="s">
        <v>1404</v>
      </c>
      <c r="V189">
        <v>12</v>
      </c>
      <c r="W189" t="str">
        <f ca="1">IF(Tabela1[[#This Row],[datVigencia]]=0,"Expirado",IF(Tabela1[[#This Row],[datVigencia]]&gt;TODAY(),"Vigente","Expirado"))</f>
        <v>Expirado</v>
      </c>
      <c r="X189" s="2">
        <v>14200</v>
      </c>
      <c r="Y189" s="2">
        <v>0</v>
      </c>
      <c r="Z189" s="2">
        <v>0</v>
      </c>
      <c r="AA189" s="2">
        <v>0</v>
      </c>
      <c r="AB189" s="2">
        <f>Tabela1[[#This Row],[valPrincipal]]+Tabela1[[#This Row],[valReajustes]]+Tabela1[[#This Row],[valAditamentos]]-Tabela1[[#This Row],[valAnulacao]]</f>
        <v>14200</v>
      </c>
      <c r="AC189" s="2">
        <f>IF(Tabela1[[#This Row],[VigenciaMeses]]=0,Tabela1[[#This Row],[valTotal]]/1,Tabela1[[#This Row],[valTotal]]/Tabela1[[#This Row],[VigenciaMeses]])</f>
        <v>1183.3333333333333</v>
      </c>
      <c r="AD189" s="2">
        <f>Tabela1[[#This Row],[valMensal]]*12</f>
        <v>14200</v>
      </c>
      <c r="AE189" s="2">
        <v>14200</v>
      </c>
      <c r="AF189" s="2">
        <v>0</v>
      </c>
      <c r="AG189" s="2">
        <v>14200</v>
      </c>
      <c r="AH189" s="2">
        <v>0</v>
      </c>
      <c r="AI189" s="2">
        <v>0</v>
      </c>
      <c r="AJ189" t="s">
        <v>47</v>
      </c>
    </row>
    <row r="190" spans="1:36" x14ac:dyDescent="0.25">
      <c r="A190" t="s">
        <v>36</v>
      </c>
      <c r="B190" t="s">
        <v>37</v>
      </c>
      <c r="C190" t="s">
        <v>38</v>
      </c>
      <c r="D190" t="s">
        <v>39</v>
      </c>
      <c r="E190">
        <v>14</v>
      </c>
      <c r="F190">
        <v>422</v>
      </c>
      <c r="G190">
        <v>3013</v>
      </c>
      <c r="H190">
        <v>2053</v>
      </c>
      <c r="I190" t="s">
        <v>48</v>
      </c>
      <c r="J190" t="s">
        <v>55</v>
      </c>
      <c r="K190" t="s">
        <v>56</v>
      </c>
      <c r="L190">
        <v>12</v>
      </c>
      <c r="M190" t="s">
        <v>51</v>
      </c>
      <c r="N190">
        <v>2019</v>
      </c>
      <c r="O190">
        <v>19137</v>
      </c>
      <c r="P190" t="s">
        <v>561</v>
      </c>
      <c r="Q190" t="s">
        <v>562</v>
      </c>
      <c r="R190" t="s">
        <v>563</v>
      </c>
      <c r="S190" t="s">
        <v>564</v>
      </c>
      <c r="T190" t="s">
        <v>565</v>
      </c>
      <c r="U190" t="s">
        <v>412</v>
      </c>
      <c r="V190">
        <v>67</v>
      </c>
      <c r="W190" t="str">
        <f ca="1">IF(Tabela1[[#This Row],[datVigencia]]=0,"Expirado",IF(Tabela1[[#This Row],[datVigencia]]&gt;TODAY(),"Vigente","Expirado"))</f>
        <v>Vigente</v>
      </c>
      <c r="X190" s="2">
        <v>14000</v>
      </c>
      <c r="Y190" s="2">
        <v>3537.3</v>
      </c>
      <c r="Z190" s="2">
        <v>59515</v>
      </c>
      <c r="AA190" s="2">
        <v>0</v>
      </c>
      <c r="AB190" s="2">
        <f>Tabela1[[#This Row],[valPrincipal]]+Tabela1[[#This Row],[valReajustes]]+Tabela1[[#This Row],[valAditamentos]]-Tabela1[[#This Row],[valAnulacao]]</f>
        <v>77052.3</v>
      </c>
      <c r="AC190" s="2">
        <f>IF(Tabela1[[#This Row],[VigenciaMeses]]=0,Tabela1[[#This Row],[valTotal]]/1,Tabela1[[#This Row],[valTotal]]/Tabela1[[#This Row],[VigenciaMeses]])</f>
        <v>1150.034328358209</v>
      </c>
      <c r="AD190" s="2">
        <f>Tabela1[[#This Row],[valMensal]]*12</f>
        <v>13800.411940298509</v>
      </c>
      <c r="AE190" s="2">
        <v>100852.14</v>
      </c>
      <c r="AF190" s="2">
        <v>27996.26</v>
      </c>
      <c r="AG190" s="2">
        <v>72855.88</v>
      </c>
      <c r="AH190" s="2">
        <v>72378.2</v>
      </c>
      <c r="AI190" s="2">
        <v>72378.2</v>
      </c>
      <c r="AJ190" t="s">
        <v>47</v>
      </c>
    </row>
    <row r="191" spans="1:36" x14ac:dyDescent="0.25">
      <c r="A191" t="s">
        <v>36</v>
      </c>
      <c r="B191" t="s">
        <v>37</v>
      </c>
      <c r="C191" t="s">
        <v>38</v>
      </c>
      <c r="D191" t="s">
        <v>39</v>
      </c>
      <c r="E191">
        <v>14</v>
      </c>
      <c r="F191">
        <v>243</v>
      </c>
      <c r="G191">
        <v>3013</v>
      </c>
      <c r="H191">
        <v>2157</v>
      </c>
      <c r="I191" t="s">
        <v>48</v>
      </c>
      <c r="J191" t="s">
        <v>55</v>
      </c>
      <c r="K191" t="s">
        <v>56</v>
      </c>
      <c r="L191">
        <v>12</v>
      </c>
      <c r="M191" t="s">
        <v>51</v>
      </c>
      <c r="N191">
        <v>2024</v>
      </c>
      <c r="O191">
        <v>17376</v>
      </c>
      <c r="P191" t="s">
        <v>903</v>
      </c>
      <c r="Q191" t="s">
        <v>904</v>
      </c>
      <c r="R191" t="s">
        <v>905</v>
      </c>
      <c r="S191" t="s">
        <v>906</v>
      </c>
      <c r="T191" t="s">
        <v>686</v>
      </c>
      <c r="U191" t="s">
        <v>175</v>
      </c>
      <c r="V191">
        <v>13</v>
      </c>
      <c r="W191" t="str">
        <f ca="1">IF(Tabela1[[#This Row],[datVigencia]]=0,"Expirado",IF(Tabela1[[#This Row],[datVigencia]]&gt;TODAY(),"Vigente","Expirado"))</f>
        <v>Vigente</v>
      </c>
      <c r="X191" s="2">
        <v>14000</v>
      </c>
      <c r="Y191" s="2">
        <v>0</v>
      </c>
      <c r="Z191" s="2">
        <v>0</v>
      </c>
      <c r="AA191" s="2">
        <v>0</v>
      </c>
      <c r="AB191" s="2">
        <f>Tabela1[[#This Row],[valPrincipal]]+Tabela1[[#This Row],[valReajustes]]+Tabela1[[#This Row],[valAditamentos]]-Tabela1[[#This Row],[valAnulacao]]</f>
        <v>14000</v>
      </c>
      <c r="AC191" s="2">
        <f>IF(Tabela1[[#This Row],[VigenciaMeses]]=0,Tabela1[[#This Row],[valTotal]]/1,Tabela1[[#This Row],[valTotal]]/Tabela1[[#This Row],[VigenciaMeses]])</f>
        <v>1076.9230769230769</v>
      </c>
      <c r="AD191" s="2">
        <f>Tabela1[[#This Row],[valMensal]]*12</f>
        <v>12923.076923076922</v>
      </c>
      <c r="AE191" s="2">
        <v>21280</v>
      </c>
      <c r="AF191" s="2">
        <v>7280</v>
      </c>
      <c r="AG191" s="2">
        <v>14000</v>
      </c>
      <c r="AH191" s="2">
        <v>6720</v>
      </c>
      <c r="AI191" s="2">
        <v>6720</v>
      </c>
      <c r="AJ191" t="s">
        <v>47</v>
      </c>
    </row>
    <row r="192" spans="1:36" x14ac:dyDescent="0.25">
      <c r="A192" t="s">
        <v>36</v>
      </c>
      <c r="B192" t="s">
        <v>37</v>
      </c>
      <c r="C192" t="s">
        <v>38</v>
      </c>
      <c r="D192" t="s">
        <v>39</v>
      </c>
      <c r="E192">
        <v>14</v>
      </c>
      <c r="F192">
        <v>422</v>
      </c>
      <c r="G192">
        <v>3007</v>
      </c>
      <c r="H192">
        <v>4320</v>
      </c>
      <c r="I192" t="s">
        <v>157</v>
      </c>
      <c r="J192" t="s">
        <v>406</v>
      </c>
      <c r="K192" t="s">
        <v>407</v>
      </c>
      <c r="L192">
        <v>12</v>
      </c>
      <c r="M192" t="s">
        <v>51</v>
      </c>
      <c r="N192">
        <v>2025</v>
      </c>
      <c r="O192">
        <v>10407</v>
      </c>
      <c r="P192" t="s">
        <v>1011</v>
      </c>
      <c r="Q192" t="s">
        <v>1012</v>
      </c>
      <c r="R192" t="s">
        <v>1013</v>
      </c>
      <c r="S192" t="s">
        <v>1014</v>
      </c>
      <c r="T192" t="s">
        <v>1015</v>
      </c>
      <c r="U192" t="s">
        <v>1016</v>
      </c>
      <c r="V192">
        <v>1</v>
      </c>
      <c r="W192" t="str">
        <f ca="1">IF(Tabela1[[#This Row],[datVigencia]]=0,"Expirado",IF(Tabela1[[#This Row],[datVigencia]]&gt;TODAY(),"Vigente","Expirado"))</f>
        <v>Vigente</v>
      </c>
      <c r="X192" s="2">
        <v>14000</v>
      </c>
      <c r="Y192" s="2">
        <v>0</v>
      </c>
      <c r="Z192" s="2">
        <v>0</v>
      </c>
      <c r="AA192" s="2">
        <v>0</v>
      </c>
      <c r="AB192" s="2">
        <f>Tabela1[[#This Row],[valPrincipal]]+Tabela1[[#This Row],[valReajustes]]+Tabela1[[#This Row],[valAditamentos]]-Tabela1[[#This Row],[valAnulacao]]</f>
        <v>14000</v>
      </c>
      <c r="AC192" s="2">
        <f>IF(Tabela1[[#This Row],[VigenciaMeses]]=0,Tabela1[[#This Row],[valTotal]]/1,Tabela1[[#This Row],[valTotal]]/Tabela1[[#This Row],[VigenciaMeses]])</f>
        <v>14000</v>
      </c>
      <c r="AD192" s="2">
        <f>Tabela1[[#This Row],[valMensal]]*12</f>
        <v>168000</v>
      </c>
      <c r="AE192" s="2">
        <v>14000</v>
      </c>
      <c r="AF192" s="2">
        <v>0</v>
      </c>
      <c r="AG192" s="2">
        <v>14000</v>
      </c>
      <c r="AH192" s="2">
        <v>14000</v>
      </c>
      <c r="AI192" s="2">
        <v>0</v>
      </c>
      <c r="AJ192" t="s">
        <v>47</v>
      </c>
    </row>
    <row r="193" spans="1:36" x14ac:dyDescent="0.25">
      <c r="A193" t="s">
        <v>36</v>
      </c>
      <c r="B193" t="s">
        <v>37</v>
      </c>
      <c r="C193" t="s">
        <v>38</v>
      </c>
      <c r="D193" t="s">
        <v>39</v>
      </c>
      <c r="E193">
        <v>8</v>
      </c>
      <c r="F193">
        <v>605</v>
      </c>
      <c r="G193">
        <v>3016</v>
      </c>
      <c r="H193">
        <v>4470</v>
      </c>
      <c r="I193" t="s">
        <v>48</v>
      </c>
      <c r="J193" t="s">
        <v>55</v>
      </c>
      <c r="K193" t="s">
        <v>56</v>
      </c>
      <c r="L193">
        <v>12</v>
      </c>
      <c r="M193" t="s">
        <v>51</v>
      </c>
      <c r="N193">
        <v>2024</v>
      </c>
      <c r="O193">
        <v>37929</v>
      </c>
      <c r="P193" t="s">
        <v>856</v>
      </c>
      <c r="Q193" t="s">
        <v>857</v>
      </c>
      <c r="R193" t="s">
        <v>858</v>
      </c>
      <c r="S193" t="s">
        <v>859</v>
      </c>
      <c r="T193" t="s">
        <v>860</v>
      </c>
      <c r="U193" t="s">
        <v>861</v>
      </c>
      <c r="V193">
        <v>13</v>
      </c>
      <c r="W193" t="str">
        <f ca="1">IF(Tabela1[[#This Row],[datVigencia]]=0,"Expirado",IF(Tabela1[[#This Row],[datVigencia]]&gt;TODAY(),"Vigente","Expirado"))</f>
        <v>Vigente</v>
      </c>
      <c r="X193" s="2">
        <v>13899.96</v>
      </c>
      <c r="Y193" s="2">
        <v>0</v>
      </c>
      <c r="Z193" s="2">
        <v>0</v>
      </c>
      <c r="AA193" s="2">
        <v>0</v>
      </c>
      <c r="AB193" s="2">
        <f>Tabela1[[#This Row],[valPrincipal]]+Tabela1[[#This Row],[valReajustes]]+Tabela1[[#This Row],[valAditamentos]]-Tabela1[[#This Row],[valAnulacao]]</f>
        <v>13899.96</v>
      </c>
      <c r="AC193" s="2">
        <f>IF(Tabela1[[#This Row],[VigenciaMeses]]=0,Tabela1[[#This Row],[valTotal]]/1,Tabela1[[#This Row],[valTotal]]/Tabela1[[#This Row],[VigenciaMeses]])</f>
        <v>1069.2276923076922</v>
      </c>
      <c r="AD193" s="2">
        <f>Tabela1[[#This Row],[valMensal]]*12</f>
        <v>12830.732307692306</v>
      </c>
      <c r="AE193" s="2">
        <v>27799.919999999998</v>
      </c>
      <c r="AF193" s="2">
        <v>13899.96</v>
      </c>
      <c r="AG193" s="2">
        <v>13899.96</v>
      </c>
      <c r="AH193" s="2">
        <v>5791.65</v>
      </c>
      <c r="AI193" s="2">
        <v>4633.32</v>
      </c>
      <c r="AJ193" t="s">
        <v>47</v>
      </c>
    </row>
    <row r="194" spans="1:36" x14ac:dyDescent="0.25">
      <c r="A194" t="s">
        <v>36</v>
      </c>
      <c r="B194" t="s">
        <v>37</v>
      </c>
      <c r="C194" t="s">
        <v>38</v>
      </c>
      <c r="D194" t="s">
        <v>39</v>
      </c>
      <c r="E194">
        <v>8</v>
      </c>
      <c r="F194">
        <v>605</v>
      </c>
      <c r="G194">
        <v>3016</v>
      </c>
      <c r="H194">
        <v>4470</v>
      </c>
      <c r="I194" t="s">
        <v>157</v>
      </c>
      <c r="J194" t="s">
        <v>207</v>
      </c>
      <c r="K194" t="s">
        <v>208</v>
      </c>
      <c r="L194">
        <v>6</v>
      </c>
      <c r="M194" t="s">
        <v>97</v>
      </c>
      <c r="N194">
        <v>2025</v>
      </c>
      <c r="O194">
        <v>10117</v>
      </c>
      <c r="Q194" t="s">
        <v>989</v>
      </c>
      <c r="R194" t="s">
        <v>990</v>
      </c>
      <c r="U194" t="s">
        <v>991</v>
      </c>
      <c r="V194">
        <v>12</v>
      </c>
      <c r="W194" t="str">
        <f ca="1">IF(Tabela1[[#This Row],[datVigencia]]=0,"Expirado",IF(Tabela1[[#This Row],[datVigencia]]&gt;TODAY(),"Vigente","Expirado"))</f>
        <v>Vigente</v>
      </c>
      <c r="X194" s="2">
        <v>13800</v>
      </c>
      <c r="Y194" s="2">
        <v>0</v>
      </c>
      <c r="Z194" s="2">
        <v>0</v>
      </c>
      <c r="AA194" s="2">
        <v>0</v>
      </c>
      <c r="AB194" s="2">
        <f>Tabela1[[#This Row],[valPrincipal]]+Tabela1[[#This Row],[valReajustes]]+Tabela1[[#This Row],[valAditamentos]]-Tabela1[[#This Row],[valAnulacao]]</f>
        <v>13800</v>
      </c>
      <c r="AC194" s="2">
        <f>IF(Tabela1[[#This Row],[VigenciaMeses]]=0,Tabela1[[#This Row],[valTotal]]/1,Tabela1[[#This Row],[valTotal]]/Tabela1[[#This Row],[VigenciaMeses]])</f>
        <v>1150</v>
      </c>
      <c r="AD194" s="2">
        <f>Tabela1[[#This Row],[valMensal]]*12</f>
        <v>13800</v>
      </c>
      <c r="AE194" s="2">
        <v>13800</v>
      </c>
      <c r="AF194" s="2">
        <v>0</v>
      </c>
      <c r="AG194" s="2">
        <v>13800</v>
      </c>
      <c r="AH194" s="2">
        <v>13800</v>
      </c>
      <c r="AI194" s="2">
        <v>0</v>
      </c>
      <c r="AJ194" t="s">
        <v>47</v>
      </c>
    </row>
    <row r="195" spans="1:36" x14ac:dyDescent="0.25">
      <c r="A195" t="s">
        <v>36</v>
      </c>
      <c r="B195" t="s">
        <v>37</v>
      </c>
      <c r="C195" t="s">
        <v>38</v>
      </c>
      <c r="D195" t="s">
        <v>39</v>
      </c>
      <c r="E195">
        <v>8</v>
      </c>
      <c r="F195">
        <v>605</v>
      </c>
      <c r="G195">
        <v>3016</v>
      </c>
      <c r="H195">
        <v>4470</v>
      </c>
      <c r="I195" t="s">
        <v>157</v>
      </c>
      <c r="J195" t="s">
        <v>406</v>
      </c>
      <c r="K195" t="s">
        <v>407</v>
      </c>
      <c r="L195">
        <v>6</v>
      </c>
      <c r="M195" t="s">
        <v>97</v>
      </c>
      <c r="N195">
        <v>2023</v>
      </c>
      <c r="O195">
        <v>37228</v>
      </c>
      <c r="P195" t="s">
        <v>740</v>
      </c>
      <c r="Q195" t="s">
        <v>741</v>
      </c>
      <c r="R195" t="s">
        <v>742</v>
      </c>
      <c r="S195" t="s">
        <v>286</v>
      </c>
      <c r="T195" t="s">
        <v>743</v>
      </c>
      <c r="U195" t="s">
        <v>311</v>
      </c>
      <c r="V195">
        <v>24</v>
      </c>
      <c r="W195" t="str">
        <f ca="1">IF(Tabela1[[#This Row],[datVigencia]]=0,"Expirado",IF(Tabela1[[#This Row],[datVigencia]]&gt;TODAY(),"Vigente","Expirado"))</f>
        <v>Vigente</v>
      </c>
      <c r="X195" s="2">
        <v>13680</v>
      </c>
      <c r="Y195" s="2">
        <v>639</v>
      </c>
      <c r="Z195" s="2">
        <v>13680</v>
      </c>
      <c r="AA195" s="2">
        <v>0</v>
      </c>
      <c r="AB195" s="2">
        <f>Tabela1[[#This Row],[valPrincipal]]+Tabela1[[#This Row],[valReajustes]]+Tabela1[[#This Row],[valAditamentos]]-Tabela1[[#This Row],[valAnulacao]]</f>
        <v>27999</v>
      </c>
      <c r="AC195" s="2">
        <f>IF(Tabela1[[#This Row],[VigenciaMeses]]=0,Tabela1[[#This Row],[valTotal]]/1,Tabela1[[#This Row],[valTotal]]/Tabela1[[#This Row],[VigenciaMeses]])</f>
        <v>1166.625</v>
      </c>
      <c r="AD195" s="2">
        <f>Tabela1[[#This Row],[valMensal]]*12</f>
        <v>13999.5</v>
      </c>
      <c r="AE195" s="2">
        <v>27995.15</v>
      </c>
      <c r="AF195" s="2">
        <v>3.25</v>
      </c>
      <c r="AG195" s="2">
        <v>27991.9</v>
      </c>
      <c r="AH195" s="2">
        <v>19639.150000000001</v>
      </c>
      <c r="AI195" s="2">
        <v>19639.150000000001</v>
      </c>
      <c r="AJ195" t="s">
        <v>47</v>
      </c>
    </row>
    <row r="196" spans="1:36" x14ac:dyDescent="0.25">
      <c r="A196" t="s">
        <v>36</v>
      </c>
      <c r="B196" t="s">
        <v>37</v>
      </c>
      <c r="C196" t="s">
        <v>38</v>
      </c>
      <c r="D196" t="s">
        <v>39</v>
      </c>
      <c r="E196">
        <v>14</v>
      </c>
      <c r="F196">
        <v>422</v>
      </c>
      <c r="G196">
        <v>3018</v>
      </c>
      <c r="H196">
        <v>4334</v>
      </c>
      <c r="I196" t="s">
        <v>48</v>
      </c>
      <c r="J196" t="s">
        <v>55</v>
      </c>
      <c r="K196" t="s">
        <v>56</v>
      </c>
      <c r="L196">
        <v>12</v>
      </c>
      <c r="M196" t="s">
        <v>51</v>
      </c>
      <c r="N196">
        <v>2023</v>
      </c>
      <c r="O196">
        <v>28568</v>
      </c>
      <c r="P196" t="s">
        <v>469</v>
      </c>
      <c r="Q196" t="s">
        <v>470</v>
      </c>
      <c r="R196" t="s">
        <v>471</v>
      </c>
      <c r="S196" t="s">
        <v>472</v>
      </c>
      <c r="T196" t="s">
        <v>248</v>
      </c>
      <c r="U196" t="s">
        <v>473</v>
      </c>
      <c r="V196">
        <v>24</v>
      </c>
      <c r="W196" t="str">
        <f ca="1">IF(Tabela1[[#This Row],[datVigencia]]=0,"Expirado",IF(Tabela1[[#This Row],[datVigencia]]&gt;TODAY(),"Vigente","Expirado"))</f>
        <v>Vigente</v>
      </c>
      <c r="X196" s="2">
        <v>13440</v>
      </c>
      <c r="Y196" s="2">
        <v>339.36</v>
      </c>
      <c r="Z196" s="2">
        <v>10304</v>
      </c>
      <c r="AA196" s="2">
        <v>0</v>
      </c>
      <c r="AB196" s="2">
        <f>Tabela1[[#This Row],[valPrincipal]]+Tabela1[[#This Row],[valReajustes]]+Tabela1[[#This Row],[valAditamentos]]-Tabela1[[#This Row],[valAnulacao]]</f>
        <v>24083.360000000001</v>
      </c>
      <c r="AC196" s="2">
        <f>IF(Tabela1[[#This Row],[VigenciaMeses]]=0,Tabela1[[#This Row],[valTotal]]/1,Tabela1[[#This Row],[valTotal]]/Tabela1[[#This Row],[VigenciaMeses]])</f>
        <v>1003.4733333333334</v>
      </c>
      <c r="AD196" s="2">
        <f>Tabela1[[#This Row],[valMensal]]*12</f>
        <v>12041.68</v>
      </c>
      <c r="AE196" s="2">
        <v>24499.360000000001</v>
      </c>
      <c r="AF196" s="2">
        <v>476.8</v>
      </c>
      <c r="AG196" s="2">
        <v>24022.560000000001</v>
      </c>
      <c r="AH196" s="2">
        <v>20325.439999999999</v>
      </c>
      <c r="AI196" s="2">
        <v>19401.16</v>
      </c>
      <c r="AJ196" t="s">
        <v>47</v>
      </c>
    </row>
    <row r="197" spans="1:36" x14ac:dyDescent="0.25">
      <c r="A197" t="s">
        <v>36</v>
      </c>
      <c r="B197" t="s">
        <v>37</v>
      </c>
      <c r="C197" t="s">
        <v>38</v>
      </c>
      <c r="D197" t="s">
        <v>39</v>
      </c>
      <c r="E197">
        <v>14</v>
      </c>
      <c r="F197">
        <v>122</v>
      </c>
      <c r="G197">
        <v>3024</v>
      </c>
      <c r="H197">
        <v>2100</v>
      </c>
      <c r="I197" t="s">
        <v>157</v>
      </c>
      <c r="J197" t="s">
        <v>406</v>
      </c>
      <c r="K197" t="s">
        <v>407</v>
      </c>
      <c r="L197">
        <v>12</v>
      </c>
      <c r="M197" t="s">
        <v>51</v>
      </c>
      <c r="N197">
        <v>2025</v>
      </c>
      <c r="O197">
        <v>12990</v>
      </c>
      <c r="P197" t="s">
        <v>1156</v>
      </c>
      <c r="Q197" t="s">
        <v>1157</v>
      </c>
      <c r="R197" t="s">
        <v>1158</v>
      </c>
      <c r="S197" t="s">
        <v>1091</v>
      </c>
      <c r="T197" t="s">
        <v>1159</v>
      </c>
      <c r="U197" t="s">
        <v>1160</v>
      </c>
      <c r="V197">
        <v>2</v>
      </c>
      <c r="W197" t="str">
        <f ca="1">IF(Tabela1[[#This Row],[datVigencia]]=0,"Expirado",IF(Tabela1[[#This Row],[datVigencia]]&gt;TODAY(),"Vigente","Expirado"))</f>
        <v>Vigente</v>
      </c>
      <c r="X197" s="2">
        <v>13400</v>
      </c>
      <c r="Y197" s="2">
        <v>0</v>
      </c>
      <c r="Z197" s="2">
        <v>0</v>
      </c>
      <c r="AA197" s="2">
        <v>0</v>
      </c>
      <c r="AB197" s="2">
        <f>Tabela1[[#This Row],[valPrincipal]]+Tabela1[[#This Row],[valReajustes]]+Tabela1[[#This Row],[valAditamentos]]-Tabela1[[#This Row],[valAnulacao]]</f>
        <v>13400</v>
      </c>
      <c r="AC197" s="2">
        <f>IF(Tabela1[[#This Row],[VigenciaMeses]]=0,Tabela1[[#This Row],[valTotal]]/1,Tabela1[[#This Row],[valTotal]]/Tabela1[[#This Row],[VigenciaMeses]])</f>
        <v>6700</v>
      </c>
      <c r="AD197" s="2">
        <f>Tabela1[[#This Row],[valMensal]]*12</f>
        <v>80400</v>
      </c>
      <c r="AE197" s="2">
        <v>13400</v>
      </c>
      <c r="AF197" s="2">
        <v>0</v>
      </c>
      <c r="AG197" s="2">
        <v>13400</v>
      </c>
      <c r="AH197" s="2">
        <v>13400</v>
      </c>
      <c r="AI197" s="2">
        <v>13400</v>
      </c>
      <c r="AJ197" t="s">
        <v>47</v>
      </c>
    </row>
    <row r="198" spans="1:36" x14ac:dyDescent="0.25">
      <c r="A198" t="s">
        <v>36</v>
      </c>
      <c r="B198" t="s">
        <v>37</v>
      </c>
      <c r="C198" t="s">
        <v>38</v>
      </c>
      <c r="D198" t="s">
        <v>39</v>
      </c>
      <c r="E198">
        <v>14</v>
      </c>
      <c r="F198">
        <v>122</v>
      </c>
      <c r="G198">
        <v>3024</v>
      </c>
      <c r="H198">
        <v>2100</v>
      </c>
      <c r="I198" t="s">
        <v>157</v>
      </c>
      <c r="J198" t="s">
        <v>207</v>
      </c>
      <c r="K198" t="s">
        <v>208</v>
      </c>
      <c r="L198">
        <v>12</v>
      </c>
      <c r="M198" t="s">
        <v>51</v>
      </c>
      <c r="N198">
        <v>2025</v>
      </c>
      <c r="O198">
        <v>11280</v>
      </c>
      <c r="Q198" t="s">
        <v>1072</v>
      </c>
      <c r="R198" t="s">
        <v>1073</v>
      </c>
      <c r="U198" t="s">
        <v>912</v>
      </c>
      <c r="V198">
        <v>12</v>
      </c>
      <c r="W198" t="str">
        <f ca="1">IF(Tabela1[[#This Row],[datVigencia]]=0,"Expirado",IF(Tabela1[[#This Row],[datVigencia]]&gt;TODAY(),"Vigente","Expirado"))</f>
        <v>Vigente</v>
      </c>
      <c r="X198" s="2">
        <v>13200</v>
      </c>
      <c r="Y198" s="2">
        <v>0</v>
      </c>
      <c r="Z198" s="2">
        <v>0</v>
      </c>
      <c r="AA198" s="2">
        <v>0</v>
      </c>
      <c r="AB198" s="2">
        <f>Tabela1[[#This Row],[valPrincipal]]+Tabela1[[#This Row],[valReajustes]]+Tabela1[[#This Row],[valAditamentos]]-Tabela1[[#This Row],[valAnulacao]]</f>
        <v>13200</v>
      </c>
      <c r="AC198" s="2">
        <f>IF(Tabela1[[#This Row],[VigenciaMeses]]=0,Tabela1[[#This Row],[valTotal]]/1,Tabela1[[#This Row],[valTotal]]/Tabela1[[#This Row],[VigenciaMeses]])</f>
        <v>1100</v>
      </c>
      <c r="AD198" s="2">
        <f>Tabela1[[#This Row],[valMensal]]*12</f>
        <v>13200</v>
      </c>
      <c r="AE198" s="2">
        <v>13200</v>
      </c>
      <c r="AF198" s="2">
        <v>0</v>
      </c>
      <c r="AG198" s="2">
        <v>13200</v>
      </c>
      <c r="AH198" s="2">
        <v>13200</v>
      </c>
      <c r="AI198" s="2">
        <v>13200</v>
      </c>
      <c r="AJ198" t="s">
        <v>47</v>
      </c>
    </row>
    <row r="199" spans="1:36" x14ac:dyDescent="0.25">
      <c r="A199" t="s">
        <v>36</v>
      </c>
      <c r="B199" t="s">
        <v>37</v>
      </c>
      <c r="C199" t="s">
        <v>38</v>
      </c>
      <c r="D199" t="s">
        <v>39</v>
      </c>
      <c r="E199">
        <v>14</v>
      </c>
      <c r="F199">
        <v>122</v>
      </c>
      <c r="G199">
        <v>3024</v>
      </c>
      <c r="H199">
        <v>2100</v>
      </c>
      <c r="I199" t="s">
        <v>48</v>
      </c>
      <c r="J199" t="s">
        <v>55</v>
      </c>
      <c r="K199" t="s">
        <v>56</v>
      </c>
      <c r="L199">
        <v>6</v>
      </c>
      <c r="M199" t="s">
        <v>97</v>
      </c>
      <c r="N199">
        <v>2025</v>
      </c>
      <c r="O199">
        <v>10359</v>
      </c>
      <c r="P199" t="s">
        <v>994</v>
      </c>
      <c r="Q199" t="s">
        <v>995</v>
      </c>
      <c r="R199" t="s">
        <v>996</v>
      </c>
      <c r="S199" t="s">
        <v>997</v>
      </c>
      <c r="T199" t="s">
        <v>998</v>
      </c>
      <c r="U199" t="s">
        <v>999</v>
      </c>
      <c r="V199">
        <v>3</v>
      </c>
      <c r="W199" t="str">
        <f ca="1">IF(Tabela1[[#This Row],[datVigencia]]=0,"Expirado",IF(Tabela1[[#This Row],[datVigencia]]&gt;TODAY(),"Vigente","Expirado"))</f>
        <v>Vigente</v>
      </c>
      <c r="X199" s="2">
        <v>13029.9</v>
      </c>
      <c r="Y199" s="2">
        <v>0</v>
      </c>
      <c r="Z199" s="2">
        <v>0</v>
      </c>
      <c r="AA199" s="2">
        <v>0</v>
      </c>
      <c r="AB199" s="2">
        <f>Tabela1[[#This Row],[valPrincipal]]+Tabela1[[#This Row],[valReajustes]]+Tabela1[[#This Row],[valAditamentos]]-Tabela1[[#This Row],[valAnulacao]]</f>
        <v>13029.9</v>
      </c>
      <c r="AC199" s="2">
        <f>IF(Tabela1[[#This Row],[VigenciaMeses]]=0,Tabela1[[#This Row],[valTotal]]/1,Tabela1[[#This Row],[valTotal]]/Tabela1[[#This Row],[VigenciaMeses]])</f>
        <v>4343.3</v>
      </c>
      <c r="AD199" s="2">
        <f>Tabela1[[#This Row],[valMensal]]*12</f>
        <v>52119.600000000006</v>
      </c>
      <c r="AE199" s="2">
        <v>13029.9</v>
      </c>
      <c r="AF199" s="2">
        <v>0</v>
      </c>
      <c r="AG199" s="2">
        <v>13029.9</v>
      </c>
      <c r="AH199" s="2">
        <v>13029.9</v>
      </c>
      <c r="AI199" s="2">
        <v>0</v>
      </c>
      <c r="AJ199" t="s">
        <v>47</v>
      </c>
    </row>
    <row r="200" spans="1:36" x14ac:dyDescent="0.25">
      <c r="A200" t="s">
        <v>36</v>
      </c>
      <c r="B200" t="s">
        <v>1076</v>
      </c>
      <c r="C200" t="s">
        <v>1077</v>
      </c>
      <c r="D200" t="s">
        <v>39</v>
      </c>
      <c r="E200">
        <v>14</v>
      </c>
      <c r="F200">
        <v>422</v>
      </c>
      <c r="G200">
        <v>3018</v>
      </c>
      <c r="H200">
        <v>4326</v>
      </c>
      <c r="I200" t="s">
        <v>48</v>
      </c>
      <c r="J200" t="s">
        <v>55</v>
      </c>
      <c r="K200" t="s">
        <v>56</v>
      </c>
      <c r="L200">
        <v>7</v>
      </c>
      <c r="M200" t="s">
        <v>324</v>
      </c>
      <c r="N200">
        <v>2025</v>
      </c>
      <c r="O200">
        <v>16815</v>
      </c>
      <c r="P200" t="s">
        <v>1385</v>
      </c>
      <c r="Q200" t="s">
        <v>1386</v>
      </c>
      <c r="R200" t="s">
        <v>1387</v>
      </c>
      <c r="S200" t="s">
        <v>1288</v>
      </c>
      <c r="T200" t="s">
        <v>1111</v>
      </c>
      <c r="U200" t="s">
        <v>1202</v>
      </c>
      <c r="V200">
        <v>0</v>
      </c>
      <c r="W200" t="str">
        <f ca="1">IF(Tabela1[[#This Row],[datVigencia]]=0,"Expirado",IF(Tabela1[[#This Row],[datVigencia]]&gt;TODAY(),"Vigente","Expirado"))</f>
        <v>Vigente</v>
      </c>
      <c r="X200" s="2">
        <v>13000</v>
      </c>
      <c r="Y200" s="2">
        <v>0</v>
      </c>
      <c r="Z200" s="2">
        <v>0</v>
      </c>
      <c r="AA200" s="2">
        <v>0</v>
      </c>
      <c r="AB200" s="2">
        <f>Tabela1[[#This Row],[valPrincipal]]+Tabela1[[#This Row],[valReajustes]]+Tabela1[[#This Row],[valAditamentos]]-Tabela1[[#This Row],[valAnulacao]]</f>
        <v>13000</v>
      </c>
      <c r="AC200" s="2">
        <f>IF(Tabela1[[#This Row],[VigenciaMeses]]=0,Tabela1[[#This Row],[valTotal]]/1,Tabela1[[#This Row],[valTotal]]/Tabela1[[#This Row],[VigenciaMeses]])</f>
        <v>13000</v>
      </c>
      <c r="AD200" s="2">
        <f>Tabela1[[#This Row],[valMensal]]*12</f>
        <v>156000</v>
      </c>
      <c r="AE200" s="2">
        <v>13000</v>
      </c>
      <c r="AF200" s="2">
        <v>0</v>
      </c>
      <c r="AG200" s="2">
        <v>13000</v>
      </c>
      <c r="AH200" s="2">
        <v>0</v>
      </c>
      <c r="AI200" s="2">
        <v>0</v>
      </c>
      <c r="AJ200" t="s">
        <v>47</v>
      </c>
    </row>
    <row r="201" spans="1:36" x14ac:dyDescent="0.25">
      <c r="A201" t="s">
        <v>36</v>
      </c>
      <c r="B201" t="s">
        <v>37</v>
      </c>
      <c r="C201" t="s">
        <v>38</v>
      </c>
      <c r="D201" t="s">
        <v>39</v>
      </c>
      <c r="E201">
        <v>14</v>
      </c>
      <c r="F201">
        <v>422</v>
      </c>
      <c r="G201">
        <v>3018</v>
      </c>
      <c r="H201">
        <v>4333</v>
      </c>
      <c r="I201" t="s">
        <v>48</v>
      </c>
      <c r="J201" t="s">
        <v>55</v>
      </c>
      <c r="K201" t="s">
        <v>56</v>
      </c>
      <c r="L201">
        <v>6</v>
      </c>
      <c r="M201" t="s">
        <v>97</v>
      </c>
      <c r="N201">
        <v>2025</v>
      </c>
      <c r="O201">
        <v>2959</v>
      </c>
      <c r="P201" t="s">
        <v>486</v>
      </c>
      <c r="Q201" t="s">
        <v>487</v>
      </c>
      <c r="R201" t="s">
        <v>488</v>
      </c>
      <c r="S201" t="s">
        <v>376</v>
      </c>
      <c r="T201" t="s">
        <v>489</v>
      </c>
      <c r="U201" t="s">
        <v>490</v>
      </c>
      <c r="V201">
        <v>12</v>
      </c>
      <c r="W201" t="str">
        <f ca="1">IF(Tabela1[[#This Row],[datVigencia]]=0,"Expirado",IF(Tabela1[[#This Row],[datVigencia]]&gt;TODAY(),"Vigente","Expirado"))</f>
        <v>Vigente</v>
      </c>
      <c r="X201" s="2">
        <v>12711.96</v>
      </c>
      <c r="Y201" s="2">
        <v>0</v>
      </c>
      <c r="Z201" s="2">
        <v>0</v>
      </c>
      <c r="AA201" s="2">
        <v>0</v>
      </c>
      <c r="AB201" s="2">
        <f>Tabela1[[#This Row],[valPrincipal]]+Tabela1[[#This Row],[valReajustes]]+Tabela1[[#This Row],[valAditamentos]]-Tabela1[[#This Row],[valAnulacao]]</f>
        <v>12711.96</v>
      </c>
      <c r="AC201" s="2">
        <f>IF(Tabela1[[#This Row],[VigenciaMeses]]=0,Tabela1[[#This Row],[valTotal]]/1,Tabela1[[#This Row],[valTotal]]/Tabela1[[#This Row],[VigenciaMeses]])</f>
        <v>1059.33</v>
      </c>
      <c r="AD201" s="2">
        <f>Tabela1[[#This Row],[valMensal]]*12</f>
        <v>12711.96</v>
      </c>
      <c r="AE201" s="2">
        <v>11652.63</v>
      </c>
      <c r="AF201" s="2">
        <v>0</v>
      </c>
      <c r="AG201" s="2">
        <v>11652.63</v>
      </c>
      <c r="AH201" s="2">
        <v>3107.37</v>
      </c>
      <c r="AI201" s="2">
        <v>2048.04</v>
      </c>
      <c r="AJ201" t="s">
        <v>47</v>
      </c>
    </row>
    <row r="202" spans="1:36" x14ac:dyDescent="0.25">
      <c r="A202" t="s">
        <v>36</v>
      </c>
      <c r="B202" t="s">
        <v>37</v>
      </c>
      <c r="C202" t="s">
        <v>38</v>
      </c>
      <c r="D202" t="s">
        <v>39</v>
      </c>
      <c r="E202">
        <v>14</v>
      </c>
      <c r="F202">
        <v>122</v>
      </c>
      <c r="G202">
        <v>3024</v>
      </c>
      <c r="H202">
        <v>2100</v>
      </c>
      <c r="I202" t="s">
        <v>48</v>
      </c>
      <c r="J202" t="s">
        <v>55</v>
      </c>
      <c r="K202" t="s">
        <v>56</v>
      </c>
      <c r="L202">
        <v>7</v>
      </c>
      <c r="M202" t="s">
        <v>324</v>
      </c>
      <c r="N202">
        <v>2025</v>
      </c>
      <c r="O202">
        <v>6788</v>
      </c>
      <c r="P202" t="s">
        <v>892</v>
      </c>
      <c r="Q202" t="s">
        <v>893</v>
      </c>
      <c r="R202" t="s">
        <v>894</v>
      </c>
      <c r="S202" t="s">
        <v>614</v>
      </c>
      <c r="T202" t="s">
        <v>895</v>
      </c>
      <c r="U202" t="s">
        <v>448</v>
      </c>
      <c r="V202">
        <v>12</v>
      </c>
      <c r="W202" t="str">
        <f ca="1">IF(Tabela1[[#This Row],[datVigencia]]=0,"Expirado",IF(Tabela1[[#This Row],[datVigencia]]&gt;TODAY(),"Vigente","Expirado"))</f>
        <v>Vigente</v>
      </c>
      <c r="X202" s="2">
        <v>12300</v>
      </c>
      <c r="Y202" s="2">
        <v>0</v>
      </c>
      <c r="Z202" s="2">
        <v>0</v>
      </c>
      <c r="AA202" s="2">
        <v>0</v>
      </c>
      <c r="AB202" s="2">
        <f>Tabela1[[#This Row],[valPrincipal]]+Tabela1[[#This Row],[valReajustes]]+Tabela1[[#This Row],[valAditamentos]]-Tabela1[[#This Row],[valAnulacao]]</f>
        <v>12300</v>
      </c>
      <c r="AC202" s="2">
        <f>IF(Tabela1[[#This Row],[VigenciaMeses]]=0,Tabela1[[#This Row],[valTotal]]/1,Tabela1[[#This Row],[valTotal]]/Tabela1[[#This Row],[VigenciaMeses]])</f>
        <v>1025</v>
      </c>
      <c r="AD202" s="2">
        <f>Tabela1[[#This Row],[valMensal]]*12</f>
        <v>12300</v>
      </c>
      <c r="AE202" s="2">
        <v>12300</v>
      </c>
      <c r="AF202" s="2">
        <v>0</v>
      </c>
      <c r="AG202" s="2">
        <v>12300</v>
      </c>
      <c r="AH202" s="2">
        <v>12300</v>
      </c>
      <c r="AI202" s="2">
        <v>12300</v>
      </c>
      <c r="AJ202" t="s">
        <v>47</v>
      </c>
    </row>
    <row r="203" spans="1:36" x14ac:dyDescent="0.25">
      <c r="A203" t="s">
        <v>36</v>
      </c>
      <c r="B203" t="s">
        <v>37</v>
      </c>
      <c r="C203" t="s">
        <v>38</v>
      </c>
      <c r="D203" t="s">
        <v>39</v>
      </c>
      <c r="E203">
        <v>14</v>
      </c>
      <c r="F203">
        <v>122</v>
      </c>
      <c r="G203">
        <v>3024</v>
      </c>
      <c r="H203">
        <v>2100</v>
      </c>
      <c r="I203" t="s">
        <v>157</v>
      </c>
      <c r="J203" t="s">
        <v>49</v>
      </c>
      <c r="K203" t="s">
        <v>50</v>
      </c>
      <c r="L203">
        <v>12</v>
      </c>
      <c r="M203" t="s">
        <v>51</v>
      </c>
      <c r="N203">
        <v>2025</v>
      </c>
      <c r="O203">
        <v>13295</v>
      </c>
      <c r="Q203" t="s">
        <v>1168</v>
      </c>
      <c r="R203" t="s">
        <v>1169</v>
      </c>
      <c r="U203" t="s">
        <v>1016</v>
      </c>
      <c r="V203">
        <v>12</v>
      </c>
      <c r="W203" t="str">
        <f ca="1">IF(Tabela1[[#This Row],[datVigencia]]=0,"Expirado",IF(Tabela1[[#This Row],[datVigencia]]&gt;TODAY(),"Vigente","Expirado"))</f>
        <v>Vigente</v>
      </c>
      <c r="X203" s="2">
        <v>12002.5</v>
      </c>
      <c r="Y203" s="2">
        <v>0</v>
      </c>
      <c r="Z203" s="2">
        <v>0</v>
      </c>
      <c r="AA203" s="2">
        <v>0</v>
      </c>
      <c r="AB203" s="2">
        <f>Tabela1[[#This Row],[valPrincipal]]+Tabela1[[#This Row],[valReajustes]]+Tabela1[[#This Row],[valAditamentos]]-Tabela1[[#This Row],[valAnulacao]]</f>
        <v>12002.5</v>
      </c>
      <c r="AC203" s="2">
        <f>IF(Tabela1[[#This Row],[VigenciaMeses]]=0,Tabela1[[#This Row],[valTotal]]/1,Tabela1[[#This Row],[valTotal]]/Tabela1[[#This Row],[VigenciaMeses]])</f>
        <v>1000.2083333333334</v>
      </c>
      <c r="AD203" s="2">
        <f>Tabela1[[#This Row],[valMensal]]*12</f>
        <v>12002.5</v>
      </c>
      <c r="AE203" s="2">
        <v>12002.5</v>
      </c>
      <c r="AF203" s="2">
        <v>0</v>
      </c>
      <c r="AG203" s="2">
        <v>12002.5</v>
      </c>
      <c r="AH203" s="2">
        <v>0</v>
      </c>
      <c r="AI203" s="2">
        <v>0</v>
      </c>
      <c r="AJ203" t="s">
        <v>47</v>
      </c>
    </row>
    <row r="204" spans="1:36" x14ac:dyDescent="0.25">
      <c r="A204" t="s">
        <v>36</v>
      </c>
      <c r="B204" t="s">
        <v>37</v>
      </c>
      <c r="C204" t="s">
        <v>38</v>
      </c>
      <c r="D204" t="s">
        <v>39</v>
      </c>
      <c r="E204">
        <v>14</v>
      </c>
      <c r="F204">
        <v>122</v>
      </c>
      <c r="G204">
        <v>3024</v>
      </c>
      <c r="H204">
        <v>2100</v>
      </c>
      <c r="I204" t="s">
        <v>206</v>
      </c>
      <c r="J204" t="s">
        <v>406</v>
      </c>
      <c r="K204" t="s">
        <v>407</v>
      </c>
      <c r="L204">
        <v>6</v>
      </c>
      <c r="M204" t="s">
        <v>97</v>
      </c>
      <c r="N204">
        <v>2025</v>
      </c>
      <c r="O204">
        <v>2774</v>
      </c>
      <c r="P204" t="s">
        <v>461</v>
      </c>
      <c r="Q204" t="s">
        <v>462</v>
      </c>
      <c r="R204" t="s">
        <v>463</v>
      </c>
      <c r="S204" t="s">
        <v>464</v>
      </c>
      <c r="T204" t="s">
        <v>440</v>
      </c>
      <c r="U204" t="s">
        <v>465</v>
      </c>
      <c r="V204">
        <v>13</v>
      </c>
      <c r="W204" t="str">
        <f ca="1">IF(Tabela1[[#This Row],[datVigencia]]=0,"Expirado",IF(Tabela1[[#This Row],[datVigencia]]&gt;TODAY(),"Vigente","Expirado"))</f>
        <v>Vigente</v>
      </c>
      <c r="X204" s="2">
        <v>11250</v>
      </c>
      <c r="Y204" s="2">
        <v>0</v>
      </c>
      <c r="Z204" s="2">
        <v>0</v>
      </c>
      <c r="AA204" s="2">
        <v>0</v>
      </c>
      <c r="AB204" s="2">
        <f>Tabela1[[#This Row],[valPrincipal]]+Tabela1[[#This Row],[valReajustes]]+Tabela1[[#This Row],[valAditamentos]]-Tabela1[[#This Row],[valAnulacao]]</f>
        <v>11250</v>
      </c>
      <c r="AC204" s="2">
        <f>IF(Tabela1[[#This Row],[VigenciaMeses]]=0,Tabela1[[#This Row],[valTotal]]/1,Tabela1[[#This Row],[valTotal]]/Tabela1[[#This Row],[VigenciaMeses]])</f>
        <v>865.38461538461536</v>
      </c>
      <c r="AD204" s="2">
        <f>Tabela1[[#This Row],[valMensal]]*12</f>
        <v>10384.615384615385</v>
      </c>
      <c r="AE204" s="2">
        <v>11250</v>
      </c>
      <c r="AF204" s="2">
        <v>0</v>
      </c>
      <c r="AG204" s="2">
        <v>11250</v>
      </c>
      <c r="AH204" s="2">
        <v>11250</v>
      </c>
      <c r="AI204" s="2">
        <v>11250</v>
      </c>
      <c r="AJ204" t="s">
        <v>47</v>
      </c>
    </row>
    <row r="205" spans="1:36" x14ac:dyDescent="0.25">
      <c r="A205" t="s">
        <v>36</v>
      </c>
      <c r="B205" t="s">
        <v>37</v>
      </c>
      <c r="C205" t="s">
        <v>38</v>
      </c>
      <c r="D205" t="s">
        <v>39</v>
      </c>
      <c r="E205">
        <v>14</v>
      </c>
      <c r="F205">
        <v>122</v>
      </c>
      <c r="G205">
        <v>3024</v>
      </c>
      <c r="H205">
        <v>2100</v>
      </c>
      <c r="I205" t="s">
        <v>157</v>
      </c>
      <c r="J205" t="s">
        <v>406</v>
      </c>
      <c r="K205" t="s">
        <v>407</v>
      </c>
      <c r="L205">
        <v>12</v>
      </c>
      <c r="M205" t="s">
        <v>51</v>
      </c>
      <c r="N205">
        <v>2025</v>
      </c>
      <c r="O205">
        <v>5305</v>
      </c>
      <c r="P205" t="s">
        <v>438</v>
      </c>
      <c r="Q205" t="s">
        <v>435</v>
      </c>
      <c r="R205" t="s">
        <v>439</v>
      </c>
      <c r="S205" t="s">
        <v>440</v>
      </c>
      <c r="T205" t="s">
        <v>441</v>
      </c>
      <c r="U205" t="s">
        <v>442</v>
      </c>
      <c r="V205">
        <v>1</v>
      </c>
      <c r="W205" t="str">
        <f ca="1">IF(Tabela1[[#This Row],[datVigencia]]=0,"Expirado",IF(Tabela1[[#This Row],[datVigencia]]&gt;TODAY(),"Vigente","Expirado"))</f>
        <v>Vigente</v>
      </c>
      <c r="X205" s="2">
        <v>11200</v>
      </c>
      <c r="Y205" s="2">
        <v>0</v>
      </c>
      <c r="Z205" s="2">
        <v>0</v>
      </c>
      <c r="AA205" s="2">
        <v>0</v>
      </c>
      <c r="AB205" s="2">
        <f>Tabela1[[#This Row],[valPrincipal]]+Tabela1[[#This Row],[valReajustes]]+Tabela1[[#This Row],[valAditamentos]]-Tabela1[[#This Row],[valAnulacao]]</f>
        <v>11200</v>
      </c>
      <c r="AC205" s="2">
        <f>IF(Tabela1[[#This Row],[VigenciaMeses]]=0,Tabela1[[#This Row],[valTotal]]/1,Tabela1[[#This Row],[valTotal]]/Tabela1[[#This Row],[VigenciaMeses]])</f>
        <v>11200</v>
      </c>
      <c r="AD205" s="2">
        <f>Tabela1[[#This Row],[valMensal]]*12</f>
        <v>134400</v>
      </c>
      <c r="AE205" s="2">
        <v>11200</v>
      </c>
      <c r="AF205" s="2">
        <v>0</v>
      </c>
      <c r="AG205" s="2">
        <v>11200</v>
      </c>
      <c r="AH205" s="2">
        <v>11200</v>
      </c>
      <c r="AI205" s="2">
        <v>11200</v>
      </c>
      <c r="AJ205" t="s">
        <v>47</v>
      </c>
    </row>
    <row r="206" spans="1:36" x14ac:dyDescent="0.25">
      <c r="A206" t="s">
        <v>36</v>
      </c>
      <c r="B206" t="s">
        <v>1076</v>
      </c>
      <c r="C206" t="s">
        <v>1077</v>
      </c>
      <c r="D206" t="s">
        <v>39</v>
      </c>
      <c r="E206">
        <v>14</v>
      </c>
      <c r="F206">
        <v>422</v>
      </c>
      <c r="G206">
        <v>3018</v>
      </c>
      <c r="H206">
        <v>4326</v>
      </c>
      <c r="I206" t="s">
        <v>48</v>
      </c>
      <c r="J206" t="s">
        <v>55</v>
      </c>
      <c r="K206" t="s">
        <v>56</v>
      </c>
      <c r="L206">
        <v>7</v>
      </c>
      <c r="M206" t="s">
        <v>324</v>
      </c>
      <c r="N206">
        <v>2025</v>
      </c>
      <c r="O206">
        <v>16544</v>
      </c>
      <c r="Q206" t="s">
        <v>1297</v>
      </c>
      <c r="R206" t="s">
        <v>1298</v>
      </c>
      <c r="V206">
        <v>12</v>
      </c>
      <c r="W206" t="str">
        <f ca="1">IF(Tabela1[[#This Row],[datVigencia]]=0,"Expirado",IF(Tabela1[[#This Row],[datVigencia]]&gt;TODAY(),"Vigente","Expirado"))</f>
        <v>Expirado</v>
      </c>
      <c r="X206" s="2">
        <v>11000</v>
      </c>
      <c r="Y206" s="2">
        <v>0</v>
      </c>
      <c r="Z206" s="2">
        <v>0</v>
      </c>
      <c r="AA206" s="2">
        <v>0</v>
      </c>
      <c r="AB206" s="2">
        <f>Tabela1[[#This Row],[valPrincipal]]+Tabela1[[#This Row],[valReajustes]]+Tabela1[[#This Row],[valAditamentos]]-Tabela1[[#This Row],[valAnulacao]]</f>
        <v>11000</v>
      </c>
      <c r="AC206" s="2">
        <f>IF(Tabela1[[#This Row],[VigenciaMeses]]=0,Tabela1[[#This Row],[valTotal]]/1,Tabela1[[#This Row],[valTotal]]/Tabela1[[#This Row],[VigenciaMeses]])</f>
        <v>916.66666666666663</v>
      </c>
      <c r="AD206" s="2">
        <f>Tabela1[[#This Row],[valMensal]]*12</f>
        <v>11000</v>
      </c>
      <c r="AE206" s="2">
        <v>11000</v>
      </c>
      <c r="AF206" s="2">
        <v>0</v>
      </c>
      <c r="AG206" s="2">
        <v>11000</v>
      </c>
      <c r="AH206" s="2">
        <v>0</v>
      </c>
      <c r="AI206" s="2">
        <v>0</v>
      </c>
      <c r="AJ206" t="s">
        <v>47</v>
      </c>
    </row>
    <row r="207" spans="1:36" x14ac:dyDescent="0.25">
      <c r="A207" t="s">
        <v>36</v>
      </c>
      <c r="B207" t="s">
        <v>1076</v>
      </c>
      <c r="C207" t="s">
        <v>1077</v>
      </c>
      <c r="D207" t="s">
        <v>39</v>
      </c>
      <c r="E207">
        <v>14</v>
      </c>
      <c r="F207">
        <v>422</v>
      </c>
      <c r="G207">
        <v>3018</v>
      </c>
      <c r="H207">
        <v>4326</v>
      </c>
      <c r="I207" t="s">
        <v>48</v>
      </c>
      <c r="J207" t="s">
        <v>55</v>
      </c>
      <c r="K207" t="s">
        <v>56</v>
      </c>
      <c r="L207">
        <v>7</v>
      </c>
      <c r="M207" t="s">
        <v>324</v>
      </c>
      <c r="N207">
        <v>2025</v>
      </c>
      <c r="O207">
        <v>16691</v>
      </c>
      <c r="Q207" t="s">
        <v>1302</v>
      </c>
      <c r="R207" t="s">
        <v>1303</v>
      </c>
      <c r="V207">
        <v>12</v>
      </c>
      <c r="W207" t="str">
        <f ca="1">IF(Tabela1[[#This Row],[datVigencia]]=0,"Expirado",IF(Tabela1[[#This Row],[datVigencia]]&gt;TODAY(),"Vigente","Expirado"))</f>
        <v>Expirado</v>
      </c>
      <c r="X207" s="2">
        <v>11000</v>
      </c>
      <c r="Y207" s="2">
        <v>0</v>
      </c>
      <c r="Z207" s="2">
        <v>0</v>
      </c>
      <c r="AA207" s="2">
        <v>0</v>
      </c>
      <c r="AB207" s="2">
        <f>Tabela1[[#This Row],[valPrincipal]]+Tabela1[[#This Row],[valReajustes]]+Tabela1[[#This Row],[valAditamentos]]-Tabela1[[#This Row],[valAnulacao]]</f>
        <v>11000</v>
      </c>
      <c r="AC207" s="2">
        <f>IF(Tabela1[[#This Row],[VigenciaMeses]]=0,Tabela1[[#This Row],[valTotal]]/1,Tabela1[[#This Row],[valTotal]]/Tabela1[[#This Row],[VigenciaMeses]])</f>
        <v>916.66666666666663</v>
      </c>
      <c r="AD207" s="2">
        <f>Tabela1[[#This Row],[valMensal]]*12</f>
        <v>11000</v>
      </c>
      <c r="AE207" s="2">
        <v>11000</v>
      </c>
      <c r="AF207" s="2">
        <v>0</v>
      </c>
      <c r="AG207" s="2">
        <v>11000</v>
      </c>
      <c r="AH207" s="2">
        <v>0</v>
      </c>
      <c r="AI207" s="2">
        <v>0</v>
      </c>
      <c r="AJ207" t="s">
        <v>47</v>
      </c>
    </row>
    <row r="208" spans="1:36" x14ac:dyDescent="0.25">
      <c r="A208" t="s">
        <v>36</v>
      </c>
      <c r="B208" t="s">
        <v>1076</v>
      </c>
      <c r="C208" t="s">
        <v>1077</v>
      </c>
      <c r="D208" t="s">
        <v>39</v>
      </c>
      <c r="E208">
        <v>14</v>
      </c>
      <c r="F208">
        <v>422</v>
      </c>
      <c r="G208">
        <v>3018</v>
      </c>
      <c r="H208">
        <v>4326</v>
      </c>
      <c r="I208" t="s">
        <v>48</v>
      </c>
      <c r="J208" t="s">
        <v>55</v>
      </c>
      <c r="K208" t="s">
        <v>56</v>
      </c>
      <c r="L208">
        <v>7</v>
      </c>
      <c r="M208" t="s">
        <v>324</v>
      </c>
      <c r="N208">
        <v>2025</v>
      </c>
      <c r="O208">
        <v>16737</v>
      </c>
      <c r="Q208" t="s">
        <v>1327</v>
      </c>
      <c r="R208" t="s">
        <v>1328</v>
      </c>
      <c r="V208">
        <v>12</v>
      </c>
      <c r="W208" t="str">
        <f ca="1">IF(Tabela1[[#This Row],[datVigencia]]=0,"Expirado",IF(Tabela1[[#This Row],[datVigencia]]&gt;TODAY(),"Vigente","Expirado"))</f>
        <v>Expirado</v>
      </c>
      <c r="X208" s="2">
        <v>11000</v>
      </c>
      <c r="Y208" s="2">
        <v>0</v>
      </c>
      <c r="Z208" s="2">
        <v>0</v>
      </c>
      <c r="AA208" s="2">
        <v>0</v>
      </c>
      <c r="AB208" s="2">
        <f>Tabela1[[#This Row],[valPrincipal]]+Tabela1[[#This Row],[valReajustes]]+Tabela1[[#This Row],[valAditamentos]]-Tabela1[[#This Row],[valAnulacao]]</f>
        <v>11000</v>
      </c>
      <c r="AC208" s="2">
        <f>IF(Tabela1[[#This Row],[VigenciaMeses]]=0,Tabela1[[#This Row],[valTotal]]/1,Tabela1[[#This Row],[valTotal]]/Tabela1[[#This Row],[VigenciaMeses]])</f>
        <v>916.66666666666663</v>
      </c>
      <c r="AD208" s="2">
        <f>Tabela1[[#This Row],[valMensal]]*12</f>
        <v>11000</v>
      </c>
      <c r="AE208" s="2">
        <v>11000</v>
      </c>
      <c r="AF208" s="2">
        <v>0</v>
      </c>
      <c r="AG208" s="2">
        <v>11000</v>
      </c>
      <c r="AH208" s="2">
        <v>0</v>
      </c>
      <c r="AI208" s="2">
        <v>0</v>
      </c>
      <c r="AJ208" t="s">
        <v>47</v>
      </c>
    </row>
    <row r="209" spans="1:36" x14ac:dyDescent="0.25">
      <c r="A209" t="s">
        <v>36</v>
      </c>
      <c r="B209" t="s">
        <v>37</v>
      </c>
      <c r="C209" t="s">
        <v>38</v>
      </c>
      <c r="D209" t="s">
        <v>39</v>
      </c>
      <c r="E209">
        <v>14</v>
      </c>
      <c r="F209">
        <v>422</v>
      </c>
      <c r="G209">
        <v>3013</v>
      </c>
      <c r="H209">
        <v>2053</v>
      </c>
      <c r="I209" t="s">
        <v>157</v>
      </c>
      <c r="J209" t="s">
        <v>207</v>
      </c>
      <c r="K209" t="s">
        <v>208</v>
      </c>
      <c r="L209">
        <v>6</v>
      </c>
      <c r="M209" t="s">
        <v>97</v>
      </c>
      <c r="N209">
        <v>2025</v>
      </c>
      <c r="O209">
        <v>12500</v>
      </c>
      <c r="Q209" t="s">
        <v>1133</v>
      </c>
      <c r="R209" t="s">
        <v>1134</v>
      </c>
      <c r="U209" t="s">
        <v>1135</v>
      </c>
      <c r="V209">
        <v>12</v>
      </c>
      <c r="W209" t="str">
        <f ca="1">IF(Tabela1[[#This Row],[datVigencia]]=0,"Expirado",IF(Tabela1[[#This Row],[datVigencia]]&gt;TODAY(),"Vigente","Expirado"))</f>
        <v>Vigente</v>
      </c>
      <c r="X209" s="2">
        <v>10998.9</v>
      </c>
      <c r="Y209" s="2">
        <v>0</v>
      </c>
      <c r="Z209" s="2">
        <v>0</v>
      </c>
      <c r="AA209" s="2">
        <v>0</v>
      </c>
      <c r="AB209" s="2">
        <f>Tabela1[[#This Row],[valPrincipal]]+Tabela1[[#This Row],[valReajustes]]+Tabela1[[#This Row],[valAditamentos]]-Tabela1[[#This Row],[valAnulacao]]</f>
        <v>10998.9</v>
      </c>
      <c r="AC209" s="2">
        <f>IF(Tabela1[[#This Row],[VigenciaMeses]]=0,Tabela1[[#This Row],[valTotal]]/1,Tabela1[[#This Row],[valTotal]]/Tabela1[[#This Row],[VigenciaMeses]])</f>
        <v>916.57499999999993</v>
      </c>
      <c r="AD209" s="2">
        <f>Tabela1[[#This Row],[valMensal]]*12</f>
        <v>10998.9</v>
      </c>
      <c r="AE209" s="2">
        <v>10998.9</v>
      </c>
      <c r="AF209" s="2">
        <v>0</v>
      </c>
      <c r="AG209" s="2">
        <v>10998.9</v>
      </c>
      <c r="AH209" s="2">
        <v>10998.9</v>
      </c>
      <c r="AI209" s="2">
        <v>0</v>
      </c>
      <c r="AJ209" t="s">
        <v>47</v>
      </c>
    </row>
    <row r="210" spans="1:36" x14ac:dyDescent="0.25">
      <c r="A210" t="s">
        <v>36</v>
      </c>
      <c r="B210" t="s">
        <v>37</v>
      </c>
      <c r="C210" t="s">
        <v>38</v>
      </c>
      <c r="D210" t="s">
        <v>39</v>
      </c>
      <c r="E210">
        <v>14</v>
      </c>
      <c r="F210">
        <v>122</v>
      </c>
      <c r="G210">
        <v>3024</v>
      </c>
      <c r="H210">
        <v>2100</v>
      </c>
      <c r="I210" t="s">
        <v>157</v>
      </c>
      <c r="J210" t="s">
        <v>207</v>
      </c>
      <c r="K210" t="s">
        <v>208</v>
      </c>
      <c r="L210">
        <v>12</v>
      </c>
      <c r="M210" t="s">
        <v>51</v>
      </c>
      <c r="N210">
        <v>2025</v>
      </c>
      <c r="O210">
        <v>14447</v>
      </c>
      <c r="Q210" t="s">
        <v>1236</v>
      </c>
      <c r="R210" t="s">
        <v>1237</v>
      </c>
      <c r="U210" t="s">
        <v>1202</v>
      </c>
      <c r="V210">
        <v>12</v>
      </c>
      <c r="W210" t="str">
        <f ca="1">IF(Tabela1[[#This Row],[datVigencia]]=0,"Expirado",IF(Tabela1[[#This Row],[datVigencia]]&gt;TODAY(),"Vigente","Expirado"))</f>
        <v>Vigente</v>
      </c>
      <c r="X210" s="2">
        <v>10550</v>
      </c>
      <c r="Y210" s="2">
        <v>0</v>
      </c>
      <c r="Z210" s="2">
        <v>0</v>
      </c>
      <c r="AA210" s="2">
        <v>0</v>
      </c>
      <c r="AB210" s="2">
        <f>Tabela1[[#This Row],[valPrincipal]]+Tabela1[[#This Row],[valReajustes]]+Tabela1[[#This Row],[valAditamentos]]-Tabela1[[#This Row],[valAnulacao]]</f>
        <v>10550</v>
      </c>
      <c r="AC210" s="2">
        <f>IF(Tabela1[[#This Row],[VigenciaMeses]]=0,Tabela1[[#This Row],[valTotal]]/1,Tabela1[[#This Row],[valTotal]]/Tabela1[[#This Row],[VigenciaMeses]])</f>
        <v>879.16666666666663</v>
      </c>
      <c r="AD210" s="2">
        <f>Tabela1[[#This Row],[valMensal]]*12</f>
        <v>10550</v>
      </c>
      <c r="AE210" s="2">
        <v>10550</v>
      </c>
      <c r="AF210" s="2">
        <v>0</v>
      </c>
      <c r="AG210" s="2">
        <v>10550</v>
      </c>
      <c r="AH210" s="2">
        <v>10550</v>
      </c>
      <c r="AI210" s="2">
        <v>10550</v>
      </c>
      <c r="AJ210" t="s">
        <v>47</v>
      </c>
    </row>
    <row r="211" spans="1:36" x14ac:dyDescent="0.25">
      <c r="A211" t="s">
        <v>36</v>
      </c>
      <c r="B211" t="s">
        <v>37</v>
      </c>
      <c r="C211" t="s">
        <v>38</v>
      </c>
      <c r="D211" t="s">
        <v>39</v>
      </c>
      <c r="E211">
        <v>14</v>
      </c>
      <c r="F211">
        <v>122</v>
      </c>
      <c r="G211">
        <v>3024</v>
      </c>
      <c r="H211">
        <v>2100</v>
      </c>
      <c r="I211" t="s">
        <v>48</v>
      </c>
      <c r="J211" t="s">
        <v>207</v>
      </c>
      <c r="K211" t="s">
        <v>208</v>
      </c>
      <c r="L211">
        <v>12</v>
      </c>
      <c r="M211" t="s">
        <v>51</v>
      </c>
      <c r="N211">
        <v>2025</v>
      </c>
      <c r="O211">
        <v>4037</v>
      </c>
      <c r="Q211" t="s">
        <v>724</v>
      </c>
      <c r="R211" t="s">
        <v>725</v>
      </c>
      <c r="U211" t="s">
        <v>451</v>
      </c>
      <c r="V211">
        <v>12</v>
      </c>
      <c r="W211" t="str">
        <f ca="1">IF(Tabela1[[#This Row],[datVigencia]]=0,"Expirado",IF(Tabela1[[#This Row],[datVigencia]]&gt;TODAY(),"Vigente","Expirado"))</f>
        <v>Vigente</v>
      </c>
      <c r="X211" s="2">
        <v>10048</v>
      </c>
      <c r="Y211" s="2">
        <v>0</v>
      </c>
      <c r="Z211" s="2">
        <v>0</v>
      </c>
      <c r="AA211" s="2">
        <v>0</v>
      </c>
      <c r="AB211" s="2">
        <f>Tabela1[[#This Row],[valPrincipal]]+Tabela1[[#This Row],[valReajustes]]+Tabela1[[#This Row],[valAditamentos]]-Tabela1[[#This Row],[valAnulacao]]</f>
        <v>10048</v>
      </c>
      <c r="AC211" s="2">
        <f>IF(Tabela1[[#This Row],[VigenciaMeses]]=0,Tabela1[[#This Row],[valTotal]]/1,Tabela1[[#This Row],[valTotal]]/Tabela1[[#This Row],[VigenciaMeses]])</f>
        <v>837.33333333333337</v>
      </c>
      <c r="AD211" s="2">
        <f>Tabela1[[#This Row],[valMensal]]*12</f>
        <v>10048</v>
      </c>
      <c r="AE211" s="2">
        <v>10048</v>
      </c>
      <c r="AF211" s="2">
        <v>0</v>
      </c>
      <c r="AG211" s="2">
        <v>10048</v>
      </c>
      <c r="AH211" s="2">
        <v>10048</v>
      </c>
      <c r="AI211" s="2">
        <v>10048</v>
      </c>
      <c r="AJ211" t="s">
        <v>47</v>
      </c>
    </row>
    <row r="212" spans="1:36" x14ac:dyDescent="0.25">
      <c r="A212" t="s">
        <v>36</v>
      </c>
      <c r="B212" t="s">
        <v>37</v>
      </c>
      <c r="C212" t="s">
        <v>38</v>
      </c>
      <c r="D212" t="s">
        <v>39</v>
      </c>
      <c r="E212">
        <v>14</v>
      </c>
      <c r="F212">
        <v>122</v>
      </c>
      <c r="G212">
        <v>3024</v>
      </c>
      <c r="H212">
        <v>2100</v>
      </c>
      <c r="I212" t="s">
        <v>157</v>
      </c>
      <c r="J212" t="s">
        <v>207</v>
      </c>
      <c r="K212" t="s">
        <v>208</v>
      </c>
      <c r="L212">
        <v>12</v>
      </c>
      <c r="M212" t="s">
        <v>51</v>
      </c>
      <c r="N212">
        <v>2025</v>
      </c>
      <c r="O212">
        <v>15272</v>
      </c>
      <c r="Q212" t="s">
        <v>1256</v>
      </c>
      <c r="R212" t="s">
        <v>1257</v>
      </c>
      <c r="U212" t="s">
        <v>1258</v>
      </c>
      <c r="V212">
        <v>12</v>
      </c>
      <c r="W212" t="str">
        <f ca="1">IF(Tabela1[[#This Row],[datVigencia]]=0,"Expirado",IF(Tabela1[[#This Row],[datVigencia]]&gt;TODAY(),"Vigente","Expirado"))</f>
        <v>Vigente</v>
      </c>
      <c r="X212" s="2">
        <v>10000.120000000001</v>
      </c>
      <c r="Y212" s="2">
        <v>0</v>
      </c>
      <c r="Z212" s="2">
        <v>0</v>
      </c>
      <c r="AA212" s="2">
        <v>0</v>
      </c>
      <c r="AB212" s="2">
        <f>Tabela1[[#This Row],[valPrincipal]]+Tabela1[[#This Row],[valReajustes]]+Tabela1[[#This Row],[valAditamentos]]-Tabela1[[#This Row],[valAnulacao]]</f>
        <v>10000.120000000001</v>
      </c>
      <c r="AC212" s="2">
        <f>IF(Tabela1[[#This Row],[VigenciaMeses]]=0,Tabela1[[#This Row],[valTotal]]/1,Tabela1[[#This Row],[valTotal]]/Tabela1[[#This Row],[VigenciaMeses]])</f>
        <v>833.34333333333336</v>
      </c>
      <c r="AD212" s="2">
        <f>Tabela1[[#This Row],[valMensal]]*12</f>
        <v>10000.120000000001</v>
      </c>
      <c r="AE212" s="2">
        <v>10000.120000000001</v>
      </c>
      <c r="AF212" s="2">
        <v>0</v>
      </c>
      <c r="AG212" s="2">
        <v>10000.120000000001</v>
      </c>
      <c r="AH212" s="2">
        <v>10000.120000000001</v>
      </c>
      <c r="AI212" s="2">
        <v>0</v>
      </c>
      <c r="AJ212" t="s">
        <v>47</v>
      </c>
    </row>
    <row r="213" spans="1:36" x14ac:dyDescent="0.25">
      <c r="A213" t="s">
        <v>36</v>
      </c>
      <c r="B213" t="s">
        <v>1076</v>
      </c>
      <c r="C213" t="s">
        <v>1077</v>
      </c>
      <c r="D213" t="s">
        <v>39</v>
      </c>
      <c r="E213">
        <v>14</v>
      </c>
      <c r="F213">
        <v>122</v>
      </c>
      <c r="G213">
        <v>3024</v>
      </c>
      <c r="H213">
        <v>2100</v>
      </c>
      <c r="I213" t="s">
        <v>48</v>
      </c>
      <c r="J213" t="s">
        <v>55</v>
      </c>
      <c r="K213" t="s">
        <v>56</v>
      </c>
      <c r="L213">
        <v>7</v>
      </c>
      <c r="M213" t="s">
        <v>324</v>
      </c>
      <c r="N213">
        <v>2025</v>
      </c>
      <c r="O213">
        <v>11610</v>
      </c>
      <c r="P213" t="s">
        <v>1092</v>
      </c>
      <c r="Q213" t="s">
        <v>1093</v>
      </c>
      <c r="R213" t="s">
        <v>1094</v>
      </c>
      <c r="S213" t="s">
        <v>1014</v>
      </c>
      <c r="T213" t="s">
        <v>1015</v>
      </c>
      <c r="U213" t="s">
        <v>1085</v>
      </c>
      <c r="V213">
        <v>0</v>
      </c>
      <c r="W213" t="str">
        <f ca="1">IF(Tabela1[[#This Row],[datVigencia]]=0,"Expirado",IF(Tabela1[[#This Row],[datVigencia]]&gt;TODAY(),"Vigente","Expirado"))</f>
        <v>Vigente</v>
      </c>
      <c r="X213" s="2">
        <v>10000</v>
      </c>
      <c r="Y213" s="2">
        <v>0</v>
      </c>
      <c r="Z213" s="2">
        <v>0</v>
      </c>
      <c r="AA213" s="2">
        <v>0</v>
      </c>
      <c r="AB213" s="2">
        <f>Tabela1[[#This Row],[valPrincipal]]+Tabela1[[#This Row],[valReajustes]]+Tabela1[[#This Row],[valAditamentos]]-Tabela1[[#This Row],[valAnulacao]]</f>
        <v>10000</v>
      </c>
      <c r="AC213" s="2">
        <f>IF(Tabela1[[#This Row],[VigenciaMeses]]=0,Tabela1[[#This Row],[valTotal]]/1,Tabela1[[#This Row],[valTotal]]/Tabela1[[#This Row],[VigenciaMeses]])</f>
        <v>10000</v>
      </c>
      <c r="AD213" s="2">
        <f>Tabela1[[#This Row],[valMensal]]*12</f>
        <v>120000</v>
      </c>
      <c r="AE213" s="2">
        <v>10000</v>
      </c>
      <c r="AF213" s="2">
        <v>0</v>
      </c>
      <c r="AG213" s="2">
        <v>10000</v>
      </c>
      <c r="AH213" s="2">
        <v>10000</v>
      </c>
      <c r="AI213" s="2">
        <v>10000</v>
      </c>
      <c r="AJ213" t="s">
        <v>47</v>
      </c>
    </row>
    <row r="214" spans="1:36" x14ac:dyDescent="0.25">
      <c r="A214" t="s">
        <v>36</v>
      </c>
      <c r="B214" t="s">
        <v>37</v>
      </c>
      <c r="C214" t="s">
        <v>38</v>
      </c>
      <c r="D214" t="s">
        <v>39</v>
      </c>
      <c r="E214">
        <v>14</v>
      </c>
      <c r="F214">
        <v>122</v>
      </c>
      <c r="G214">
        <v>3024</v>
      </c>
      <c r="H214">
        <v>2100</v>
      </c>
      <c r="I214" t="s">
        <v>157</v>
      </c>
      <c r="J214" t="s">
        <v>55</v>
      </c>
      <c r="K214" t="s">
        <v>56</v>
      </c>
      <c r="L214">
        <v>6</v>
      </c>
      <c r="M214" t="s">
        <v>97</v>
      </c>
      <c r="N214">
        <v>2025</v>
      </c>
      <c r="O214">
        <v>13749</v>
      </c>
      <c r="Q214" t="s">
        <v>1186</v>
      </c>
      <c r="R214" t="s">
        <v>1187</v>
      </c>
      <c r="V214">
        <v>12</v>
      </c>
      <c r="W214" t="str">
        <f ca="1">IF(Tabela1[[#This Row],[datVigencia]]=0,"Expirado",IF(Tabela1[[#This Row],[datVigencia]]&gt;TODAY(),"Vigente","Expirado"))</f>
        <v>Expirado</v>
      </c>
      <c r="X214" s="2">
        <v>10000</v>
      </c>
      <c r="Y214" s="2">
        <v>0</v>
      </c>
      <c r="Z214" s="2">
        <v>0</v>
      </c>
      <c r="AA214" s="2">
        <v>0</v>
      </c>
      <c r="AB214" s="2">
        <f>Tabela1[[#This Row],[valPrincipal]]+Tabela1[[#This Row],[valReajustes]]+Tabela1[[#This Row],[valAditamentos]]-Tabela1[[#This Row],[valAnulacao]]</f>
        <v>10000</v>
      </c>
      <c r="AC214" s="2">
        <f>IF(Tabela1[[#This Row],[VigenciaMeses]]=0,Tabela1[[#This Row],[valTotal]]/1,Tabela1[[#This Row],[valTotal]]/Tabela1[[#This Row],[VigenciaMeses]])</f>
        <v>833.33333333333337</v>
      </c>
      <c r="AD214" s="2">
        <f>Tabela1[[#This Row],[valMensal]]*12</f>
        <v>10000</v>
      </c>
      <c r="AE214" s="2">
        <v>10000</v>
      </c>
      <c r="AF214" s="2">
        <v>0</v>
      </c>
      <c r="AG214" s="2">
        <v>10000</v>
      </c>
      <c r="AH214" s="2">
        <v>0</v>
      </c>
      <c r="AI214" s="2">
        <v>0</v>
      </c>
      <c r="AJ214" t="s">
        <v>47</v>
      </c>
    </row>
    <row r="215" spans="1:36" x14ac:dyDescent="0.25">
      <c r="A215" t="s">
        <v>36</v>
      </c>
      <c r="B215" t="s">
        <v>1076</v>
      </c>
      <c r="C215" t="s">
        <v>1077</v>
      </c>
      <c r="D215" t="s">
        <v>39</v>
      </c>
      <c r="E215">
        <v>14</v>
      </c>
      <c r="F215">
        <v>422</v>
      </c>
      <c r="G215">
        <v>3018</v>
      </c>
      <c r="H215">
        <v>4326</v>
      </c>
      <c r="I215" t="s">
        <v>48</v>
      </c>
      <c r="J215" t="s">
        <v>55</v>
      </c>
      <c r="K215" t="s">
        <v>56</v>
      </c>
      <c r="L215">
        <v>7</v>
      </c>
      <c r="M215" t="s">
        <v>324</v>
      </c>
      <c r="N215">
        <v>2025</v>
      </c>
      <c r="O215">
        <v>16755</v>
      </c>
      <c r="Q215" t="s">
        <v>1347</v>
      </c>
      <c r="R215" t="s">
        <v>1348</v>
      </c>
      <c r="V215">
        <v>12</v>
      </c>
      <c r="W215" t="str">
        <f ca="1">IF(Tabela1[[#This Row],[datVigencia]]=0,"Expirado",IF(Tabela1[[#This Row],[datVigencia]]&gt;TODAY(),"Vigente","Expirado"))</f>
        <v>Expirado</v>
      </c>
      <c r="X215" s="2">
        <v>10000</v>
      </c>
      <c r="Y215" s="2">
        <v>0</v>
      </c>
      <c r="Z215" s="2">
        <v>0</v>
      </c>
      <c r="AA215" s="2">
        <v>0</v>
      </c>
      <c r="AB215" s="2">
        <f>Tabela1[[#This Row],[valPrincipal]]+Tabela1[[#This Row],[valReajustes]]+Tabela1[[#This Row],[valAditamentos]]-Tabela1[[#This Row],[valAnulacao]]</f>
        <v>10000</v>
      </c>
      <c r="AC215" s="2">
        <f>IF(Tabela1[[#This Row],[VigenciaMeses]]=0,Tabela1[[#This Row],[valTotal]]/1,Tabela1[[#This Row],[valTotal]]/Tabela1[[#This Row],[VigenciaMeses]])</f>
        <v>833.33333333333337</v>
      </c>
      <c r="AD215" s="2">
        <f>Tabela1[[#This Row],[valMensal]]*12</f>
        <v>10000</v>
      </c>
      <c r="AE215" s="2">
        <v>10000</v>
      </c>
      <c r="AF215" s="2">
        <v>0</v>
      </c>
      <c r="AG215" s="2">
        <v>10000</v>
      </c>
      <c r="AH215" s="2">
        <v>0</v>
      </c>
      <c r="AI215" s="2">
        <v>0</v>
      </c>
      <c r="AJ215" t="s">
        <v>47</v>
      </c>
    </row>
    <row r="216" spans="1:36" x14ac:dyDescent="0.25">
      <c r="A216" t="s">
        <v>36</v>
      </c>
      <c r="B216" t="s">
        <v>1076</v>
      </c>
      <c r="C216" t="s">
        <v>1077</v>
      </c>
      <c r="D216" t="s">
        <v>39</v>
      </c>
      <c r="E216">
        <v>14</v>
      </c>
      <c r="F216">
        <v>422</v>
      </c>
      <c r="G216">
        <v>3018</v>
      </c>
      <c r="H216">
        <v>4326</v>
      </c>
      <c r="I216" t="s">
        <v>48</v>
      </c>
      <c r="J216" t="s">
        <v>55</v>
      </c>
      <c r="K216" t="s">
        <v>56</v>
      </c>
      <c r="L216">
        <v>7</v>
      </c>
      <c r="M216" t="s">
        <v>324</v>
      </c>
      <c r="N216">
        <v>2025</v>
      </c>
      <c r="O216">
        <v>16777</v>
      </c>
      <c r="Q216" t="s">
        <v>1370</v>
      </c>
      <c r="R216" t="s">
        <v>1371</v>
      </c>
      <c r="V216">
        <v>12</v>
      </c>
      <c r="W216" t="str">
        <f ca="1">IF(Tabela1[[#This Row],[datVigencia]]=0,"Expirado",IF(Tabela1[[#This Row],[datVigencia]]&gt;TODAY(),"Vigente","Expirado"))</f>
        <v>Expirado</v>
      </c>
      <c r="X216" s="2">
        <v>10000</v>
      </c>
      <c r="Y216" s="2">
        <v>0</v>
      </c>
      <c r="Z216" s="2">
        <v>0</v>
      </c>
      <c r="AA216" s="2">
        <v>0</v>
      </c>
      <c r="AB216" s="2">
        <f>Tabela1[[#This Row],[valPrincipal]]+Tabela1[[#This Row],[valReajustes]]+Tabela1[[#This Row],[valAditamentos]]-Tabela1[[#This Row],[valAnulacao]]</f>
        <v>10000</v>
      </c>
      <c r="AC216" s="2">
        <f>IF(Tabela1[[#This Row],[VigenciaMeses]]=0,Tabela1[[#This Row],[valTotal]]/1,Tabela1[[#This Row],[valTotal]]/Tabela1[[#This Row],[VigenciaMeses]])</f>
        <v>833.33333333333337</v>
      </c>
      <c r="AD216" s="2">
        <f>Tabela1[[#This Row],[valMensal]]*12</f>
        <v>10000</v>
      </c>
      <c r="AE216" s="2">
        <v>10000</v>
      </c>
      <c r="AF216" s="2">
        <v>0</v>
      </c>
      <c r="AG216" s="2">
        <v>10000</v>
      </c>
      <c r="AH216" s="2">
        <v>0</v>
      </c>
      <c r="AI216" s="2">
        <v>0</v>
      </c>
      <c r="AJ216" t="s">
        <v>47</v>
      </c>
    </row>
    <row r="217" spans="1:36" x14ac:dyDescent="0.25">
      <c r="A217" t="s">
        <v>36</v>
      </c>
      <c r="B217" t="s">
        <v>1076</v>
      </c>
      <c r="C217" t="s">
        <v>1077</v>
      </c>
      <c r="D217" t="s">
        <v>39</v>
      </c>
      <c r="E217">
        <v>14</v>
      </c>
      <c r="F217">
        <v>422</v>
      </c>
      <c r="G217">
        <v>3018</v>
      </c>
      <c r="H217">
        <v>4326</v>
      </c>
      <c r="I217" t="s">
        <v>48</v>
      </c>
      <c r="J217" t="s">
        <v>55</v>
      </c>
      <c r="K217" t="s">
        <v>56</v>
      </c>
      <c r="L217">
        <v>7</v>
      </c>
      <c r="M217" t="s">
        <v>324</v>
      </c>
      <c r="N217">
        <v>2025</v>
      </c>
      <c r="O217">
        <v>16789</v>
      </c>
      <c r="P217" t="s">
        <v>1376</v>
      </c>
      <c r="Q217" t="s">
        <v>1377</v>
      </c>
      <c r="R217" t="s">
        <v>1378</v>
      </c>
      <c r="S217" t="s">
        <v>1354</v>
      </c>
      <c r="T217" t="s">
        <v>1326</v>
      </c>
      <c r="U217" t="s">
        <v>1202</v>
      </c>
      <c r="V217">
        <v>0</v>
      </c>
      <c r="W217" t="str">
        <f ca="1">IF(Tabela1[[#This Row],[datVigencia]]=0,"Expirado",IF(Tabela1[[#This Row],[datVigencia]]&gt;TODAY(),"Vigente","Expirado"))</f>
        <v>Vigente</v>
      </c>
      <c r="X217" s="2">
        <v>10000</v>
      </c>
      <c r="Y217" s="2">
        <v>0</v>
      </c>
      <c r="Z217" s="2">
        <v>0</v>
      </c>
      <c r="AA217" s="2">
        <v>0</v>
      </c>
      <c r="AB217" s="2">
        <f>Tabela1[[#This Row],[valPrincipal]]+Tabela1[[#This Row],[valReajustes]]+Tabela1[[#This Row],[valAditamentos]]-Tabela1[[#This Row],[valAnulacao]]</f>
        <v>10000</v>
      </c>
      <c r="AC217" s="2">
        <f>IF(Tabela1[[#This Row],[VigenciaMeses]]=0,Tabela1[[#This Row],[valTotal]]/1,Tabela1[[#This Row],[valTotal]]/Tabela1[[#This Row],[VigenciaMeses]])</f>
        <v>10000</v>
      </c>
      <c r="AD217" s="2">
        <f>Tabela1[[#This Row],[valMensal]]*12</f>
        <v>120000</v>
      </c>
      <c r="AE217" s="2">
        <v>10000</v>
      </c>
      <c r="AF217" s="2">
        <v>0</v>
      </c>
      <c r="AG217" s="2">
        <v>10000</v>
      </c>
      <c r="AH217" s="2">
        <v>0</v>
      </c>
      <c r="AI217" s="2">
        <v>0</v>
      </c>
      <c r="AJ217" t="s">
        <v>47</v>
      </c>
    </row>
    <row r="218" spans="1:36" x14ac:dyDescent="0.25">
      <c r="A218" t="s">
        <v>36</v>
      </c>
      <c r="B218" t="s">
        <v>37</v>
      </c>
      <c r="C218" t="s">
        <v>38</v>
      </c>
      <c r="D218" t="s">
        <v>39</v>
      </c>
      <c r="E218">
        <v>14</v>
      </c>
      <c r="F218">
        <v>122</v>
      </c>
      <c r="G218">
        <v>3024</v>
      </c>
      <c r="H218">
        <v>2100</v>
      </c>
      <c r="I218" t="s">
        <v>157</v>
      </c>
      <c r="J218" t="s">
        <v>207</v>
      </c>
      <c r="K218" t="s">
        <v>208</v>
      </c>
      <c r="L218">
        <v>6</v>
      </c>
      <c r="M218" t="s">
        <v>97</v>
      </c>
      <c r="N218">
        <v>2025</v>
      </c>
      <c r="O218">
        <v>15706</v>
      </c>
      <c r="Q218" t="s">
        <v>1275</v>
      </c>
      <c r="R218" t="s">
        <v>1276</v>
      </c>
      <c r="V218">
        <v>12</v>
      </c>
      <c r="W218" t="str">
        <f ca="1">IF(Tabela1[[#This Row],[datVigencia]]=0,"Expirado",IF(Tabela1[[#This Row],[datVigencia]]&gt;TODAY(),"Vigente","Expirado"))</f>
        <v>Expirado</v>
      </c>
      <c r="X218" s="2">
        <v>9999.6</v>
      </c>
      <c r="Y218" s="2">
        <v>0</v>
      </c>
      <c r="Z218" s="2">
        <v>0</v>
      </c>
      <c r="AA218" s="2">
        <v>0</v>
      </c>
      <c r="AB218" s="2">
        <f>Tabela1[[#This Row],[valPrincipal]]+Tabela1[[#This Row],[valReajustes]]+Tabela1[[#This Row],[valAditamentos]]-Tabela1[[#This Row],[valAnulacao]]</f>
        <v>9999.6</v>
      </c>
      <c r="AC218" s="2">
        <f>IF(Tabela1[[#This Row],[VigenciaMeses]]=0,Tabela1[[#This Row],[valTotal]]/1,Tabela1[[#This Row],[valTotal]]/Tabela1[[#This Row],[VigenciaMeses]])</f>
        <v>833.30000000000007</v>
      </c>
      <c r="AD218" s="2">
        <f>Tabela1[[#This Row],[valMensal]]*12</f>
        <v>9999.6</v>
      </c>
      <c r="AE218" s="2">
        <v>9999.6</v>
      </c>
      <c r="AF218" s="2">
        <v>0</v>
      </c>
      <c r="AG218" s="2">
        <v>9999.6</v>
      </c>
      <c r="AH218" s="2">
        <v>0</v>
      </c>
      <c r="AI218" s="2">
        <v>0</v>
      </c>
      <c r="AJ218" t="s">
        <v>47</v>
      </c>
    </row>
    <row r="219" spans="1:36" x14ac:dyDescent="0.25">
      <c r="A219" t="s">
        <v>36</v>
      </c>
      <c r="B219" t="s">
        <v>37</v>
      </c>
      <c r="C219" t="s">
        <v>38</v>
      </c>
      <c r="D219" t="s">
        <v>39</v>
      </c>
      <c r="E219">
        <v>14</v>
      </c>
      <c r="F219">
        <v>122</v>
      </c>
      <c r="G219">
        <v>3024</v>
      </c>
      <c r="H219">
        <v>2100</v>
      </c>
      <c r="I219" t="s">
        <v>157</v>
      </c>
      <c r="J219" t="s">
        <v>207</v>
      </c>
      <c r="K219" t="s">
        <v>208</v>
      </c>
      <c r="L219">
        <v>6</v>
      </c>
      <c r="M219" t="s">
        <v>97</v>
      </c>
      <c r="N219">
        <v>2025</v>
      </c>
      <c r="O219">
        <v>2772</v>
      </c>
      <c r="Q219" t="s">
        <v>449</v>
      </c>
      <c r="R219" t="s">
        <v>450</v>
      </c>
      <c r="U219" t="s">
        <v>451</v>
      </c>
      <c r="V219">
        <v>12</v>
      </c>
      <c r="W219" t="str">
        <f ca="1">IF(Tabela1[[#This Row],[datVigencia]]=0,"Expirado",IF(Tabela1[[#This Row],[datVigencia]]&gt;TODAY(),"Vigente","Expirado"))</f>
        <v>Vigente</v>
      </c>
      <c r="X219" s="2">
        <v>9995.2000000000007</v>
      </c>
      <c r="Y219" s="2">
        <v>0</v>
      </c>
      <c r="Z219" s="2">
        <v>0</v>
      </c>
      <c r="AA219" s="2">
        <v>0</v>
      </c>
      <c r="AB219" s="2">
        <f>Tabela1[[#This Row],[valPrincipal]]+Tabela1[[#This Row],[valReajustes]]+Tabela1[[#This Row],[valAditamentos]]-Tabela1[[#This Row],[valAnulacao]]</f>
        <v>9995.2000000000007</v>
      </c>
      <c r="AC219" s="2">
        <f>IF(Tabela1[[#This Row],[VigenciaMeses]]=0,Tabela1[[#This Row],[valTotal]]/1,Tabela1[[#This Row],[valTotal]]/Tabela1[[#This Row],[VigenciaMeses]])</f>
        <v>832.93333333333339</v>
      </c>
      <c r="AD219" s="2">
        <f>Tabela1[[#This Row],[valMensal]]*12</f>
        <v>9995.2000000000007</v>
      </c>
      <c r="AE219" s="2">
        <v>9995.2000000000007</v>
      </c>
      <c r="AF219" s="2">
        <v>0</v>
      </c>
      <c r="AG219" s="2">
        <v>9995.2000000000007</v>
      </c>
      <c r="AH219" s="2">
        <v>9995.2000000000007</v>
      </c>
      <c r="AI219" s="2">
        <v>9995.2000000000007</v>
      </c>
      <c r="AJ219" t="s">
        <v>47</v>
      </c>
    </row>
    <row r="220" spans="1:36" x14ac:dyDescent="0.25">
      <c r="A220" t="s">
        <v>36</v>
      </c>
      <c r="B220" t="s">
        <v>37</v>
      </c>
      <c r="C220" t="s">
        <v>38</v>
      </c>
      <c r="D220" t="s">
        <v>39</v>
      </c>
      <c r="E220">
        <v>14</v>
      </c>
      <c r="F220">
        <v>422</v>
      </c>
      <c r="G220">
        <v>3018</v>
      </c>
      <c r="H220">
        <v>4318</v>
      </c>
      <c r="I220" t="s">
        <v>48</v>
      </c>
      <c r="J220" t="s">
        <v>49</v>
      </c>
      <c r="K220" t="s">
        <v>50</v>
      </c>
      <c r="L220">
        <v>12</v>
      </c>
      <c r="M220" t="s">
        <v>51</v>
      </c>
      <c r="N220">
        <v>2025</v>
      </c>
      <c r="O220">
        <v>15460</v>
      </c>
      <c r="Q220" t="s">
        <v>1261</v>
      </c>
      <c r="R220" t="s">
        <v>1262</v>
      </c>
      <c r="V220">
        <v>12</v>
      </c>
      <c r="W220" t="str">
        <f ca="1">IF(Tabela1[[#This Row],[datVigencia]]=0,"Expirado",IF(Tabela1[[#This Row],[datVigencia]]&gt;TODAY(),"Vigente","Expirado"))</f>
        <v>Expirado</v>
      </c>
      <c r="X220" s="2">
        <v>9894</v>
      </c>
      <c r="Y220" s="2">
        <v>0</v>
      </c>
      <c r="Z220" s="2">
        <v>0</v>
      </c>
      <c r="AA220" s="2">
        <v>0</v>
      </c>
      <c r="AB220" s="2">
        <f>Tabela1[[#This Row],[valPrincipal]]+Tabela1[[#This Row],[valReajustes]]+Tabela1[[#This Row],[valAditamentos]]-Tabela1[[#This Row],[valAnulacao]]</f>
        <v>9894</v>
      </c>
      <c r="AC220" s="2">
        <f>IF(Tabela1[[#This Row],[VigenciaMeses]]=0,Tabela1[[#This Row],[valTotal]]/1,Tabela1[[#This Row],[valTotal]]/Tabela1[[#This Row],[VigenciaMeses]])</f>
        <v>824.5</v>
      </c>
      <c r="AD220" s="2">
        <f>Tabela1[[#This Row],[valMensal]]*12</f>
        <v>9894</v>
      </c>
      <c r="AE220" s="2">
        <v>9894</v>
      </c>
      <c r="AF220" s="2">
        <v>0</v>
      </c>
      <c r="AG220" s="2">
        <v>9894</v>
      </c>
      <c r="AH220" s="2">
        <v>0</v>
      </c>
      <c r="AI220" s="2">
        <v>0</v>
      </c>
      <c r="AJ220" t="s">
        <v>47</v>
      </c>
    </row>
    <row r="221" spans="1:36" x14ac:dyDescent="0.25">
      <c r="A221" t="s">
        <v>36</v>
      </c>
      <c r="B221" t="s">
        <v>37</v>
      </c>
      <c r="C221" t="s">
        <v>38</v>
      </c>
      <c r="D221" t="s">
        <v>39</v>
      </c>
      <c r="E221">
        <v>14</v>
      </c>
      <c r="F221">
        <v>122</v>
      </c>
      <c r="G221">
        <v>3024</v>
      </c>
      <c r="H221">
        <v>2100</v>
      </c>
      <c r="I221" t="s">
        <v>157</v>
      </c>
      <c r="J221" t="s">
        <v>406</v>
      </c>
      <c r="K221" t="s">
        <v>407</v>
      </c>
      <c r="L221">
        <v>12</v>
      </c>
      <c r="M221" t="s">
        <v>51</v>
      </c>
      <c r="N221">
        <v>2025</v>
      </c>
      <c r="O221">
        <v>7170</v>
      </c>
      <c r="P221" t="s">
        <v>728</v>
      </c>
      <c r="Q221" t="s">
        <v>726</v>
      </c>
      <c r="R221" t="s">
        <v>727</v>
      </c>
      <c r="S221" t="s">
        <v>620</v>
      </c>
      <c r="T221" t="s">
        <v>560</v>
      </c>
      <c r="U221" t="s">
        <v>729</v>
      </c>
      <c r="V221">
        <v>12</v>
      </c>
      <c r="W221" t="str">
        <f ca="1">IF(Tabela1[[#This Row],[datVigencia]]=0,"Expirado",IF(Tabela1[[#This Row],[datVigencia]]&gt;TODAY(),"Vigente","Expirado"))</f>
        <v>Vigente</v>
      </c>
      <c r="X221" s="2">
        <v>9700</v>
      </c>
      <c r="Y221" s="2">
        <v>0</v>
      </c>
      <c r="Z221" s="2">
        <v>0</v>
      </c>
      <c r="AA221" s="2">
        <v>0</v>
      </c>
      <c r="AB221" s="2">
        <f>Tabela1[[#This Row],[valPrincipal]]+Tabela1[[#This Row],[valReajustes]]+Tabela1[[#This Row],[valAditamentos]]-Tabela1[[#This Row],[valAnulacao]]</f>
        <v>9700</v>
      </c>
      <c r="AC221" s="2">
        <f>IF(Tabela1[[#This Row],[VigenciaMeses]]=0,Tabela1[[#This Row],[valTotal]]/1,Tabela1[[#This Row],[valTotal]]/Tabela1[[#This Row],[VigenciaMeses]])</f>
        <v>808.33333333333337</v>
      </c>
      <c r="AD221" s="2">
        <f>Tabela1[[#This Row],[valMensal]]*12</f>
        <v>9700</v>
      </c>
      <c r="AE221" s="2">
        <v>9700</v>
      </c>
      <c r="AF221" s="2">
        <v>0</v>
      </c>
      <c r="AG221" s="2">
        <v>9700</v>
      </c>
      <c r="AH221" s="2">
        <v>1700</v>
      </c>
      <c r="AI221" s="2">
        <v>1700</v>
      </c>
      <c r="AJ221" t="s">
        <v>47</v>
      </c>
    </row>
    <row r="222" spans="1:36" x14ac:dyDescent="0.25">
      <c r="A222" t="s">
        <v>36</v>
      </c>
      <c r="B222" t="s">
        <v>37</v>
      </c>
      <c r="C222" t="s">
        <v>38</v>
      </c>
      <c r="D222" t="s">
        <v>39</v>
      </c>
      <c r="E222">
        <v>14</v>
      </c>
      <c r="F222">
        <v>122</v>
      </c>
      <c r="G222">
        <v>3024</v>
      </c>
      <c r="H222">
        <v>2100</v>
      </c>
      <c r="I222" t="s">
        <v>157</v>
      </c>
      <c r="J222" t="s">
        <v>406</v>
      </c>
      <c r="K222" t="s">
        <v>407</v>
      </c>
      <c r="L222">
        <v>12</v>
      </c>
      <c r="M222" t="s">
        <v>51</v>
      </c>
      <c r="N222">
        <v>2025</v>
      </c>
      <c r="O222">
        <v>4061</v>
      </c>
      <c r="Q222" t="s">
        <v>726</v>
      </c>
      <c r="R222" t="s">
        <v>727</v>
      </c>
      <c r="V222">
        <v>12</v>
      </c>
      <c r="W222" t="str">
        <f ca="1">IF(Tabela1[[#This Row],[datVigencia]]=0,"Expirado",IF(Tabela1[[#This Row],[datVigencia]]&gt;TODAY(),"Vigente","Expirado"))</f>
        <v>Expirado</v>
      </c>
      <c r="X222" s="2">
        <v>9020</v>
      </c>
      <c r="Y222" s="2">
        <v>0</v>
      </c>
      <c r="Z222" s="2">
        <v>0</v>
      </c>
      <c r="AA222" s="2">
        <v>9020</v>
      </c>
      <c r="AB222" s="2">
        <f>Tabela1[[#This Row],[valPrincipal]]+Tabela1[[#This Row],[valReajustes]]+Tabela1[[#This Row],[valAditamentos]]-Tabela1[[#This Row],[valAnulacao]]</f>
        <v>0</v>
      </c>
      <c r="AC222" s="2">
        <f>IF(Tabela1[[#This Row],[VigenciaMeses]]=0,Tabela1[[#This Row],[valTotal]]/1,Tabela1[[#This Row],[valTotal]]/Tabela1[[#This Row],[VigenciaMeses]])</f>
        <v>0</v>
      </c>
      <c r="AD222" s="2">
        <f>Tabela1[[#This Row],[valMensal]]*12</f>
        <v>0</v>
      </c>
      <c r="AE222" s="2">
        <v>9020</v>
      </c>
      <c r="AF222" s="2">
        <v>9020</v>
      </c>
      <c r="AG222" s="2">
        <v>0</v>
      </c>
      <c r="AH222" s="2">
        <v>0</v>
      </c>
      <c r="AI222" s="2">
        <v>0</v>
      </c>
      <c r="AJ222" t="s">
        <v>47</v>
      </c>
    </row>
    <row r="223" spans="1:36" x14ac:dyDescent="0.25">
      <c r="A223" t="s">
        <v>36</v>
      </c>
      <c r="B223" t="s">
        <v>37</v>
      </c>
      <c r="C223" t="s">
        <v>38</v>
      </c>
      <c r="D223" t="s">
        <v>39</v>
      </c>
      <c r="E223">
        <v>14</v>
      </c>
      <c r="F223">
        <v>422</v>
      </c>
      <c r="G223">
        <v>3018</v>
      </c>
      <c r="H223">
        <v>4326</v>
      </c>
      <c r="I223" t="s">
        <v>48</v>
      </c>
      <c r="J223" t="s">
        <v>49</v>
      </c>
      <c r="K223" t="s">
        <v>50</v>
      </c>
      <c r="L223">
        <v>12</v>
      </c>
      <c r="M223" t="s">
        <v>51</v>
      </c>
      <c r="N223">
        <v>2025</v>
      </c>
      <c r="O223">
        <v>1021</v>
      </c>
      <c r="Q223" t="s">
        <v>155</v>
      </c>
      <c r="R223" t="s">
        <v>156</v>
      </c>
      <c r="U223" t="s">
        <v>125</v>
      </c>
      <c r="V223">
        <v>12</v>
      </c>
      <c r="W223" t="str">
        <f ca="1">IF(Tabela1[[#This Row],[datVigencia]]=0,"Expirado",IF(Tabela1[[#This Row],[datVigencia]]&gt;TODAY(),"Vigente","Expirado"))</f>
        <v>Vigente</v>
      </c>
      <c r="X223" s="2">
        <v>9002</v>
      </c>
      <c r="Y223" s="2">
        <v>0</v>
      </c>
      <c r="Z223" s="2">
        <v>0</v>
      </c>
      <c r="AA223" s="2">
        <v>0</v>
      </c>
      <c r="AB223" s="2">
        <f>Tabela1[[#This Row],[valPrincipal]]+Tabela1[[#This Row],[valReajustes]]+Tabela1[[#This Row],[valAditamentos]]-Tabela1[[#This Row],[valAnulacao]]</f>
        <v>9002</v>
      </c>
      <c r="AC223" s="2">
        <f>IF(Tabela1[[#This Row],[VigenciaMeses]]=0,Tabela1[[#This Row],[valTotal]]/1,Tabela1[[#This Row],[valTotal]]/Tabela1[[#This Row],[VigenciaMeses]])</f>
        <v>750.16666666666663</v>
      </c>
      <c r="AD223" s="2">
        <f>Tabela1[[#This Row],[valMensal]]*12</f>
        <v>9002</v>
      </c>
      <c r="AE223" s="2">
        <v>9002</v>
      </c>
      <c r="AF223" s="2">
        <v>0</v>
      </c>
      <c r="AG223" s="2">
        <v>9002</v>
      </c>
      <c r="AH223" s="2">
        <v>9002</v>
      </c>
      <c r="AI223" s="2">
        <v>9002</v>
      </c>
      <c r="AJ223" t="s">
        <v>47</v>
      </c>
    </row>
    <row r="224" spans="1:36" x14ac:dyDescent="0.25">
      <c r="A224" t="s">
        <v>36</v>
      </c>
      <c r="B224" t="s">
        <v>1076</v>
      </c>
      <c r="C224" t="s">
        <v>1077</v>
      </c>
      <c r="D224" t="s">
        <v>39</v>
      </c>
      <c r="E224">
        <v>14</v>
      </c>
      <c r="F224">
        <v>422</v>
      </c>
      <c r="G224">
        <v>3018</v>
      </c>
      <c r="H224">
        <v>4326</v>
      </c>
      <c r="I224" t="s">
        <v>48</v>
      </c>
      <c r="J224" t="s">
        <v>55</v>
      </c>
      <c r="K224" t="s">
        <v>56</v>
      </c>
      <c r="L224">
        <v>7</v>
      </c>
      <c r="M224" t="s">
        <v>324</v>
      </c>
      <c r="N224">
        <v>2025</v>
      </c>
      <c r="O224">
        <v>16915</v>
      </c>
      <c r="Q224" t="s">
        <v>1425</v>
      </c>
      <c r="R224" t="s">
        <v>1426</v>
      </c>
      <c r="V224">
        <v>12</v>
      </c>
      <c r="W224" t="str">
        <f ca="1">IF(Tabela1[[#This Row],[datVigencia]]=0,"Expirado",IF(Tabela1[[#This Row],[datVigencia]]&gt;TODAY(),"Vigente","Expirado"))</f>
        <v>Expirado</v>
      </c>
      <c r="X224" s="2">
        <v>9000</v>
      </c>
      <c r="Y224" s="2">
        <v>0</v>
      </c>
      <c r="Z224" s="2">
        <v>0</v>
      </c>
      <c r="AA224" s="2">
        <v>0</v>
      </c>
      <c r="AB224" s="2">
        <f>Tabela1[[#This Row],[valPrincipal]]+Tabela1[[#This Row],[valReajustes]]+Tabela1[[#This Row],[valAditamentos]]-Tabela1[[#This Row],[valAnulacao]]</f>
        <v>9000</v>
      </c>
      <c r="AC224" s="2">
        <f>IF(Tabela1[[#This Row],[VigenciaMeses]]=0,Tabela1[[#This Row],[valTotal]]/1,Tabela1[[#This Row],[valTotal]]/Tabela1[[#This Row],[VigenciaMeses]])</f>
        <v>750</v>
      </c>
      <c r="AD224" s="2">
        <f>Tabela1[[#This Row],[valMensal]]*12</f>
        <v>9000</v>
      </c>
      <c r="AE224" s="2">
        <v>9000</v>
      </c>
      <c r="AF224" s="2">
        <v>0</v>
      </c>
      <c r="AG224" s="2">
        <v>9000</v>
      </c>
      <c r="AH224" s="2">
        <v>0</v>
      </c>
      <c r="AI224" s="2">
        <v>0</v>
      </c>
      <c r="AJ224" t="s">
        <v>47</v>
      </c>
    </row>
    <row r="225" spans="1:36" x14ac:dyDescent="0.25">
      <c r="A225" t="s">
        <v>36</v>
      </c>
      <c r="B225" t="s">
        <v>37</v>
      </c>
      <c r="C225" t="s">
        <v>38</v>
      </c>
      <c r="D225" t="s">
        <v>39</v>
      </c>
      <c r="E225">
        <v>14</v>
      </c>
      <c r="F225">
        <v>122</v>
      </c>
      <c r="G225">
        <v>3024</v>
      </c>
      <c r="H225">
        <v>2100</v>
      </c>
      <c r="I225" t="s">
        <v>157</v>
      </c>
      <c r="J225" t="s">
        <v>207</v>
      </c>
      <c r="K225" t="s">
        <v>208</v>
      </c>
      <c r="L225">
        <v>6</v>
      </c>
      <c r="M225" t="s">
        <v>97</v>
      </c>
      <c r="N225">
        <v>2025</v>
      </c>
      <c r="O225">
        <v>3800</v>
      </c>
      <c r="Q225" t="s">
        <v>663</v>
      </c>
      <c r="R225" t="s">
        <v>664</v>
      </c>
      <c r="U225" t="s">
        <v>376</v>
      </c>
      <c r="V225">
        <v>12</v>
      </c>
      <c r="W225" t="str">
        <f ca="1">IF(Tabela1[[#This Row],[datVigencia]]=0,"Expirado",IF(Tabela1[[#This Row],[datVigencia]]&gt;TODAY(),"Vigente","Expirado"))</f>
        <v>Vigente</v>
      </c>
      <c r="X225" s="2">
        <v>8550</v>
      </c>
      <c r="Y225" s="2">
        <v>0</v>
      </c>
      <c r="Z225" s="2">
        <v>0</v>
      </c>
      <c r="AA225" s="2">
        <v>0</v>
      </c>
      <c r="AB225" s="2">
        <f>Tabela1[[#This Row],[valPrincipal]]+Tabela1[[#This Row],[valReajustes]]+Tabela1[[#This Row],[valAditamentos]]-Tabela1[[#This Row],[valAnulacao]]</f>
        <v>8550</v>
      </c>
      <c r="AC225" s="2">
        <f>IF(Tabela1[[#This Row],[VigenciaMeses]]=0,Tabela1[[#This Row],[valTotal]]/1,Tabela1[[#This Row],[valTotal]]/Tabela1[[#This Row],[VigenciaMeses]])</f>
        <v>712.5</v>
      </c>
      <c r="AD225" s="2">
        <f>Tabela1[[#This Row],[valMensal]]*12</f>
        <v>8550</v>
      </c>
      <c r="AE225" s="2">
        <v>8550</v>
      </c>
      <c r="AF225" s="2">
        <v>0</v>
      </c>
      <c r="AG225" s="2">
        <v>8550</v>
      </c>
      <c r="AH225" s="2">
        <v>8550</v>
      </c>
      <c r="AI225" s="2">
        <v>8550</v>
      </c>
      <c r="AJ225" t="s">
        <v>47</v>
      </c>
    </row>
    <row r="226" spans="1:36" x14ac:dyDescent="0.25">
      <c r="A226" t="s">
        <v>36</v>
      </c>
      <c r="B226" t="s">
        <v>37</v>
      </c>
      <c r="C226" t="s">
        <v>38</v>
      </c>
      <c r="D226" t="s">
        <v>39</v>
      </c>
      <c r="E226">
        <v>14</v>
      </c>
      <c r="F226">
        <v>422</v>
      </c>
      <c r="G226">
        <v>3013</v>
      </c>
      <c r="H226">
        <v>2431</v>
      </c>
      <c r="I226" t="s">
        <v>48</v>
      </c>
      <c r="J226" t="s">
        <v>55</v>
      </c>
      <c r="K226" t="s">
        <v>56</v>
      </c>
      <c r="L226">
        <v>12</v>
      </c>
      <c r="M226" t="s">
        <v>51</v>
      </c>
      <c r="N226">
        <v>2025</v>
      </c>
      <c r="O226">
        <v>16189</v>
      </c>
      <c r="Q226" t="s">
        <v>1292</v>
      </c>
      <c r="R226" t="s">
        <v>1293</v>
      </c>
      <c r="V226">
        <v>12</v>
      </c>
      <c r="W226" t="str">
        <f ca="1">IF(Tabela1[[#This Row],[datVigencia]]=0,"Expirado",IF(Tabela1[[#This Row],[datVigencia]]&gt;TODAY(),"Vigente","Expirado"))</f>
        <v>Expirado</v>
      </c>
      <c r="X226" s="2">
        <v>8545.36</v>
      </c>
      <c r="Y226" s="2">
        <v>0</v>
      </c>
      <c r="Z226" s="2">
        <v>0</v>
      </c>
      <c r="AA226" s="2">
        <v>0</v>
      </c>
      <c r="AB226" s="2">
        <f>Tabela1[[#This Row],[valPrincipal]]+Tabela1[[#This Row],[valReajustes]]+Tabela1[[#This Row],[valAditamentos]]-Tabela1[[#This Row],[valAnulacao]]</f>
        <v>8545.36</v>
      </c>
      <c r="AC226" s="2">
        <f>IF(Tabela1[[#This Row],[VigenciaMeses]]=0,Tabela1[[#This Row],[valTotal]]/1,Tabela1[[#This Row],[valTotal]]/Tabela1[[#This Row],[VigenciaMeses]])</f>
        <v>712.11333333333334</v>
      </c>
      <c r="AD226" s="2">
        <f>Tabela1[[#This Row],[valMensal]]*12</f>
        <v>8545.36</v>
      </c>
      <c r="AE226" s="2">
        <v>8545.36</v>
      </c>
      <c r="AF226" s="2">
        <v>0</v>
      </c>
      <c r="AG226" s="2">
        <v>8545.36</v>
      </c>
      <c r="AH226" s="2">
        <v>0</v>
      </c>
      <c r="AI226" s="2">
        <v>0</v>
      </c>
      <c r="AJ226" t="s">
        <v>47</v>
      </c>
    </row>
    <row r="227" spans="1:36" x14ac:dyDescent="0.25">
      <c r="A227" t="s">
        <v>36</v>
      </c>
      <c r="B227" t="s">
        <v>37</v>
      </c>
      <c r="C227" t="s">
        <v>38</v>
      </c>
      <c r="D227" t="s">
        <v>39</v>
      </c>
      <c r="E227">
        <v>14</v>
      </c>
      <c r="F227">
        <v>422</v>
      </c>
      <c r="G227">
        <v>3013</v>
      </c>
      <c r="H227">
        <v>6178</v>
      </c>
      <c r="I227" t="s">
        <v>157</v>
      </c>
      <c r="J227" t="s">
        <v>406</v>
      </c>
      <c r="K227" t="s">
        <v>407</v>
      </c>
      <c r="L227">
        <v>6</v>
      </c>
      <c r="M227" t="s">
        <v>97</v>
      </c>
      <c r="N227">
        <v>2025</v>
      </c>
      <c r="O227">
        <v>12775</v>
      </c>
      <c r="P227" t="s">
        <v>1140</v>
      </c>
      <c r="Q227" t="s">
        <v>1141</v>
      </c>
      <c r="R227" t="s">
        <v>1142</v>
      </c>
      <c r="S227" t="s">
        <v>729</v>
      </c>
      <c r="T227" t="s">
        <v>1143</v>
      </c>
      <c r="U227" t="s">
        <v>413</v>
      </c>
      <c r="V227">
        <v>7</v>
      </c>
      <c r="W227" t="str">
        <f ca="1">IF(Tabela1[[#This Row],[datVigencia]]=0,"Expirado",IF(Tabela1[[#This Row],[datVigencia]]&gt;TODAY(),"Vigente","Expirado"))</f>
        <v>Vigente</v>
      </c>
      <c r="X227" s="2">
        <v>8357</v>
      </c>
      <c r="Y227" s="2">
        <v>0</v>
      </c>
      <c r="Z227" s="2">
        <v>0</v>
      </c>
      <c r="AA227" s="2">
        <v>0</v>
      </c>
      <c r="AB227" s="2">
        <f>Tabela1[[#This Row],[valPrincipal]]+Tabela1[[#This Row],[valReajustes]]+Tabela1[[#This Row],[valAditamentos]]-Tabela1[[#This Row],[valAnulacao]]</f>
        <v>8357</v>
      </c>
      <c r="AC227" s="2">
        <f>IF(Tabela1[[#This Row],[VigenciaMeses]]=0,Tabela1[[#This Row],[valTotal]]/1,Tabela1[[#This Row],[valTotal]]/Tabela1[[#This Row],[VigenciaMeses]])</f>
        <v>1193.8571428571429</v>
      </c>
      <c r="AD227" s="2">
        <f>Tabela1[[#This Row],[valMensal]]*12</f>
        <v>14326.285714285714</v>
      </c>
      <c r="AE227" s="2">
        <v>8357</v>
      </c>
      <c r="AF227" s="2">
        <v>0</v>
      </c>
      <c r="AG227" s="2">
        <v>8357</v>
      </c>
      <c r="AH227" s="2">
        <v>2205.5</v>
      </c>
      <c r="AI227" s="2">
        <v>0</v>
      </c>
      <c r="AJ227" t="s">
        <v>47</v>
      </c>
    </row>
    <row r="228" spans="1:36" x14ac:dyDescent="0.25">
      <c r="A228" t="s">
        <v>36</v>
      </c>
      <c r="B228" t="s">
        <v>37</v>
      </c>
      <c r="C228" t="s">
        <v>38</v>
      </c>
      <c r="D228" t="s">
        <v>39</v>
      </c>
      <c r="E228">
        <v>14</v>
      </c>
      <c r="F228">
        <v>122</v>
      </c>
      <c r="G228">
        <v>3024</v>
      </c>
      <c r="H228">
        <v>2100</v>
      </c>
      <c r="I228" t="s">
        <v>157</v>
      </c>
      <c r="J228" t="s">
        <v>207</v>
      </c>
      <c r="K228" t="s">
        <v>208</v>
      </c>
      <c r="L228">
        <v>6</v>
      </c>
      <c r="M228" t="s">
        <v>97</v>
      </c>
      <c r="N228">
        <v>2025</v>
      </c>
      <c r="O228">
        <v>3530</v>
      </c>
      <c r="Q228" t="s">
        <v>611</v>
      </c>
      <c r="R228" t="s">
        <v>612</v>
      </c>
      <c r="U228" t="s">
        <v>614</v>
      </c>
      <c r="V228">
        <v>12</v>
      </c>
      <c r="W228" t="str">
        <f ca="1">IF(Tabela1[[#This Row],[datVigencia]]=0,"Expirado",IF(Tabela1[[#This Row],[datVigencia]]&gt;TODAY(),"Vigente","Expirado"))</f>
        <v>Vigente</v>
      </c>
      <c r="X228" s="2">
        <v>8167.3</v>
      </c>
      <c r="Y228" s="2">
        <v>0</v>
      </c>
      <c r="Z228" s="2">
        <v>0</v>
      </c>
      <c r="AA228" s="2">
        <v>0</v>
      </c>
      <c r="AB228" s="2">
        <f>Tabela1[[#This Row],[valPrincipal]]+Tabela1[[#This Row],[valReajustes]]+Tabela1[[#This Row],[valAditamentos]]-Tabela1[[#This Row],[valAnulacao]]</f>
        <v>8167.3</v>
      </c>
      <c r="AC228" s="2">
        <f>IF(Tabela1[[#This Row],[VigenciaMeses]]=0,Tabela1[[#This Row],[valTotal]]/1,Tabela1[[#This Row],[valTotal]]/Tabela1[[#This Row],[VigenciaMeses]])</f>
        <v>680.60833333333335</v>
      </c>
      <c r="AD228" s="2">
        <f>Tabela1[[#This Row],[valMensal]]*12</f>
        <v>8167.3</v>
      </c>
      <c r="AE228" s="2">
        <v>8167.3</v>
      </c>
      <c r="AF228" s="2">
        <v>0</v>
      </c>
      <c r="AG228" s="2">
        <v>8167.3</v>
      </c>
      <c r="AH228" s="2">
        <v>8167.3</v>
      </c>
      <c r="AI228" s="2">
        <v>8167.3</v>
      </c>
      <c r="AJ228" t="s">
        <v>47</v>
      </c>
    </row>
    <row r="229" spans="1:36" x14ac:dyDescent="0.25">
      <c r="A229" t="s">
        <v>36</v>
      </c>
      <c r="B229" t="s">
        <v>37</v>
      </c>
      <c r="C229" t="s">
        <v>38</v>
      </c>
      <c r="D229" t="s">
        <v>39</v>
      </c>
      <c r="E229">
        <v>14</v>
      </c>
      <c r="F229">
        <v>122</v>
      </c>
      <c r="G229">
        <v>3024</v>
      </c>
      <c r="H229">
        <v>2100</v>
      </c>
      <c r="I229" t="s">
        <v>157</v>
      </c>
      <c r="J229" t="s">
        <v>207</v>
      </c>
      <c r="K229" t="s">
        <v>208</v>
      </c>
      <c r="L229">
        <v>6</v>
      </c>
      <c r="M229" t="s">
        <v>97</v>
      </c>
      <c r="N229">
        <v>2025</v>
      </c>
      <c r="O229">
        <v>3533</v>
      </c>
      <c r="Q229" t="s">
        <v>611</v>
      </c>
      <c r="R229" t="s">
        <v>612</v>
      </c>
      <c r="U229" t="s">
        <v>614</v>
      </c>
      <c r="V229">
        <v>12</v>
      </c>
      <c r="W229" t="str">
        <f ca="1">IF(Tabela1[[#This Row],[datVigencia]]=0,"Expirado",IF(Tabela1[[#This Row],[datVigencia]]&gt;TODAY(),"Vigente","Expirado"))</f>
        <v>Vigente</v>
      </c>
      <c r="X229" s="2">
        <v>8000</v>
      </c>
      <c r="Y229" s="2">
        <v>0</v>
      </c>
      <c r="Z229" s="2">
        <v>0</v>
      </c>
      <c r="AA229" s="2">
        <v>0</v>
      </c>
      <c r="AB229" s="2">
        <f>Tabela1[[#This Row],[valPrincipal]]+Tabela1[[#This Row],[valReajustes]]+Tabela1[[#This Row],[valAditamentos]]-Tabela1[[#This Row],[valAnulacao]]</f>
        <v>8000</v>
      </c>
      <c r="AC229" s="2">
        <f>IF(Tabela1[[#This Row],[VigenciaMeses]]=0,Tabela1[[#This Row],[valTotal]]/1,Tabela1[[#This Row],[valTotal]]/Tabela1[[#This Row],[VigenciaMeses]])</f>
        <v>666.66666666666663</v>
      </c>
      <c r="AD229" s="2">
        <f>Tabela1[[#This Row],[valMensal]]*12</f>
        <v>8000</v>
      </c>
      <c r="AE229" s="2">
        <v>8000</v>
      </c>
      <c r="AF229" s="2">
        <v>0</v>
      </c>
      <c r="AG229" s="2">
        <v>8000</v>
      </c>
      <c r="AH229" s="2">
        <v>8000</v>
      </c>
      <c r="AI229" s="2">
        <v>8000</v>
      </c>
      <c r="AJ229" t="s">
        <v>47</v>
      </c>
    </row>
    <row r="230" spans="1:36" x14ac:dyDescent="0.25">
      <c r="A230" t="s">
        <v>36</v>
      </c>
      <c r="B230" t="s">
        <v>1076</v>
      </c>
      <c r="C230" t="s">
        <v>1077</v>
      </c>
      <c r="D230" t="s">
        <v>39</v>
      </c>
      <c r="E230">
        <v>14</v>
      </c>
      <c r="F230">
        <v>422</v>
      </c>
      <c r="G230">
        <v>3018</v>
      </c>
      <c r="H230">
        <v>4326</v>
      </c>
      <c r="I230" t="s">
        <v>48</v>
      </c>
      <c r="J230" t="s">
        <v>55</v>
      </c>
      <c r="K230" t="s">
        <v>56</v>
      </c>
      <c r="L230">
        <v>7</v>
      </c>
      <c r="M230" t="s">
        <v>324</v>
      </c>
      <c r="N230">
        <v>2025</v>
      </c>
      <c r="O230">
        <v>16732</v>
      </c>
      <c r="Q230" t="s">
        <v>1315</v>
      </c>
      <c r="R230" t="s">
        <v>1316</v>
      </c>
      <c r="V230">
        <v>12</v>
      </c>
      <c r="W230" t="str">
        <f ca="1">IF(Tabela1[[#This Row],[datVigencia]]=0,"Expirado",IF(Tabela1[[#This Row],[datVigencia]]&gt;TODAY(),"Vigente","Expirado"))</f>
        <v>Expirado</v>
      </c>
      <c r="X230" s="2">
        <v>8000</v>
      </c>
      <c r="Y230" s="2">
        <v>0</v>
      </c>
      <c r="Z230" s="2">
        <v>0</v>
      </c>
      <c r="AA230" s="2">
        <v>0</v>
      </c>
      <c r="AB230" s="2">
        <f>Tabela1[[#This Row],[valPrincipal]]+Tabela1[[#This Row],[valReajustes]]+Tabela1[[#This Row],[valAditamentos]]-Tabela1[[#This Row],[valAnulacao]]</f>
        <v>8000</v>
      </c>
      <c r="AC230" s="2">
        <f>IF(Tabela1[[#This Row],[VigenciaMeses]]=0,Tabela1[[#This Row],[valTotal]]/1,Tabela1[[#This Row],[valTotal]]/Tabela1[[#This Row],[VigenciaMeses]])</f>
        <v>666.66666666666663</v>
      </c>
      <c r="AD230" s="2">
        <f>Tabela1[[#This Row],[valMensal]]*12</f>
        <v>8000</v>
      </c>
      <c r="AE230" s="2">
        <v>8000</v>
      </c>
      <c r="AF230" s="2">
        <v>0</v>
      </c>
      <c r="AG230" s="2">
        <v>8000</v>
      </c>
      <c r="AH230" s="2">
        <v>0</v>
      </c>
      <c r="AI230" s="2">
        <v>0</v>
      </c>
      <c r="AJ230" t="s">
        <v>47</v>
      </c>
    </row>
    <row r="231" spans="1:36" x14ac:dyDescent="0.25">
      <c r="A231" t="s">
        <v>36</v>
      </c>
      <c r="B231" t="s">
        <v>1076</v>
      </c>
      <c r="C231" t="s">
        <v>1077</v>
      </c>
      <c r="D231" t="s">
        <v>39</v>
      </c>
      <c r="E231">
        <v>14</v>
      </c>
      <c r="F231">
        <v>422</v>
      </c>
      <c r="G231">
        <v>3018</v>
      </c>
      <c r="H231">
        <v>4326</v>
      </c>
      <c r="I231" t="s">
        <v>48</v>
      </c>
      <c r="J231" t="s">
        <v>55</v>
      </c>
      <c r="K231" t="s">
        <v>56</v>
      </c>
      <c r="L231">
        <v>7</v>
      </c>
      <c r="M231" t="s">
        <v>324</v>
      </c>
      <c r="N231">
        <v>2025</v>
      </c>
      <c r="O231">
        <v>16753</v>
      </c>
      <c r="Q231" t="s">
        <v>1343</v>
      </c>
      <c r="R231" t="s">
        <v>1344</v>
      </c>
      <c r="V231">
        <v>12</v>
      </c>
      <c r="W231" t="str">
        <f ca="1">IF(Tabela1[[#This Row],[datVigencia]]=0,"Expirado",IF(Tabela1[[#This Row],[datVigencia]]&gt;TODAY(),"Vigente","Expirado"))</f>
        <v>Expirado</v>
      </c>
      <c r="X231" s="2">
        <v>8000</v>
      </c>
      <c r="Y231" s="2">
        <v>0</v>
      </c>
      <c r="Z231" s="2">
        <v>0</v>
      </c>
      <c r="AA231" s="2">
        <v>0</v>
      </c>
      <c r="AB231" s="2">
        <f>Tabela1[[#This Row],[valPrincipal]]+Tabela1[[#This Row],[valReajustes]]+Tabela1[[#This Row],[valAditamentos]]-Tabela1[[#This Row],[valAnulacao]]</f>
        <v>8000</v>
      </c>
      <c r="AC231" s="2">
        <f>IF(Tabela1[[#This Row],[VigenciaMeses]]=0,Tabela1[[#This Row],[valTotal]]/1,Tabela1[[#This Row],[valTotal]]/Tabela1[[#This Row],[VigenciaMeses]])</f>
        <v>666.66666666666663</v>
      </c>
      <c r="AD231" s="2">
        <f>Tabela1[[#This Row],[valMensal]]*12</f>
        <v>8000</v>
      </c>
      <c r="AE231" s="2">
        <v>8000</v>
      </c>
      <c r="AF231" s="2">
        <v>0</v>
      </c>
      <c r="AG231" s="2">
        <v>8000</v>
      </c>
      <c r="AH231" s="2">
        <v>0</v>
      </c>
      <c r="AI231" s="2">
        <v>0</v>
      </c>
      <c r="AJ231" t="s">
        <v>47</v>
      </c>
    </row>
    <row r="232" spans="1:36" x14ac:dyDescent="0.25">
      <c r="A232" t="s">
        <v>36</v>
      </c>
      <c r="B232" t="s">
        <v>1076</v>
      </c>
      <c r="C232" t="s">
        <v>1077</v>
      </c>
      <c r="D232" t="s">
        <v>39</v>
      </c>
      <c r="E232">
        <v>14</v>
      </c>
      <c r="F232">
        <v>422</v>
      </c>
      <c r="G232">
        <v>3018</v>
      </c>
      <c r="H232">
        <v>4326</v>
      </c>
      <c r="I232" t="s">
        <v>48</v>
      </c>
      <c r="J232" t="s">
        <v>55</v>
      </c>
      <c r="K232" t="s">
        <v>56</v>
      </c>
      <c r="L232">
        <v>7</v>
      </c>
      <c r="M232" t="s">
        <v>324</v>
      </c>
      <c r="N232">
        <v>2025</v>
      </c>
      <c r="O232">
        <v>16771</v>
      </c>
      <c r="Q232" t="s">
        <v>1363</v>
      </c>
      <c r="R232" t="s">
        <v>1364</v>
      </c>
      <c r="V232">
        <v>12</v>
      </c>
      <c r="W232" t="str">
        <f ca="1">IF(Tabela1[[#This Row],[datVigencia]]=0,"Expirado",IF(Tabela1[[#This Row],[datVigencia]]&gt;TODAY(),"Vigente","Expirado"))</f>
        <v>Expirado</v>
      </c>
      <c r="X232" s="2">
        <v>8000</v>
      </c>
      <c r="Y232" s="2">
        <v>0</v>
      </c>
      <c r="Z232" s="2">
        <v>0</v>
      </c>
      <c r="AA232" s="2">
        <v>0</v>
      </c>
      <c r="AB232" s="2">
        <f>Tabela1[[#This Row],[valPrincipal]]+Tabela1[[#This Row],[valReajustes]]+Tabela1[[#This Row],[valAditamentos]]-Tabela1[[#This Row],[valAnulacao]]</f>
        <v>8000</v>
      </c>
      <c r="AC232" s="2">
        <f>IF(Tabela1[[#This Row],[VigenciaMeses]]=0,Tabela1[[#This Row],[valTotal]]/1,Tabela1[[#This Row],[valTotal]]/Tabela1[[#This Row],[VigenciaMeses]])</f>
        <v>666.66666666666663</v>
      </c>
      <c r="AD232" s="2">
        <f>Tabela1[[#This Row],[valMensal]]*12</f>
        <v>8000</v>
      </c>
      <c r="AE232" s="2">
        <v>8000</v>
      </c>
      <c r="AF232" s="2">
        <v>0</v>
      </c>
      <c r="AG232" s="2">
        <v>8000</v>
      </c>
      <c r="AH232" s="2">
        <v>0</v>
      </c>
      <c r="AI232" s="2">
        <v>0</v>
      </c>
      <c r="AJ232" t="s">
        <v>47</v>
      </c>
    </row>
    <row r="233" spans="1:36" x14ac:dyDescent="0.25">
      <c r="A233" t="s">
        <v>36</v>
      </c>
      <c r="B233" t="s">
        <v>37</v>
      </c>
      <c r="C233" t="s">
        <v>38</v>
      </c>
      <c r="D233" t="s">
        <v>39</v>
      </c>
      <c r="E233">
        <v>8</v>
      </c>
      <c r="F233">
        <v>605</v>
      </c>
      <c r="G233">
        <v>3016</v>
      </c>
      <c r="H233">
        <v>4470</v>
      </c>
      <c r="I233" t="s">
        <v>48</v>
      </c>
      <c r="J233" t="s">
        <v>55</v>
      </c>
      <c r="K233" t="s">
        <v>56</v>
      </c>
      <c r="L233">
        <v>6</v>
      </c>
      <c r="M233" t="s">
        <v>97</v>
      </c>
      <c r="N233">
        <v>2025</v>
      </c>
      <c r="O233">
        <v>10786</v>
      </c>
      <c r="Q233" t="s">
        <v>1058</v>
      </c>
      <c r="R233" t="s">
        <v>1059</v>
      </c>
      <c r="V233">
        <v>12</v>
      </c>
      <c r="W233" t="str">
        <f ca="1">IF(Tabela1[[#This Row],[datVigencia]]=0,"Expirado",IF(Tabela1[[#This Row],[datVigencia]]&gt;TODAY(),"Vigente","Expirado"))</f>
        <v>Expirado</v>
      </c>
      <c r="X233" s="2">
        <v>7500</v>
      </c>
      <c r="Y233" s="2">
        <v>0</v>
      </c>
      <c r="Z233" s="2">
        <v>0</v>
      </c>
      <c r="AA233" s="2">
        <v>0</v>
      </c>
      <c r="AB233" s="2">
        <f>Tabela1[[#This Row],[valPrincipal]]+Tabela1[[#This Row],[valReajustes]]+Tabela1[[#This Row],[valAditamentos]]-Tabela1[[#This Row],[valAnulacao]]</f>
        <v>7500</v>
      </c>
      <c r="AC233" s="2">
        <f>IF(Tabela1[[#This Row],[VigenciaMeses]]=0,Tabela1[[#This Row],[valTotal]]/1,Tabela1[[#This Row],[valTotal]]/Tabela1[[#This Row],[VigenciaMeses]])</f>
        <v>625</v>
      </c>
      <c r="AD233" s="2">
        <f>Tabela1[[#This Row],[valMensal]]*12</f>
        <v>7500</v>
      </c>
      <c r="AE233" s="2">
        <v>7500</v>
      </c>
      <c r="AF233" s="2">
        <v>0</v>
      </c>
      <c r="AG233" s="2">
        <v>7500</v>
      </c>
      <c r="AH233" s="2">
        <v>0</v>
      </c>
      <c r="AI233" s="2">
        <v>0</v>
      </c>
      <c r="AJ233" t="s">
        <v>47</v>
      </c>
    </row>
    <row r="234" spans="1:36" x14ac:dyDescent="0.25">
      <c r="A234" t="s">
        <v>36</v>
      </c>
      <c r="B234" t="s">
        <v>1076</v>
      </c>
      <c r="C234" t="s">
        <v>1077</v>
      </c>
      <c r="D234" t="s">
        <v>39</v>
      </c>
      <c r="E234">
        <v>14</v>
      </c>
      <c r="F234">
        <v>422</v>
      </c>
      <c r="G234">
        <v>3018</v>
      </c>
      <c r="H234">
        <v>4326</v>
      </c>
      <c r="I234" t="s">
        <v>48</v>
      </c>
      <c r="J234" t="s">
        <v>55</v>
      </c>
      <c r="K234" t="s">
        <v>56</v>
      </c>
      <c r="L234">
        <v>7</v>
      </c>
      <c r="M234" t="s">
        <v>324</v>
      </c>
      <c r="N234">
        <v>2025</v>
      </c>
      <c r="O234">
        <v>16736</v>
      </c>
      <c r="Q234" t="s">
        <v>1317</v>
      </c>
      <c r="R234" t="s">
        <v>1318</v>
      </c>
      <c r="V234">
        <v>12</v>
      </c>
      <c r="W234" t="str">
        <f ca="1">IF(Tabela1[[#This Row],[datVigencia]]=0,"Expirado",IF(Tabela1[[#This Row],[datVigencia]]&gt;TODAY(),"Vigente","Expirado"))</f>
        <v>Expirado</v>
      </c>
      <c r="X234" s="2">
        <v>7100</v>
      </c>
      <c r="Y234" s="2">
        <v>0</v>
      </c>
      <c r="Z234" s="2">
        <v>0</v>
      </c>
      <c r="AA234" s="2">
        <v>0</v>
      </c>
      <c r="AB234" s="2">
        <f>Tabela1[[#This Row],[valPrincipal]]+Tabela1[[#This Row],[valReajustes]]+Tabela1[[#This Row],[valAditamentos]]-Tabela1[[#This Row],[valAnulacao]]</f>
        <v>7100</v>
      </c>
      <c r="AC234" s="2">
        <f>IF(Tabela1[[#This Row],[VigenciaMeses]]=0,Tabela1[[#This Row],[valTotal]]/1,Tabela1[[#This Row],[valTotal]]/Tabela1[[#This Row],[VigenciaMeses]])</f>
        <v>591.66666666666663</v>
      </c>
      <c r="AD234" s="2">
        <f>Tabela1[[#This Row],[valMensal]]*12</f>
        <v>7100</v>
      </c>
      <c r="AE234" s="2">
        <v>7100</v>
      </c>
      <c r="AF234" s="2">
        <v>0</v>
      </c>
      <c r="AG234" s="2">
        <v>7100</v>
      </c>
      <c r="AH234" s="2">
        <v>0</v>
      </c>
      <c r="AI234" s="2">
        <v>0</v>
      </c>
      <c r="AJ234" t="s">
        <v>47</v>
      </c>
    </row>
    <row r="235" spans="1:36" x14ac:dyDescent="0.25">
      <c r="A235" t="s">
        <v>36</v>
      </c>
      <c r="B235" t="s">
        <v>1076</v>
      </c>
      <c r="C235" t="s">
        <v>1077</v>
      </c>
      <c r="D235" t="s">
        <v>39</v>
      </c>
      <c r="E235">
        <v>14</v>
      </c>
      <c r="F235">
        <v>422</v>
      </c>
      <c r="G235">
        <v>3018</v>
      </c>
      <c r="H235">
        <v>4326</v>
      </c>
      <c r="I235" t="s">
        <v>48</v>
      </c>
      <c r="J235" t="s">
        <v>55</v>
      </c>
      <c r="K235" t="s">
        <v>56</v>
      </c>
      <c r="L235">
        <v>7</v>
      </c>
      <c r="M235" t="s">
        <v>324</v>
      </c>
      <c r="N235">
        <v>2025</v>
      </c>
      <c r="O235">
        <v>16772</v>
      </c>
      <c r="P235" t="s">
        <v>1365</v>
      </c>
      <c r="Q235" t="s">
        <v>1366</v>
      </c>
      <c r="R235" t="s">
        <v>1367</v>
      </c>
      <c r="S235" t="s">
        <v>1354</v>
      </c>
      <c r="T235" t="s">
        <v>1111</v>
      </c>
      <c r="U235" t="s">
        <v>1208</v>
      </c>
      <c r="V235">
        <v>0</v>
      </c>
      <c r="W235" t="str">
        <f ca="1">IF(Tabela1[[#This Row],[datVigencia]]=0,"Expirado",IF(Tabela1[[#This Row],[datVigencia]]&gt;TODAY(),"Vigente","Expirado"))</f>
        <v>Vigente</v>
      </c>
      <c r="X235" s="2">
        <v>7100</v>
      </c>
      <c r="Y235" s="2">
        <v>0</v>
      </c>
      <c r="Z235" s="2">
        <v>0</v>
      </c>
      <c r="AA235" s="2">
        <v>0</v>
      </c>
      <c r="AB235" s="2">
        <f>Tabela1[[#This Row],[valPrincipal]]+Tabela1[[#This Row],[valReajustes]]+Tabela1[[#This Row],[valAditamentos]]-Tabela1[[#This Row],[valAnulacao]]</f>
        <v>7100</v>
      </c>
      <c r="AC235" s="2">
        <f>IF(Tabela1[[#This Row],[VigenciaMeses]]=0,Tabela1[[#This Row],[valTotal]]/1,Tabela1[[#This Row],[valTotal]]/Tabela1[[#This Row],[VigenciaMeses]])</f>
        <v>7100</v>
      </c>
      <c r="AD235" s="2">
        <f>Tabela1[[#This Row],[valMensal]]*12</f>
        <v>85200</v>
      </c>
      <c r="AE235" s="2">
        <v>7100</v>
      </c>
      <c r="AF235" s="2">
        <v>0</v>
      </c>
      <c r="AG235" s="2">
        <v>7100</v>
      </c>
      <c r="AH235" s="2">
        <v>0</v>
      </c>
      <c r="AI235" s="2">
        <v>0</v>
      </c>
      <c r="AJ235" t="s">
        <v>47</v>
      </c>
    </row>
    <row r="236" spans="1:36" x14ac:dyDescent="0.25">
      <c r="A236" t="s">
        <v>36</v>
      </c>
      <c r="B236" t="s">
        <v>1076</v>
      </c>
      <c r="C236" t="s">
        <v>1077</v>
      </c>
      <c r="D236" t="s">
        <v>39</v>
      </c>
      <c r="E236">
        <v>14</v>
      </c>
      <c r="F236">
        <v>422</v>
      </c>
      <c r="G236">
        <v>3018</v>
      </c>
      <c r="H236">
        <v>4326</v>
      </c>
      <c r="I236" t="s">
        <v>48</v>
      </c>
      <c r="J236" t="s">
        <v>55</v>
      </c>
      <c r="K236" t="s">
        <v>56</v>
      </c>
      <c r="L236">
        <v>7</v>
      </c>
      <c r="M236" t="s">
        <v>324</v>
      </c>
      <c r="N236">
        <v>2025</v>
      </c>
      <c r="O236">
        <v>16825</v>
      </c>
      <c r="Q236" t="s">
        <v>1388</v>
      </c>
      <c r="R236" t="s">
        <v>1389</v>
      </c>
      <c r="V236">
        <v>12</v>
      </c>
      <c r="W236" t="str">
        <f ca="1">IF(Tabela1[[#This Row],[datVigencia]]=0,"Expirado",IF(Tabela1[[#This Row],[datVigencia]]&gt;TODAY(),"Vigente","Expirado"))</f>
        <v>Expirado</v>
      </c>
      <c r="X236" s="2">
        <v>7100</v>
      </c>
      <c r="Y236" s="2">
        <v>0</v>
      </c>
      <c r="Z236" s="2">
        <v>0</v>
      </c>
      <c r="AA236" s="2">
        <v>0</v>
      </c>
      <c r="AB236" s="2">
        <f>Tabela1[[#This Row],[valPrincipal]]+Tabela1[[#This Row],[valReajustes]]+Tabela1[[#This Row],[valAditamentos]]-Tabela1[[#This Row],[valAnulacao]]</f>
        <v>7100</v>
      </c>
      <c r="AC236" s="2">
        <f>IF(Tabela1[[#This Row],[VigenciaMeses]]=0,Tabela1[[#This Row],[valTotal]]/1,Tabela1[[#This Row],[valTotal]]/Tabela1[[#This Row],[VigenciaMeses]])</f>
        <v>591.66666666666663</v>
      </c>
      <c r="AD236" s="2">
        <f>Tabela1[[#This Row],[valMensal]]*12</f>
        <v>7100</v>
      </c>
      <c r="AE236" s="2">
        <v>7100</v>
      </c>
      <c r="AF236" s="2">
        <v>0</v>
      </c>
      <c r="AG236" s="2">
        <v>7100</v>
      </c>
      <c r="AH236" s="2">
        <v>0</v>
      </c>
      <c r="AI236" s="2">
        <v>0</v>
      </c>
      <c r="AJ236" t="s">
        <v>47</v>
      </c>
    </row>
    <row r="237" spans="1:36" x14ac:dyDescent="0.25">
      <c r="A237" t="s">
        <v>36</v>
      </c>
      <c r="B237" t="s">
        <v>1076</v>
      </c>
      <c r="C237" t="s">
        <v>1077</v>
      </c>
      <c r="D237" t="s">
        <v>39</v>
      </c>
      <c r="E237">
        <v>14</v>
      </c>
      <c r="F237">
        <v>422</v>
      </c>
      <c r="G237">
        <v>3018</v>
      </c>
      <c r="H237">
        <v>4326</v>
      </c>
      <c r="I237" t="s">
        <v>48</v>
      </c>
      <c r="J237" t="s">
        <v>55</v>
      </c>
      <c r="K237" t="s">
        <v>56</v>
      </c>
      <c r="L237">
        <v>7</v>
      </c>
      <c r="M237" t="s">
        <v>324</v>
      </c>
      <c r="N237">
        <v>2025</v>
      </c>
      <c r="O237">
        <v>16854</v>
      </c>
      <c r="Q237" t="s">
        <v>1407</v>
      </c>
      <c r="R237" t="s">
        <v>1408</v>
      </c>
      <c r="V237">
        <v>12</v>
      </c>
      <c r="W237" t="str">
        <f ca="1">IF(Tabela1[[#This Row],[datVigencia]]=0,"Expirado",IF(Tabela1[[#This Row],[datVigencia]]&gt;TODAY(),"Vigente","Expirado"))</f>
        <v>Expirado</v>
      </c>
      <c r="X237" s="2">
        <v>7100</v>
      </c>
      <c r="Y237" s="2">
        <v>0</v>
      </c>
      <c r="Z237" s="2">
        <v>0</v>
      </c>
      <c r="AA237" s="2">
        <v>0</v>
      </c>
      <c r="AB237" s="2">
        <f>Tabela1[[#This Row],[valPrincipal]]+Tabela1[[#This Row],[valReajustes]]+Tabela1[[#This Row],[valAditamentos]]-Tabela1[[#This Row],[valAnulacao]]</f>
        <v>7100</v>
      </c>
      <c r="AC237" s="2">
        <f>IF(Tabela1[[#This Row],[VigenciaMeses]]=0,Tabela1[[#This Row],[valTotal]]/1,Tabela1[[#This Row],[valTotal]]/Tabela1[[#This Row],[VigenciaMeses]])</f>
        <v>591.66666666666663</v>
      </c>
      <c r="AD237" s="2">
        <f>Tabela1[[#This Row],[valMensal]]*12</f>
        <v>7100</v>
      </c>
      <c r="AE237" s="2">
        <v>7100</v>
      </c>
      <c r="AF237" s="2">
        <v>0</v>
      </c>
      <c r="AG237" s="2">
        <v>7100</v>
      </c>
      <c r="AH237" s="2">
        <v>0</v>
      </c>
      <c r="AI237" s="2">
        <v>0</v>
      </c>
      <c r="AJ237" t="s">
        <v>47</v>
      </c>
    </row>
    <row r="238" spans="1:36" x14ac:dyDescent="0.25">
      <c r="A238" t="s">
        <v>36</v>
      </c>
      <c r="B238" t="s">
        <v>1076</v>
      </c>
      <c r="C238" t="s">
        <v>1077</v>
      </c>
      <c r="D238" t="s">
        <v>39</v>
      </c>
      <c r="E238">
        <v>14</v>
      </c>
      <c r="F238">
        <v>422</v>
      </c>
      <c r="G238">
        <v>3018</v>
      </c>
      <c r="H238">
        <v>4326</v>
      </c>
      <c r="I238" t="s">
        <v>48</v>
      </c>
      <c r="J238" t="s">
        <v>55</v>
      </c>
      <c r="K238" t="s">
        <v>56</v>
      </c>
      <c r="L238">
        <v>7</v>
      </c>
      <c r="M238" t="s">
        <v>324</v>
      </c>
      <c r="N238">
        <v>2025</v>
      </c>
      <c r="O238">
        <v>16874</v>
      </c>
      <c r="Q238" t="s">
        <v>1418</v>
      </c>
      <c r="R238" t="s">
        <v>1419</v>
      </c>
      <c r="V238">
        <v>12</v>
      </c>
      <c r="W238" t="str">
        <f ca="1">IF(Tabela1[[#This Row],[datVigencia]]=0,"Expirado",IF(Tabela1[[#This Row],[datVigencia]]&gt;TODAY(),"Vigente","Expirado"))</f>
        <v>Expirado</v>
      </c>
      <c r="X238" s="2">
        <v>7100</v>
      </c>
      <c r="Y238" s="2">
        <v>0</v>
      </c>
      <c r="Z238" s="2">
        <v>0</v>
      </c>
      <c r="AA238" s="2">
        <v>0</v>
      </c>
      <c r="AB238" s="2">
        <f>Tabela1[[#This Row],[valPrincipal]]+Tabela1[[#This Row],[valReajustes]]+Tabela1[[#This Row],[valAditamentos]]-Tabela1[[#This Row],[valAnulacao]]</f>
        <v>7100</v>
      </c>
      <c r="AC238" s="2">
        <f>IF(Tabela1[[#This Row],[VigenciaMeses]]=0,Tabela1[[#This Row],[valTotal]]/1,Tabela1[[#This Row],[valTotal]]/Tabela1[[#This Row],[VigenciaMeses]])</f>
        <v>591.66666666666663</v>
      </c>
      <c r="AD238" s="2">
        <f>Tabela1[[#This Row],[valMensal]]*12</f>
        <v>7100</v>
      </c>
      <c r="AE238" s="2">
        <v>7100</v>
      </c>
      <c r="AF238" s="2">
        <v>0</v>
      </c>
      <c r="AG238" s="2">
        <v>7100</v>
      </c>
      <c r="AH238" s="2">
        <v>0</v>
      </c>
      <c r="AI238" s="2">
        <v>0</v>
      </c>
      <c r="AJ238" t="s">
        <v>47</v>
      </c>
    </row>
    <row r="239" spans="1:36" x14ac:dyDescent="0.25">
      <c r="A239" t="s">
        <v>36</v>
      </c>
      <c r="B239" t="s">
        <v>37</v>
      </c>
      <c r="C239" t="s">
        <v>38</v>
      </c>
      <c r="D239" t="s">
        <v>39</v>
      </c>
      <c r="E239">
        <v>14</v>
      </c>
      <c r="F239">
        <v>122</v>
      </c>
      <c r="G239">
        <v>3024</v>
      </c>
      <c r="H239">
        <v>2100</v>
      </c>
      <c r="I239" t="s">
        <v>157</v>
      </c>
      <c r="J239" t="s">
        <v>49</v>
      </c>
      <c r="K239" t="s">
        <v>50</v>
      </c>
      <c r="L239">
        <v>12</v>
      </c>
      <c r="M239" t="s">
        <v>51</v>
      </c>
      <c r="N239">
        <v>2025</v>
      </c>
      <c r="O239">
        <v>7267</v>
      </c>
      <c r="Q239" t="s">
        <v>924</v>
      </c>
      <c r="R239" t="s">
        <v>925</v>
      </c>
      <c r="U239" t="s">
        <v>923</v>
      </c>
      <c r="V239">
        <v>12</v>
      </c>
      <c r="W239" t="str">
        <f ca="1">IF(Tabela1[[#This Row],[datVigencia]]=0,"Expirado",IF(Tabela1[[#This Row],[datVigencia]]&gt;TODAY(),"Vigente","Expirado"))</f>
        <v>Vigente</v>
      </c>
      <c r="X239" s="2">
        <v>7000</v>
      </c>
      <c r="Y239" s="2">
        <v>0</v>
      </c>
      <c r="Z239" s="2">
        <v>0</v>
      </c>
      <c r="AA239" s="2">
        <v>0</v>
      </c>
      <c r="AB239" s="2">
        <f>Tabela1[[#This Row],[valPrincipal]]+Tabela1[[#This Row],[valReajustes]]+Tabela1[[#This Row],[valAditamentos]]-Tabela1[[#This Row],[valAnulacao]]</f>
        <v>7000</v>
      </c>
      <c r="AC239" s="2">
        <f>IF(Tabela1[[#This Row],[VigenciaMeses]]=0,Tabela1[[#This Row],[valTotal]]/1,Tabela1[[#This Row],[valTotal]]/Tabela1[[#This Row],[VigenciaMeses]])</f>
        <v>583.33333333333337</v>
      </c>
      <c r="AD239" s="2">
        <f>Tabela1[[#This Row],[valMensal]]*12</f>
        <v>7000</v>
      </c>
      <c r="AE239" s="2">
        <v>7000</v>
      </c>
      <c r="AF239" s="2">
        <v>0</v>
      </c>
      <c r="AG239" s="2">
        <v>7000</v>
      </c>
      <c r="AH239" s="2">
        <v>7000</v>
      </c>
      <c r="AI239" s="2">
        <v>7000</v>
      </c>
      <c r="AJ239" t="s">
        <v>47</v>
      </c>
    </row>
    <row r="240" spans="1:36" x14ac:dyDescent="0.25">
      <c r="A240" t="s">
        <v>36</v>
      </c>
      <c r="B240" t="s">
        <v>37</v>
      </c>
      <c r="C240" t="s">
        <v>38</v>
      </c>
      <c r="D240" t="s">
        <v>39</v>
      </c>
      <c r="E240">
        <v>14</v>
      </c>
      <c r="F240">
        <v>122</v>
      </c>
      <c r="G240">
        <v>3024</v>
      </c>
      <c r="H240">
        <v>2100</v>
      </c>
      <c r="I240" t="s">
        <v>206</v>
      </c>
      <c r="J240" t="s">
        <v>406</v>
      </c>
      <c r="K240" t="s">
        <v>407</v>
      </c>
      <c r="L240">
        <v>6</v>
      </c>
      <c r="M240" t="s">
        <v>97</v>
      </c>
      <c r="N240">
        <v>2025</v>
      </c>
      <c r="O240">
        <v>14165</v>
      </c>
      <c r="P240" t="s">
        <v>1209</v>
      </c>
      <c r="Q240" t="s">
        <v>1210</v>
      </c>
      <c r="R240" t="s">
        <v>1211</v>
      </c>
      <c r="S240" t="s">
        <v>709</v>
      </c>
      <c r="T240" t="s">
        <v>1159</v>
      </c>
      <c r="U240" t="s">
        <v>1212</v>
      </c>
      <c r="V240">
        <v>12</v>
      </c>
      <c r="W240" t="str">
        <f ca="1">IF(Tabela1[[#This Row],[datVigencia]]=0,"Expirado",IF(Tabela1[[#This Row],[datVigencia]]&gt;TODAY(),"Vigente","Expirado"))</f>
        <v>Vigente</v>
      </c>
      <c r="X240" s="2">
        <v>6953</v>
      </c>
      <c r="Y240" s="2">
        <v>0</v>
      </c>
      <c r="Z240" s="2">
        <v>0</v>
      </c>
      <c r="AA240" s="2">
        <v>0</v>
      </c>
      <c r="AB240" s="2">
        <f>Tabela1[[#This Row],[valPrincipal]]+Tabela1[[#This Row],[valReajustes]]+Tabela1[[#This Row],[valAditamentos]]-Tabela1[[#This Row],[valAnulacao]]</f>
        <v>6953</v>
      </c>
      <c r="AC240" s="2">
        <f>IF(Tabela1[[#This Row],[VigenciaMeses]]=0,Tabela1[[#This Row],[valTotal]]/1,Tabela1[[#This Row],[valTotal]]/Tabela1[[#This Row],[VigenciaMeses]])</f>
        <v>579.41666666666663</v>
      </c>
      <c r="AD240" s="2">
        <f>Tabela1[[#This Row],[valMensal]]*12</f>
        <v>6953</v>
      </c>
      <c r="AE240" s="2">
        <v>6953</v>
      </c>
      <c r="AF240" s="2">
        <v>0</v>
      </c>
      <c r="AG240" s="2">
        <v>6953</v>
      </c>
      <c r="AH240" s="2">
        <v>6953</v>
      </c>
      <c r="AI240" s="2">
        <v>0</v>
      </c>
      <c r="AJ240" t="s">
        <v>47</v>
      </c>
    </row>
    <row r="241" spans="1:36" x14ac:dyDescent="0.25">
      <c r="A241" t="s">
        <v>36</v>
      </c>
      <c r="B241" t="s">
        <v>37</v>
      </c>
      <c r="C241" t="s">
        <v>38</v>
      </c>
      <c r="D241" t="s">
        <v>39</v>
      </c>
      <c r="E241">
        <v>14</v>
      </c>
      <c r="F241">
        <v>122</v>
      </c>
      <c r="G241">
        <v>3024</v>
      </c>
      <c r="H241">
        <v>2100</v>
      </c>
      <c r="I241" t="s">
        <v>157</v>
      </c>
      <c r="J241" t="s">
        <v>207</v>
      </c>
      <c r="K241" t="s">
        <v>208</v>
      </c>
      <c r="L241">
        <v>6</v>
      </c>
      <c r="M241" t="s">
        <v>97</v>
      </c>
      <c r="N241">
        <v>2025</v>
      </c>
      <c r="O241">
        <v>3656</v>
      </c>
      <c r="Q241" t="s">
        <v>648</v>
      </c>
      <c r="R241" t="s">
        <v>649</v>
      </c>
      <c r="U241" t="s">
        <v>376</v>
      </c>
      <c r="V241">
        <v>12</v>
      </c>
      <c r="W241" t="str">
        <f ca="1">IF(Tabela1[[#This Row],[datVigencia]]=0,"Expirado",IF(Tabela1[[#This Row],[datVigencia]]&gt;TODAY(),"Vigente","Expirado"))</f>
        <v>Vigente</v>
      </c>
      <c r="X241" s="2">
        <v>6900</v>
      </c>
      <c r="Y241" s="2">
        <v>0</v>
      </c>
      <c r="Z241" s="2">
        <v>0</v>
      </c>
      <c r="AA241" s="2">
        <v>0</v>
      </c>
      <c r="AB241" s="2">
        <f>Tabela1[[#This Row],[valPrincipal]]+Tabela1[[#This Row],[valReajustes]]+Tabela1[[#This Row],[valAditamentos]]-Tabela1[[#This Row],[valAnulacao]]</f>
        <v>6900</v>
      </c>
      <c r="AC241" s="2">
        <f>IF(Tabela1[[#This Row],[VigenciaMeses]]=0,Tabela1[[#This Row],[valTotal]]/1,Tabela1[[#This Row],[valTotal]]/Tabela1[[#This Row],[VigenciaMeses]])</f>
        <v>575</v>
      </c>
      <c r="AD241" s="2">
        <f>Tabela1[[#This Row],[valMensal]]*12</f>
        <v>6900</v>
      </c>
      <c r="AE241" s="2">
        <v>6900</v>
      </c>
      <c r="AF241" s="2">
        <v>0</v>
      </c>
      <c r="AG241" s="2">
        <v>6900</v>
      </c>
      <c r="AH241" s="2">
        <v>6900</v>
      </c>
      <c r="AI241" s="2">
        <v>6900</v>
      </c>
      <c r="AJ241" t="s">
        <v>47</v>
      </c>
    </row>
    <row r="242" spans="1:36" x14ac:dyDescent="0.25">
      <c r="A242" t="s">
        <v>36</v>
      </c>
      <c r="B242" t="s">
        <v>37</v>
      </c>
      <c r="C242" t="s">
        <v>38</v>
      </c>
      <c r="D242" t="s">
        <v>39</v>
      </c>
      <c r="E242">
        <v>14</v>
      </c>
      <c r="F242">
        <v>122</v>
      </c>
      <c r="G242">
        <v>3024</v>
      </c>
      <c r="H242">
        <v>2100</v>
      </c>
      <c r="I242" t="s">
        <v>157</v>
      </c>
      <c r="J242" t="s">
        <v>207</v>
      </c>
      <c r="K242" t="s">
        <v>208</v>
      </c>
      <c r="L242">
        <v>6</v>
      </c>
      <c r="M242" t="s">
        <v>97</v>
      </c>
      <c r="N242">
        <v>2025</v>
      </c>
      <c r="O242">
        <v>13978</v>
      </c>
      <c r="Q242" t="s">
        <v>1190</v>
      </c>
      <c r="R242" t="s">
        <v>1191</v>
      </c>
      <c r="U242" t="s">
        <v>1159</v>
      </c>
      <c r="V242">
        <v>12</v>
      </c>
      <c r="W242" t="str">
        <f ca="1">IF(Tabela1[[#This Row],[datVigencia]]=0,"Expirado",IF(Tabela1[[#This Row],[datVigencia]]&gt;TODAY(),"Vigente","Expirado"))</f>
        <v>Vigente</v>
      </c>
      <c r="X242" s="2">
        <v>6800</v>
      </c>
      <c r="Y242" s="2">
        <v>0</v>
      </c>
      <c r="Z242" s="2">
        <v>0</v>
      </c>
      <c r="AA242" s="2">
        <v>0</v>
      </c>
      <c r="AB242" s="2">
        <f>Tabela1[[#This Row],[valPrincipal]]+Tabela1[[#This Row],[valReajustes]]+Tabela1[[#This Row],[valAditamentos]]-Tabela1[[#This Row],[valAnulacao]]</f>
        <v>6800</v>
      </c>
      <c r="AC242" s="2">
        <f>IF(Tabela1[[#This Row],[VigenciaMeses]]=0,Tabela1[[#This Row],[valTotal]]/1,Tabela1[[#This Row],[valTotal]]/Tabela1[[#This Row],[VigenciaMeses]])</f>
        <v>566.66666666666663</v>
      </c>
      <c r="AD242" s="2">
        <f>Tabela1[[#This Row],[valMensal]]*12</f>
        <v>6800</v>
      </c>
      <c r="AE242" s="2">
        <v>6800</v>
      </c>
      <c r="AF242" s="2">
        <v>0</v>
      </c>
      <c r="AG242" s="2">
        <v>6800</v>
      </c>
      <c r="AH242" s="2">
        <v>6800</v>
      </c>
      <c r="AI242" s="2">
        <v>6800</v>
      </c>
      <c r="AJ242" t="s">
        <v>47</v>
      </c>
    </row>
    <row r="243" spans="1:36" x14ac:dyDescent="0.25">
      <c r="A243" t="s">
        <v>36</v>
      </c>
      <c r="B243" t="s">
        <v>37</v>
      </c>
      <c r="C243" t="s">
        <v>38</v>
      </c>
      <c r="D243" t="s">
        <v>39</v>
      </c>
      <c r="E243">
        <v>14</v>
      </c>
      <c r="F243">
        <v>422</v>
      </c>
      <c r="G243">
        <v>3013</v>
      </c>
      <c r="H243">
        <v>2431</v>
      </c>
      <c r="I243" t="s">
        <v>48</v>
      </c>
      <c r="J243" t="s">
        <v>571</v>
      </c>
      <c r="K243" t="s">
        <v>572</v>
      </c>
      <c r="L243">
        <v>12</v>
      </c>
      <c r="M243" t="s">
        <v>51</v>
      </c>
      <c r="N243">
        <v>2025</v>
      </c>
      <c r="O243">
        <v>16921</v>
      </c>
      <c r="Q243" t="s">
        <v>1427</v>
      </c>
      <c r="R243" t="s">
        <v>1428</v>
      </c>
      <c r="V243">
        <v>12</v>
      </c>
      <c r="W243" t="str">
        <f ca="1">IF(Tabela1[[#This Row],[datVigencia]]=0,"Expirado",IF(Tabela1[[#This Row],[datVigencia]]&gt;TODAY(),"Vigente","Expirado"))</f>
        <v>Expirado</v>
      </c>
      <c r="X243" s="2">
        <v>6751.5</v>
      </c>
      <c r="Y243" s="2">
        <v>0</v>
      </c>
      <c r="Z243" s="2">
        <v>0</v>
      </c>
      <c r="AA243" s="2">
        <v>0</v>
      </c>
      <c r="AB243" s="2">
        <f>Tabela1[[#This Row],[valPrincipal]]+Tabela1[[#This Row],[valReajustes]]+Tabela1[[#This Row],[valAditamentos]]-Tabela1[[#This Row],[valAnulacao]]</f>
        <v>6751.5</v>
      </c>
      <c r="AC243" s="2">
        <f>IF(Tabela1[[#This Row],[VigenciaMeses]]=0,Tabela1[[#This Row],[valTotal]]/1,Tabela1[[#This Row],[valTotal]]/Tabela1[[#This Row],[VigenciaMeses]])</f>
        <v>562.625</v>
      </c>
      <c r="AD243" s="2">
        <f>Tabela1[[#This Row],[valMensal]]*12</f>
        <v>6751.5</v>
      </c>
      <c r="AE243" s="2">
        <v>6751.5</v>
      </c>
      <c r="AF243" s="2">
        <v>0</v>
      </c>
      <c r="AG243" s="2">
        <v>6751.5</v>
      </c>
      <c r="AH243" s="2">
        <v>0</v>
      </c>
      <c r="AI243" s="2">
        <v>0</v>
      </c>
      <c r="AJ243" t="s">
        <v>47</v>
      </c>
    </row>
    <row r="244" spans="1:36" x14ac:dyDescent="0.25">
      <c r="A244" t="s">
        <v>36</v>
      </c>
      <c r="B244" t="s">
        <v>37</v>
      </c>
      <c r="C244" t="s">
        <v>38</v>
      </c>
      <c r="D244" t="s">
        <v>39</v>
      </c>
      <c r="E244">
        <v>14</v>
      </c>
      <c r="F244">
        <v>122</v>
      </c>
      <c r="G244">
        <v>3024</v>
      </c>
      <c r="H244">
        <v>2100</v>
      </c>
      <c r="I244" t="s">
        <v>157</v>
      </c>
      <c r="J244" t="s">
        <v>406</v>
      </c>
      <c r="K244" t="s">
        <v>407</v>
      </c>
      <c r="L244">
        <v>6</v>
      </c>
      <c r="M244" t="s">
        <v>97</v>
      </c>
      <c r="N244">
        <v>2025</v>
      </c>
      <c r="O244">
        <v>2689</v>
      </c>
      <c r="P244" t="s">
        <v>408</v>
      </c>
      <c r="Q244" t="s">
        <v>409</v>
      </c>
      <c r="R244" t="s">
        <v>410</v>
      </c>
      <c r="S244" t="s">
        <v>411</v>
      </c>
      <c r="T244" t="s">
        <v>412</v>
      </c>
      <c r="U244" t="s">
        <v>413</v>
      </c>
      <c r="V244">
        <v>10</v>
      </c>
      <c r="W244" t="str">
        <f ca="1">IF(Tabela1[[#This Row],[datVigencia]]=0,"Expirado",IF(Tabela1[[#This Row],[datVigencia]]&gt;TODAY(),"Vigente","Expirado"))</f>
        <v>Vigente</v>
      </c>
      <c r="X244" s="2">
        <v>6649.9</v>
      </c>
      <c r="Y244" s="2">
        <v>0</v>
      </c>
      <c r="Z244" s="2">
        <v>0</v>
      </c>
      <c r="AA244" s="2">
        <v>0</v>
      </c>
      <c r="AB244" s="2">
        <f>Tabela1[[#This Row],[valPrincipal]]+Tabela1[[#This Row],[valReajustes]]+Tabela1[[#This Row],[valAditamentos]]-Tabela1[[#This Row],[valAnulacao]]</f>
        <v>6649.9</v>
      </c>
      <c r="AC244" s="2">
        <f>IF(Tabela1[[#This Row],[VigenciaMeses]]=0,Tabela1[[#This Row],[valTotal]]/1,Tabela1[[#This Row],[valTotal]]/Tabela1[[#This Row],[VigenciaMeses]])</f>
        <v>664.99</v>
      </c>
      <c r="AD244" s="2">
        <f>Tabela1[[#This Row],[valMensal]]*12</f>
        <v>7979.88</v>
      </c>
      <c r="AE244" s="2">
        <v>6649.9</v>
      </c>
      <c r="AF244" s="2">
        <v>0</v>
      </c>
      <c r="AG244" s="2">
        <v>6649.9</v>
      </c>
      <c r="AH244" s="2">
        <v>1907</v>
      </c>
      <c r="AI244" s="2">
        <v>1759</v>
      </c>
      <c r="AJ244" t="s">
        <v>47</v>
      </c>
    </row>
    <row r="245" spans="1:36" x14ac:dyDescent="0.25">
      <c r="A245" t="s">
        <v>36</v>
      </c>
      <c r="B245" t="s">
        <v>37</v>
      </c>
      <c r="C245" t="s">
        <v>38</v>
      </c>
      <c r="D245" t="s">
        <v>39</v>
      </c>
      <c r="E245">
        <v>14</v>
      </c>
      <c r="F245">
        <v>422</v>
      </c>
      <c r="G245">
        <v>3018</v>
      </c>
      <c r="H245">
        <v>4326</v>
      </c>
      <c r="I245" t="s">
        <v>48</v>
      </c>
      <c r="J245" t="s">
        <v>49</v>
      </c>
      <c r="K245" t="s">
        <v>50</v>
      </c>
      <c r="L245">
        <v>12</v>
      </c>
      <c r="M245" t="s">
        <v>51</v>
      </c>
      <c r="N245">
        <v>2025</v>
      </c>
      <c r="O245">
        <v>490</v>
      </c>
      <c r="Q245" t="s">
        <v>52</v>
      </c>
      <c r="R245" t="s">
        <v>53</v>
      </c>
      <c r="U245" t="s">
        <v>54</v>
      </c>
      <c r="V245">
        <v>12</v>
      </c>
      <c r="W245" t="str">
        <f ca="1">IF(Tabela1[[#This Row],[datVigencia]]=0,"Expirado",IF(Tabela1[[#This Row],[datVigencia]]&gt;TODAY(),"Vigente","Expirado"))</f>
        <v>Vigente</v>
      </c>
      <c r="X245" s="2">
        <v>6596</v>
      </c>
      <c r="Y245" s="2">
        <v>0</v>
      </c>
      <c r="Z245" s="2">
        <v>0</v>
      </c>
      <c r="AA245" s="2">
        <v>0</v>
      </c>
      <c r="AB245" s="2">
        <f>Tabela1[[#This Row],[valPrincipal]]+Tabela1[[#This Row],[valReajustes]]+Tabela1[[#This Row],[valAditamentos]]-Tabela1[[#This Row],[valAnulacao]]</f>
        <v>6596</v>
      </c>
      <c r="AC245" s="2">
        <f>IF(Tabela1[[#This Row],[VigenciaMeses]]=0,Tabela1[[#This Row],[valTotal]]/1,Tabela1[[#This Row],[valTotal]]/Tabela1[[#This Row],[VigenciaMeses]])</f>
        <v>549.66666666666663</v>
      </c>
      <c r="AD245" s="2">
        <f>Tabela1[[#This Row],[valMensal]]*12</f>
        <v>6596</v>
      </c>
      <c r="AE245" s="2">
        <v>6596</v>
      </c>
      <c r="AF245" s="2">
        <v>0</v>
      </c>
      <c r="AG245" s="2">
        <v>6596</v>
      </c>
      <c r="AH245" s="2">
        <v>6596</v>
      </c>
      <c r="AI245" s="2">
        <v>6596</v>
      </c>
      <c r="AJ245" t="s">
        <v>47</v>
      </c>
    </row>
    <row r="246" spans="1:36" x14ac:dyDescent="0.25">
      <c r="A246" t="s">
        <v>36</v>
      </c>
      <c r="B246" t="s">
        <v>37</v>
      </c>
      <c r="C246" t="s">
        <v>38</v>
      </c>
      <c r="D246" t="s">
        <v>39</v>
      </c>
      <c r="E246">
        <v>14</v>
      </c>
      <c r="F246">
        <v>422</v>
      </c>
      <c r="G246">
        <v>3013</v>
      </c>
      <c r="H246">
        <v>4322</v>
      </c>
      <c r="I246" t="s">
        <v>48</v>
      </c>
      <c r="J246" t="s">
        <v>49</v>
      </c>
      <c r="K246" t="s">
        <v>50</v>
      </c>
      <c r="L246">
        <v>12</v>
      </c>
      <c r="M246" t="s">
        <v>51</v>
      </c>
      <c r="N246">
        <v>2025</v>
      </c>
      <c r="O246">
        <v>12748</v>
      </c>
      <c r="Q246" t="s">
        <v>1138</v>
      </c>
      <c r="R246" t="s">
        <v>1139</v>
      </c>
      <c r="V246">
        <v>12</v>
      </c>
      <c r="W246" t="str">
        <f ca="1">IF(Tabela1[[#This Row],[datVigencia]]=0,"Expirado",IF(Tabela1[[#This Row],[datVigencia]]&gt;TODAY(),"Vigente","Expirado"))</f>
        <v>Expirado</v>
      </c>
      <c r="X246" s="2">
        <v>6596</v>
      </c>
      <c r="Y246" s="2">
        <v>0</v>
      </c>
      <c r="Z246" s="2">
        <v>0</v>
      </c>
      <c r="AA246" s="2">
        <v>0</v>
      </c>
      <c r="AB246" s="2">
        <f>Tabela1[[#This Row],[valPrincipal]]+Tabela1[[#This Row],[valReajustes]]+Tabela1[[#This Row],[valAditamentos]]-Tabela1[[#This Row],[valAnulacao]]</f>
        <v>6596</v>
      </c>
      <c r="AC246" s="2">
        <f>IF(Tabela1[[#This Row],[VigenciaMeses]]=0,Tabela1[[#This Row],[valTotal]]/1,Tabela1[[#This Row],[valTotal]]/Tabela1[[#This Row],[VigenciaMeses]])</f>
        <v>549.66666666666663</v>
      </c>
      <c r="AD246" s="2">
        <f>Tabela1[[#This Row],[valMensal]]*12</f>
        <v>6596</v>
      </c>
      <c r="AE246" s="2">
        <v>6596</v>
      </c>
      <c r="AF246" s="2">
        <v>0</v>
      </c>
      <c r="AG246" s="2">
        <v>6596</v>
      </c>
      <c r="AH246" s="2">
        <v>0</v>
      </c>
      <c r="AI246" s="2">
        <v>0</v>
      </c>
      <c r="AJ246" t="s">
        <v>47</v>
      </c>
    </row>
    <row r="247" spans="1:36" x14ac:dyDescent="0.25">
      <c r="A247" t="s">
        <v>36</v>
      </c>
      <c r="B247" t="s">
        <v>1076</v>
      </c>
      <c r="C247" t="s">
        <v>1077</v>
      </c>
      <c r="D247" t="s">
        <v>39</v>
      </c>
      <c r="E247">
        <v>14</v>
      </c>
      <c r="F247">
        <v>422</v>
      </c>
      <c r="G247">
        <v>3018</v>
      </c>
      <c r="H247">
        <v>4326</v>
      </c>
      <c r="I247" t="s">
        <v>48</v>
      </c>
      <c r="J247" t="s">
        <v>55</v>
      </c>
      <c r="K247" t="s">
        <v>56</v>
      </c>
      <c r="L247">
        <v>7</v>
      </c>
      <c r="M247" t="s">
        <v>324</v>
      </c>
      <c r="N247">
        <v>2025</v>
      </c>
      <c r="O247">
        <v>16743</v>
      </c>
      <c r="P247" t="s">
        <v>1323</v>
      </c>
      <c r="Q247" t="s">
        <v>1324</v>
      </c>
      <c r="R247" t="s">
        <v>1325</v>
      </c>
      <c r="S247" t="s">
        <v>1288</v>
      </c>
      <c r="T247" t="s">
        <v>1326</v>
      </c>
      <c r="U247" t="s">
        <v>1258</v>
      </c>
      <c r="V247">
        <v>0</v>
      </c>
      <c r="W247" t="str">
        <f ca="1">IF(Tabela1[[#This Row],[datVigencia]]=0,"Expirado",IF(Tabela1[[#This Row],[datVigencia]]&gt;TODAY(),"Vigente","Expirado"))</f>
        <v>Vigente</v>
      </c>
      <c r="X247" s="2">
        <v>6500</v>
      </c>
      <c r="Y247" s="2">
        <v>0</v>
      </c>
      <c r="Z247" s="2">
        <v>0</v>
      </c>
      <c r="AA247" s="2">
        <v>0</v>
      </c>
      <c r="AB247" s="2">
        <f>Tabela1[[#This Row],[valPrincipal]]+Tabela1[[#This Row],[valReajustes]]+Tabela1[[#This Row],[valAditamentos]]-Tabela1[[#This Row],[valAnulacao]]</f>
        <v>6500</v>
      </c>
      <c r="AC247" s="2">
        <f>IF(Tabela1[[#This Row],[VigenciaMeses]]=0,Tabela1[[#This Row],[valTotal]]/1,Tabela1[[#This Row],[valTotal]]/Tabela1[[#This Row],[VigenciaMeses]])</f>
        <v>6500</v>
      </c>
      <c r="AD247" s="2">
        <f>Tabela1[[#This Row],[valMensal]]*12</f>
        <v>78000</v>
      </c>
      <c r="AE247" s="2">
        <v>6500</v>
      </c>
      <c r="AF247" s="2">
        <v>0</v>
      </c>
      <c r="AG247" s="2">
        <v>6500</v>
      </c>
      <c r="AH247" s="2">
        <v>0</v>
      </c>
      <c r="AI247" s="2">
        <v>0</v>
      </c>
      <c r="AJ247" t="s">
        <v>47</v>
      </c>
    </row>
    <row r="248" spans="1:36" x14ac:dyDescent="0.25">
      <c r="A248" t="s">
        <v>36</v>
      </c>
      <c r="B248" t="s">
        <v>1076</v>
      </c>
      <c r="C248" t="s">
        <v>1077</v>
      </c>
      <c r="D248" t="s">
        <v>39</v>
      </c>
      <c r="E248">
        <v>14</v>
      </c>
      <c r="F248">
        <v>422</v>
      </c>
      <c r="G248">
        <v>3018</v>
      </c>
      <c r="H248">
        <v>4326</v>
      </c>
      <c r="I248" t="s">
        <v>48</v>
      </c>
      <c r="J248" t="s">
        <v>55</v>
      </c>
      <c r="K248" t="s">
        <v>56</v>
      </c>
      <c r="L248">
        <v>7</v>
      </c>
      <c r="M248" t="s">
        <v>324</v>
      </c>
      <c r="N248">
        <v>2025</v>
      </c>
      <c r="O248">
        <v>16750</v>
      </c>
      <c r="P248" t="s">
        <v>1338</v>
      </c>
      <c r="Q248" t="s">
        <v>1339</v>
      </c>
      <c r="R248" t="s">
        <v>1340</v>
      </c>
      <c r="S248" t="s">
        <v>1288</v>
      </c>
      <c r="T248" t="s">
        <v>1326</v>
      </c>
      <c r="U248" t="s">
        <v>1258</v>
      </c>
      <c r="V248">
        <v>0</v>
      </c>
      <c r="W248" t="str">
        <f ca="1">IF(Tabela1[[#This Row],[datVigencia]]=0,"Expirado",IF(Tabela1[[#This Row],[datVigencia]]&gt;TODAY(),"Vigente","Expirado"))</f>
        <v>Vigente</v>
      </c>
      <c r="X248" s="2">
        <v>6500</v>
      </c>
      <c r="Y248" s="2">
        <v>0</v>
      </c>
      <c r="Z248" s="2">
        <v>0</v>
      </c>
      <c r="AA248" s="2">
        <v>0</v>
      </c>
      <c r="AB248" s="2">
        <f>Tabela1[[#This Row],[valPrincipal]]+Tabela1[[#This Row],[valReajustes]]+Tabela1[[#This Row],[valAditamentos]]-Tabela1[[#This Row],[valAnulacao]]</f>
        <v>6500</v>
      </c>
      <c r="AC248" s="2">
        <f>IF(Tabela1[[#This Row],[VigenciaMeses]]=0,Tabela1[[#This Row],[valTotal]]/1,Tabela1[[#This Row],[valTotal]]/Tabela1[[#This Row],[VigenciaMeses]])</f>
        <v>6500</v>
      </c>
      <c r="AD248" s="2">
        <f>Tabela1[[#This Row],[valMensal]]*12</f>
        <v>78000</v>
      </c>
      <c r="AE248" s="2">
        <v>6500</v>
      </c>
      <c r="AF248" s="2">
        <v>0</v>
      </c>
      <c r="AG248" s="2">
        <v>6500</v>
      </c>
      <c r="AH248" s="2">
        <v>0</v>
      </c>
      <c r="AI248" s="2">
        <v>0</v>
      </c>
      <c r="AJ248" t="s">
        <v>47</v>
      </c>
    </row>
    <row r="249" spans="1:36" x14ac:dyDescent="0.25">
      <c r="A249" t="s">
        <v>36</v>
      </c>
      <c r="B249" t="s">
        <v>1076</v>
      </c>
      <c r="C249" t="s">
        <v>1077</v>
      </c>
      <c r="D249" t="s">
        <v>39</v>
      </c>
      <c r="E249">
        <v>14</v>
      </c>
      <c r="F249">
        <v>422</v>
      </c>
      <c r="G249">
        <v>3018</v>
      </c>
      <c r="H249">
        <v>4326</v>
      </c>
      <c r="I249" t="s">
        <v>48</v>
      </c>
      <c r="J249" t="s">
        <v>55</v>
      </c>
      <c r="K249" t="s">
        <v>56</v>
      </c>
      <c r="L249">
        <v>7</v>
      </c>
      <c r="M249" t="s">
        <v>324</v>
      </c>
      <c r="N249">
        <v>2025</v>
      </c>
      <c r="O249">
        <v>16764</v>
      </c>
      <c r="P249" t="s">
        <v>1351</v>
      </c>
      <c r="Q249" t="s">
        <v>1352</v>
      </c>
      <c r="R249" t="s">
        <v>1353</v>
      </c>
      <c r="S249" t="s">
        <v>1354</v>
      </c>
      <c r="T249" t="s">
        <v>1111</v>
      </c>
      <c r="U249" t="s">
        <v>1208</v>
      </c>
      <c r="V249">
        <v>0</v>
      </c>
      <c r="W249" t="str">
        <f ca="1">IF(Tabela1[[#This Row],[datVigencia]]=0,"Expirado",IF(Tabela1[[#This Row],[datVigencia]]&gt;TODAY(),"Vigente","Expirado"))</f>
        <v>Vigente</v>
      </c>
      <c r="X249" s="2">
        <v>6500</v>
      </c>
      <c r="Y249" s="2">
        <v>0</v>
      </c>
      <c r="Z249" s="2">
        <v>0</v>
      </c>
      <c r="AA249" s="2">
        <v>0</v>
      </c>
      <c r="AB249" s="2">
        <f>Tabela1[[#This Row],[valPrincipal]]+Tabela1[[#This Row],[valReajustes]]+Tabela1[[#This Row],[valAditamentos]]-Tabela1[[#This Row],[valAnulacao]]</f>
        <v>6500</v>
      </c>
      <c r="AC249" s="2">
        <f>IF(Tabela1[[#This Row],[VigenciaMeses]]=0,Tabela1[[#This Row],[valTotal]]/1,Tabela1[[#This Row],[valTotal]]/Tabela1[[#This Row],[VigenciaMeses]])</f>
        <v>6500</v>
      </c>
      <c r="AD249" s="2">
        <f>Tabela1[[#This Row],[valMensal]]*12</f>
        <v>78000</v>
      </c>
      <c r="AE249" s="2">
        <v>6500</v>
      </c>
      <c r="AF249" s="2">
        <v>0</v>
      </c>
      <c r="AG249" s="2">
        <v>6500</v>
      </c>
      <c r="AH249" s="2">
        <v>0</v>
      </c>
      <c r="AI249" s="2">
        <v>0</v>
      </c>
      <c r="AJ249" t="s">
        <v>47</v>
      </c>
    </row>
    <row r="250" spans="1:36" x14ac:dyDescent="0.25">
      <c r="A250" t="s">
        <v>36</v>
      </c>
      <c r="B250" t="s">
        <v>37</v>
      </c>
      <c r="C250" t="s">
        <v>38</v>
      </c>
      <c r="D250" t="s">
        <v>39</v>
      </c>
      <c r="E250">
        <v>14</v>
      </c>
      <c r="F250">
        <v>122</v>
      </c>
      <c r="G250">
        <v>3024</v>
      </c>
      <c r="H250">
        <v>2100</v>
      </c>
      <c r="I250" t="s">
        <v>48</v>
      </c>
      <c r="J250" t="s">
        <v>49</v>
      </c>
      <c r="K250" t="s">
        <v>50</v>
      </c>
      <c r="L250">
        <v>12</v>
      </c>
      <c r="M250" t="s">
        <v>51</v>
      </c>
      <c r="N250">
        <v>2025</v>
      </c>
      <c r="O250">
        <v>5322</v>
      </c>
      <c r="Q250" t="s">
        <v>852</v>
      </c>
      <c r="R250" t="s">
        <v>853</v>
      </c>
      <c r="U250" t="s">
        <v>464</v>
      </c>
      <c r="V250">
        <v>12</v>
      </c>
      <c r="W250" t="str">
        <f ca="1">IF(Tabela1[[#This Row],[datVigencia]]=0,"Expirado",IF(Tabela1[[#This Row],[datVigencia]]&gt;TODAY(),"Vigente","Expirado"))</f>
        <v>Vigente</v>
      </c>
      <c r="X250" s="2">
        <v>6280</v>
      </c>
      <c r="Y250" s="2">
        <v>0</v>
      </c>
      <c r="Z250" s="2">
        <v>0</v>
      </c>
      <c r="AA250" s="2">
        <v>0</v>
      </c>
      <c r="AB250" s="2">
        <f>Tabela1[[#This Row],[valPrincipal]]+Tabela1[[#This Row],[valReajustes]]+Tabela1[[#This Row],[valAditamentos]]-Tabela1[[#This Row],[valAnulacao]]</f>
        <v>6280</v>
      </c>
      <c r="AC250" s="2">
        <f>IF(Tabela1[[#This Row],[VigenciaMeses]]=0,Tabela1[[#This Row],[valTotal]]/1,Tabela1[[#This Row],[valTotal]]/Tabela1[[#This Row],[VigenciaMeses]])</f>
        <v>523.33333333333337</v>
      </c>
      <c r="AD250" s="2">
        <f>Tabela1[[#This Row],[valMensal]]*12</f>
        <v>6280</v>
      </c>
      <c r="AE250" s="2">
        <v>6280</v>
      </c>
      <c r="AF250" s="2">
        <v>0</v>
      </c>
      <c r="AG250" s="2">
        <v>6280</v>
      </c>
      <c r="AH250" s="2">
        <v>6280</v>
      </c>
      <c r="AI250" s="2">
        <v>6280</v>
      </c>
      <c r="AJ250" t="s">
        <v>47</v>
      </c>
    </row>
    <row r="251" spans="1:36" x14ac:dyDescent="0.25">
      <c r="A251" t="s">
        <v>36</v>
      </c>
      <c r="B251" t="s">
        <v>37</v>
      </c>
      <c r="C251" t="s">
        <v>38</v>
      </c>
      <c r="D251" t="s">
        <v>39</v>
      </c>
      <c r="E251">
        <v>14</v>
      </c>
      <c r="F251">
        <v>122</v>
      </c>
      <c r="G251">
        <v>3024</v>
      </c>
      <c r="H251">
        <v>2100</v>
      </c>
      <c r="I251" t="s">
        <v>157</v>
      </c>
      <c r="J251" t="s">
        <v>207</v>
      </c>
      <c r="K251" t="s">
        <v>208</v>
      </c>
      <c r="L251">
        <v>6</v>
      </c>
      <c r="M251" t="s">
        <v>97</v>
      </c>
      <c r="N251">
        <v>2025</v>
      </c>
      <c r="O251">
        <v>3670</v>
      </c>
      <c r="Q251" t="s">
        <v>648</v>
      </c>
      <c r="R251" t="s">
        <v>650</v>
      </c>
      <c r="U251" t="s">
        <v>376</v>
      </c>
      <c r="V251">
        <v>12</v>
      </c>
      <c r="W251" t="str">
        <f ca="1">IF(Tabela1[[#This Row],[datVigencia]]=0,"Expirado",IF(Tabela1[[#This Row],[datVigencia]]&gt;TODAY(),"Vigente","Expirado"))</f>
        <v>Vigente</v>
      </c>
      <c r="X251" s="2">
        <v>5916.75</v>
      </c>
      <c r="Y251" s="2">
        <v>0</v>
      </c>
      <c r="Z251" s="2">
        <v>0</v>
      </c>
      <c r="AA251" s="2">
        <v>0</v>
      </c>
      <c r="AB251" s="2">
        <f>Tabela1[[#This Row],[valPrincipal]]+Tabela1[[#This Row],[valReajustes]]+Tabela1[[#This Row],[valAditamentos]]-Tabela1[[#This Row],[valAnulacao]]</f>
        <v>5916.75</v>
      </c>
      <c r="AC251" s="2">
        <f>IF(Tabela1[[#This Row],[VigenciaMeses]]=0,Tabela1[[#This Row],[valTotal]]/1,Tabela1[[#This Row],[valTotal]]/Tabela1[[#This Row],[VigenciaMeses]])</f>
        <v>493.0625</v>
      </c>
      <c r="AD251" s="2">
        <f>Tabela1[[#This Row],[valMensal]]*12</f>
        <v>5916.75</v>
      </c>
      <c r="AE251" s="2">
        <v>5916.75</v>
      </c>
      <c r="AF251" s="2">
        <v>0</v>
      </c>
      <c r="AG251" s="2">
        <v>5916.75</v>
      </c>
      <c r="AH251" s="2">
        <v>5916.75</v>
      </c>
      <c r="AI251" s="2">
        <v>5916.75</v>
      </c>
      <c r="AJ251" t="s">
        <v>47</v>
      </c>
    </row>
    <row r="252" spans="1:36" x14ac:dyDescent="0.25">
      <c r="A252" t="s">
        <v>36</v>
      </c>
      <c r="B252" t="s">
        <v>76</v>
      </c>
      <c r="C252" t="s">
        <v>77</v>
      </c>
      <c r="D252" t="s">
        <v>39</v>
      </c>
      <c r="E252">
        <v>8</v>
      </c>
      <c r="F252">
        <v>605</v>
      </c>
      <c r="G252">
        <v>3016</v>
      </c>
      <c r="H252">
        <v>4470</v>
      </c>
      <c r="I252" t="s">
        <v>48</v>
      </c>
      <c r="J252" t="s">
        <v>55</v>
      </c>
      <c r="K252" t="s">
        <v>56</v>
      </c>
      <c r="L252">
        <v>6</v>
      </c>
      <c r="M252" t="s">
        <v>97</v>
      </c>
      <c r="N252">
        <v>2023</v>
      </c>
      <c r="O252">
        <v>25968</v>
      </c>
      <c r="P252" t="s">
        <v>581</v>
      </c>
      <c r="Q252" t="s">
        <v>582</v>
      </c>
      <c r="R252" t="s">
        <v>583</v>
      </c>
      <c r="S252" t="s">
        <v>584</v>
      </c>
      <c r="T252" t="s">
        <v>585</v>
      </c>
      <c r="U252" t="s">
        <v>586</v>
      </c>
      <c r="V252">
        <v>24</v>
      </c>
      <c r="W252" t="str">
        <f ca="1">IF(Tabela1[[#This Row],[datVigencia]]=0,"Expirado",IF(Tabela1[[#This Row],[datVigencia]]&gt;TODAY(),"Vigente","Expirado"))</f>
        <v>Vigente</v>
      </c>
      <c r="X252" s="2">
        <v>5899.04</v>
      </c>
      <c r="Y252" s="2">
        <v>204.48</v>
      </c>
      <c r="Z252" s="2">
        <v>5899.04</v>
      </c>
      <c r="AA252" s="2">
        <v>0</v>
      </c>
      <c r="AB252" s="2">
        <f>Tabela1[[#This Row],[valPrincipal]]+Tabela1[[#This Row],[valReajustes]]+Tabela1[[#This Row],[valAditamentos]]-Tabela1[[#This Row],[valAnulacao]]</f>
        <v>12002.56</v>
      </c>
      <c r="AC252" s="2">
        <f>IF(Tabela1[[#This Row],[VigenciaMeses]]=0,Tabela1[[#This Row],[valTotal]]/1,Tabela1[[#This Row],[valTotal]]/Tabela1[[#This Row],[VigenciaMeses]])</f>
        <v>500.10666666666663</v>
      </c>
      <c r="AD252" s="2">
        <f>Tabela1[[#This Row],[valMensal]]*12</f>
        <v>6001.28</v>
      </c>
      <c r="AE252" s="2">
        <v>15790.44</v>
      </c>
      <c r="AF252" s="2">
        <v>4987.6499999999996</v>
      </c>
      <c r="AG252" s="2">
        <v>10802.79</v>
      </c>
      <c r="AH252" s="2">
        <v>8874.56</v>
      </c>
      <c r="AI252" s="2">
        <v>8444.35</v>
      </c>
      <c r="AJ252" t="s">
        <v>47</v>
      </c>
    </row>
    <row r="253" spans="1:36" x14ac:dyDescent="0.25">
      <c r="A253" t="s">
        <v>36</v>
      </c>
      <c r="B253" t="s">
        <v>37</v>
      </c>
      <c r="C253" t="s">
        <v>38</v>
      </c>
      <c r="D253" t="s">
        <v>39</v>
      </c>
      <c r="E253">
        <v>14</v>
      </c>
      <c r="F253">
        <v>122</v>
      </c>
      <c r="G253">
        <v>3024</v>
      </c>
      <c r="H253">
        <v>2100</v>
      </c>
      <c r="I253" t="s">
        <v>157</v>
      </c>
      <c r="J253" t="s">
        <v>406</v>
      </c>
      <c r="K253" t="s">
        <v>407</v>
      </c>
      <c r="L253">
        <v>12</v>
      </c>
      <c r="M253" t="s">
        <v>51</v>
      </c>
      <c r="N253">
        <v>2025</v>
      </c>
      <c r="O253">
        <v>6992</v>
      </c>
      <c r="Q253" t="s">
        <v>901</v>
      </c>
      <c r="R253" t="s">
        <v>902</v>
      </c>
      <c r="V253">
        <v>12</v>
      </c>
      <c r="W253" t="str">
        <f ca="1">IF(Tabela1[[#This Row],[datVigencia]]=0,"Expirado",IF(Tabela1[[#This Row],[datVigencia]]&gt;TODAY(),"Vigente","Expirado"))</f>
        <v>Expirado</v>
      </c>
      <c r="X253" s="2">
        <v>5810</v>
      </c>
      <c r="Y253" s="2">
        <v>0</v>
      </c>
      <c r="Z253" s="2">
        <v>0</v>
      </c>
      <c r="AA253" s="2">
        <v>0</v>
      </c>
      <c r="AB253" s="2">
        <f>Tabela1[[#This Row],[valPrincipal]]+Tabela1[[#This Row],[valReajustes]]+Tabela1[[#This Row],[valAditamentos]]-Tabela1[[#This Row],[valAnulacao]]</f>
        <v>5810</v>
      </c>
      <c r="AC253" s="2">
        <f>IF(Tabela1[[#This Row],[VigenciaMeses]]=0,Tabela1[[#This Row],[valTotal]]/1,Tabela1[[#This Row],[valTotal]]/Tabela1[[#This Row],[VigenciaMeses]])</f>
        <v>484.16666666666669</v>
      </c>
      <c r="AD253" s="2">
        <f>Tabela1[[#This Row],[valMensal]]*12</f>
        <v>5810</v>
      </c>
      <c r="AE253" s="2">
        <v>5810</v>
      </c>
      <c r="AF253" s="2">
        <v>0</v>
      </c>
      <c r="AG253" s="2">
        <v>5810</v>
      </c>
      <c r="AH253" s="2">
        <v>0</v>
      </c>
      <c r="AI253" s="2">
        <v>0</v>
      </c>
      <c r="AJ253" t="s">
        <v>47</v>
      </c>
    </row>
    <row r="254" spans="1:36" x14ac:dyDescent="0.25">
      <c r="A254" t="s">
        <v>36</v>
      </c>
      <c r="B254" t="s">
        <v>37</v>
      </c>
      <c r="C254" t="s">
        <v>38</v>
      </c>
      <c r="D254" t="s">
        <v>39</v>
      </c>
      <c r="E254">
        <v>14</v>
      </c>
      <c r="F254">
        <v>422</v>
      </c>
      <c r="G254">
        <v>3018</v>
      </c>
      <c r="H254">
        <v>4318</v>
      </c>
      <c r="I254" t="s">
        <v>48</v>
      </c>
      <c r="J254" t="s">
        <v>49</v>
      </c>
      <c r="K254" t="s">
        <v>50</v>
      </c>
      <c r="L254">
        <v>12</v>
      </c>
      <c r="M254" t="s">
        <v>51</v>
      </c>
      <c r="N254">
        <v>2025</v>
      </c>
      <c r="O254">
        <v>16284</v>
      </c>
      <c r="Q254" t="s">
        <v>1294</v>
      </c>
      <c r="R254" t="s">
        <v>1295</v>
      </c>
      <c r="U254" t="s">
        <v>1296</v>
      </c>
      <c r="V254">
        <v>12</v>
      </c>
      <c r="W254" t="str">
        <f ca="1">IF(Tabela1[[#This Row],[datVigencia]]=0,"Expirado",IF(Tabela1[[#This Row],[datVigencia]]&gt;TODAY(),"Vigente","Expirado"))</f>
        <v>Vigente</v>
      </c>
      <c r="X254" s="2">
        <v>5702.24</v>
      </c>
      <c r="Y254" s="2">
        <v>0</v>
      </c>
      <c r="Z254" s="2">
        <v>0</v>
      </c>
      <c r="AA254" s="2">
        <v>0</v>
      </c>
      <c r="AB254" s="2">
        <f>Tabela1[[#This Row],[valPrincipal]]+Tabela1[[#This Row],[valReajustes]]+Tabela1[[#This Row],[valAditamentos]]-Tabela1[[#This Row],[valAnulacao]]</f>
        <v>5702.24</v>
      </c>
      <c r="AC254" s="2">
        <f>IF(Tabela1[[#This Row],[VigenciaMeses]]=0,Tabela1[[#This Row],[valTotal]]/1,Tabela1[[#This Row],[valTotal]]/Tabela1[[#This Row],[VigenciaMeses]])</f>
        <v>475.18666666666667</v>
      </c>
      <c r="AD254" s="2">
        <f>Tabela1[[#This Row],[valMensal]]*12</f>
        <v>5702.24</v>
      </c>
      <c r="AE254" s="2">
        <v>5702.24</v>
      </c>
      <c r="AF254" s="2">
        <v>0</v>
      </c>
      <c r="AG254" s="2">
        <v>5702.24</v>
      </c>
      <c r="AH254" s="2">
        <v>5702.24</v>
      </c>
      <c r="AI254" s="2">
        <v>0</v>
      </c>
      <c r="AJ254" t="s">
        <v>47</v>
      </c>
    </row>
    <row r="255" spans="1:36" x14ac:dyDescent="0.25">
      <c r="A255" t="s">
        <v>36</v>
      </c>
      <c r="B255" t="s">
        <v>37</v>
      </c>
      <c r="C255" t="s">
        <v>38</v>
      </c>
      <c r="D255" t="s">
        <v>39</v>
      </c>
      <c r="E255">
        <v>14</v>
      </c>
      <c r="F255">
        <v>243</v>
      </c>
      <c r="G255">
        <v>3013</v>
      </c>
      <c r="H255">
        <v>2157</v>
      </c>
      <c r="I255" t="s">
        <v>870</v>
      </c>
      <c r="J255" t="s">
        <v>940</v>
      </c>
      <c r="K255" t="s">
        <v>941</v>
      </c>
      <c r="L255">
        <v>8</v>
      </c>
      <c r="M255" t="s">
        <v>43</v>
      </c>
      <c r="N255">
        <v>2025</v>
      </c>
      <c r="O255">
        <v>15804</v>
      </c>
      <c r="Q255" t="s">
        <v>1277</v>
      </c>
      <c r="R255" t="s">
        <v>1278</v>
      </c>
      <c r="U255" t="s">
        <v>1279</v>
      </c>
      <c r="V255">
        <v>12</v>
      </c>
      <c r="W255" t="str">
        <f ca="1">IF(Tabela1[[#This Row],[datVigencia]]=0,"Expirado",IF(Tabela1[[#This Row],[datVigencia]]&gt;TODAY(),"Vigente","Expirado"))</f>
        <v>Vigente</v>
      </c>
      <c r="X255" s="2">
        <v>5000</v>
      </c>
      <c r="Y255" s="2">
        <v>0</v>
      </c>
      <c r="Z255" s="2">
        <v>0</v>
      </c>
      <c r="AA255" s="2">
        <v>0</v>
      </c>
      <c r="AB255" s="2">
        <f>Tabela1[[#This Row],[valPrincipal]]+Tabela1[[#This Row],[valReajustes]]+Tabela1[[#This Row],[valAditamentos]]-Tabela1[[#This Row],[valAnulacao]]</f>
        <v>5000</v>
      </c>
      <c r="AC255" s="2">
        <f>IF(Tabela1[[#This Row],[VigenciaMeses]]=0,Tabela1[[#This Row],[valTotal]]/1,Tabela1[[#This Row],[valTotal]]/Tabela1[[#This Row],[VigenciaMeses]])</f>
        <v>416.66666666666669</v>
      </c>
      <c r="AD255" s="2">
        <f>Tabela1[[#This Row],[valMensal]]*12</f>
        <v>5000</v>
      </c>
      <c r="AE255" s="2">
        <v>3941.89</v>
      </c>
      <c r="AF255" s="2">
        <v>0</v>
      </c>
      <c r="AG255" s="2">
        <v>3941.89</v>
      </c>
      <c r="AH255" s="2">
        <v>3941.89</v>
      </c>
      <c r="AI255" s="2">
        <v>3941.89</v>
      </c>
      <c r="AJ255" t="s">
        <v>47</v>
      </c>
    </row>
    <row r="256" spans="1:36" x14ac:dyDescent="0.25">
      <c r="A256" t="s">
        <v>36</v>
      </c>
      <c r="B256" t="s">
        <v>1076</v>
      </c>
      <c r="C256" t="s">
        <v>1077</v>
      </c>
      <c r="D256" t="s">
        <v>39</v>
      </c>
      <c r="E256">
        <v>14</v>
      </c>
      <c r="F256">
        <v>422</v>
      </c>
      <c r="G256">
        <v>3018</v>
      </c>
      <c r="H256">
        <v>4326</v>
      </c>
      <c r="I256" t="s">
        <v>48</v>
      </c>
      <c r="J256" t="s">
        <v>55</v>
      </c>
      <c r="K256" t="s">
        <v>56</v>
      </c>
      <c r="L256">
        <v>7</v>
      </c>
      <c r="M256" t="s">
        <v>324</v>
      </c>
      <c r="N256">
        <v>2025</v>
      </c>
      <c r="O256">
        <v>16741</v>
      </c>
      <c r="Q256" t="s">
        <v>1333</v>
      </c>
      <c r="R256" t="s">
        <v>1334</v>
      </c>
      <c r="V256">
        <v>12</v>
      </c>
      <c r="W256" t="str">
        <f ca="1">IF(Tabela1[[#This Row],[datVigencia]]=0,"Expirado",IF(Tabela1[[#This Row],[datVigencia]]&gt;TODAY(),"Vigente","Expirado"))</f>
        <v>Expirado</v>
      </c>
      <c r="X256" s="2">
        <v>5000</v>
      </c>
      <c r="Y256" s="2">
        <v>0</v>
      </c>
      <c r="Z256" s="2">
        <v>0</v>
      </c>
      <c r="AA256" s="2">
        <v>0</v>
      </c>
      <c r="AB256" s="2">
        <f>Tabela1[[#This Row],[valPrincipal]]+Tabela1[[#This Row],[valReajustes]]+Tabela1[[#This Row],[valAditamentos]]-Tabela1[[#This Row],[valAnulacao]]</f>
        <v>5000</v>
      </c>
      <c r="AC256" s="2">
        <f>IF(Tabela1[[#This Row],[VigenciaMeses]]=0,Tabela1[[#This Row],[valTotal]]/1,Tabela1[[#This Row],[valTotal]]/Tabela1[[#This Row],[VigenciaMeses]])</f>
        <v>416.66666666666669</v>
      </c>
      <c r="AD256" s="2">
        <f>Tabela1[[#This Row],[valMensal]]*12</f>
        <v>5000</v>
      </c>
      <c r="AE256" s="2">
        <v>5000</v>
      </c>
      <c r="AF256" s="2">
        <v>0</v>
      </c>
      <c r="AG256" s="2">
        <v>5000</v>
      </c>
      <c r="AH256" s="2">
        <v>0</v>
      </c>
      <c r="AI256" s="2">
        <v>0</v>
      </c>
      <c r="AJ256" t="s">
        <v>47</v>
      </c>
    </row>
    <row r="257" spans="1:36" x14ac:dyDescent="0.25">
      <c r="A257" t="s">
        <v>36</v>
      </c>
      <c r="B257" t="s">
        <v>1076</v>
      </c>
      <c r="C257" t="s">
        <v>1077</v>
      </c>
      <c r="D257" t="s">
        <v>39</v>
      </c>
      <c r="E257">
        <v>14</v>
      </c>
      <c r="F257">
        <v>422</v>
      </c>
      <c r="G257">
        <v>3018</v>
      </c>
      <c r="H257">
        <v>4326</v>
      </c>
      <c r="I257" t="s">
        <v>48</v>
      </c>
      <c r="J257" t="s">
        <v>55</v>
      </c>
      <c r="K257" t="s">
        <v>56</v>
      </c>
      <c r="L257">
        <v>7</v>
      </c>
      <c r="M257" t="s">
        <v>324</v>
      </c>
      <c r="N257">
        <v>2025</v>
      </c>
      <c r="O257">
        <v>16773</v>
      </c>
      <c r="Q257" t="s">
        <v>1368</v>
      </c>
      <c r="R257" t="s">
        <v>1369</v>
      </c>
      <c r="V257">
        <v>12</v>
      </c>
      <c r="W257" t="str">
        <f ca="1">IF(Tabela1[[#This Row],[datVigencia]]=0,"Expirado",IF(Tabela1[[#This Row],[datVigencia]]&gt;TODAY(),"Vigente","Expirado"))</f>
        <v>Expirado</v>
      </c>
      <c r="X257" s="2">
        <v>5000</v>
      </c>
      <c r="Y257" s="2">
        <v>0</v>
      </c>
      <c r="Z257" s="2">
        <v>0</v>
      </c>
      <c r="AA257" s="2">
        <v>0</v>
      </c>
      <c r="AB257" s="2">
        <f>Tabela1[[#This Row],[valPrincipal]]+Tabela1[[#This Row],[valReajustes]]+Tabela1[[#This Row],[valAditamentos]]-Tabela1[[#This Row],[valAnulacao]]</f>
        <v>5000</v>
      </c>
      <c r="AC257" s="2">
        <f>IF(Tabela1[[#This Row],[VigenciaMeses]]=0,Tabela1[[#This Row],[valTotal]]/1,Tabela1[[#This Row],[valTotal]]/Tabela1[[#This Row],[VigenciaMeses]])</f>
        <v>416.66666666666669</v>
      </c>
      <c r="AD257" s="2">
        <f>Tabela1[[#This Row],[valMensal]]*12</f>
        <v>5000</v>
      </c>
      <c r="AE257" s="2">
        <v>5000</v>
      </c>
      <c r="AF257" s="2">
        <v>0</v>
      </c>
      <c r="AG257" s="2">
        <v>5000</v>
      </c>
      <c r="AH257" s="2">
        <v>0</v>
      </c>
      <c r="AI257" s="2">
        <v>0</v>
      </c>
      <c r="AJ257" t="s">
        <v>47</v>
      </c>
    </row>
    <row r="258" spans="1:36" x14ac:dyDescent="0.25">
      <c r="A258" t="s">
        <v>36</v>
      </c>
      <c r="B258" t="s">
        <v>1076</v>
      </c>
      <c r="C258" t="s">
        <v>1077</v>
      </c>
      <c r="D258" t="s">
        <v>39</v>
      </c>
      <c r="E258">
        <v>14</v>
      </c>
      <c r="F258">
        <v>422</v>
      </c>
      <c r="G258">
        <v>3018</v>
      </c>
      <c r="H258">
        <v>4326</v>
      </c>
      <c r="I258" t="s">
        <v>48</v>
      </c>
      <c r="J258" t="s">
        <v>55</v>
      </c>
      <c r="K258" t="s">
        <v>56</v>
      </c>
      <c r="L258">
        <v>7</v>
      </c>
      <c r="M258" t="s">
        <v>324</v>
      </c>
      <c r="N258">
        <v>2025</v>
      </c>
      <c r="O258">
        <v>16830</v>
      </c>
      <c r="P258" t="s">
        <v>1390</v>
      </c>
      <c r="Q258" t="s">
        <v>1391</v>
      </c>
      <c r="R258" t="s">
        <v>1392</v>
      </c>
      <c r="S258" t="s">
        <v>1288</v>
      </c>
      <c r="T258" t="s">
        <v>1258</v>
      </c>
      <c r="U258" t="s">
        <v>1208</v>
      </c>
      <c r="V258">
        <v>0</v>
      </c>
      <c r="W258" t="str">
        <f ca="1">IF(Tabela1[[#This Row],[datVigencia]]=0,"Expirado",IF(Tabela1[[#This Row],[datVigencia]]&gt;TODAY(),"Vigente","Expirado"))</f>
        <v>Vigente</v>
      </c>
      <c r="X258" s="2">
        <v>5000</v>
      </c>
      <c r="Y258" s="2">
        <v>0</v>
      </c>
      <c r="Z258" s="2">
        <v>0</v>
      </c>
      <c r="AA258" s="2">
        <v>0</v>
      </c>
      <c r="AB258" s="2">
        <f>Tabela1[[#This Row],[valPrincipal]]+Tabela1[[#This Row],[valReajustes]]+Tabela1[[#This Row],[valAditamentos]]-Tabela1[[#This Row],[valAnulacao]]</f>
        <v>5000</v>
      </c>
      <c r="AC258" s="2">
        <f>IF(Tabela1[[#This Row],[VigenciaMeses]]=0,Tabela1[[#This Row],[valTotal]]/1,Tabela1[[#This Row],[valTotal]]/Tabela1[[#This Row],[VigenciaMeses]])</f>
        <v>5000</v>
      </c>
      <c r="AD258" s="2">
        <f>Tabela1[[#This Row],[valMensal]]*12</f>
        <v>60000</v>
      </c>
      <c r="AE258" s="2">
        <v>5000</v>
      </c>
      <c r="AF258" s="2">
        <v>0</v>
      </c>
      <c r="AG258" s="2">
        <v>5000</v>
      </c>
      <c r="AH258" s="2">
        <v>0</v>
      </c>
      <c r="AI258" s="2">
        <v>0</v>
      </c>
      <c r="AJ258" t="s">
        <v>47</v>
      </c>
    </row>
    <row r="259" spans="1:36" x14ac:dyDescent="0.25">
      <c r="A259" t="s">
        <v>36</v>
      </c>
      <c r="B259" t="s">
        <v>1076</v>
      </c>
      <c r="C259" t="s">
        <v>1077</v>
      </c>
      <c r="D259" t="s">
        <v>39</v>
      </c>
      <c r="E259">
        <v>14</v>
      </c>
      <c r="F259">
        <v>422</v>
      </c>
      <c r="G259">
        <v>3018</v>
      </c>
      <c r="H259">
        <v>4326</v>
      </c>
      <c r="I259" t="s">
        <v>48</v>
      </c>
      <c r="J259" t="s">
        <v>55</v>
      </c>
      <c r="K259" t="s">
        <v>56</v>
      </c>
      <c r="L259">
        <v>7</v>
      </c>
      <c r="M259" t="s">
        <v>324</v>
      </c>
      <c r="N259">
        <v>2025</v>
      </c>
      <c r="O259">
        <v>16843</v>
      </c>
      <c r="Q259" t="s">
        <v>1397</v>
      </c>
      <c r="R259" t="s">
        <v>1398</v>
      </c>
      <c r="V259">
        <v>12</v>
      </c>
      <c r="W259" t="str">
        <f ca="1">IF(Tabela1[[#This Row],[datVigencia]]=0,"Expirado",IF(Tabela1[[#This Row],[datVigencia]]&gt;TODAY(),"Vigente","Expirado"))</f>
        <v>Expirado</v>
      </c>
      <c r="X259" s="2">
        <v>5000</v>
      </c>
      <c r="Y259" s="2">
        <v>0</v>
      </c>
      <c r="Z259" s="2">
        <v>0</v>
      </c>
      <c r="AA259" s="2">
        <v>0</v>
      </c>
      <c r="AB259" s="2">
        <f>Tabela1[[#This Row],[valPrincipal]]+Tabela1[[#This Row],[valReajustes]]+Tabela1[[#This Row],[valAditamentos]]-Tabela1[[#This Row],[valAnulacao]]</f>
        <v>5000</v>
      </c>
      <c r="AC259" s="2">
        <f>IF(Tabela1[[#This Row],[VigenciaMeses]]=0,Tabela1[[#This Row],[valTotal]]/1,Tabela1[[#This Row],[valTotal]]/Tabela1[[#This Row],[VigenciaMeses]])</f>
        <v>416.66666666666669</v>
      </c>
      <c r="AD259" s="2">
        <f>Tabela1[[#This Row],[valMensal]]*12</f>
        <v>5000</v>
      </c>
      <c r="AE259" s="2">
        <v>5000</v>
      </c>
      <c r="AF259" s="2">
        <v>0</v>
      </c>
      <c r="AG259" s="2">
        <v>5000</v>
      </c>
      <c r="AH259" s="2">
        <v>0</v>
      </c>
      <c r="AI259" s="2">
        <v>0</v>
      </c>
      <c r="AJ259" t="s">
        <v>47</v>
      </c>
    </row>
    <row r="260" spans="1:36" x14ac:dyDescent="0.25">
      <c r="A260" t="s">
        <v>36</v>
      </c>
      <c r="B260" t="s">
        <v>1076</v>
      </c>
      <c r="C260" t="s">
        <v>1077</v>
      </c>
      <c r="D260" t="s">
        <v>39</v>
      </c>
      <c r="E260">
        <v>14</v>
      </c>
      <c r="F260">
        <v>422</v>
      </c>
      <c r="G260">
        <v>3018</v>
      </c>
      <c r="H260">
        <v>4326</v>
      </c>
      <c r="I260" t="s">
        <v>48</v>
      </c>
      <c r="J260" t="s">
        <v>55</v>
      </c>
      <c r="K260" t="s">
        <v>56</v>
      </c>
      <c r="L260">
        <v>7</v>
      </c>
      <c r="M260" t="s">
        <v>324</v>
      </c>
      <c r="N260">
        <v>2025</v>
      </c>
      <c r="O260">
        <v>16850</v>
      </c>
      <c r="Q260" t="s">
        <v>1399</v>
      </c>
      <c r="R260" t="s">
        <v>1400</v>
      </c>
      <c r="V260">
        <v>12</v>
      </c>
      <c r="W260" t="str">
        <f ca="1">IF(Tabela1[[#This Row],[datVigencia]]=0,"Expirado",IF(Tabela1[[#This Row],[datVigencia]]&gt;TODAY(),"Vigente","Expirado"))</f>
        <v>Expirado</v>
      </c>
      <c r="X260" s="2">
        <v>5000</v>
      </c>
      <c r="Y260" s="2">
        <v>0</v>
      </c>
      <c r="Z260" s="2">
        <v>0</v>
      </c>
      <c r="AA260" s="2">
        <v>0</v>
      </c>
      <c r="AB260" s="2">
        <f>Tabela1[[#This Row],[valPrincipal]]+Tabela1[[#This Row],[valReajustes]]+Tabela1[[#This Row],[valAditamentos]]-Tabela1[[#This Row],[valAnulacao]]</f>
        <v>5000</v>
      </c>
      <c r="AC260" s="2">
        <f>IF(Tabela1[[#This Row],[VigenciaMeses]]=0,Tabela1[[#This Row],[valTotal]]/1,Tabela1[[#This Row],[valTotal]]/Tabela1[[#This Row],[VigenciaMeses]])</f>
        <v>416.66666666666669</v>
      </c>
      <c r="AD260" s="2">
        <f>Tabela1[[#This Row],[valMensal]]*12</f>
        <v>5000</v>
      </c>
      <c r="AE260" s="2">
        <v>5000</v>
      </c>
      <c r="AF260" s="2">
        <v>0</v>
      </c>
      <c r="AG260" s="2">
        <v>5000</v>
      </c>
      <c r="AH260" s="2">
        <v>0</v>
      </c>
      <c r="AI260" s="2">
        <v>0</v>
      </c>
      <c r="AJ260" t="s">
        <v>47</v>
      </c>
    </row>
    <row r="261" spans="1:36" x14ac:dyDescent="0.25">
      <c r="A261" t="s">
        <v>36</v>
      </c>
      <c r="B261" t="s">
        <v>1076</v>
      </c>
      <c r="C261" t="s">
        <v>1077</v>
      </c>
      <c r="D261" t="s">
        <v>39</v>
      </c>
      <c r="E261">
        <v>14</v>
      </c>
      <c r="F261">
        <v>422</v>
      </c>
      <c r="G261">
        <v>3018</v>
      </c>
      <c r="H261">
        <v>4326</v>
      </c>
      <c r="I261" t="s">
        <v>48</v>
      </c>
      <c r="J261" t="s">
        <v>55</v>
      </c>
      <c r="K261" t="s">
        <v>56</v>
      </c>
      <c r="L261">
        <v>7</v>
      </c>
      <c r="M261" t="s">
        <v>324</v>
      </c>
      <c r="N261">
        <v>2025</v>
      </c>
      <c r="O261">
        <v>16863</v>
      </c>
      <c r="P261" t="s">
        <v>1413</v>
      </c>
      <c r="Q261" t="s">
        <v>1414</v>
      </c>
      <c r="R261" t="s">
        <v>1415</v>
      </c>
      <c r="S261" t="s">
        <v>1354</v>
      </c>
      <c r="T261" t="s">
        <v>1326</v>
      </c>
      <c r="U261" t="s">
        <v>1258</v>
      </c>
      <c r="V261">
        <v>0</v>
      </c>
      <c r="W261" t="str">
        <f ca="1">IF(Tabela1[[#This Row],[datVigencia]]=0,"Expirado",IF(Tabela1[[#This Row],[datVigencia]]&gt;TODAY(),"Vigente","Expirado"))</f>
        <v>Vigente</v>
      </c>
      <c r="X261" s="2">
        <v>5000</v>
      </c>
      <c r="Y261" s="2">
        <v>0</v>
      </c>
      <c r="Z261" s="2">
        <v>0</v>
      </c>
      <c r="AA261" s="2">
        <v>0</v>
      </c>
      <c r="AB261" s="2">
        <f>Tabela1[[#This Row],[valPrincipal]]+Tabela1[[#This Row],[valReajustes]]+Tabela1[[#This Row],[valAditamentos]]-Tabela1[[#This Row],[valAnulacao]]</f>
        <v>5000</v>
      </c>
      <c r="AC261" s="2">
        <f>IF(Tabela1[[#This Row],[VigenciaMeses]]=0,Tabela1[[#This Row],[valTotal]]/1,Tabela1[[#This Row],[valTotal]]/Tabela1[[#This Row],[VigenciaMeses]])</f>
        <v>5000</v>
      </c>
      <c r="AD261" s="2">
        <f>Tabela1[[#This Row],[valMensal]]*12</f>
        <v>60000</v>
      </c>
      <c r="AE261" s="2">
        <v>5000</v>
      </c>
      <c r="AF261" s="2">
        <v>0</v>
      </c>
      <c r="AG261" s="2">
        <v>5000</v>
      </c>
      <c r="AH261" s="2">
        <v>0</v>
      </c>
      <c r="AI261" s="2">
        <v>0</v>
      </c>
      <c r="AJ261" t="s">
        <v>47</v>
      </c>
    </row>
    <row r="262" spans="1:36" x14ac:dyDescent="0.25">
      <c r="A262" t="s">
        <v>36</v>
      </c>
      <c r="B262" t="s">
        <v>37</v>
      </c>
      <c r="C262" t="s">
        <v>38</v>
      </c>
      <c r="D262" t="s">
        <v>39</v>
      </c>
      <c r="E262">
        <v>14</v>
      </c>
      <c r="F262">
        <v>422</v>
      </c>
      <c r="G262">
        <v>3013</v>
      </c>
      <c r="H262">
        <v>2053</v>
      </c>
      <c r="I262" t="s">
        <v>157</v>
      </c>
      <c r="J262" t="s">
        <v>49</v>
      </c>
      <c r="K262" t="s">
        <v>50</v>
      </c>
      <c r="L262">
        <v>6</v>
      </c>
      <c r="M262" t="s">
        <v>97</v>
      </c>
      <c r="N262">
        <v>2025</v>
      </c>
      <c r="O262">
        <v>11576</v>
      </c>
      <c r="Q262" t="s">
        <v>1089</v>
      </c>
      <c r="R262" t="s">
        <v>1090</v>
      </c>
      <c r="U262" t="s">
        <v>1091</v>
      </c>
      <c r="V262">
        <v>12</v>
      </c>
      <c r="W262" t="str">
        <f ca="1">IF(Tabela1[[#This Row],[datVigencia]]=0,"Expirado",IF(Tabela1[[#This Row],[datVigencia]]&gt;TODAY(),"Vigente","Expirado"))</f>
        <v>Vigente</v>
      </c>
      <c r="X262" s="2">
        <v>4757.5</v>
      </c>
      <c r="Y262" s="2">
        <v>0</v>
      </c>
      <c r="Z262" s="2">
        <v>0</v>
      </c>
      <c r="AA262" s="2">
        <v>0</v>
      </c>
      <c r="AB262" s="2">
        <f>Tabela1[[#This Row],[valPrincipal]]+Tabela1[[#This Row],[valReajustes]]+Tabela1[[#This Row],[valAditamentos]]-Tabela1[[#This Row],[valAnulacao]]</f>
        <v>4757.5</v>
      </c>
      <c r="AC262" s="2">
        <f>IF(Tabela1[[#This Row],[VigenciaMeses]]=0,Tabela1[[#This Row],[valTotal]]/1,Tabela1[[#This Row],[valTotal]]/Tabela1[[#This Row],[VigenciaMeses]])</f>
        <v>396.45833333333331</v>
      </c>
      <c r="AD262" s="2">
        <f>Tabela1[[#This Row],[valMensal]]*12</f>
        <v>4757.5</v>
      </c>
      <c r="AE262" s="2">
        <v>4757.5</v>
      </c>
      <c r="AF262" s="2">
        <v>0</v>
      </c>
      <c r="AG262" s="2">
        <v>4757.5</v>
      </c>
      <c r="AH262" s="2">
        <v>4757.5</v>
      </c>
      <c r="AI262" s="2">
        <v>4757.5</v>
      </c>
      <c r="AJ262" t="s">
        <v>47</v>
      </c>
    </row>
    <row r="263" spans="1:36" x14ac:dyDescent="0.25">
      <c r="A263" t="s">
        <v>36</v>
      </c>
      <c r="B263" t="s">
        <v>37</v>
      </c>
      <c r="C263" t="s">
        <v>38</v>
      </c>
      <c r="D263" t="s">
        <v>39</v>
      </c>
      <c r="E263">
        <v>14</v>
      </c>
      <c r="F263">
        <v>122</v>
      </c>
      <c r="G263">
        <v>3024</v>
      </c>
      <c r="H263">
        <v>2100</v>
      </c>
      <c r="I263" t="s">
        <v>48</v>
      </c>
      <c r="J263" t="s">
        <v>49</v>
      </c>
      <c r="K263" t="s">
        <v>50</v>
      </c>
      <c r="L263">
        <v>12</v>
      </c>
      <c r="M263" t="s">
        <v>51</v>
      </c>
      <c r="N263">
        <v>2025</v>
      </c>
      <c r="O263">
        <v>2738</v>
      </c>
      <c r="Q263" t="s">
        <v>426</v>
      </c>
      <c r="R263" t="s">
        <v>427</v>
      </c>
      <c r="U263" t="s">
        <v>211</v>
      </c>
      <c r="V263">
        <v>12</v>
      </c>
      <c r="W263" t="str">
        <f ca="1">IF(Tabela1[[#This Row],[datVigencia]]=0,"Expirado",IF(Tabela1[[#This Row],[datVigencia]]&gt;TODAY(),"Vigente","Expirado"))</f>
        <v>Vigente</v>
      </c>
      <c r="X263" s="2">
        <v>4501</v>
      </c>
      <c r="Y263" s="2">
        <v>0</v>
      </c>
      <c r="Z263" s="2">
        <v>0</v>
      </c>
      <c r="AA263" s="2">
        <v>0</v>
      </c>
      <c r="AB263" s="2">
        <f>Tabela1[[#This Row],[valPrincipal]]+Tabela1[[#This Row],[valReajustes]]+Tabela1[[#This Row],[valAditamentos]]-Tabela1[[#This Row],[valAnulacao]]</f>
        <v>4501</v>
      </c>
      <c r="AC263" s="2">
        <f>IF(Tabela1[[#This Row],[VigenciaMeses]]=0,Tabela1[[#This Row],[valTotal]]/1,Tabela1[[#This Row],[valTotal]]/Tabela1[[#This Row],[VigenciaMeses]])</f>
        <v>375.08333333333331</v>
      </c>
      <c r="AD263" s="2">
        <f>Tabela1[[#This Row],[valMensal]]*12</f>
        <v>4501</v>
      </c>
      <c r="AE263" s="2">
        <v>4501</v>
      </c>
      <c r="AF263" s="2">
        <v>0</v>
      </c>
      <c r="AG263" s="2">
        <v>4501</v>
      </c>
      <c r="AH263" s="2">
        <v>4501</v>
      </c>
      <c r="AI263" s="2">
        <v>4501</v>
      </c>
      <c r="AJ263" t="s">
        <v>47</v>
      </c>
    </row>
    <row r="264" spans="1:36" x14ac:dyDescent="0.25">
      <c r="A264" t="s">
        <v>36</v>
      </c>
      <c r="B264" t="s">
        <v>37</v>
      </c>
      <c r="C264" t="s">
        <v>38</v>
      </c>
      <c r="D264" t="s">
        <v>39</v>
      </c>
      <c r="E264">
        <v>14</v>
      </c>
      <c r="F264">
        <v>122</v>
      </c>
      <c r="G264">
        <v>3024</v>
      </c>
      <c r="H264">
        <v>2100</v>
      </c>
      <c r="I264" t="s">
        <v>48</v>
      </c>
      <c r="J264" t="s">
        <v>49</v>
      </c>
      <c r="K264" t="s">
        <v>50</v>
      </c>
      <c r="L264">
        <v>12</v>
      </c>
      <c r="M264" t="s">
        <v>51</v>
      </c>
      <c r="N264">
        <v>2025</v>
      </c>
      <c r="O264">
        <v>8542</v>
      </c>
      <c r="Q264" t="s">
        <v>949</v>
      </c>
      <c r="R264" t="s">
        <v>950</v>
      </c>
      <c r="U264" t="s">
        <v>801</v>
      </c>
      <c r="V264">
        <v>12</v>
      </c>
      <c r="W264" t="str">
        <f ca="1">IF(Tabela1[[#This Row],[datVigencia]]=0,"Expirado",IF(Tabela1[[#This Row],[datVigencia]]&gt;TODAY(),"Vigente","Expirado"))</f>
        <v>Vigente</v>
      </c>
      <c r="X264" s="2">
        <v>4501</v>
      </c>
      <c r="Y264" s="2">
        <v>0</v>
      </c>
      <c r="Z264" s="2">
        <v>0</v>
      </c>
      <c r="AA264" s="2">
        <v>0</v>
      </c>
      <c r="AB264" s="2">
        <f>Tabela1[[#This Row],[valPrincipal]]+Tabela1[[#This Row],[valReajustes]]+Tabela1[[#This Row],[valAditamentos]]-Tabela1[[#This Row],[valAnulacao]]</f>
        <v>4501</v>
      </c>
      <c r="AC264" s="2">
        <f>IF(Tabela1[[#This Row],[VigenciaMeses]]=0,Tabela1[[#This Row],[valTotal]]/1,Tabela1[[#This Row],[valTotal]]/Tabela1[[#This Row],[VigenciaMeses]])</f>
        <v>375.08333333333331</v>
      </c>
      <c r="AD264" s="2">
        <f>Tabela1[[#This Row],[valMensal]]*12</f>
        <v>4501</v>
      </c>
      <c r="AE264" s="2">
        <v>4501</v>
      </c>
      <c r="AF264" s="2">
        <v>0</v>
      </c>
      <c r="AG264" s="2">
        <v>4501</v>
      </c>
      <c r="AH264" s="2">
        <v>4501</v>
      </c>
      <c r="AI264" s="2">
        <v>4501</v>
      </c>
      <c r="AJ264" t="s">
        <v>47</v>
      </c>
    </row>
    <row r="265" spans="1:36" x14ac:dyDescent="0.25">
      <c r="A265" t="s">
        <v>36</v>
      </c>
      <c r="B265" t="s">
        <v>37</v>
      </c>
      <c r="C265" t="s">
        <v>38</v>
      </c>
      <c r="D265" t="s">
        <v>39</v>
      </c>
      <c r="E265">
        <v>14</v>
      </c>
      <c r="F265">
        <v>122</v>
      </c>
      <c r="G265">
        <v>3024</v>
      </c>
      <c r="H265">
        <v>2100</v>
      </c>
      <c r="I265" t="s">
        <v>157</v>
      </c>
      <c r="J265" t="s">
        <v>406</v>
      </c>
      <c r="K265" t="s">
        <v>407</v>
      </c>
      <c r="L265">
        <v>12</v>
      </c>
      <c r="M265" t="s">
        <v>51</v>
      </c>
      <c r="N265">
        <v>2025</v>
      </c>
      <c r="O265">
        <v>12986</v>
      </c>
      <c r="P265" t="s">
        <v>1151</v>
      </c>
      <c r="Q265" t="s">
        <v>1152</v>
      </c>
      <c r="R265" t="s">
        <v>1153</v>
      </c>
      <c r="S265" t="s">
        <v>1100</v>
      </c>
      <c r="T265" t="s">
        <v>1154</v>
      </c>
      <c r="U265" t="s">
        <v>1155</v>
      </c>
      <c r="V265">
        <v>2</v>
      </c>
      <c r="W265" t="str">
        <f ca="1">IF(Tabela1[[#This Row],[datVigencia]]=0,"Expirado",IF(Tabela1[[#This Row],[datVigencia]]&gt;TODAY(),"Vigente","Expirado"))</f>
        <v>Vigente</v>
      </c>
      <c r="X265" s="2">
        <v>4500</v>
      </c>
      <c r="Y265" s="2">
        <v>0</v>
      </c>
      <c r="Z265" s="2">
        <v>0</v>
      </c>
      <c r="AA265" s="2">
        <v>0</v>
      </c>
      <c r="AB265" s="2">
        <f>Tabela1[[#This Row],[valPrincipal]]+Tabela1[[#This Row],[valReajustes]]+Tabela1[[#This Row],[valAditamentos]]-Tabela1[[#This Row],[valAnulacao]]</f>
        <v>4500</v>
      </c>
      <c r="AC265" s="2">
        <f>IF(Tabela1[[#This Row],[VigenciaMeses]]=0,Tabela1[[#This Row],[valTotal]]/1,Tabela1[[#This Row],[valTotal]]/Tabela1[[#This Row],[VigenciaMeses]])</f>
        <v>2250</v>
      </c>
      <c r="AD265" s="2">
        <f>Tabela1[[#This Row],[valMensal]]*12</f>
        <v>27000</v>
      </c>
      <c r="AE265" s="2">
        <v>4500</v>
      </c>
      <c r="AF265" s="2">
        <v>0</v>
      </c>
      <c r="AG265" s="2">
        <v>4500</v>
      </c>
      <c r="AH265" s="2">
        <v>4500</v>
      </c>
      <c r="AI265" s="2">
        <v>4500</v>
      </c>
      <c r="AJ265" t="s">
        <v>47</v>
      </c>
    </row>
    <row r="266" spans="1:36" x14ac:dyDescent="0.25">
      <c r="A266" t="s">
        <v>36</v>
      </c>
      <c r="B266" t="s">
        <v>37</v>
      </c>
      <c r="C266" t="s">
        <v>38</v>
      </c>
      <c r="D266" t="s">
        <v>39</v>
      </c>
      <c r="E266">
        <v>14</v>
      </c>
      <c r="F266">
        <v>422</v>
      </c>
      <c r="G266">
        <v>3013</v>
      </c>
      <c r="H266">
        <v>2431</v>
      </c>
      <c r="I266" t="s">
        <v>48</v>
      </c>
      <c r="J266" t="s">
        <v>49</v>
      </c>
      <c r="K266" t="s">
        <v>50</v>
      </c>
      <c r="L266">
        <v>12</v>
      </c>
      <c r="M266" t="s">
        <v>51</v>
      </c>
      <c r="N266">
        <v>2025</v>
      </c>
      <c r="O266">
        <v>15439</v>
      </c>
      <c r="Q266" t="s">
        <v>1259</v>
      </c>
      <c r="R266" t="s">
        <v>1260</v>
      </c>
      <c r="U266" t="s">
        <v>1179</v>
      </c>
      <c r="V266">
        <v>12</v>
      </c>
      <c r="W266" t="str">
        <f ca="1">IF(Tabela1[[#This Row],[datVigencia]]=0,"Expirado",IF(Tabela1[[#This Row],[datVigencia]]&gt;TODAY(),"Vigente","Expirado"))</f>
        <v>Vigente</v>
      </c>
      <c r="X266" s="2">
        <v>4287.3999999999996</v>
      </c>
      <c r="Y266" s="2">
        <v>0</v>
      </c>
      <c r="Z266" s="2">
        <v>0</v>
      </c>
      <c r="AA266" s="2">
        <v>0</v>
      </c>
      <c r="AB266" s="2">
        <f>Tabela1[[#This Row],[valPrincipal]]+Tabela1[[#This Row],[valReajustes]]+Tabela1[[#This Row],[valAditamentos]]-Tabela1[[#This Row],[valAnulacao]]</f>
        <v>4287.3999999999996</v>
      </c>
      <c r="AC266" s="2">
        <f>IF(Tabela1[[#This Row],[VigenciaMeses]]=0,Tabela1[[#This Row],[valTotal]]/1,Tabela1[[#This Row],[valTotal]]/Tabela1[[#This Row],[VigenciaMeses]])</f>
        <v>357.2833333333333</v>
      </c>
      <c r="AD266" s="2">
        <f>Tabela1[[#This Row],[valMensal]]*12</f>
        <v>4287.3999999999996</v>
      </c>
      <c r="AE266" s="2">
        <v>4287.3999999999996</v>
      </c>
      <c r="AF266" s="2">
        <v>0</v>
      </c>
      <c r="AG266" s="2">
        <v>4287.3999999999996</v>
      </c>
      <c r="AH266" s="2">
        <v>4287.3999999999996</v>
      </c>
      <c r="AI266" s="2">
        <v>0</v>
      </c>
      <c r="AJ266" t="s">
        <v>47</v>
      </c>
    </row>
    <row r="267" spans="1:36" x14ac:dyDescent="0.25">
      <c r="A267" t="s">
        <v>36</v>
      </c>
      <c r="B267" t="s">
        <v>37</v>
      </c>
      <c r="C267" t="s">
        <v>38</v>
      </c>
      <c r="D267" t="s">
        <v>39</v>
      </c>
      <c r="E267">
        <v>14</v>
      </c>
      <c r="F267">
        <v>422</v>
      </c>
      <c r="G267">
        <v>3018</v>
      </c>
      <c r="H267">
        <v>2142</v>
      </c>
      <c r="I267" t="s">
        <v>781</v>
      </c>
      <c r="J267" t="s">
        <v>49</v>
      </c>
      <c r="K267" t="s">
        <v>50</v>
      </c>
      <c r="L267">
        <v>6</v>
      </c>
      <c r="M267" t="s">
        <v>97</v>
      </c>
      <c r="N267">
        <v>2025</v>
      </c>
      <c r="O267">
        <v>4392</v>
      </c>
      <c r="Q267" t="s">
        <v>782</v>
      </c>
      <c r="R267" t="s">
        <v>783</v>
      </c>
      <c r="V267">
        <v>12</v>
      </c>
      <c r="W267" t="str">
        <f ca="1">IF(Tabela1[[#This Row],[datVigencia]]=0,"Expirado",IF(Tabela1[[#This Row],[datVigencia]]&gt;TODAY(),"Vigente","Expirado"))</f>
        <v>Expirado</v>
      </c>
      <c r="X267" s="2">
        <v>4217.95</v>
      </c>
      <c r="Y267" s="2">
        <v>0</v>
      </c>
      <c r="Z267" s="2">
        <v>0</v>
      </c>
      <c r="AA267" s="2">
        <v>0</v>
      </c>
      <c r="AB267" s="2">
        <f>Tabela1[[#This Row],[valPrincipal]]+Tabela1[[#This Row],[valReajustes]]+Tabela1[[#This Row],[valAditamentos]]-Tabela1[[#This Row],[valAnulacao]]</f>
        <v>4217.95</v>
      </c>
      <c r="AC267" s="2">
        <f>IF(Tabela1[[#This Row],[VigenciaMeses]]=0,Tabela1[[#This Row],[valTotal]]/1,Tabela1[[#This Row],[valTotal]]/Tabela1[[#This Row],[VigenciaMeses]])</f>
        <v>351.49583333333334</v>
      </c>
      <c r="AD267" s="2">
        <f>Tabela1[[#This Row],[valMensal]]*12</f>
        <v>4217.95</v>
      </c>
      <c r="AE267" s="2">
        <v>4217.95</v>
      </c>
      <c r="AF267" s="2">
        <v>0</v>
      </c>
      <c r="AG267" s="2">
        <v>4217.95</v>
      </c>
      <c r="AH267" s="2">
        <v>0</v>
      </c>
      <c r="AI267" s="2">
        <v>0</v>
      </c>
      <c r="AJ267" t="s">
        <v>47</v>
      </c>
    </row>
    <row r="268" spans="1:36" x14ac:dyDescent="0.25">
      <c r="A268" t="s">
        <v>36</v>
      </c>
      <c r="B268" t="s">
        <v>37</v>
      </c>
      <c r="C268" t="s">
        <v>38</v>
      </c>
      <c r="D268" t="s">
        <v>39</v>
      </c>
      <c r="E268">
        <v>8</v>
      </c>
      <c r="F268">
        <v>605</v>
      </c>
      <c r="G268">
        <v>3016</v>
      </c>
      <c r="H268">
        <v>4470</v>
      </c>
      <c r="I268" t="s">
        <v>48</v>
      </c>
      <c r="J268" t="s">
        <v>55</v>
      </c>
      <c r="K268" t="s">
        <v>56</v>
      </c>
      <c r="L268">
        <v>6</v>
      </c>
      <c r="M268" t="s">
        <v>97</v>
      </c>
      <c r="N268">
        <v>2025</v>
      </c>
      <c r="O268">
        <v>10757</v>
      </c>
      <c r="Q268" t="s">
        <v>1041</v>
      </c>
      <c r="R268" t="s">
        <v>1042</v>
      </c>
      <c r="V268">
        <v>12</v>
      </c>
      <c r="W268" t="str">
        <f ca="1">IF(Tabela1[[#This Row],[datVigencia]]=0,"Expirado",IF(Tabela1[[#This Row],[datVigencia]]&gt;TODAY(),"Vigente","Expirado"))</f>
        <v>Expirado</v>
      </c>
      <c r="X268" s="2">
        <v>4216</v>
      </c>
      <c r="Y268" s="2">
        <v>0</v>
      </c>
      <c r="Z268" s="2">
        <v>0</v>
      </c>
      <c r="AA268" s="2">
        <v>0</v>
      </c>
      <c r="AB268" s="2">
        <f>Tabela1[[#This Row],[valPrincipal]]+Tabela1[[#This Row],[valReajustes]]+Tabela1[[#This Row],[valAditamentos]]-Tabela1[[#This Row],[valAnulacao]]</f>
        <v>4216</v>
      </c>
      <c r="AC268" s="2">
        <f>IF(Tabela1[[#This Row],[VigenciaMeses]]=0,Tabela1[[#This Row],[valTotal]]/1,Tabela1[[#This Row],[valTotal]]/Tabela1[[#This Row],[VigenciaMeses]])</f>
        <v>351.33333333333331</v>
      </c>
      <c r="AD268" s="2">
        <f>Tabela1[[#This Row],[valMensal]]*12</f>
        <v>4216</v>
      </c>
      <c r="AE268" s="2">
        <v>4216</v>
      </c>
      <c r="AF268" s="2">
        <v>0</v>
      </c>
      <c r="AG268" s="2">
        <v>4216</v>
      </c>
      <c r="AH268" s="2">
        <v>0</v>
      </c>
      <c r="AI268" s="2">
        <v>0</v>
      </c>
      <c r="AJ268" t="s">
        <v>47</v>
      </c>
    </row>
    <row r="269" spans="1:36" x14ac:dyDescent="0.25">
      <c r="A269" t="s">
        <v>36</v>
      </c>
      <c r="B269" t="s">
        <v>37</v>
      </c>
      <c r="C269" t="s">
        <v>38</v>
      </c>
      <c r="D269" t="s">
        <v>39</v>
      </c>
      <c r="E269">
        <v>14</v>
      </c>
      <c r="F269">
        <v>422</v>
      </c>
      <c r="G269">
        <v>3018</v>
      </c>
      <c r="H269">
        <v>4333</v>
      </c>
      <c r="I269" t="s">
        <v>48</v>
      </c>
      <c r="J269" t="s">
        <v>55</v>
      </c>
      <c r="K269" t="s">
        <v>56</v>
      </c>
      <c r="L269">
        <v>12</v>
      </c>
      <c r="M269" t="s">
        <v>51</v>
      </c>
      <c r="N269">
        <v>2024</v>
      </c>
      <c r="O269">
        <v>33670</v>
      </c>
      <c r="P269" t="s">
        <v>306</v>
      </c>
      <c r="Q269" t="s">
        <v>307</v>
      </c>
      <c r="R269" t="s">
        <v>308</v>
      </c>
      <c r="S269" t="s">
        <v>309</v>
      </c>
      <c r="T269" t="s">
        <v>310</v>
      </c>
      <c r="U269" t="s">
        <v>311</v>
      </c>
      <c r="V269">
        <v>13</v>
      </c>
      <c r="W269" t="str">
        <f ca="1">IF(Tabela1[[#This Row],[datVigencia]]=0,"Expirado",IF(Tabela1[[#This Row],[datVigencia]]&gt;TODAY(),"Vigente","Expirado"))</f>
        <v>Vigente</v>
      </c>
      <c r="X269" s="2">
        <v>4000</v>
      </c>
      <c r="Y269" s="2">
        <v>0</v>
      </c>
      <c r="Z269" s="2">
        <v>0</v>
      </c>
      <c r="AA269" s="2">
        <v>0</v>
      </c>
      <c r="AB269" s="2">
        <f>Tabela1[[#This Row],[valPrincipal]]+Tabela1[[#This Row],[valReajustes]]+Tabela1[[#This Row],[valAditamentos]]-Tabela1[[#This Row],[valAnulacao]]</f>
        <v>4000</v>
      </c>
      <c r="AC269" s="2">
        <f>IF(Tabela1[[#This Row],[VigenciaMeses]]=0,Tabela1[[#This Row],[valTotal]]/1,Tabela1[[#This Row],[valTotal]]/Tabela1[[#This Row],[VigenciaMeses]])</f>
        <v>307.69230769230768</v>
      </c>
      <c r="AD269" s="2">
        <f>Tabela1[[#This Row],[valMensal]]*12</f>
        <v>3692.3076923076924</v>
      </c>
      <c r="AE269" s="2">
        <v>4000</v>
      </c>
      <c r="AF269" s="2">
        <v>1750</v>
      </c>
      <c r="AG269" s="2">
        <v>2250</v>
      </c>
      <c r="AH269" s="2">
        <v>2000</v>
      </c>
      <c r="AI269" s="2">
        <v>2000</v>
      </c>
      <c r="AJ269" t="s">
        <v>47</v>
      </c>
    </row>
    <row r="270" spans="1:36" x14ac:dyDescent="0.25">
      <c r="A270" t="s">
        <v>36</v>
      </c>
      <c r="B270" t="s">
        <v>1076</v>
      </c>
      <c r="C270" t="s">
        <v>1077</v>
      </c>
      <c r="D270" t="s">
        <v>39</v>
      </c>
      <c r="E270">
        <v>14</v>
      </c>
      <c r="F270">
        <v>422</v>
      </c>
      <c r="G270">
        <v>3018</v>
      </c>
      <c r="H270">
        <v>4326</v>
      </c>
      <c r="I270" t="s">
        <v>48</v>
      </c>
      <c r="J270" t="s">
        <v>55</v>
      </c>
      <c r="K270" t="s">
        <v>56</v>
      </c>
      <c r="L270">
        <v>7</v>
      </c>
      <c r="M270" t="s">
        <v>324</v>
      </c>
      <c r="N270">
        <v>2025</v>
      </c>
      <c r="O270">
        <v>16794</v>
      </c>
      <c r="Q270" t="s">
        <v>1379</v>
      </c>
      <c r="R270" t="s">
        <v>1380</v>
      </c>
      <c r="V270">
        <v>12</v>
      </c>
      <c r="W270" t="str">
        <f ca="1">IF(Tabela1[[#This Row],[datVigencia]]=0,"Expirado",IF(Tabela1[[#This Row],[datVigencia]]&gt;TODAY(),"Vigente","Expirado"))</f>
        <v>Expirado</v>
      </c>
      <c r="X270" s="2">
        <v>4000</v>
      </c>
      <c r="Y270" s="2">
        <v>0</v>
      </c>
      <c r="Z270" s="2">
        <v>0</v>
      </c>
      <c r="AA270" s="2">
        <v>0</v>
      </c>
      <c r="AB270" s="2">
        <f>Tabela1[[#This Row],[valPrincipal]]+Tabela1[[#This Row],[valReajustes]]+Tabela1[[#This Row],[valAditamentos]]-Tabela1[[#This Row],[valAnulacao]]</f>
        <v>4000</v>
      </c>
      <c r="AC270" s="2">
        <f>IF(Tabela1[[#This Row],[VigenciaMeses]]=0,Tabela1[[#This Row],[valTotal]]/1,Tabela1[[#This Row],[valTotal]]/Tabela1[[#This Row],[VigenciaMeses]])</f>
        <v>333.33333333333331</v>
      </c>
      <c r="AD270" s="2">
        <f>Tabela1[[#This Row],[valMensal]]*12</f>
        <v>4000</v>
      </c>
      <c r="AE270" s="2">
        <v>4000</v>
      </c>
      <c r="AF270" s="2">
        <v>0</v>
      </c>
      <c r="AG270" s="2">
        <v>4000</v>
      </c>
      <c r="AH270" s="2">
        <v>0</v>
      </c>
      <c r="AI270" s="2">
        <v>0</v>
      </c>
      <c r="AJ270" t="s">
        <v>47</v>
      </c>
    </row>
    <row r="271" spans="1:36" x14ac:dyDescent="0.25">
      <c r="A271" t="s">
        <v>36</v>
      </c>
      <c r="B271" t="s">
        <v>37</v>
      </c>
      <c r="C271" t="s">
        <v>38</v>
      </c>
      <c r="D271" t="s">
        <v>39</v>
      </c>
      <c r="E271">
        <v>14</v>
      </c>
      <c r="F271">
        <v>422</v>
      </c>
      <c r="G271">
        <v>3013</v>
      </c>
      <c r="H271">
        <v>6178</v>
      </c>
      <c r="I271" t="s">
        <v>48</v>
      </c>
      <c r="J271" t="s">
        <v>55</v>
      </c>
      <c r="K271" t="s">
        <v>56</v>
      </c>
      <c r="L271">
        <v>12</v>
      </c>
      <c r="M271" t="s">
        <v>51</v>
      </c>
      <c r="N271">
        <v>2025</v>
      </c>
      <c r="O271">
        <v>15998</v>
      </c>
      <c r="Q271" t="s">
        <v>1284</v>
      </c>
      <c r="R271" t="s">
        <v>1285</v>
      </c>
      <c r="V271">
        <v>12</v>
      </c>
      <c r="W271" t="str">
        <f ca="1">IF(Tabela1[[#This Row],[datVigencia]]=0,"Expirado",IF(Tabela1[[#This Row],[datVigencia]]&gt;TODAY(),"Vigente","Expirado"))</f>
        <v>Expirado</v>
      </c>
      <c r="X271" s="2">
        <v>3957.6</v>
      </c>
      <c r="Y271" s="2">
        <v>0</v>
      </c>
      <c r="Z271" s="2">
        <v>0</v>
      </c>
      <c r="AA271" s="2">
        <v>0</v>
      </c>
      <c r="AB271" s="2">
        <f>Tabela1[[#This Row],[valPrincipal]]+Tabela1[[#This Row],[valReajustes]]+Tabela1[[#This Row],[valAditamentos]]-Tabela1[[#This Row],[valAnulacao]]</f>
        <v>3957.6</v>
      </c>
      <c r="AC271" s="2">
        <f>IF(Tabela1[[#This Row],[VigenciaMeses]]=0,Tabela1[[#This Row],[valTotal]]/1,Tabela1[[#This Row],[valTotal]]/Tabela1[[#This Row],[VigenciaMeses]])</f>
        <v>329.8</v>
      </c>
      <c r="AD271" s="2">
        <f>Tabela1[[#This Row],[valMensal]]*12</f>
        <v>3957.6000000000004</v>
      </c>
      <c r="AE271" s="2">
        <v>3957.6</v>
      </c>
      <c r="AF271" s="2">
        <v>0</v>
      </c>
      <c r="AG271" s="2">
        <v>3957.6</v>
      </c>
      <c r="AH271" s="2">
        <v>0</v>
      </c>
      <c r="AI271" s="2">
        <v>0</v>
      </c>
      <c r="AJ271" t="s">
        <v>47</v>
      </c>
    </row>
    <row r="272" spans="1:36" x14ac:dyDescent="0.25">
      <c r="A272" t="s">
        <v>36</v>
      </c>
      <c r="B272" t="s">
        <v>37</v>
      </c>
      <c r="C272" t="s">
        <v>38</v>
      </c>
      <c r="D272" t="s">
        <v>39</v>
      </c>
      <c r="E272">
        <v>14</v>
      </c>
      <c r="F272">
        <v>122</v>
      </c>
      <c r="G272">
        <v>3024</v>
      </c>
      <c r="H272">
        <v>2100</v>
      </c>
      <c r="I272" t="s">
        <v>157</v>
      </c>
      <c r="J272" t="s">
        <v>207</v>
      </c>
      <c r="K272" t="s">
        <v>208</v>
      </c>
      <c r="L272">
        <v>6</v>
      </c>
      <c r="M272" t="s">
        <v>97</v>
      </c>
      <c r="N272">
        <v>2025</v>
      </c>
      <c r="O272">
        <v>16925</v>
      </c>
      <c r="Q272" t="s">
        <v>1429</v>
      </c>
      <c r="R272" t="s">
        <v>1430</v>
      </c>
      <c r="V272">
        <v>12</v>
      </c>
      <c r="W272" t="str">
        <f ca="1">IF(Tabela1[[#This Row],[datVigencia]]=0,"Expirado",IF(Tabela1[[#This Row],[datVigencia]]&gt;TODAY(),"Vigente","Expirado"))</f>
        <v>Expirado</v>
      </c>
      <c r="X272" s="2">
        <v>3800</v>
      </c>
      <c r="Y272" s="2">
        <v>0</v>
      </c>
      <c r="Z272" s="2">
        <v>0</v>
      </c>
      <c r="AA272" s="2">
        <v>0</v>
      </c>
      <c r="AB272" s="2">
        <f>Tabela1[[#This Row],[valPrincipal]]+Tabela1[[#This Row],[valReajustes]]+Tabela1[[#This Row],[valAditamentos]]-Tabela1[[#This Row],[valAnulacao]]</f>
        <v>3800</v>
      </c>
      <c r="AC272" s="2">
        <f>IF(Tabela1[[#This Row],[VigenciaMeses]]=0,Tabela1[[#This Row],[valTotal]]/1,Tabela1[[#This Row],[valTotal]]/Tabela1[[#This Row],[VigenciaMeses]])</f>
        <v>316.66666666666669</v>
      </c>
      <c r="AD272" s="2">
        <f>Tabela1[[#This Row],[valMensal]]*12</f>
        <v>3800</v>
      </c>
      <c r="AE272" s="2">
        <v>3800</v>
      </c>
      <c r="AF272" s="2">
        <v>0</v>
      </c>
      <c r="AG272" s="2">
        <v>3800</v>
      </c>
      <c r="AH272" s="2">
        <v>0</v>
      </c>
      <c r="AI272" s="2">
        <v>0</v>
      </c>
      <c r="AJ272" t="s">
        <v>47</v>
      </c>
    </row>
    <row r="273" spans="1:36" x14ac:dyDescent="0.25">
      <c r="A273" t="s">
        <v>36</v>
      </c>
      <c r="B273" t="s">
        <v>37</v>
      </c>
      <c r="C273" t="s">
        <v>38</v>
      </c>
      <c r="D273" t="s">
        <v>39</v>
      </c>
      <c r="E273">
        <v>8</v>
      </c>
      <c r="F273">
        <v>605</v>
      </c>
      <c r="G273">
        <v>3016</v>
      </c>
      <c r="H273">
        <v>4470</v>
      </c>
      <c r="I273" t="s">
        <v>157</v>
      </c>
      <c r="J273" t="s">
        <v>207</v>
      </c>
      <c r="K273" t="s">
        <v>208</v>
      </c>
      <c r="L273">
        <v>6</v>
      </c>
      <c r="M273" t="s">
        <v>97</v>
      </c>
      <c r="N273">
        <v>2025</v>
      </c>
      <c r="O273">
        <v>9997</v>
      </c>
      <c r="Q273" t="s">
        <v>985</v>
      </c>
      <c r="R273" t="s">
        <v>986</v>
      </c>
      <c r="U273" t="s">
        <v>978</v>
      </c>
      <c r="V273">
        <v>12</v>
      </c>
      <c r="W273" t="str">
        <f ca="1">IF(Tabela1[[#This Row],[datVigencia]]=0,"Expirado",IF(Tabela1[[#This Row],[datVigencia]]&gt;TODAY(),"Vigente","Expirado"))</f>
        <v>Vigente</v>
      </c>
      <c r="X273" s="2">
        <v>3729.7</v>
      </c>
      <c r="Y273" s="2">
        <v>0</v>
      </c>
      <c r="Z273" s="2">
        <v>0</v>
      </c>
      <c r="AA273" s="2">
        <v>0</v>
      </c>
      <c r="AB273" s="2">
        <f>Tabela1[[#This Row],[valPrincipal]]+Tabela1[[#This Row],[valReajustes]]+Tabela1[[#This Row],[valAditamentos]]-Tabela1[[#This Row],[valAnulacao]]</f>
        <v>3729.7</v>
      </c>
      <c r="AC273" s="2">
        <f>IF(Tabela1[[#This Row],[VigenciaMeses]]=0,Tabela1[[#This Row],[valTotal]]/1,Tabela1[[#This Row],[valTotal]]/Tabela1[[#This Row],[VigenciaMeses]])</f>
        <v>310.80833333333334</v>
      </c>
      <c r="AD273" s="2">
        <f>Tabela1[[#This Row],[valMensal]]*12</f>
        <v>3729.7</v>
      </c>
      <c r="AE273" s="2">
        <v>3729.7</v>
      </c>
      <c r="AF273" s="2">
        <v>0</v>
      </c>
      <c r="AG273" s="2">
        <v>3729.7</v>
      </c>
      <c r="AH273" s="2">
        <v>3729.7</v>
      </c>
      <c r="AI273" s="2">
        <v>3729.7</v>
      </c>
      <c r="AJ273" t="s">
        <v>47</v>
      </c>
    </row>
    <row r="274" spans="1:36" x14ac:dyDescent="0.25">
      <c r="A274" t="s">
        <v>36</v>
      </c>
      <c r="B274" t="s">
        <v>37</v>
      </c>
      <c r="C274" t="s">
        <v>38</v>
      </c>
      <c r="D274" t="s">
        <v>39</v>
      </c>
      <c r="E274">
        <v>14</v>
      </c>
      <c r="F274">
        <v>122</v>
      </c>
      <c r="G274">
        <v>3024</v>
      </c>
      <c r="H274">
        <v>2100</v>
      </c>
      <c r="I274" t="s">
        <v>157</v>
      </c>
      <c r="J274" t="s">
        <v>207</v>
      </c>
      <c r="K274" t="s">
        <v>208</v>
      </c>
      <c r="L274">
        <v>6</v>
      </c>
      <c r="M274" t="s">
        <v>97</v>
      </c>
      <c r="N274">
        <v>2025</v>
      </c>
      <c r="O274">
        <v>2408</v>
      </c>
      <c r="Q274" t="s">
        <v>342</v>
      </c>
      <c r="R274" t="s">
        <v>343</v>
      </c>
      <c r="U274" t="s">
        <v>344</v>
      </c>
      <c r="V274">
        <v>12</v>
      </c>
      <c r="W274" t="str">
        <f ca="1">IF(Tabela1[[#This Row],[datVigencia]]=0,"Expirado",IF(Tabela1[[#This Row],[datVigencia]]&gt;TODAY(),"Vigente","Expirado"))</f>
        <v>Vigente</v>
      </c>
      <c r="X274" s="2">
        <v>3690</v>
      </c>
      <c r="Y274" s="2">
        <v>0</v>
      </c>
      <c r="Z274" s="2">
        <v>0</v>
      </c>
      <c r="AA274" s="2">
        <v>0</v>
      </c>
      <c r="AB274" s="2">
        <f>Tabela1[[#This Row],[valPrincipal]]+Tabela1[[#This Row],[valReajustes]]+Tabela1[[#This Row],[valAditamentos]]-Tabela1[[#This Row],[valAnulacao]]</f>
        <v>3690</v>
      </c>
      <c r="AC274" s="2">
        <f>IF(Tabela1[[#This Row],[VigenciaMeses]]=0,Tabela1[[#This Row],[valTotal]]/1,Tabela1[[#This Row],[valTotal]]/Tabela1[[#This Row],[VigenciaMeses]])</f>
        <v>307.5</v>
      </c>
      <c r="AD274" s="2">
        <f>Tabela1[[#This Row],[valMensal]]*12</f>
        <v>3690</v>
      </c>
      <c r="AE274" s="2">
        <v>3690</v>
      </c>
      <c r="AF274" s="2">
        <v>0</v>
      </c>
      <c r="AG274" s="2">
        <v>3690</v>
      </c>
      <c r="AH274" s="2">
        <v>3690</v>
      </c>
      <c r="AI274" s="2">
        <v>3690</v>
      </c>
      <c r="AJ274" t="s">
        <v>47</v>
      </c>
    </row>
    <row r="275" spans="1:36" x14ac:dyDescent="0.25">
      <c r="A275" t="s">
        <v>36</v>
      </c>
      <c r="B275" t="s">
        <v>37</v>
      </c>
      <c r="C275" t="s">
        <v>38</v>
      </c>
      <c r="D275" t="s">
        <v>39</v>
      </c>
      <c r="E275">
        <v>14</v>
      </c>
      <c r="F275">
        <v>422</v>
      </c>
      <c r="G275">
        <v>3013</v>
      </c>
      <c r="H275">
        <v>2053</v>
      </c>
      <c r="I275" t="s">
        <v>48</v>
      </c>
      <c r="J275" t="s">
        <v>49</v>
      </c>
      <c r="K275" t="s">
        <v>50</v>
      </c>
      <c r="L275">
        <v>12</v>
      </c>
      <c r="M275" t="s">
        <v>51</v>
      </c>
      <c r="N275">
        <v>2025</v>
      </c>
      <c r="O275">
        <v>7256</v>
      </c>
      <c r="Q275" t="s">
        <v>918</v>
      </c>
      <c r="R275" t="s">
        <v>919</v>
      </c>
      <c r="U275" t="s">
        <v>920</v>
      </c>
      <c r="V275">
        <v>12</v>
      </c>
      <c r="W275" t="str">
        <f ca="1">IF(Tabela1[[#This Row],[datVigencia]]=0,"Expirado",IF(Tabela1[[#This Row],[datVigencia]]&gt;TODAY(),"Vigente","Expirado"))</f>
        <v>Vigente</v>
      </c>
      <c r="X275" s="2">
        <v>3600.8</v>
      </c>
      <c r="Y275" s="2">
        <v>0</v>
      </c>
      <c r="Z275" s="2">
        <v>0</v>
      </c>
      <c r="AA275" s="2">
        <v>0</v>
      </c>
      <c r="AB275" s="2">
        <f>Tabela1[[#This Row],[valPrincipal]]+Tabela1[[#This Row],[valReajustes]]+Tabela1[[#This Row],[valAditamentos]]-Tabela1[[#This Row],[valAnulacao]]</f>
        <v>3600.8</v>
      </c>
      <c r="AC275" s="2">
        <f>IF(Tabela1[[#This Row],[VigenciaMeses]]=0,Tabela1[[#This Row],[valTotal]]/1,Tabela1[[#This Row],[valTotal]]/Tabela1[[#This Row],[VigenciaMeses]])</f>
        <v>300.06666666666666</v>
      </c>
      <c r="AD275" s="2">
        <f>Tabela1[[#This Row],[valMensal]]*12</f>
        <v>3600.8</v>
      </c>
      <c r="AE275" s="2">
        <v>3600.8</v>
      </c>
      <c r="AF275" s="2">
        <v>0</v>
      </c>
      <c r="AG275" s="2">
        <v>3600.8</v>
      </c>
      <c r="AH275" s="2">
        <v>3600.8</v>
      </c>
      <c r="AI275" s="2">
        <v>3600.8</v>
      </c>
      <c r="AJ275" t="s">
        <v>47</v>
      </c>
    </row>
    <row r="276" spans="1:36" x14ac:dyDescent="0.25">
      <c r="A276" t="s">
        <v>36</v>
      </c>
      <c r="B276" t="s">
        <v>37</v>
      </c>
      <c r="C276" t="s">
        <v>38</v>
      </c>
      <c r="D276" t="s">
        <v>39</v>
      </c>
      <c r="E276">
        <v>14</v>
      </c>
      <c r="F276">
        <v>422</v>
      </c>
      <c r="G276">
        <v>3018</v>
      </c>
      <c r="H276">
        <v>4334</v>
      </c>
      <c r="I276" t="s">
        <v>48</v>
      </c>
      <c r="J276" t="s">
        <v>55</v>
      </c>
      <c r="K276" t="s">
        <v>56</v>
      </c>
      <c r="L276">
        <v>6</v>
      </c>
      <c r="M276" t="s">
        <v>97</v>
      </c>
      <c r="N276">
        <v>2022</v>
      </c>
      <c r="O276">
        <v>22484</v>
      </c>
      <c r="P276" t="s">
        <v>790</v>
      </c>
      <c r="Q276" t="s">
        <v>791</v>
      </c>
      <c r="R276" t="s">
        <v>792</v>
      </c>
      <c r="S276" t="s">
        <v>793</v>
      </c>
      <c r="T276" t="s">
        <v>794</v>
      </c>
      <c r="U276" t="s">
        <v>795</v>
      </c>
      <c r="V276">
        <v>36</v>
      </c>
      <c r="W276" t="str">
        <f ca="1">IF(Tabela1[[#This Row],[datVigencia]]=0,"Expirado",IF(Tabela1[[#This Row],[datVigencia]]&gt;TODAY(),"Vigente","Expirado"))</f>
        <v>Vigente</v>
      </c>
      <c r="X276" s="2">
        <v>3594</v>
      </c>
      <c r="Y276" s="2">
        <v>0</v>
      </c>
      <c r="Z276" s="2">
        <v>7188</v>
      </c>
      <c r="AA276" s="2">
        <v>0</v>
      </c>
      <c r="AB276" s="2">
        <f>Tabela1[[#This Row],[valPrincipal]]+Tabela1[[#This Row],[valReajustes]]+Tabela1[[#This Row],[valAditamentos]]-Tabela1[[#This Row],[valAnulacao]]</f>
        <v>10782</v>
      </c>
      <c r="AC276" s="2">
        <f>IF(Tabela1[[#This Row],[VigenciaMeses]]=0,Tabela1[[#This Row],[valTotal]]/1,Tabela1[[#This Row],[valTotal]]/Tabela1[[#This Row],[VigenciaMeses]])</f>
        <v>299.5</v>
      </c>
      <c r="AD276" s="2">
        <f>Tabela1[[#This Row],[valMensal]]*12</f>
        <v>3594</v>
      </c>
      <c r="AE276" s="2">
        <v>12439.48</v>
      </c>
      <c r="AF276" s="2">
        <v>3365.35</v>
      </c>
      <c r="AG276" s="2">
        <v>9074.1299999999992</v>
      </c>
      <c r="AH276" s="2">
        <v>8225.5499999999993</v>
      </c>
      <c r="AI276" s="2">
        <v>7926.05</v>
      </c>
      <c r="AJ276" t="s">
        <v>47</v>
      </c>
    </row>
    <row r="277" spans="1:36" x14ac:dyDescent="0.25">
      <c r="A277" t="s">
        <v>36</v>
      </c>
      <c r="B277" t="s">
        <v>37</v>
      </c>
      <c r="C277" t="s">
        <v>38</v>
      </c>
      <c r="D277" t="s">
        <v>39</v>
      </c>
      <c r="E277">
        <v>14</v>
      </c>
      <c r="F277">
        <v>122</v>
      </c>
      <c r="G277">
        <v>3024</v>
      </c>
      <c r="H277">
        <v>2100</v>
      </c>
      <c r="I277" t="s">
        <v>157</v>
      </c>
      <c r="J277" t="s">
        <v>207</v>
      </c>
      <c r="K277" t="s">
        <v>208</v>
      </c>
      <c r="L277">
        <v>6</v>
      </c>
      <c r="M277" t="s">
        <v>97</v>
      </c>
      <c r="N277">
        <v>2025</v>
      </c>
      <c r="O277">
        <v>3639</v>
      </c>
      <c r="Q277" t="s">
        <v>646</v>
      </c>
      <c r="R277" t="s">
        <v>647</v>
      </c>
      <c r="U277" t="s">
        <v>489</v>
      </c>
      <c r="V277">
        <v>12</v>
      </c>
      <c r="W277" t="str">
        <f ca="1">IF(Tabela1[[#This Row],[datVigencia]]=0,"Expirado",IF(Tabela1[[#This Row],[datVigencia]]&gt;TODAY(),"Vigente","Expirado"))</f>
        <v>Vigente</v>
      </c>
      <c r="X277" s="2">
        <v>3500</v>
      </c>
      <c r="Y277" s="2">
        <v>0</v>
      </c>
      <c r="Z277" s="2">
        <v>0</v>
      </c>
      <c r="AA277" s="2">
        <v>0</v>
      </c>
      <c r="AB277" s="2">
        <f>Tabela1[[#This Row],[valPrincipal]]+Tabela1[[#This Row],[valReajustes]]+Tabela1[[#This Row],[valAditamentos]]-Tabela1[[#This Row],[valAnulacao]]</f>
        <v>3500</v>
      </c>
      <c r="AC277" s="2">
        <f>IF(Tabela1[[#This Row],[VigenciaMeses]]=0,Tabela1[[#This Row],[valTotal]]/1,Tabela1[[#This Row],[valTotal]]/Tabela1[[#This Row],[VigenciaMeses]])</f>
        <v>291.66666666666669</v>
      </c>
      <c r="AD277" s="2">
        <f>Tabela1[[#This Row],[valMensal]]*12</f>
        <v>3500</v>
      </c>
      <c r="AE277" s="2">
        <v>3500</v>
      </c>
      <c r="AF277" s="2">
        <v>0</v>
      </c>
      <c r="AG277" s="2">
        <v>3500</v>
      </c>
      <c r="AH277" s="2">
        <v>3500</v>
      </c>
      <c r="AI277" s="2">
        <v>3500</v>
      </c>
      <c r="AJ277" t="s">
        <v>47</v>
      </c>
    </row>
    <row r="278" spans="1:36" x14ac:dyDescent="0.25">
      <c r="A278" t="s">
        <v>36</v>
      </c>
      <c r="B278" t="s">
        <v>37</v>
      </c>
      <c r="C278" t="s">
        <v>38</v>
      </c>
      <c r="D278" t="s">
        <v>39</v>
      </c>
      <c r="E278">
        <v>14</v>
      </c>
      <c r="F278">
        <v>122</v>
      </c>
      <c r="G278">
        <v>3024</v>
      </c>
      <c r="H278">
        <v>2100</v>
      </c>
      <c r="I278" t="s">
        <v>48</v>
      </c>
      <c r="J278" t="s">
        <v>55</v>
      </c>
      <c r="K278" t="s">
        <v>56</v>
      </c>
      <c r="L278">
        <v>7</v>
      </c>
      <c r="M278" t="s">
        <v>324</v>
      </c>
      <c r="N278">
        <v>2025</v>
      </c>
      <c r="O278">
        <v>11774</v>
      </c>
      <c r="P278" t="s">
        <v>1124</v>
      </c>
      <c r="Q278" t="s">
        <v>1125</v>
      </c>
      <c r="R278" t="s">
        <v>1126</v>
      </c>
      <c r="S278" t="s">
        <v>1106</v>
      </c>
      <c r="T278" t="s">
        <v>1114</v>
      </c>
      <c r="U278" t="s">
        <v>1107</v>
      </c>
      <c r="V278">
        <v>1</v>
      </c>
      <c r="W278" t="str">
        <f ca="1">IF(Tabela1[[#This Row],[datVigencia]]=0,"Expirado",IF(Tabela1[[#This Row],[datVigencia]]&gt;TODAY(),"Vigente","Expirado"))</f>
        <v>Vigente</v>
      </c>
      <c r="X278" s="2">
        <v>3500</v>
      </c>
      <c r="Y278" s="2">
        <v>0</v>
      </c>
      <c r="Z278" s="2">
        <v>0</v>
      </c>
      <c r="AA278" s="2">
        <v>0</v>
      </c>
      <c r="AB278" s="2">
        <f>Tabela1[[#This Row],[valPrincipal]]+Tabela1[[#This Row],[valReajustes]]+Tabela1[[#This Row],[valAditamentos]]-Tabela1[[#This Row],[valAnulacao]]</f>
        <v>3500</v>
      </c>
      <c r="AC278" s="2">
        <f>IF(Tabela1[[#This Row],[VigenciaMeses]]=0,Tabela1[[#This Row],[valTotal]]/1,Tabela1[[#This Row],[valTotal]]/Tabela1[[#This Row],[VigenciaMeses]])</f>
        <v>3500</v>
      </c>
      <c r="AD278" s="2">
        <f>Tabela1[[#This Row],[valMensal]]*12</f>
        <v>42000</v>
      </c>
      <c r="AE278" s="2">
        <v>3500</v>
      </c>
      <c r="AF278" s="2">
        <v>0</v>
      </c>
      <c r="AG278" s="2">
        <v>3500</v>
      </c>
      <c r="AH278" s="2">
        <v>3500</v>
      </c>
      <c r="AI278" s="2">
        <v>0</v>
      </c>
      <c r="AJ278" t="s">
        <v>47</v>
      </c>
    </row>
    <row r="279" spans="1:36" x14ac:dyDescent="0.25">
      <c r="A279" t="s">
        <v>36</v>
      </c>
      <c r="B279" t="s">
        <v>37</v>
      </c>
      <c r="C279" t="s">
        <v>38</v>
      </c>
      <c r="D279" t="s">
        <v>39</v>
      </c>
      <c r="E279">
        <v>8</v>
      </c>
      <c r="F279">
        <v>605</v>
      </c>
      <c r="G279">
        <v>3016</v>
      </c>
      <c r="H279">
        <v>4470</v>
      </c>
      <c r="I279" t="s">
        <v>870</v>
      </c>
      <c r="J279" t="s">
        <v>176</v>
      </c>
      <c r="K279" t="s">
        <v>177</v>
      </c>
      <c r="L279">
        <v>7</v>
      </c>
      <c r="M279" t="s">
        <v>324</v>
      </c>
      <c r="N279">
        <v>2025</v>
      </c>
      <c r="O279">
        <v>16192</v>
      </c>
      <c r="Q279" t="s">
        <v>1289</v>
      </c>
      <c r="R279" t="s">
        <v>1290</v>
      </c>
      <c r="U279" t="s">
        <v>1291</v>
      </c>
      <c r="V279">
        <v>12</v>
      </c>
      <c r="W279" t="str">
        <f ca="1">IF(Tabela1[[#This Row],[datVigencia]]=0,"Expirado",IF(Tabela1[[#This Row],[datVigencia]]&gt;TODAY(),"Vigente","Expirado"))</f>
        <v>Vigente</v>
      </c>
      <c r="X279" s="2">
        <v>3433.58</v>
      </c>
      <c r="Y279" s="2">
        <v>0</v>
      </c>
      <c r="Z279" s="2">
        <v>0</v>
      </c>
      <c r="AA279" s="2">
        <v>0</v>
      </c>
      <c r="AB279" s="2">
        <f>Tabela1[[#This Row],[valPrincipal]]+Tabela1[[#This Row],[valReajustes]]+Tabela1[[#This Row],[valAditamentos]]-Tabela1[[#This Row],[valAnulacao]]</f>
        <v>3433.58</v>
      </c>
      <c r="AC279" s="2">
        <f>IF(Tabela1[[#This Row],[VigenciaMeses]]=0,Tabela1[[#This Row],[valTotal]]/1,Tabela1[[#This Row],[valTotal]]/Tabela1[[#This Row],[VigenciaMeses]])</f>
        <v>286.13166666666666</v>
      </c>
      <c r="AD279" s="2">
        <f>Tabela1[[#This Row],[valMensal]]*12</f>
        <v>3433.58</v>
      </c>
      <c r="AE279" s="2">
        <v>1781.02</v>
      </c>
      <c r="AF279" s="2">
        <v>0</v>
      </c>
      <c r="AG279" s="2">
        <v>1781.02</v>
      </c>
      <c r="AH279" s="2">
        <v>1781.02</v>
      </c>
      <c r="AI279" s="2">
        <v>0</v>
      </c>
      <c r="AJ279" t="s">
        <v>47</v>
      </c>
    </row>
    <row r="280" spans="1:36" x14ac:dyDescent="0.25">
      <c r="A280" t="s">
        <v>36</v>
      </c>
      <c r="B280" t="s">
        <v>37</v>
      </c>
      <c r="C280" t="s">
        <v>38</v>
      </c>
      <c r="D280" t="s">
        <v>39</v>
      </c>
      <c r="E280">
        <v>14</v>
      </c>
      <c r="F280">
        <v>122</v>
      </c>
      <c r="G280">
        <v>3024</v>
      </c>
      <c r="H280">
        <v>2100</v>
      </c>
      <c r="I280" t="s">
        <v>157</v>
      </c>
      <c r="J280" t="s">
        <v>207</v>
      </c>
      <c r="K280" t="s">
        <v>208</v>
      </c>
      <c r="L280">
        <v>6</v>
      </c>
      <c r="M280" t="s">
        <v>97</v>
      </c>
      <c r="N280">
        <v>2025</v>
      </c>
      <c r="O280">
        <v>2477</v>
      </c>
      <c r="Q280" t="s">
        <v>372</v>
      </c>
      <c r="R280" t="s">
        <v>375</v>
      </c>
      <c r="U280" t="s">
        <v>376</v>
      </c>
      <c r="V280">
        <v>12</v>
      </c>
      <c r="W280" t="str">
        <f ca="1">IF(Tabela1[[#This Row],[datVigencia]]=0,"Expirado",IF(Tabela1[[#This Row],[datVigencia]]&gt;TODAY(),"Vigente","Expirado"))</f>
        <v>Vigente</v>
      </c>
      <c r="X280" s="2">
        <v>3389.95</v>
      </c>
      <c r="Y280" s="2">
        <v>0</v>
      </c>
      <c r="Z280" s="2">
        <v>0</v>
      </c>
      <c r="AA280" s="2">
        <v>0</v>
      </c>
      <c r="AB280" s="2">
        <f>Tabela1[[#This Row],[valPrincipal]]+Tabela1[[#This Row],[valReajustes]]+Tabela1[[#This Row],[valAditamentos]]-Tabela1[[#This Row],[valAnulacao]]</f>
        <v>3389.95</v>
      </c>
      <c r="AC280" s="2">
        <f>IF(Tabela1[[#This Row],[VigenciaMeses]]=0,Tabela1[[#This Row],[valTotal]]/1,Tabela1[[#This Row],[valTotal]]/Tabela1[[#This Row],[VigenciaMeses]])</f>
        <v>282.49583333333334</v>
      </c>
      <c r="AD280" s="2">
        <f>Tabela1[[#This Row],[valMensal]]*12</f>
        <v>3389.95</v>
      </c>
      <c r="AE280" s="2">
        <v>4841.2299999999996</v>
      </c>
      <c r="AF280" s="2">
        <v>1451.28</v>
      </c>
      <c r="AG280" s="2">
        <v>3389.95</v>
      </c>
      <c r="AH280" s="2">
        <v>3389.95</v>
      </c>
      <c r="AI280" s="2">
        <v>3389.95</v>
      </c>
      <c r="AJ280" t="s">
        <v>47</v>
      </c>
    </row>
    <row r="281" spans="1:36" x14ac:dyDescent="0.25">
      <c r="A281" t="s">
        <v>36</v>
      </c>
      <c r="B281" t="s">
        <v>37</v>
      </c>
      <c r="C281" t="s">
        <v>38</v>
      </c>
      <c r="D281" t="s">
        <v>39</v>
      </c>
      <c r="E281">
        <v>14</v>
      </c>
      <c r="F281">
        <v>422</v>
      </c>
      <c r="G281">
        <v>3018</v>
      </c>
      <c r="H281">
        <v>2051</v>
      </c>
      <c r="I281" t="s">
        <v>48</v>
      </c>
      <c r="J281" t="s">
        <v>49</v>
      </c>
      <c r="K281" t="s">
        <v>50</v>
      </c>
      <c r="L281">
        <v>12</v>
      </c>
      <c r="M281" t="s">
        <v>51</v>
      </c>
      <c r="N281">
        <v>2025</v>
      </c>
      <c r="O281">
        <v>946</v>
      </c>
      <c r="Q281" t="s">
        <v>123</v>
      </c>
      <c r="R281" t="s">
        <v>124</v>
      </c>
      <c r="U281" t="s">
        <v>125</v>
      </c>
      <c r="V281">
        <v>12</v>
      </c>
      <c r="W281" t="str">
        <f ca="1">IF(Tabela1[[#This Row],[datVigencia]]=0,"Expirado",IF(Tabela1[[#This Row],[datVigencia]]&gt;TODAY(),"Vigente","Expirado"))</f>
        <v>Vigente</v>
      </c>
      <c r="X281" s="2">
        <v>3298</v>
      </c>
      <c r="Y281" s="2">
        <v>0</v>
      </c>
      <c r="Z281" s="2">
        <v>0</v>
      </c>
      <c r="AA281" s="2">
        <v>0</v>
      </c>
      <c r="AB281" s="2">
        <f>Tabela1[[#This Row],[valPrincipal]]+Tabela1[[#This Row],[valReajustes]]+Tabela1[[#This Row],[valAditamentos]]-Tabela1[[#This Row],[valAnulacao]]</f>
        <v>3298</v>
      </c>
      <c r="AC281" s="2">
        <f>IF(Tabela1[[#This Row],[VigenciaMeses]]=0,Tabela1[[#This Row],[valTotal]]/1,Tabela1[[#This Row],[valTotal]]/Tabela1[[#This Row],[VigenciaMeses]])</f>
        <v>274.83333333333331</v>
      </c>
      <c r="AD281" s="2">
        <f>Tabela1[[#This Row],[valMensal]]*12</f>
        <v>3298</v>
      </c>
      <c r="AE281" s="2">
        <v>3298</v>
      </c>
      <c r="AF281" s="2">
        <v>0</v>
      </c>
      <c r="AG281" s="2">
        <v>3298</v>
      </c>
      <c r="AH281" s="2">
        <v>3298</v>
      </c>
      <c r="AI281" s="2">
        <v>3298</v>
      </c>
      <c r="AJ281" t="s">
        <v>47</v>
      </c>
    </row>
    <row r="282" spans="1:36" x14ac:dyDescent="0.25">
      <c r="A282" t="s">
        <v>36</v>
      </c>
      <c r="B282" t="s">
        <v>37</v>
      </c>
      <c r="C282" t="s">
        <v>38</v>
      </c>
      <c r="D282" t="s">
        <v>39</v>
      </c>
      <c r="E282">
        <v>14</v>
      </c>
      <c r="F282">
        <v>122</v>
      </c>
      <c r="G282">
        <v>3024</v>
      </c>
      <c r="H282">
        <v>2100</v>
      </c>
      <c r="I282" t="s">
        <v>48</v>
      </c>
      <c r="J282" t="s">
        <v>49</v>
      </c>
      <c r="K282" t="s">
        <v>50</v>
      </c>
      <c r="L282">
        <v>12</v>
      </c>
      <c r="M282" t="s">
        <v>51</v>
      </c>
      <c r="N282">
        <v>2025</v>
      </c>
      <c r="O282">
        <v>3985</v>
      </c>
      <c r="Q282" t="s">
        <v>722</v>
      </c>
      <c r="R282" t="s">
        <v>723</v>
      </c>
      <c r="U282" t="s">
        <v>440</v>
      </c>
      <c r="V282">
        <v>12</v>
      </c>
      <c r="W282" t="str">
        <f ca="1">IF(Tabela1[[#This Row],[datVigencia]]=0,"Expirado",IF(Tabela1[[#This Row],[datVigencia]]&gt;TODAY(),"Vigente","Expirado"))</f>
        <v>Vigente</v>
      </c>
      <c r="X282" s="2">
        <v>3298</v>
      </c>
      <c r="Y282" s="2">
        <v>0</v>
      </c>
      <c r="Z282" s="2">
        <v>0</v>
      </c>
      <c r="AA282" s="2">
        <v>0</v>
      </c>
      <c r="AB282" s="2">
        <f>Tabela1[[#This Row],[valPrincipal]]+Tabela1[[#This Row],[valReajustes]]+Tabela1[[#This Row],[valAditamentos]]-Tabela1[[#This Row],[valAnulacao]]</f>
        <v>3298</v>
      </c>
      <c r="AC282" s="2">
        <f>IF(Tabela1[[#This Row],[VigenciaMeses]]=0,Tabela1[[#This Row],[valTotal]]/1,Tabela1[[#This Row],[valTotal]]/Tabela1[[#This Row],[VigenciaMeses]])</f>
        <v>274.83333333333331</v>
      </c>
      <c r="AD282" s="2">
        <f>Tabela1[[#This Row],[valMensal]]*12</f>
        <v>3298</v>
      </c>
      <c r="AE282" s="2">
        <v>3298</v>
      </c>
      <c r="AF282" s="2">
        <v>0</v>
      </c>
      <c r="AG282" s="2">
        <v>3298</v>
      </c>
      <c r="AH282" s="2">
        <v>3298</v>
      </c>
      <c r="AI282" s="2">
        <v>3298</v>
      </c>
      <c r="AJ282" t="s">
        <v>47</v>
      </c>
    </row>
    <row r="283" spans="1:36" x14ac:dyDescent="0.25">
      <c r="A283" t="s">
        <v>36</v>
      </c>
      <c r="B283" t="s">
        <v>37</v>
      </c>
      <c r="C283" t="s">
        <v>38</v>
      </c>
      <c r="D283" t="s">
        <v>39</v>
      </c>
      <c r="E283">
        <v>14</v>
      </c>
      <c r="F283">
        <v>422</v>
      </c>
      <c r="G283">
        <v>3013</v>
      </c>
      <c r="H283">
        <v>6178</v>
      </c>
      <c r="I283" t="s">
        <v>157</v>
      </c>
      <c r="J283" t="s">
        <v>406</v>
      </c>
      <c r="K283" t="s">
        <v>407</v>
      </c>
      <c r="L283">
        <v>12</v>
      </c>
      <c r="M283" t="s">
        <v>51</v>
      </c>
      <c r="N283">
        <v>2025</v>
      </c>
      <c r="O283">
        <v>3284</v>
      </c>
      <c r="P283" t="s">
        <v>557</v>
      </c>
      <c r="Q283" t="s">
        <v>558</v>
      </c>
      <c r="R283" t="s">
        <v>559</v>
      </c>
      <c r="S283" t="s">
        <v>411</v>
      </c>
      <c r="T283" t="s">
        <v>374</v>
      </c>
      <c r="U283" t="s">
        <v>560</v>
      </c>
      <c r="V283">
        <v>1</v>
      </c>
      <c r="W283" t="str">
        <f ca="1">IF(Tabela1[[#This Row],[datVigencia]]=0,"Expirado",IF(Tabela1[[#This Row],[datVigencia]]&gt;TODAY(),"Vigente","Expirado"))</f>
        <v>Vigente</v>
      </c>
      <c r="X283" s="2">
        <v>3250</v>
      </c>
      <c r="Y283" s="2">
        <v>0</v>
      </c>
      <c r="Z283" s="2">
        <v>0</v>
      </c>
      <c r="AA283" s="2">
        <v>0</v>
      </c>
      <c r="AB283" s="2">
        <f>Tabela1[[#This Row],[valPrincipal]]+Tabela1[[#This Row],[valReajustes]]+Tabela1[[#This Row],[valAditamentos]]-Tabela1[[#This Row],[valAnulacao]]</f>
        <v>3250</v>
      </c>
      <c r="AC283" s="2">
        <f>IF(Tabela1[[#This Row],[VigenciaMeses]]=0,Tabela1[[#This Row],[valTotal]]/1,Tabela1[[#This Row],[valTotal]]/Tabela1[[#This Row],[VigenciaMeses]])</f>
        <v>3250</v>
      </c>
      <c r="AD283" s="2">
        <f>Tabela1[[#This Row],[valMensal]]*12</f>
        <v>39000</v>
      </c>
      <c r="AE283" s="2">
        <v>3250</v>
      </c>
      <c r="AF283" s="2">
        <v>0</v>
      </c>
      <c r="AG283" s="2">
        <v>3250</v>
      </c>
      <c r="AH283" s="2">
        <v>3250</v>
      </c>
      <c r="AI283" s="2">
        <v>3250</v>
      </c>
      <c r="AJ283" t="s">
        <v>47</v>
      </c>
    </row>
    <row r="284" spans="1:36" x14ac:dyDescent="0.25">
      <c r="A284" t="s">
        <v>36</v>
      </c>
      <c r="B284" t="s">
        <v>37</v>
      </c>
      <c r="C284" t="s">
        <v>38</v>
      </c>
      <c r="D284" t="s">
        <v>39</v>
      </c>
      <c r="E284">
        <v>8</v>
      </c>
      <c r="F284">
        <v>605</v>
      </c>
      <c r="G284">
        <v>3016</v>
      </c>
      <c r="H284">
        <v>4470</v>
      </c>
      <c r="I284" t="s">
        <v>157</v>
      </c>
      <c r="J284" t="s">
        <v>207</v>
      </c>
      <c r="K284" t="s">
        <v>208</v>
      </c>
      <c r="L284">
        <v>6</v>
      </c>
      <c r="M284" t="s">
        <v>97</v>
      </c>
      <c r="N284">
        <v>2025</v>
      </c>
      <c r="O284">
        <v>15506</v>
      </c>
      <c r="Q284" t="s">
        <v>1263</v>
      </c>
      <c r="R284" t="s">
        <v>1264</v>
      </c>
      <c r="U284" t="s">
        <v>1208</v>
      </c>
      <c r="V284">
        <v>12</v>
      </c>
      <c r="W284" t="str">
        <f ca="1">IF(Tabela1[[#This Row],[datVigencia]]=0,"Expirado",IF(Tabela1[[#This Row],[datVigencia]]&gt;TODAY(),"Vigente","Expirado"))</f>
        <v>Vigente</v>
      </c>
      <c r="X284" s="2">
        <v>3250</v>
      </c>
      <c r="Y284" s="2">
        <v>0</v>
      </c>
      <c r="Z284" s="2">
        <v>0</v>
      </c>
      <c r="AA284" s="2">
        <v>0</v>
      </c>
      <c r="AB284" s="2">
        <f>Tabela1[[#This Row],[valPrincipal]]+Tabela1[[#This Row],[valReajustes]]+Tabela1[[#This Row],[valAditamentos]]-Tabela1[[#This Row],[valAnulacao]]</f>
        <v>3250</v>
      </c>
      <c r="AC284" s="2">
        <f>IF(Tabela1[[#This Row],[VigenciaMeses]]=0,Tabela1[[#This Row],[valTotal]]/1,Tabela1[[#This Row],[valTotal]]/Tabela1[[#This Row],[VigenciaMeses]])</f>
        <v>270.83333333333331</v>
      </c>
      <c r="AD284" s="2">
        <f>Tabela1[[#This Row],[valMensal]]*12</f>
        <v>3250</v>
      </c>
      <c r="AE284" s="2">
        <v>3250</v>
      </c>
      <c r="AF284" s="2">
        <v>0</v>
      </c>
      <c r="AG284" s="2">
        <v>3250</v>
      </c>
      <c r="AH284" s="2">
        <v>3250</v>
      </c>
      <c r="AI284" s="2">
        <v>0</v>
      </c>
      <c r="AJ284" t="s">
        <v>47</v>
      </c>
    </row>
    <row r="285" spans="1:36" x14ac:dyDescent="0.25">
      <c r="A285" t="s">
        <v>36</v>
      </c>
      <c r="B285" t="s">
        <v>37</v>
      </c>
      <c r="C285" t="s">
        <v>38</v>
      </c>
      <c r="D285" t="s">
        <v>39</v>
      </c>
      <c r="E285">
        <v>14</v>
      </c>
      <c r="F285">
        <v>122</v>
      </c>
      <c r="G285">
        <v>3024</v>
      </c>
      <c r="H285">
        <v>2100</v>
      </c>
      <c r="I285" t="s">
        <v>157</v>
      </c>
      <c r="J285" t="s">
        <v>207</v>
      </c>
      <c r="K285" t="s">
        <v>208</v>
      </c>
      <c r="L285">
        <v>6</v>
      </c>
      <c r="M285" t="s">
        <v>97</v>
      </c>
      <c r="N285">
        <v>2025</v>
      </c>
      <c r="O285">
        <v>13479</v>
      </c>
      <c r="Q285" t="s">
        <v>1177</v>
      </c>
      <c r="R285" t="s">
        <v>1178</v>
      </c>
      <c r="U285" t="s">
        <v>1179</v>
      </c>
      <c r="V285">
        <v>12</v>
      </c>
      <c r="W285" t="str">
        <f ca="1">IF(Tabela1[[#This Row],[datVigencia]]=0,"Expirado",IF(Tabela1[[#This Row],[datVigencia]]&gt;TODAY(),"Vigente","Expirado"))</f>
        <v>Vigente</v>
      </c>
      <c r="X285" s="2">
        <v>3099</v>
      </c>
      <c r="Y285" s="2">
        <v>0</v>
      </c>
      <c r="Z285" s="2">
        <v>0</v>
      </c>
      <c r="AA285" s="2">
        <v>0</v>
      </c>
      <c r="AB285" s="2">
        <f>Tabela1[[#This Row],[valPrincipal]]+Tabela1[[#This Row],[valReajustes]]+Tabela1[[#This Row],[valAditamentos]]-Tabela1[[#This Row],[valAnulacao]]</f>
        <v>3099</v>
      </c>
      <c r="AC285" s="2">
        <f>IF(Tabela1[[#This Row],[VigenciaMeses]]=0,Tabela1[[#This Row],[valTotal]]/1,Tabela1[[#This Row],[valTotal]]/Tabela1[[#This Row],[VigenciaMeses]])</f>
        <v>258.25</v>
      </c>
      <c r="AD285" s="2">
        <f>Tabela1[[#This Row],[valMensal]]*12</f>
        <v>3099</v>
      </c>
      <c r="AE285" s="2">
        <v>3099</v>
      </c>
      <c r="AF285" s="2">
        <v>0</v>
      </c>
      <c r="AG285" s="2">
        <v>3099</v>
      </c>
      <c r="AH285" s="2">
        <v>3099</v>
      </c>
      <c r="AI285" s="2">
        <v>0</v>
      </c>
      <c r="AJ285" t="s">
        <v>47</v>
      </c>
    </row>
    <row r="286" spans="1:36" x14ac:dyDescent="0.25">
      <c r="A286" t="s">
        <v>36</v>
      </c>
      <c r="B286" t="s">
        <v>37</v>
      </c>
      <c r="C286" t="s">
        <v>38</v>
      </c>
      <c r="D286" t="s">
        <v>39</v>
      </c>
      <c r="E286">
        <v>14</v>
      </c>
      <c r="F286">
        <v>422</v>
      </c>
      <c r="G286">
        <v>3013</v>
      </c>
      <c r="H286">
        <v>4322</v>
      </c>
      <c r="I286" t="s">
        <v>1000</v>
      </c>
      <c r="J286" t="s">
        <v>55</v>
      </c>
      <c r="K286" t="s">
        <v>56</v>
      </c>
      <c r="L286">
        <v>7</v>
      </c>
      <c r="M286" t="s">
        <v>324</v>
      </c>
      <c r="N286">
        <v>2025</v>
      </c>
      <c r="O286">
        <v>11778</v>
      </c>
      <c r="P286" t="s">
        <v>1127</v>
      </c>
      <c r="Q286" t="s">
        <v>1128</v>
      </c>
      <c r="R286" t="s">
        <v>1129</v>
      </c>
      <c r="S286" t="s">
        <v>1106</v>
      </c>
      <c r="T286" t="s">
        <v>1114</v>
      </c>
      <c r="U286" t="s">
        <v>1130</v>
      </c>
      <c r="V286">
        <v>0</v>
      </c>
      <c r="W286" t="str">
        <f ca="1">IF(Tabela1[[#This Row],[datVigencia]]=0,"Expirado",IF(Tabela1[[#This Row],[datVigencia]]&gt;TODAY(),"Vigente","Expirado"))</f>
        <v>Vigente</v>
      </c>
      <c r="X286" s="2">
        <v>3000</v>
      </c>
      <c r="Y286" s="2">
        <v>0</v>
      </c>
      <c r="Z286" s="2">
        <v>0</v>
      </c>
      <c r="AA286" s="2">
        <v>0</v>
      </c>
      <c r="AB286" s="2">
        <f>Tabela1[[#This Row],[valPrincipal]]+Tabela1[[#This Row],[valReajustes]]+Tabela1[[#This Row],[valAditamentos]]-Tabela1[[#This Row],[valAnulacao]]</f>
        <v>3000</v>
      </c>
      <c r="AC286" s="2">
        <f>IF(Tabela1[[#This Row],[VigenciaMeses]]=0,Tabela1[[#This Row],[valTotal]]/1,Tabela1[[#This Row],[valTotal]]/Tabela1[[#This Row],[VigenciaMeses]])</f>
        <v>3000</v>
      </c>
      <c r="AD286" s="2">
        <f>Tabela1[[#This Row],[valMensal]]*12</f>
        <v>36000</v>
      </c>
      <c r="AE286" s="2">
        <v>3000</v>
      </c>
      <c r="AF286" s="2">
        <v>0</v>
      </c>
      <c r="AG286" s="2">
        <v>3000</v>
      </c>
      <c r="AH286" s="2">
        <v>3000</v>
      </c>
      <c r="AI286" s="2">
        <v>0</v>
      </c>
      <c r="AJ286" t="s">
        <v>47</v>
      </c>
    </row>
    <row r="287" spans="1:36" x14ac:dyDescent="0.25">
      <c r="A287" t="s">
        <v>36</v>
      </c>
      <c r="B287" t="s">
        <v>37</v>
      </c>
      <c r="C287" t="s">
        <v>38</v>
      </c>
      <c r="D287" t="s">
        <v>39</v>
      </c>
      <c r="E287">
        <v>14</v>
      </c>
      <c r="F287">
        <v>422</v>
      </c>
      <c r="G287">
        <v>3018</v>
      </c>
      <c r="H287">
        <v>2142</v>
      </c>
      <c r="I287" t="s">
        <v>1000</v>
      </c>
      <c r="J287" t="s">
        <v>55</v>
      </c>
      <c r="K287" t="s">
        <v>56</v>
      </c>
      <c r="L287">
        <v>7</v>
      </c>
      <c r="M287" t="s">
        <v>324</v>
      </c>
      <c r="N287">
        <v>2025</v>
      </c>
      <c r="O287">
        <v>14024</v>
      </c>
      <c r="P287" t="s">
        <v>1198</v>
      </c>
      <c r="Q287" t="s">
        <v>1199</v>
      </c>
      <c r="R287" t="s">
        <v>1200</v>
      </c>
      <c r="S287" t="s">
        <v>1201</v>
      </c>
      <c r="T287" t="s">
        <v>1159</v>
      </c>
      <c r="U287" t="s">
        <v>1202</v>
      </c>
      <c r="V287">
        <v>1</v>
      </c>
      <c r="W287" t="str">
        <f ca="1">IF(Tabela1[[#This Row],[datVigencia]]=0,"Expirado",IF(Tabela1[[#This Row],[datVigencia]]&gt;TODAY(),"Vigente","Expirado"))</f>
        <v>Vigente</v>
      </c>
      <c r="X287" s="2">
        <v>3000</v>
      </c>
      <c r="Y287" s="2">
        <v>0</v>
      </c>
      <c r="Z287" s="2">
        <v>0</v>
      </c>
      <c r="AA287" s="2">
        <v>0</v>
      </c>
      <c r="AB287" s="2">
        <f>Tabela1[[#This Row],[valPrincipal]]+Tabela1[[#This Row],[valReajustes]]+Tabela1[[#This Row],[valAditamentos]]-Tabela1[[#This Row],[valAnulacao]]</f>
        <v>3000</v>
      </c>
      <c r="AC287" s="2">
        <f>IF(Tabela1[[#This Row],[VigenciaMeses]]=0,Tabela1[[#This Row],[valTotal]]/1,Tabela1[[#This Row],[valTotal]]/Tabela1[[#This Row],[VigenciaMeses]])</f>
        <v>3000</v>
      </c>
      <c r="AD287" s="2">
        <f>Tabela1[[#This Row],[valMensal]]*12</f>
        <v>36000</v>
      </c>
      <c r="AE287" s="2">
        <v>3000</v>
      </c>
      <c r="AF287" s="2">
        <v>0</v>
      </c>
      <c r="AG287" s="2">
        <v>3000</v>
      </c>
      <c r="AH287" s="2">
        <v>3000</v>
      </c>
      <c r="AI287" s="2">
        <v>0</v>
      </c>
      <c r="AJ287" t="s">
        <v>47</v>
      </c>
    </row>
    <row r="288" spans="1:36" x14ac:dyDescent="0.25">
      <c r="A288" t="s">
        <v>36</v>
      </c>
      <c r="B288" t="s">
        <v>1076</v>
      </c>
      <c r="C288" t="s">
        <v>1077</v>
      </c>
      <c r="D288" t="s">
        <v>39</v>
      </c>
      <c r="E288">
        <v>14</v>
      </c>
      <c r="F288">
        <v>422</v>
      </c>
      <c r="G288">
        <v>3018</v>
      </c>
      <c r="H288">
        <v>4326</v>
      </c>
      <c r="I288" t="s">
        <v>48</v>
      </c>
      <c r="J288" t="s">
        <v>55</v>
      </c>
      <c r="K288" t="s">
        <v>56</v>
      </c>
      <c r="L288">
        <v>7</v>
      </c>
      <c r="M288" t="s">
        <v>324</v>
      </c>
      <c r="N288">
        <v>2025</v>
      </c>
      <c r="O288">
        <v>16752</v>
      </c>
      <c r="Q288" t="s">
        <v>1341</v>
      </c>
      <c r="R288" t="s">
        <v>1342</v>
      </c>
      <c r="V288">
        <v>12</v>
      </c>
      <c r="W288" t="str">
        <f ca="1">IF(Tabela1[[#This Row],[datVigencia]]=0,"Expirado",IF(Tabela1[[#This Row],[datVigencia]]&gt;TODAY(),"Vigente","Expirado"))</f>
        <v>Expirado</v>
      </c>
      <c r="X288" s="2">
        <v>3000</v>
      </c>
      <c r="Y288" s="2">
        <v>0</v>
      </c>
      <c r="Z288" s="2">
        <v>0</v>
      </c>
      <c r="AA288" s="2">
        <v>0</v>
      </c>
      <c r="AB288" s="2">
        <f>Tabela1[[#This Row],[valPrincipal]]+Tabela1[[#This Row],[valReajustes]]+Tabela1[[#This Row],[valAditamentos]]-Tabela1[[#This Row],[valAnulacao]]</f>
        <v>3000</v>
      </c>
      <c r="AC288" s="2">
        <f>IF(Tabela1[[#This Row],[VigenciaMeses]]=0,Tabela1[[#This Row],[valTotal]]/1,Tabela1[[#This Row],[valTotal]]/Tabela1[[#This Row],[VigenciaMeses]])</f>
        <v>250</v>
      </c>
      <c r="AD288" s="2">
        <f>Tabela1[[#This Row],[valMensal]]*12</f>
        <v>3000</v>
      </c>
      <c r="AE288" s="2">
        <v>3000</v>
      </c>
      <c r="AF288" s="2">
        <v>0</v>
      </c>
      <c r="AG288" s="2">
        <v>3000</v>
      </c>
      <c r="AH288" s="2">
        <v>0</v>
      </c>
      <c r="AI288" s="2">
        <v>0</v>
      </c>
      <c r="AJ288" t="s">
        <v>47</v>
      </c>
    </row>
    <row r="289" spans="1:36" x14ac:dyDescent="0.25">
      <c r="A289" t="s">
        <v>36</v>
      </c>
      <c r="B289" t="s">
        <v>1076</v>
      </c>
      <c r="C289" t="s">
        <v>1077</v>
      </c>
      <c r="D289" t="s">
        <v>39</v>
      </c>
      <c r="E289">
        <v>14</v>
      </c>
      <c r="F289">
        <v>422</v>
      </c>
      <c r="G289">
        <v>3018</v>
      </c>
      <c r="H289">
        <v>4326</v>
      </c>
      <c r="I289" t="s">
        <v>48</v>
      </c>
      <c r="J289" t="s">
        <v>55</v>
      </c>
      <c r="K289" t="s">
        <v>56</v>
      </c>
      <c r="L289">
        <v>7</v>
      </c>
      <c r="M289" t="s">
        <v>324</v>
      </c>
      <c r="N289">
        <v>2025</v>
      </c>
      <c r="O289">
        <v>16775</v>
      </c>
      <c r="Q289" t="s">
        <v>1374</v>
      </c>
      <c r="R289" t="s">
        <v>1375</v>
      </c>
      <c r="V289">
        <v>12</v>
      </c>
      <c r="W289" t="str">
        <f ca="1">IF(Tabela1[[#This Row],[datVigencia]]=0,"Expirado",IF(Tabela1[[#This Row],[datVigencia]]&gt;TODAY(),"Vigente","Expirado"))</f>
        <v>Expirado</v>
      </c>
      <c r="X289" s="2">
        <v>3000</v>
      </c>
      <c r="Y289" s="2">
        <v>0</v>
      </c>
      <c r="Z289" s="2">
        <v>0</v>
      </c>
      <c r="AA289" s="2">
        <v>0</v>
      </c>
      <c r="AB289" s="2">
        <f>Tabela1[[#This Row],[valPrincipal]]+Tabela1[[#This Row],[valReajustes]]+Tabela1[[#This Row],[valAditamentos]]-Tabela1[[#This Row],[valAnulacao]]</f>
        <v>3000</v>
      </c>
      <c r="AC289" s="2">
        <f>IF(Tabela1[[#This Row],[VigenciaMeses]]=0,Tabela1[[#This Row],[valTotal]]/1,Tabela1[[#This Row],[valTotal]]/Tabela1[[#This Row],[VigenciaMeses]])</f>
        <v>250</v>
      </c>
      <c r="AD289" s="2">
        <f>Tabela1[[#This Row],[valMensal]]*12</f>
        <v>3000</v>
      </c>
      <c r="AE289" s="2">
        <v>3000</v>
      </c>
      <c r="AF289" s="2">
        <v>0</v>
      </c>
      <c r="AG289" s="2">
        <v>3000</v>
      </c>
      <c r="AH289" s="2">
        <v>0</v>
      </c>
      <c r="AI289" s="2">
        <v>0</v>
      </c>
      <c r="AJ289" t="s">
        <v>47</v>
      </c>
    </row>
    <row r="290" spans="1:36" x14ac:dyDescent="0.25">
      <c r="A290" t="s">
        <v>36</v>
      </c>
      <c r="B290" t="s">
        <v>37</v>
      </c>
      <c r="C290" t="s">
        <v>38</v>
      </c>
      <c r="D290" t="s">
        <v>39</v>
      </c>
      <c r="E290">
        <v>14</v>
      </c>
      <c r="F290">
        <v>422</v>
      </c>
      <c r="G290">
        <v>3013</v>
      </c>
      <c r="H290">
        <v>2053</v>
      </c>
      <c r="I290" t="s">
        <v>48</v>
      </c>
      <c r="J290" t="s">
        <v>55</v>
      </c>
      <c r="K290" t="s">
        <v>56</v>
      </c>
      <c r="L290">
        <v>6</v>
      </c>
      <c r="M290" t="s">
        <v>97</v>
      </c>
      <c r="N290">
        <v>2025</v>
      </c>
      <c r="O290">
        <v>12366</v>
      </c>
      <c r="Q290" t="s">
        <v>1131</v>
      </c>
      <c r="R290" t="s">
        <v>1132</v>
      </c>
      <c r="V290">
        <v>12</v>
      </c>
      <c r="W290" t="str">
        <f ca="1">IF(Tabela1[[#This Row],[datVigencia]]=0,"Expirado",IF(Tabela1[[#This Row],[datVigencia]]&gt;TODAY(),"Vigente","Expirado"))</f>
        <v>Expirado</v>
      </c>
      <c r="X290" s="2">
        <v>2997</v>
      </c>
      <c r="Y290" s="2">
        <v>0</v>
      </c>
      <c r="Z290" s="2">
        <v>0</v>
      </c>
      <c r="AA290" s="2">
        <v>0</v>
      </c>
      <c r="AB290" s="2">
        <f>Tabela1[[#This Row],[valPrincipal]]+Tabela1[[#This Row],[valReajustes]]+Tabela1[[#This Row],[valAditamentos]]-Tabela1[[#This Row],[valAnulacao]]</f>
        <v>2997</v>
      </c>
      <c r="AC290" s="2">
        <f>IF(Tabela1[[#This Row],[VigenciaMeses]]=0,Tabela1[[#This Row],[valTotal]]/1,Tabela1[[#This Row],[valTotal]]/Tabela1[[#This Row],[VigenciaMeses]])</f>
        <v>249.75</v>
      </c>
      <c r="AD290" s="2">
        <f>Tabela1[[#This Row],[valMensal]]*12</f>
        <v>2997</v>
      </c>
      <c r="AE290" s="2">
        <v>2997</v>
      </c>
      <c r="AF290" s="2">
        <v>0</v>
      </c>
      <c r="AG290" s="2">
        <v>2997</v>
      </c>
      <c r="AH290" s="2">
        <v>0</v>
      </c>
      <c r="AI290" s="2">
        <v>0</v>
      </c>
      <c r="AJ290" t="s">
        <v>47</v>
      </c>
    </row>
    <row r="291" spans="1:36" x14ac:dyDescent="0.25">
      <c r="A291" t="s">
        <v>36</v>
      </c>
      <c r="B291" t="s">
        <v>37</v>
      </c>
      <c r="C291" t="s">
        <v>38</v>
      </c>
      <c r="D291" t="s">
        <v>39</v>
      </c>
      <c r="E291">
        <v>14</v>
      </c>
      <c r="F291">
        <v>122</v>
      </c>
      <c r="G291">
        <v>3024</v>
      </c>
      <c r="H291">
        <v>2100</v>
      </c>
      <c r="I291" t="s">
        <v>48</v>
      </c>
      <c r="J291" t="s">
        <v>49</v>
      </c>
      <c r="K291" t="s">
        <v>50</v>
      </c>
      <c r="L291">
        <v>12</v>
      </c>
      <c r="M291" t="s">
        <v>51</v>
      </c>
      <c r="N291">
        <v>2025</v>
      </c>
      <c r="O291">
        <v>9426</v>
      </c>
      <c r="Q291" t="s">
        <v>967</v>
      </c>
      <c r="R291" t="s">
        <v>968</v>
      </c>
      <c r="U291" t="s">
        <v>831</v>
      </c>
      <c r="V291">
        <v>12</v>
      </c>
      <c r="W291" t="str">
        <f ca="1">IF(Tabela1[[#This Row],[datVigencia]]=0,"Expirado",IF(Tabela1[[#This Row],[datVigencia]]&gt;TODAY(),"Vigente","Expirado"))</f>
        <v>Vigente</v>
      </c>
      <c r="X291" s="2">
        <v>2638.4</v>
      </c>
      <c r="Y291" s="2">
        <v>0</v>
      </c>
      <c r="Z291" s="2">
        <v>0</v>
      </c>
      <c r="AA291" s="2">
        <v>0</v>
      </c>
      <c r="AB291" s="2">
        <f>Tabela1[[#This Row],[valPrincipal]]+Tabela1[[#This Row],[valReajustes]]+Tabela1[[#This Row],[valAditamentos]]-Tabela1[[#This Row],[valAnulacao]]</f>
        <v>2638.4</v>
      </c>
      <c r="AC291" s="2">
        <f>IF(Tabela1[[#This Row],[VigenciaMeses]]=0,Tabela1[[#This Row],[valTotal]]/1,Tabela1[[#This Row],[valTotal]]/Tabela1[[#This Row],[VigenciaMeses]])</f>
        <v>219.86666666666667</v>
      </c>
      <c r="AD291" s="2">
        <f>Tabela1[[#This Row],[valMensal]]*12</f>
        <v>2638.4</v>
      </c>
      <c r="AE291" s="2">
        <v>2638.4</v>
      </c>
      <c r="AF291" s="2">
        <v>0</v>
      </c>
      <c r="AG291" s="2">
        <v>2638.4</v>
      </c>
      <c r="AH291" s="2">
        <v>2308.6</v>
      </c>
      <c r="AI291" s="2">
        <v>2308.6</v>
      </c>
      <c r="AJ291" t="s">
        <v>47</v>
      </c>
    </row>
    <row r="292" spans="1:36" x14ac:dyDescent="0.25">
      <c r="A292" t="s">
        <v>36</v>
      </c>
      <c r="B292" t="s">
        <v>37</v>
      </c>
      <c r="C292" t="s">
        <v>38</v>
      </c>
      <c r="D292" t="s">
        <v>39</v>
      </c>
      <c r="E292">
        <v>8</v>
      </c>
      <c r="F292">
        <v>605</v>
      </c>
      <c r="G292">
        <v>3016</v>
      </c>
      <c r="H292">
        <v>4470</v>
      </c>
      <c r="I292" t="s">
        <v>157</v>
      </c>
      <c r="J292" t="s">
        <v>207</v>
      </c>
      <c r="K292" t="s">
        <v>208</v>
      </c>
      <c r="L292">
        <v>6</v>
      </c>
      <c r="M292" t="s">
        <v>97</v>
      </c>
      <c r="N292">
        <v>2025</v>
      </c>
      <c r="O292">
        <v>10030</v>
      </c>
      <c r="Q292" t="s">
        <v>987</v>
      </c>
      <c r="R292" t="s">
        <v>988</v>
      </c>
      <c r="V292">
        <v>12</v>
      </c>
      <c r="W292" t="str">
        <f ca="1">IF(Tabela1[[#This Row],[datVigencia]]=0,"Expirado",IF(Tabela1[[#This Row],[datVigencia]]&gt;TODAY(),"Vigente","Expirado"))</f>
        <v>Expirado</v>
      </c>
      <c r="X292" s="2">
        <v>2579.9</v>
      </c>
      <c r="Y292" s="2">
        <v>0</v>
      </c>
      <c r="Z292" s="2">
        <v>0</v>
      </c>
      <c r="AA292" s="2">
        <v>0</v>
      </c>
      <c r="AB292" s="2">
        <f>Tabela1[[#This Row],[valPrincipal]]+Tabela1[[#This Row],[valReajustes]]+Tabela1[[#This Row],[valAditamentos]]-Tabela1[[#This Row],[valAnulacao]]</f>
        <v>2579.9</v>
      </c>
      <c r="AC292" s="2">
        <f>IF(Tabela1[[#This Row],[VigenciaMeses]]=0,Tabela1[[#This Row],[valTotal]]/1,Tabela1[[#This Row],[valTotal]]/Tabela1[[#This Row],[VigenciaMeses]])</f>
        <v>214.99166666666667</v>
      </c>
      <c r="AD292" s="2">
        <f>Tabela1[[#This Row],[valMensal]]*12</f>
        <v>2579.9</v>
      </c>
      <c r="AE292" s="2">
        <v>2579.9</v>
      </c>
      <c r="AF292" s="2">
        <v>0</v>
      </c>
      <c r="AG292" s="2">
        <v>2579.9</v>
      </c>
      <c r="AH292" s="2">
        <v>0</v>
      </c>
      <c r="AI292" s="2">
        <v>0</v>
      </c>
      <c r="AJ292" t="s">
        <v>47</v>
      </c>
    </row>
    <row r="293" spans="1:36" x14ac:dyDescent="0.25">
      <c r="A293" t="s">
        <v>36</v>
      </c>
      <c r="B293" t="s">
        <v>37</v>
      </c>
      <c r="C293" t="s">
        <v>38</v>
      </c>
      <c r="D293" t="s">
        <v>39</v>
      </c>
      <c r="E293">
        <v>14</v>
      </c>
      <c r="F293">
        <v>126</v>
      </c>
      <c r="G293">
        <v>3011</v>
      </c>
      <c r="H293">
        <v>2818</v>
      </c>
      <c r="I293" t="s">
        <v>69</v>
      </c>
      <c r="J293" t="s">
        <v>55</v>
      </c>
      <c r="K293" t="s">
        <v>56</v>
      </c>
      <c r="L293">
        <v>6</v>
      </c>
      <c r="M293" t="s">
        <v>97</v>
      </c>
      <c r="N293">
        <v>2025</v>
      </c>
      <c r="O293">
        <v>10781</v>
      </c>
      <c r="P293" t="s">
        <v>1043</v>
      </c>
      <c r="Q293" t="s">
        <v>1044</v>
      </c>
      <c r="R293" t="s">
        <v>1045</v>
      </c>
      <c r="S293" t="s">
        <v>1046</v>
      </c>
      <c r="T293" t="s">
        <v>1047</v>
      </c>
      <c r="U293" t="s">
        <v>1048</v>
      </c>
      <c r="V293">
        <v>12</v>
      </c>
      <c r="W293" t="str">
        <f ca="1">IF(Tabela1[[#This Row],[datVigencia]]=0,"Expirado",IF(Tabela1[[#This Row],[datVigencia]]&gt;TODAY(),"Vigente","Expirado"))</f>
        <v>Vigente</v>
      </c>
      <c r="X293" s="2">
        <v>2558</v>
      </c>
      <c r="Y293" s="2">
        <v>0</v>
      </c>
      <c r="Z293" s="2">
        <v>0</v>
      </c>
      <c r="AA293" s="2">
        <v>0</v>
      </c>
      <c r="AB293" s="2">
        <f>Tabela1[[#This Row],[valPrincipal]]+Tabela1[[#This Row],[valReajustes]]+Tabela1[[#This Row],[valAditamentos]]-Tabela1[[#This Row],[valAnulacao]]</f>
        <v>2558</v>
      </c>
      <c r="AC293" s="2">
        <f>IF(Tabela1[[#This Row],[VigenciaMeses]]=0,Tabela1[[#This Row],[valTotal]]/1,Tabela1[[#This Row],[valTotal]]/Tabela1[[#This Row],[VigenciaMeses]])</f>
        <v>213.16666666666666</v>
      </c>
      <c r="AD293" s="2">
        <f>Tabela1[[#This Row],[valMensal]]*12</f>
        <v>2558</v>
      </c>
      <c r="AE293" s="2">
        <v>2558</v>
      </c>
      <c r="AF293" s="2">
        <v>0</v>
      </c>
      <c r="AG293" s="2">
        <v>2558</v>
      </c>
      <c r="AH293" s="2">
        <v>2558</v>
      </c>
      <c r="AI293" s="2">
        <v>2558</v>
      </c>
      <c r="AJ293" t="s">
        <v>47</v>
      </c>
    </row>
    <row r="294" spans="1:36" x14ac:dyDescent="0.25">
      <c r="A294" t="s">
        <v>36</v>
      </c>
      <c r="B294" t="s">
        <v>37</v>
      </c>
      <c r="C294" t="s">
        <v>38</v>
      </c>
      <c r="D294" t="s">
        <v>39</v>
      </c>
      <c r="E294">
        <v>14</v>
      </c>
      <c r="F294">
        <v>122</v>
      </c>
      <c r="G294">
        <v>3024</v>
      </c>
      <c r="H294">
        <v>2100</v>
      </c>
      <c r="I294" t="s">
        <v>48</v>
      </c>
      <c r="J294" t="s">
        <v>55</v>
      </c>
      <c r="K294" t="s">
        <v>56</v>
      </c>
      <c r="L294">
        <v>12</v>
      </c>
      <c r="M294" t="s">
        <v>51</v>
      </c>
      <c r="N294">
        <v>2025</v>
      </c>
      <c r="O294">
        <v>13763</v>
      </c>
      <c r="Q294" t="s">
        <v>1188</v>
      </c>
      <c r="R294" t="s">
        <v>1189</v>
      </c>
      <c r="V294">
        <v>12</v>
      </c>
      <c r="W294" t="str">
        <f ca="1">IF(Tabela1[[#This Row],[datVigencia]]=0,"Expirado",IF(Tabela1[[#This Row],[datVigencia]]&gt;TODAY(),"Vigente","Expirado"))</f>
        <v>Expirado</v>
      </c>
      <c r="X294" s="2">
        <v>2512</v>
      </c>
      <c r="Y294" s="2">
        <v>0</v>
      </c>
      <c r="Z294" s="2">
        <v>0</v>
      </c>
      <c r="AA294" s="2">
        <v>2512</v>
      </c>
      <c r="AB294" s="2">
        <f>Tabela1[[#This Row],[valPrincipal]]+Tabela1[[#This Row],[valReajustes]]+Tabela1[[#This Row],[valAditamentos]]-Tabela1[[#This Row],[valAnulacao]]</f>
        <v>0</v>
      </c>
      <c r="AC294" s="2">
        <f>IF(Tabela1[[#This Row],[VigenciaMeses]]=0,Tabela1[[#This Row],[valTotal]]/1,Tabela1[[#This Row],[valTotal]]/Tabela1[[#This Row],[VigenciaMeses]])</f>
        <v>0</v>
      </c>
      <c r="AD294" s="2">
        <f>Tabela1[[#This Row],[valMensal]]*12</f>
        <v>0</v>
      </c>
      <c r="AE294" s="2">
        <v>2512</v>
      </c>
      <c r="AF294" s="2">
        <v>2512</v>
      </c>
      <c r="AG294" s="2">
        <v>0</v>
      </c>
      <c r="AH294" s="2">
        <v>0</v>
      </c>
      <c r="AI294" s="2">
        <v>0</v>
      </c>
      <c r="AJ294" t="s">
        <v>47</v>
      </c>
    </row>
    <row r="295" spans="1:36" x14ac:dyDescent="0.25">
      <c r="A295" t="s">
        <v>36</v>
      </c>
      <c r="B295" t="s">
        <v>37</v>
      </c>
      <c r="C295" t="s">
        <v>38</v>
      </c>
      <c r="D295" t="s">
        <v>39</v>
      </c>
      <c r="E295">
        <v>14</v>
      </c>
      <c r="F295">
        <v>122</v>
      </c>
      <c r="G295">
        <v>3024</v>
      </c>
      <c r="H295">
        <v>2100</v>
      </c>
      <c r="I295" t="s">
        <v>48</v>
      </c>
      <c r="J295" t="s">
        <v>207</v>
      </c>
      <c r="K295" t="s">
        <v>208</v>
      </c>
      <c r="L295">
        <v>12</v>
      </c>
      <c r="M295" t="s">
        <v>51</v>
      </c>
      <c r="N295">
        <v>2025</v>
      </c>
      <c r="O295">
        <v>13993</v>
      </c>
      <c r="Q295" t="s">
        <v>1194</v>
      </c>
      <c r="R295" t="s">
        <v>1195</v>
      </c>
      <c r="U295" t="s">
        <v>1159</v>
      </c>
      <c r="V295">
        <v>12</v>
      </c>
      <c r="W295" t="str">
        <f ca="1">IF(Tabela1[[#This Row],[datVigencia]]=0,"Expirado",IF(Tabela1[[#This Row],[datVigencia]]&gt;TODAY(),"Vigente","Expirado"))</f>
        <v>Vigente</v>
      </c>
      <c r="X295" s="2">
        <v>2512</v>
      </c>
      <c r="Y295" s="2">
        <v>0</v>
      </c>
      <c r="Z295" s="2">
        <v>0</v>
      </c>
      <c r="AA295" s="2">
        <v>0</v>
      </c>
      <c r="AB295" s="2">
        <f>Tabela1[[#This Row],[valPrincipal]]+Tabela1[[#This Row],[valReajustes]]+Tabela1[[#This Row],[valAditamentos]]-Tabela1[[#This Row],[valAnulacao]]</f>
        <v>2512</v>
      </c>
      <c r="AC295" s="2">
        <f>IF(Tabela1[[#This Row],[VigenciaMeses]]=0,Tabela1[[#This Row],[valTotal]]/1,Tabela1[[#This Row],[valTotal]]/Tabela1[[#This Row],[VigenciaMeses]])</f>
        <v>209.33333333333334</v>
      </c>
      <c r="AD295" s="2">
        <f>Tabela1[[#This Row],[valMensal]]*12</f>
        <v>2512</v>
      </c>
      <c r="AE295" s="2">
        <v>2512</v>
      </c>
      <c r="AF295" s="2">
        <v>0</v>
      </c>
      <c r="AG295" s="2">
        <v>2512</v>
      </c>
      <c r="AH295" s="2">
        <v>2512</v>
      </c>
      <c r="AI295" s="2">
        <v>0</v>
      </c>
      <c r="AJ295" t="s">
        <v>47</v>
      </c>
    </row>
    <row r="296" spans="1:36" x14ac:dyDescent="0.25">
      <c r="A296" t="s">
        <v>36</v>
      </c>
      <c r="B296" t="s">
        <v>37</v>
      </c>
      <c r="C296" t="s">
        <v>38</v>
      </c>
      <c r="D296" t="s">
        <v>39</v>
      </c>
      <c r="E296">
        <v>14</v>
      </c>
      <c r="F296">
        <v>122</v>
      </c>
      <c r="G296">
        <v>3024</v>
      </c>
      <c r="H296">
        <v>2100</v>
      </c>
      <c r="I296" t="s">
        <v>48</v>
      </c>
      <c r="J296" t="s">
        <v>207</v>
      </c>
      <c r="K296" t="s">
        <v>208</v>
      </c>
      <c r="L296">
        <v>12</v>
      </c>
      <c r="M296" t="s">
        <v>51</v>
      </c>
      <c r="N296">
        <v>2025</v>
      </c>
      <c r="O296">
        <v>14003</v>
      </c>
      <c r="Q296" t="s">
        <v>1196</v>
      </c>
      <c r="R296" t="s">
        <v>1197</v>
      </c>
      <c r="U296" t="s">
        <v>1143</v>
      </c>
      <c r="V296">
        <v>12</v>
      </c>
      <c r="W296" t="str">
        <f ca="1">IF(Tabela1[[#This Row],[datVigencia]]=0,"Expirado",IF(Tabela1[[#This Row],[datVigencia]]&gt;TODAY(),"Vigente","Expirado"))</f>
        <v>Vigente</v>
      </c>
      <c r="X296" s="2">
        <v>2512</v>
      </c>
      <c r="Y296" s="2">
        <v>0</v>
      </c>
      <c r="Z296" s="2">
        <v>0</v>
      </c>
      <c r="AA296" s="2">
        <v>0</v>
      </c>
      <c r="AB296" s="2">
        <f>Tabela1[[#This Row],[valPrincipal]]+Tabela1[[#This Row],[valReajustes]]+Tabela1[[#This Row],[valAditamentos]]-Tabela1[[#This Row],[valAnulacao]]</f>
        <v>2512</v>
      </c>
      <c r="AC296" s="2">
        <f>IF(Tabela1[[#This Row],[VigenciaMeses]]=0,Tabela1[[#This Row],[valTotal]]/1,Tabela1[[#This Row],[valTotal]]/Tabela1[[#This Row],[VigenciaMeses]])</f>
        <v>209.33333333333334</v>
      </c>
      <c r="AD296" s="2">
        <f>Tabela1[[#This Row],[valMensal]]*12</f>
        <v>2512</v>
      </c>
      <c r="AE296" s="2">
        <v>2512</v>
      </c>
      <c r="AF296" s="2">
        <v>0</v>
      </c>
      <c r="AG296" s="2">
        <v>2512</v>
      </c>
      <c r="AH296" s="2">
        <v>2512</v>
      </c>
      <c r="AI296" s="2">
        <v>0</v>
      </c>
      <c r="AJ296" t="s">
        <v>47</v>
      </c>
    </row>
    <row r="297" spans="1:36" x14ac:dyDescent="0.25">
      <c r="A297" t="s">
        <v>36</v>
      </c>
      <c r="B297" t="s">
        <v>37</v>
      </c>
      <c r="C297" t="s">
        <v>38</v>
      </c>
      <c r="D297" t="s">
        <v>39</v>
      </c>
      <c r="E297">
        <v>14</v>
      </c>
      <c r="F297">
        <v>422</v>
      </c>
      <c r="G297">
        <v>3013</v>
      </c>
      <c r="H297">
        <v>2431</v>
      </c>
      <c r="I297" t="s">
        <v>48</v>
      </c>
      <c r="J297" t="s">
        <v>571</v>
      </c>
      <c r="K297" t="s">
        <v>572</v>
      </c>
      <c r="L297">
        <v>12</v>
      </c>
      <c r="M297" t="s">
        <v>51</v>
      </c>
      <c r="N297">
        <v>2025</v>
      </c>
      <c r="O297">
        <v>16852</v>
      </c>
      <c r="Q297" t="s">
        <v>1405</v>
      </c>
      <c r="R297" t="s">
        <v>1406</v>
      </c>
      <c r="V297">
        <v>12</v>
      </c>
      <c r="W297" t="str">
        <f ca="1">IF(Tabela1[[#This Row],[datVigencia]]=0,"Expirado",IF(Tabela1[[#This Row],[datVigencia]]&gt;TODAY(),"Vigente","Expirado"))</f>
        <v>Expirado</v>
      </c>
      <c r="X297" s="2">
        <v>2512</v>
      </c>
      <c r="Y297" s="2">
        <v>0</v>
      </c>
      <c r="Z297" s="2">
        <v>0</v>
      </c>
      <c r="AA297" s="2">
        <v>0</v>
      </c>
      <c r="AB297" s="2">
        <f>Tabela1[[#This Row],[valPrincipal]]+Tabela1[[#This Row],[valReajustes]]+Tabela1[[#This Row],[valAditamentos]]-Tabela1[[#This Row],[valAnulacao]]</f>
        <v>2512</v>
      </c>
      <c r="AC297" s="2">
        <f>IF(Tabela1[[#This Row],[VigenciaMeses]]=0,Tabela1[[#This Row],[valTotal]]/1,Tabela1[[#This Row],[valTotal]]/Tabela1[[#This Row],[VigenciaMeses]])</f>
        <v>209.33333333333334</v>
      </c>
      <c r="AD297" s="2">
        <f>Tabela1[[#This Row],[valMensal]]*12</f>
        <v>2512</v>
      </c>
      <c r="AE297" s="2">
        <v>2512</v>
      </c>
      <c r="AF297" s="2">
        <v>0</v>
      </c>
      <c r="AG297" s="2">
        <v>2512</v>
      </c>
      <c r="AH297" s="2">
        <v>0</v>
      </c>
      <c r="AI297" s="2">
        <v>0</v>
      </c>
      <c r="AJ297" t="s">
        <v>47</v>
      </c>
    </row>
    <row r="298" spans="1:36" x14ac:dyDescent="0.25">
      <c r="A298" t="s">
        <v>36</v>
      </c>
      <c r="B298" t="s">
        <v>37</v>
      </c>
      <c r="C298" t="s">
        <v>38</v>
      </c>
      <c r="D298" t="s">
        <v>39</v>
      </c>
      <c r="E298">
        <v>14</v>
      </c>
      <c r="F298">
        <v>122</v>
      </c>
      <c r="G298">
        <v>3024</v>
      </c>
      <c r="H298">
        <v>2100</v>
      </c>
      <c r="I298" t="s">
        <v>157</v>
      </c>
      <c r="J298" t="s">
        <v>571</v>
      </c>
      <c r="K298" t="s">
        <v>572</v>
      </c>
      <c r="L298">
        <v>12</v>
      </c>
      <c r="M298" t="s">
        <v>51</v>
      </c>
      <c r="N298">
        <v>2025</v>
      </c>
      <c r="O298">
        <v>11287</v>
      </c>
      <c r="Q298" t="s">
        <v>1074</v>
      </c>
      <c r="R298" t="s">
        <v>1075</v>
      </c>
      <c r="V298">
        <v>12</v>
      </c>
      <c r="W298" t="str">
        <f ca="1">IF(Tabela1[[#This Row],[datVigencia]]=0,"Expirado",IF(Tabela1[[#This Row],[datVigencia]]&gt;TODAY(),"Vigente","Expirado"))</f>
        <v>Expirado</v>
      </c>
      <c r="X298" s="2">
        <v>2475</v>
      </c>
      <c r="Y298" s="2">
        <v>0</v>
      </c>
      <c r="Z298" s="2">
        <v>0</v>
      </c>
      <c r="AA298" s="2">
        <v>0</v>
      </c>
      <c r="AB298" s="2">
        <f>Tabela1[[#This Row],[valPrincipal]]+Tabela1[[#This Row],[valReajustes]]+Tabela1[[#This Row],[valAditamentos]]-Tabela1[[#This Row],[valAnulacao]]</f>
        <v>2475</v>
      </c>
      <c r="AC298" s="2">
        <f>IF(Tabela1[[#This Row],[VigenciaMeses]]=0,Tabela1[[#This Row],[valTotal]]/1,Tabela1[[#This Row],[valTotal]]/Tabela1[[#This Row],[VigenciaMeses]])</f>
        <v>206.25</v>
      </c>
      <c r="AD298" s="2">
        <f>Tabela1[[#This Row],[valMensal]]*12</f>
        <v>2475</v>
      </c>
      <c r="AE298" s="2">
        <v>2475</v>
      </c>
      <c r="AF298" s="2">
        <v>0</v>
      </c>
      <c r="AG298" s="2">
        <v>2475</v>
      </c>
      <c r="AH298" s="2">
        <v>0</v>
      </c>
      <c r="AI298" s="2">
        <v>0</v>
      </c>
      <c r="AJ298" t="s">
        <v>47</v>
      </c>
    </row>
    <row r="299" spans="1:36" x14ac:dyDescent="0.25">
      <c r="A299" t="s">
        <v>36</v>
      </c>
      <c r="B299" t="s">
        <v>37</v>
      </c>
      <c r="C299" t="s">
        <v>38</v>
      </c>
      <c r="D299" t="s">
        <v>39</v>
      </c>
      <c r="E299">
        <v>14</v>
      </c>
      <c r="F299">
        <v>122</v>
      </c>
      <c r="G299">
        <v>3024</v>
      </c>
      <c r="H299">
        <v>2100</v>
      </c>
      <c r="I299" t="s">
        <v>48</v>
      </c>
      <c r="J299" t="s">
        <v>49</v>
      </c>
      <c r="K299" t="s">
        <v>50</v>
      </c>
      <c r="L299">
        <v>12</v>
      </c>
      <c r="M299" t="s">
        <v>51</v>
      </c>
      <c r="N299">
        <v>2025</v>
      </c>
      <c r="O299">
        <v>16032</v>
      </c>
      <c r="Q299" t="s">
        <v>1286</v>
      </c>
      <c r="R299" t="s">
        <v>1287</v>
      </c>
      <c r="U299" t="s">
        <v>1288</v>
      </c>
      <c r="V299">
        <v>12</v>
      </c>
      <c r="W299" t="str">
        <f ca="1">IF(Tabela1[[#This Row],[datVigencia]]=0,"Expirado",IF(Tabela1[[#This Row],[datVigencia]]&gt;TODAY(),"Vigente","Expirado"))</f>
        <v>Vigente</v>
      </c>
      <c r="X299" s="2">
        <v>2308.6</v>
      </c>
      <c r="Y299" s="2">
        <v>0</v>
      </c>
      <c r="Z299" s="2">
        <v>0</v>
      </c>
      <c r="AA299" s="2">
        <v>0</v>
      </c>
      <c r="AB299" s="2">
        <f>Tabela1[[#This Row],[valPrincipal]]+Tabela1[[#This Row],[valReajustes]]+Tabela1[[#This Row],[valAditamentos]]-Tabela1[[#This Row],[valAnulacao]]</f>
        <v>2308.6</v>
      </c>
      <c r="AC299" s="2">
        <f>IF(Tabela1[[#This Row],[VigenciaMeses]]=0,Tabela1[[#This Row],[valTotal]]/1,Tabela1[[#This Row],[valTotal]]/Tabela1[[#This Row],[VigenciaMeses]])</f>
        <v>192.38333333333333</v>
      </c>
      <c r="AD299" s="2">
        <f>Tabela1[[#This Row],[valMensal]]*12</f>
        <v>2308.6</v>
      </c>
      <c r="AE299" s="2">
        <v>2308.6</v>
      </c>
      <c r="AF299" s="2">
        <v>0</v>
      </c>
      <c r="AG299" s="2">
        <v>2308.6</v>
      </c>
      <c r="AH299" s="2">
        <v>2308.6</v>
      </c>
      <c r="AI299" s="2">
        <v>0</v>
      </c>
      <c r="AJ299" t="s">
        <v>47</v>
      </c>
    </row>
    <row r="300" spans="1:36" x14ac:dyDescent="0.25">
      <c r="A300" t="s">
        <v>36</v>
      </c>
      <c r="B300" t="s">
        <v>37</v>
      </c>
      <c r="C300" t="s">
        <v>38</v>
      </c>
      <c r="D300" t="s">
        <v>39</v>
      </c>
      <c r="E300">
        <v>14</v>
      </c>
      <c r="F300">
        <v>122</v>
      </c>
      <c r="G300">
        <v>3024</v>
      </c>
      <c r="H300">
        <v>2100</v>
      </c>
      <c r="I300" t="s">
        <v>48</v>
      </c>
      <c r="J300" t="s">
        <v>951</v>
      </c>
      <c r="K300" t="s">
        <v>952</v>
      </c>
      <c r="L300">
        <v>7</v>
      </c>
      <c r="M300" t="s">
        <v>324</v>
      </c>
      <c r="N300">
        <v>2025</v>
      </c>
      <c r="O300">
        <v>9194</v>
      </c>
      <c r="Q300" t="s">
        <v>961</v>
      </c>
      <c r="R300" t="s">
        <v>962</v>
      </c>
      <c r="U300" t="s">
        <v>955</v>
      </c>
      <c r="V300">
        <v>12</v>
      </c>
      <c r="W300" t="str">
        <f ca="1">IF(Tabela1[[#This Row],[datVigencia]]=0,"Expirado",IF(Tabela1[[#This Row],[datVigencia]]&gt;TODAY(),"Vigente","Expirado"))</f>
        <v>Vigente</v>
      </c>
      <c r="X300" s="2">
        <v>2210.9</v>
      </c>
      <c r="Y300" s="2">
        <v>0</v>
      </c>
      <c r="Z300" s="2">
        <v>0</v>
      </c>
      <c r="AA300" s="2">
        <v>0</v>
      </c>
      <c r="AB300" s="2">
        <f>Tabela1[[#This Row],[valPrincipal]]+Tabela1[[#This Row],[valReajustes]]+Tabela1[[#This Row],[valAditamentos]]-Tabela1[[#This Row],[valAnulacao]]</f>
        <v>2210.9</v>
      </c>
      <c r="AC300" s="2">
        <f>IF(Tabela1[[#This Row],[VigenciaMeses]]=0,Tabela1[[#This Row],[valTotal]]/1,Tabela1[[#This Row],[valTotal]]/Tabela1[[#This Row],[VigenciaMeses]])</f>
        <v>184.24166666666667</v>
      </c>
      <c r="AD300" s="2">
        <f>Tabela1[[#This Row],[valMensal]]*12</f>
        <v>2210.9</v>
      </c>
      <c r="AE300" s="2">
        <v>2210.9</v>
      </c>
      <c r="AF300" s="2">
        <v>0</v>
      </c>
      <c r="AG300" s="2">
        <v>2210.9</v>
      </c>
      <c r="AH300" s="2">
        <v>2210.9</v>
      </c>
      <c r="AI300" s="2">
        <v>2210.9</v>
      </c>
      <c r="AJ300" t="s">
        <v>47</v>
      </c>
    </row>
    <row r="301" spans="1:36" x14ac:dyDescent="0.25">
      <c r="A301" t="s">
        <v>36</v>
      </c>
      <c r="B301" t="s">
        <v>37</v>
      </c>
      <c r="C301" t="s">
        <v>38</v>
      </c>
      <c r="D301" t="s">
        <v>39</v>
      </c>
      <c r="E301">
        <v>14</v>
      </c>
      <c r="F301">
        <v>122</v>
      </c>
      <c r="G301">
        <v>3024</v>
      </c>
      <c r="H301">
        <v>2100</v>
      </c>
      <c r="I301" t="s">
        <v>157</v>
      </c>
      <c r="J301" t="s">
        <v>406</v>
      </c>
      <c r="K301" t="s">
        <v>407</v>
      </c>
      <c r="L301">
        <v>12</v>
      </c>
      <c r="M301" t="s">
        <v>51</v>
      </c>
      <c r="N301">
        <v>2025</v>
      </c>
      <c r="O301">
        <v>5047</v>
      </c>
      <c r="Q301" t="s">
        <v>512</v>
      </c>
      <c r="R301" t="s">
        <v>514</v>
      </c>
      <c r="V301">
        <v>12</v>
      </c>
      <c r="W301" t="str">
        <f ca="1">IF(Tabela1[[#This Row],[datVigencia]]=0,"Expirado",IF(Tabela1[[#This Row],[datVigencia]]&gt;TODAY(),"Vigente","Expirado"))</f>
        <v>Expirado</v>
      </c>
      <c r="X301" s="2">
        <v>2140</v>
      </c>
      <c r="Y301" s="2">
        <v>0</v>
      </c>
      <c r="Z301" s="2">
        <v>0</v>
      </c>
      <c r="AA301" s="2">
        <v>0</v>
      </c>
      <c r="AB301" s="2">
        <f>Tabela1[[#This Row],[valPrincipal]]+Tabela1[[#This Row],[valReajustes]]+Tabela1[[#This Row],[valAditamentos]]-Tabela1[[#This Row],[valAnulacao]]</f>
        <v>2140</v>
      </c>
      <c r="AC301" s="2">
        <f>IF(Tabela1[[#This Row],[VigenciaMeses]]=0,Tabela1[[#This Row],[valTotal]]/1,Tabela1[[#This Row],[valTotal]]/Tabela1[[#This Row],[VigenciaMeses]])</f>
        <v>178.33333333333334</v>
      </c>
      <c r="AD301" s="2">
        <f>Tabela1[[#This Row],[valMensal]]*12</f>
        <v>2140</v>
      </c>
      <c r="AE301" s="2">
        <v>2140</v>
      </c>
      <c r="AF301" s="2">
        <v>0</v>
      </c>
      <c r="AG301" s="2">
        <v>2140</v>
      </c>
      <c r="AH301" s="2">
        <v>0</v>
      </c>
      <c r="AI301" s="2">
        <v>0</v>
      </c>
      <c r="AJ301" t="s">
        <v>47</v>
      </c>
    </row>
    <row r="302" spans="1:36" x14ac:dyDescent="0.25">
      <c r="A302" t="s">
        <v>36</v>
      </c>
      <c r="B302" t="s">
        <v>37</v>
      </c>
      <c r="C302" t="s">
        <v>38</v>
      </c>
      <c r="D302" t="s">
        <v>39</v>
      </c>
      <c r="E302">
        <v>14</v>
      </c>
      <c r="F302">
        <v>422</v>
      </c>
      <c r="G302">
        <v>3013</v>
      </c>
      <c r="H302">
        <v>2053</v>
      </c>
      <c r="I302" t="s">
        <v>48</v>
      </c>
      <c r="J302" t="s">
        <v>55</v>
      </c>
      <c r="K302" t="s">
        <v>56</v>
      </c>
      <c r="L302">
        <v>12</v>
      </c>
      <c r="M302" t="s">
        <v>51</v>
      </c>
      <c r="N302">
        <v>2023</v>
      </c>
      <c r="O302">
        <v>6212</v>
      </c>
      <c r="P302" t="s">
        <v>926</v>
      </c>
      <c r="Q302" t="s">
        <v>927</v>
      </c>
      <c r="R302" t="s">
        <v>928</v>
      </c>
      <c r="S302" t="s">
        <v>89</v>
      </c>
      <c r="T302" t="s">
        <v>90</v>
      </c>
      <c r="U302" t="s">
        <v>929</v>
      </c>
      <c r="V302">
        <v>37</v>
      </c>
      <c r="W302" t="str">
        <f ca="1">IF(Tabela1[[#This Row],[datVigencia]]=0,"Expirado",IF(Tabela1[[#This Row],[datVigencia]]&gt;TODAY(),"Vigente","Expirado"))</f>
        <v>Vigente</v>
      </c>
      <c r="X302" s="2">
        <v>2046.32</v>
      </c>
      <c r="Y302" s="2">
        <v>0</v>
      </c>
      <c r="Z302" s="2">
        <v>4492.6400000000003</v>
      </c>
      <c r="AA302" s="2">
        <v>0</v>
      </c>
      <c r="AB302" s="2">
        <f>Tabela1[[#This Row],[valPrincipal]]+Tabela1[[#This Row],[valReajustes]]+Tabela1[[#This Row],[valAditamentos]]-Tabela1[[#This Row],[valAnulacao]]</f>
        <v>6538.96</v>
      </c>
      <c r="AC302" s="2">
        <f>IF(Tabela1[[#This Row],[VigenciaMeses]]=0,Tabela1[[#This Row],[valTotal]]/1,Tabela1[[#This Row],[valTotal]]/Tabela1[[#This Row],[VigenciaMeses]])</f>
        <v>176.72864864864866</v>
      </c>
      <c r="AD302" s="2">
        <f>Tabela1[[#This Row],[valMensal]]*12</f>
        <v>2120.7437837837838</v>
      </c>
      <c r="AE302" s="2">
        <v>6818.96</v>
      </c>
      <c r="AF302" s="2">
        <v>2206.3200000000002</v>
      </c>
      <c r="AG302" s="2">
        <v>4612.6400000000003</v>
      </c>
      <c r="AH302" s="2">
        <v>3229.48</v>
      </c>
      <c r="AI302" s="2">
        <v>2366.3200000000002</v>
      </c>
      <c r="AJ302" t="s">
        <v>47</v>
      </c>
    </row>
    <row r="303" spans="1:36" x14ac:dyDescent="0.25">
      <c r="A303" t="s">
        <v>36</v>
      </c>
      <c r="B303" t="s">
        <v>37</v>
      </c>
      <c r="C303" t="s">
        <v>38</v>
      </c>
      <c r="D303" t="s">
        <v>39</v>
      </c>
      <c r="E303">
        <v>14</v>
      </c>
      <c r="F303">
        <v>422</v>
      </c>
      <c r="G303">
        <v>3023</v>
      </c>
      <c r="H303">
        <v>4321</v>
      </c>
      <c r="I303" t="s">
        <v>48</v>
      </c>
      <c r="J303" t="s">
        <v>49</v>
      </c>
      <c r="K303" t="s">
        <v>50</v>
      </c>
      <c r="L303">
        <v>12</v>
      </c>
      <c r="M303" t="s">
        <v>51</v>
      </c>
      <c r="N303">
        <v>2025</v>
      </c>
      <c r="O303">
        <v>2482</v>
      </c>
      <c r="Q303" t="s">
        <v>364</v>
      </c>
      <c r="R303" t="s">
        <v>365</v>
      </c>
      <c r="U303" t="s">
        <v>366</v>
      </c>
      <c r="V303">
        <v>12</v>
      </c>
      <c r="W303" t="str">
        <f ca="1">IF(Tabela1[[#This Row],[datVigencia]]=0,"Expirado",IF(Tabela1[[#This Row],[datVigencia]]&gt;TODAY(),"Vigente","Expirado"))</f>
        <v>Vigente</v>
      </c>
      <c r="X303" s="2">
        <v>2009.6</v>
      </c>
      <c r="Y303" s="2">
        <v>0</v>
      </c>
      <c r="Z303" s="2">
        <v>0</v>
      </c>
      <c r="AA303" s="2">
        <v>0</v>
      </c>
      <c r="AB303" s="2">
        <f>Tabela1[[#This Row],[valPrincipal]]+Tabela1[[#This Row],[valReajustes]]+Tabela1[[#This Row],[valAditamentos]]-Tabela1[[#This Row],[valAnulacao]]</f>
        <v>2009.6</v>
      </c>
      <c r="AC303" s="2">
        <f>IF(Tabela1[[#This Row],[VigenciaMeses]]=0,Tabela1[[#This Row],[valTotal]]/1,Tabela1[[#This Row],[valTotal]]/Tabela1[[#This Row],[VigenciaMeses]])</f>
        <v>167.46666666666667</v>
      </c>
      <c r="AD303" s="2">
        <f>Tabela1[[#This Row],[valMensal]]*12</f>
        <v>2009.6</v>
      </c>
      <c r="AE303" s="2">
        <v>2009.6</v>
      </c>
      <c r="AF303" s="2">
        <v>0</v>
      </c>
      <c r="AG303" s="2">
        <v>2009.6</v>
      </c>
      <c r="AH303" s="2">
        <v>2009.6</v>
      </c>
      <c r="AI303" s="2">
        <v>2009.6</v>
      </c>
      <c r="AJ303" t="s">
        <v>47</v>
      </c>
    </row>
    <row r="304" spans="1:36" x14ac:dyDescent="0.25">
      <c r="A304" t="s">
        <v>36</v>
      </c>
      <c r="B304" t="s">
        <v>37</v>
      </c>
      <c r="C304" t="s">
        <v>38</v>
      </c>
      <c r="D304" t="s">
        <v>39</v>
      </c>
      <c r="E304">
        <v>14</v>
      </c>
      <c r="F304">
        <v>422</v>
      </c>
      <c r="G304">
        <v>3013</v>
      </c>
      <c r="H304">
        <v>2431</v>
      </c>
      <c r="I304" t="s">
        <v>48</v>
      </c>
      <c r="J304" t="s">
        <v>49</v>
      </c>
      <c r="K304" t="s">
        <v>50</v>
      </c>
      <c r="L304">
        <v>12</v>
      </c>
      <c r="M304" t="s">
        <v>51</v>
      </c>
      <c r="N304">
        <v>2025</v>
      </c>
      <c r="O304">
        <v>4800</v>
      </c>
      <c r="Q304" t="s">
        <v>823</v>
      </c>
      <c r="R304" t="s">
        <v>824</v>
      </c>
      <c r="U304" t="s">
        <v>825</v>
      </c>
      <c r="V304">
        <v>12</v>
      </c>
      <c r="W304" t="str">
        <f ca="1">IF(Tabela1[[#This Row],[datVigencia]]=0,"Expirado",IF(Tabela1[[#This Row],[datVigencia]]&gt;TODAY(),"Vigente","Expirado"))</f>
        <v>Vigente</v>
      </c>
      <c r="X304" s="2">
        <v>2009.6</v>
      </c>
      <c r="Y304" s="2">
        <v>0</v>
      </c>
      <c r="Z304" s="2">
        <v>0</v>
      </c>
      <c r="AA304" s="2">
        <v>0</v>
      </c>
      <c r="AB304" s="2">
        <f>Tabela1[[#This Row],[valPrincipal]]+Tabela1[[#This Row],[valReajustes]]+Tabela1[[#This Row],[valAditamentos]]-Tabela1[[#This Row],[valAnulacao]]</f>
        <v>2009.6</v>
      </c>
      <c r="AC304" s="2">
        <f>IF(Tabela1[[#This Row],[VigenciaMeses]]=0,Tabela1[[#This Row],[valTotal]]/1,Tabela1[[#This Row],[valTotal]]/Tabela1[[#This Row],[VigenciaMeses]])</f>
        <v>167.46666666666667</v>
      </c>
      <c r="AD304" s="2">
        <f>Tabela1[[#This Row],[valMensal]]*12</f>
        <v>2009.6</v>
      </c>
      <c r="AE304" s="2">
        <v>2009.6</v>
      </c>
      <c r="AF304" s="2">
        <v>0</v>
      </c>
      <c r="AG304" s="2">
        <v>2009.6</v>
      </c>
      <c r="AH304" s="2">
        <v>2009.6</v>
      </c>
      <c r="AI304" s="2">
        <v>2009.6</v>
      </c>
      <c r="AJ304" t="s">
        <v>47</v>
      </c>
    </row>
    <row r="305" spans="1:36" x14ac:dyDescent="0.25">
      <c r="A305" t="s">
        <v>36</v>
      </c>
      <c r="B305" t="s">
        <v>37</v>
      </c>
      <c r="C305" t="s">
        <v>38</v>
      </c>
      <c r="D305" t="s">
        <v>39</v>
      </c>
      <c r="E305">
        <v>14</v>
      </c>
      <c r="F305">
        <v>122</v>
      </c>
      <c r="G305">
        <v>3024</v>
      </c>
      <c r="H305">
        <v>2100</v>
      </c>
      <c r="I305" t="s">
        <v>48</v>
      </c>
      <c r="J305" t="s">
        <v>49</v>
      </c>
      <c r="K305" t="s">
        <v>50</v>
      </c>
      <c r="L305">
        <v>12</v>
      </c>
      <c r="M305" t="s">
        <v>51</v>
      </c>
      <c r="N305">
        <v>2025</v>
      </c>
      <c r="O305">
        <v>9198</v>
      </c>
      <c r="Q305" t="s">
        <v>965</v>
      </c>
      <c r="R305" t="s">
        <v>966</v>
      </c>
      <c r="U305" t="s">
        <v>344</v>
      </c>
      <c r="V305">
        <v>12</v>
      </c>
      <c r="W305" t="str">
        <f ca="1">IF(Tabela1[[#This Row],[datVigencia]]=0,"Expirado",IF(Tabela1[[#This Row],[datVigencia]]&gt;TODAY(),"Vigente","Expirado"))</f>
        <v>Vigente</v>
      </c>
      <c r="X305" s="2">
        <v>2009.6</v>
      </c>
      <c r="Y305" s="2">
        <v>0</v>
      </c>
      <c r="Z305" s="2">
        <v>0</v>
      </c>
      <c r="AA305" s="2">
        <v>0</v>
      </c>
      <c r="AB305" s="2">
        <f>Tabela1[[#This Row],[valPrincipal]]+Tabela1[[#This Row],[valReajustes]]+Tabela1[[#This Row],[valAditamentos]]-Tabela1[[#This Row],[valAnulacao]]</f>
        <v>2009.6</v>
      </c>
      <c r="AC305" s="2">
        <f>IF(Tabela1[[#This Row],[VigenciaMeses]]=0,Tabela1[[#This Row],[valTotal]]/1,Tabela1[[#This Row],[valTotal]]/Tabela1[[#This Row],[VigenciaMeses]])</f>
        <v>167.46666666666667</v>
      </c>
      <c r="AD305" s="2">
        <f>Tabela1[[#This Row],[valMensal]]*12</f>
        <v>2009.6</v>
      </c>
      <c r="AE305" s="2">
        <v>2009.6</v>
      </c>
      <c r="AF305" s="2">
        <v>0</v>
      </c>
      <c r="AG305" s="2">
        <v>2009.6</v>
      </c>
      <c r="AH305" s="2">
        <v>2009.6</v>
      </c>
      <c r="AI305" s="2">
        <v>2009.6</v>
      </c>
      <c r="AJ305" t="s">
        <v>47</v>
      </c>
    </row>
    <row r="306" spans="1:36" x14ac:dyDescent="0.25">
      <c r="A306" t="s">
        <v>36</v>
      </c>
      <c r="B306" t="s">
        <v>37</v>
      </c>
      <c r="C306" t="s">
        <v>38</v>
      </c>
      <c r="D306" t="s">
        <v>39</v>
      </c>
      <c r="E306">
        <v>14</v>
      </c>
      <c r="F306">
        <v>422</v>
      </c>
      <c r="G306">
        <v>3013</v>
      </c>
      <c r="H306">
        <v>2431</v>
      </c>
      <c r="I306" t="s">
        <v>48</v>
      </c>
      <c r="J306" t="s">
        <v>49</v>
      </c>
      <c r="K306" t="s">
        <v>50</v>
      </c>
      <c r="L306">
        <v>12</v>
      </c>
      <c r="M306" t="s">
        <v>51</v>
      </c>
      <c r="N306">
        <v>2025</v>
      </c>
      <c r="O306">
        <v>11161</v>
      </c>
      <c r="Q306" t="s">
        <v>1064</v>
      </c>
      <c r="R306" t="s">
        <v>1065</v>
      </c>
      <c r="U306" t="s">
        <v>1046</v>
      </c>
      <c r="V306">
        <v>12</v>
      </c>
      <c r="W306" t="str">
        <f ca="1">IF(Tabela1[[#This Row],[datVigencia]]=0,"Expirado",IF(Tabela1[[#This Row],[datVigencia]]&gt;TODAY(),"Vigente","Expirado"))</f>
        <v>Vigente</v>
      </c>
      <c r="X306" s="2">
        <v>2009.6</v>
      </c>
      <c r="Y306" s="2">
        <v>0</v>
      </c>
      <c r="Z306" s="2">
        <v>0</v>
      </c>
      <c r="AA306" s="2">
        <v>0</v>
      </c>
      <c r="AB306" s="2">
        <f>Tabela1[[#This Row],[valPrincipal]]+Tabela1[[#This Row],[valReajustes]]+Tabela1[[#This Row],[valAditamentos]]-Tabela1[[#This Row],[valAnulacao]]</f>
        <v>2009.6</v>
      </c>
      <c r="AC306" s="2">
        <f>IF(Tabela1[[#This Row],[VigenciaMeses]]=0,Tabela1[[#This Row],[valTotal]]/1,Tabela1[[#This Row],[valTotal]]/Tabela1[[#This Row],[VigenciaMeses]])</f>
        <v>167.46666666666667</v>
      </c>
      <c r="AD306" s="2">
        <f>Tabela1[[#This Row],[valMensal]]*12</f>
        <v>2009.6</v>
      </c>
      <c r="AE306" s="2">
        <v>2009.6</v>
      </c>
      <c r="AF306" s="2">
        <v>0</v>
      </c>
      <c r="AG306" s="2">
        <v>2009.6</v>
      </c>
      <c r="AH306" s="2">
        <v>2009.6</v>
      </c>
      <c r="AI306" s="2">
        <v>2009.6</v>
      </c>
      <c r="AJ306" t="s">
        <v>47</v>
      </c>
    </row>
    <row r="307" spans="1:36" x14ac:dyDescent="0.25">
      <c r="A307" t="s">
        <v>36</v>
      </c>
      <c r="B307" t="s">
        <v>37</v>
      </c>
      <c r="C307" t="s">
        <v>38</v>
      </c>
      <c r="D307" t="s">
        <v>39</v>
      </c>
      <c r="E307">
        <v>14</v>
      </c>
      <c r="F307">
        <v>422</v>
      </c>
      <c r="G307">
        <v>3013</v>
      </c>
      <c r="H307">
        <v>2431</v>
      </c>
      <c r="I307" t="s">
        <v>48</v>
      </c>
      <c r="J307" t="s">
        <v>207</v>
      </c>
      <c r="K307" t="s">
        <v>208</v>
      </c>
      <c r="L307">
        <v>12</v>
      </c>
      <c r="M307" t="s">
        <v>51</v>
      </c>
      <c r="N307">
        <v>2025</v>
      </c>
      <c r="O307">
        <v>14393</v>
      </c>
      <c r="Q307" t="s">
        <v>1232</v>
      </c>
      <c r="R307" t="s">
        <v>1233</v>
      </c>
      <c r="V307">
        <v>12</v>
      </c>
      <c r="W307" t="str">
        <f ca="1">IF(Tabela1[[#This Row],[datVigencia]]=0,"Expirado",IF(Tabela1[[#This Row],[datVigencia]]&gt;TODAY(),"Vigente","Expirado"))</f>
        <v>Expirado</v>
      </c>
      <c r="X307" s="2">
        <v>2009.6</v>
      </c>
      <c r="Y307" s="2">
        <v>0</v>
      </c>
      <c r="Z307" s="2">
        <v>0</v>
      </c>
      <c r="AA307" s="2">
        <v>0</v>
      </c>
      <c r="AB307" s="2">
        <f>Tabela1[[#This Row],[valPrincipal]]+Tabela1[[#This Row],[valReajustes]]+Tabela1[[#This Row],[valAditamentos]]-Tabela1[[#This Row],[valAnulacao]]</f>
        <v>2009.6</v>
      </c>
      <c r="AC307" s="2">
        <f>IF(Tabela1[[#This Row],[VigenciaMeses]]=0,Tabela1[[#This Row],[valTotal]]/1,Tabela1[[#This Row],[valTotal]]/Tabela1[[#This Row],[VigenciaMeses]])</f>
        <v>167.46666666666667</v>
      </c>
      <c r="AD307" s="2">
        <f>Tabela1[[#This Row],[valMensal]]*12</f>
        <v>2009.6</v>
      </c>
      <c r="AE307" s="2">
        <v>2009.6</v>
      </c>
      <c r="AF307" s="2">
        <v>0</v>
      </c>
      <c r="AG307" s="2">
        <v>2009.6</v>
      </c>
      <c r="AH307" s="2">
        <v>0</v>
      </c>
      <c r="AI307" s="2">
        <v>0</v>
      </c>
      <c r="AJ307" t="s">
        <v>47</v>
      </c>
    </row>
    <row r="308" spans="1:36" x14ac:dyDescent="0.25">
      <c r="A308" t="s">
        <v>36</v>
      </c>
      <c r="B308" t="s">
        <v>37</v>
      </c>
      <c r="C308" t="s">
        <v>38</v>
      </c>
      <c r="D308" t="s">
        <v>39</v>
      </c>
      <c r="E308">
        <v>14</v>
      </c>
      <c r="F308">
        <v>422</v>
      </c>
      <c r="G308">
        <v>3013</v>
      </c>
      <c r="H308">
        <v>4322</v>
      </c>
      <c r="I308" t="s">
        <v>1000</v>
      </c>
      <c r="J308" t="s">
        <v>55</v>
      </c>
      <c r="K308" t="s">
        <v>56</v>
      </c>
      <c r="L308">
        <v>7</v>
      </c>
      <c r="M308" t="s">
        <v>324</v>
      </c>
      <c r="N308">
        <v>2025</v>
      </c>
      <c r="O308">
        <v>11752</v>
      </c>
      <c r="P308" t="s">
        <v>1103</v>
      </c>
      <c r="Q308" t="s">
        <v>1104</v>
      </c>
      <c r="R308" t="s">
        <v>1105</v>
      </c>
      <c r="S308" t="s">
        <v>1106</v>
      </c>
      <c r="T308" t="s">
        <v>709</v>
      </c>
      <c r="U308" t="s">
        <v>1107</v>
      </c>
      <c r="V308">
        <v>1</v>
      </c>
      <c r="W308" t="str">
        <f ca="1">IF(Tabela1[[#This Row],[datVigencia]]=0,"Expirado",IF(Tabela1[[#This Row],[datVigencia]]&gt;TODAY(),"Vigente","Expirado"))</f>
        <v>Vigente</v>
      </c>
      <c r="X308" s="2">
        <v>2000</v>
      </c>
      <c r="Y308" s="2">
        <v>0</v>
      </c>
      <c r="Z308" s="2">
        <v>0</v>
      </c>
      <c r="AA308" s="2">
        <v>0</v>
      </c>
      <c r="AB308" s="2">
        <f>Tabela1[[#This Row],[valPrincipal]]+Tabela1[[#This Row],[valReajustes]]+Tabela1[[#This Row],[valAditamentos]]-Tabela1[[#This Row],[valAnulacao]]</f>
        <v>2000</v>
      </c>
      <c r="AC308" s="2">
        <f>IF(Tabela1[[#This Row],[VigenciaMeses]]=0,Tabela1[[#This Row],[valTotal]]/1,Tabela1[[#This Row],[valTotal]]/Tabela1[[#This Row],[VigenciaMeses]])</f>
        <v>2000</v>
      </c>
      <c r="AD308" s="2">
        <f>Tabela1[[#This Row],[valMensal]]*12</f>
        <v>24000</v>
      </c>
      <c r="AE308" s="2">
        <v>2000</v>
      </c>
      <c r="AF308" s="2">
        <v>0</v>
      </c>
      <c r="AG308" s="2">
        <v>2000</v>
      </c>
      <c r="AH308" s="2">
        <v>2000</v>
      </c>
      <c r="AI308" s="2">
        <v>0</v>
      </c>
      <c r="AJ308" t="s">
        <v>47</v>
      </c>
    </row>
    <row r="309" spans="1:36" x14ac:dyDescent="0.25">
      <c r="A309" t="s">
        <v>36</v>
      </c>
      <c r="B309" t="s">
        <v>1076</v>
      </c>
      <c r="C309" t="s">
        <v>1077</v>
      </c>
      <c r="D309" t="s">
        <v>39</v>
      </c>
      <c r="E309">
        <v>14</v>
      </c>
      <c r="F309">
        <v>422</v>
      </c>
      <c r="G309">
        <v>3018</v>
      </c>
      <c r="H309">
        <v>4326</v>
      </c>
      <c r="I309" t="s">
        <v>48</v>
      </c>
      <c r="J309" t="s">
        <v>55</v>
      </c>
      <c r="K309" t="s">
        <v>56</v>
      </c>
      <c r="L309">
        <v>7</v>
      </c>
      <c r="M309" t="s">
        <v>324</v>
      </c>
      <c r="N309">
        <v>2025</v>
      </c>
      <c r="O309">
        <v>16719</v>
      </c>
      <c r="Q309" t="s">
        <v>1306</v>
      </c>
      <c r="R309" t="s">
        <v>1307</v>
      </c>
      <c r="V309">
        <v>12</v>
      </c>
      <c r="W309" t="str">
        <f ca="1">IF(Tabela1[[#This Row],[datVigencia]]=0,"Expirado",IF(Tabela1[[#This Row],[datVigencia]]&gt;TODAY(),"Vigente","Expirado"))</f>
        <v>Expirado</v>
      </c>
      <c r="X309" s="2">
        <v>2000</v>
      </c>
      <c r="Y309" s="2">
        <v>0</v>
      </c>
      <c r="Z309" s="2">
        <v>0</v>
      </c>
      <c r="AA309" s="2">
        <v>0</v>
      </c>
      <c r="AB309" s="2">
        <f>Tabela1[[#This Row],[valPrincipal]]+Tabela1[[#This Row],[valReajustes]]+Tabela1[[#This Row],[valAditamentos]]-Tabela1[[#This Row],[valAnulacao]]</f>
        <v>2000</v>
      </c>
      <c r="AC309" s="2">
        <f>IF(Tabela1[[#This Row],[VigenciaMeses]]=0,Tabela1[[#This Row],[valTotal]]/1,Tabela1[[#This Row],[valTotal]]/Tabela1[[#This Row],[VigenciaMeses]])</f>
        <v>166.66666666666666</v>
      </c>
      <c r="AD309" s="2">
        <f>Tabela1[[#This Row],[valMensal]]*12</f>
        <v>2000</v>
      </c>
      <c r="AE309" s="2">
        <v>2000</v>
      </c>
      <c r="AF309" s="2">
        <v>0</v>
      </c>
      <c r="AG309" s="2">
        <v>2000</v>
      </c>
      <c r="AH309" s="2">
        <v>0</v>
      </c>
      <c r="AI309" s="2">
        <v>0</v>
      </c>
      <c r="AJ309" t="s">
        <v>47</v>
      </c>
    </row>
    <row r="310" spans="1:36" x14ac:dyDescent="0.25">
      <c r="A310" t="s">
        <v>36</v>
      </c>
      <c r="B310" t="s">
        <v>1076</v>
      </c>
      <c r="C310" t="s">
        <v>1077</v>
      </c>
      <c r="D310" t="s">
        <v>39</v>
      </c>
      <c r="E310">
        <v>14</v>
      </c>
      <c r="F310">
        <v>422</v>
      </c>
      <c r="G310">
        <v>3018</v>
      </c>
      <c r="H310">
        <v>4326</v>
      </c>
      <c r="I310" t="s">
        <v>48</v>
      </c>
      <c r="J310" t="s">
        <v>55</v>
      </c>
      <c r="K310" t="s">
        <v>56</v>
      </c>
      <c r="L310">
        <v>7</v>
      </c>
      <c r="M310" t="s">
        <v>324</v>
      </c>
      <c r="N310">
        <v>2025</v>
      </c>
      <c r="O310">
        <v>16735</v>
      </c>
      <c r="Q310" t="s">
        <v>1321</v>
      </c>
      <c r="R310" t="s">
        <v>1322</v>
      </c>
      <c r="V310">
        <v>12</v>
      </c>
      <c r="W310" t="str">
        <f ca="1">IF(Tabela1[[#This Row],[datVigencia]]=0,"Expirado",IF(Tabela1[[#This Row],[datVigencia]]&gt;TODAY(),"Vigente","Expirado"))</f>
        <v>Expirado</v>
      </c>
      <c r="X310" s="2">
        <v>2000</v>
      </c>
      <c r="Y310" s="2">
        <v>0</v>
      </c>
      <c r="Z310" s="2">
        <v>0</v>
      </c>
      <c r="AA310" s="2">
        <v>0</v>
      </c>
      <c r="AB310" s="2">
        <f>Tabela1[[#This Row],[valPrincipal]]+Tabela1[[#This Row],[valReajustes]]+Tabela1[[#This Row],[valAditamentos]]-Tabela1[[#This Row],[valAnulacao]]</f>
        <v>2000</v>
      </c>
      <c r="AC310" s="2">
        <f>IF(Tabela1[[#This Row],[VigenciaMeses]]=0,Tabela1[[#This Row],[valTotal]]/1,Tabela1[[#This Row],[valTotal]]/Tabela1[[#This Row],[VigenciaMeses]])</f>
        <v>166.66666666666666</v>
      </c>
      <c r="AD310" s="2">
        <f>Tabela1[[#This Row],[valMensal]]*12</f>
        <v>2000</v>
      </c>
      <c r="AE310" s="2">
        <v>2000</v>
      </c>
      <c r="AF310" s="2">
        <v>0</v>
      </c>
      <c r="AG310" s="2">
        <v>2000</v>
      </c>
      <c r="AH310" s="2">
        <v>0</v>
      </c>
      <c r="AI310" s="2">
        <v>0</v>
      </c>
      <c r="AJ310" t="s">
        <v>47</v>
      </c>
    </row>
    <row r="311" spans="1:36" x14ac:dyDescent="0.25">
      <c r="A311" t="s">
        <v>36</v>
      </c>
      <c r="B311" t="s">
        <v>1076</v>
      </c>
      <c r="C311" t="s">
        <v>1077</v>
      </c>
      <c r="D311" t="s">
        <v>39</v>
      </c>
      <c r="E311">
        <v>14</v>
      </c>
      <c r="F311">
        <v>422</v>
      </c>
      <c r="G311">
        <v>3018</v>
      </c>
      <c r="H311">
        <v>4326</v>
      </c>
      <c r="I311" t="s">
        <v>48</v>
      </c>
      <c r="J311" t="s">
        <v>55</v>
      </c>
      <c r="K311" t="s">
        <v>56</v>
      </c>
      <c r="L311">
        <v>7</v>
      </c>
      <c r="M311" t="s">
        <v>324</v>
      </c>
      <c r="N311">
        <v>2025</v>
      </c>
      <c r="O311">
        <v>16802</v>
      </c>
      <c r="Q311" t="s">
        <v>1381</v>
      </c>
      <c r="R311" t="s">
        <v>1382</v>
      </c>
      <c r="V311">
        <v>12</v>
      </c>
      <c r="W311" t="str">
        <f ca="1">IF(Tabela1[[#This Row],[datVigencia]]=0,"Expirado",IF(Tabela1[[#This Row],[datVigencia]]&gt;TODAY(),"Vigente","Expirado"))</f>
        <v>Expirado</v>
      </c>
      <c r="X311" s="2">
        <v>2000</v>
      </c>
      <c r="Y311" s="2">
        <v>0</v>
      </c>
      <c r="Z311" s="2">
        <v>0</v>
      </c>
      <c r="AA311" s="2">
        <v>0</v>
      </c>
      <c r="AB311" s="2">
        <f>Tabela1[[#This Row],[valPrincipal]]+Tabela1[[#This Row],[valReajustes]]+Tabela1[[#This Row],[valAditamentos]]-Tabela1[[#This Row],[valAnulacao]]</f>
        <v>2000</v>
      </c>
      <c r="AC311" s="2">
        <f>IF(Tabela1[[#This Row],[VigenciaMeses]]=0,Tabela1[[#This Row],[valTotal]]/1,Tabela1[[#This Row],[valTotal]]/Tabela1[[#This Row],[VigenciaMeses]])</f>
        <v>166.66666666666666</v>
      </c>
      <c r="AD311" s="2">
        <f>Tabela1[[#This Row],[valMensal]]*12</f>
        <v>2000</v>
      </c>
      <c r="AE311" s="2">
        <v>2000</v>
      </c>
      <c r="AF311" s="2">
        <v>0</v>
      </c>
      <c r="AG311" s="2">
        <v>2000</v>
      </c>
      <c r="AH311" s="2">
        <v>0</v>
      </c>
      <c r="AI311" s="2">
        <v>0</v>
      </c>
      <c r="AJ311" t="s">
        <v>47</v>
      </c>
    </row>
    <row r="312" spans="1:36" x14ac:dyDescent="0.25">
      <c r="A312" t="s">
        <v>36</v>
      </c>
      <c r="B312" t="s">
        <v>37</v>
      </c>
      <c r="C312" t="s">
        <v>38</v>
      </c>
      <c r="D312" t="s">
        <v>39</v>
      </c>
      <c r="E312">
        <v>14</v>
      </c>
      <c r="F312">
        <v>422</v>
      </c>
      <c r="G312">
        <v>3013</v>
      </c>
      <c r="H312">
        <v>2431</v>
      </c>
      <c r="I312" t="s">
        <v>48</v>
      </c>
      <c r="J312" t="s">
        <v>55</v>
      </c>
      <c r="K312" t="s">
        <v>56</v>
      </c>
      <c r="L312">
        <v>12</v>
      </c>
      <c r="M312" t="s">
        <v>51</v>
      </c>
      <c r="N312">
        <v>2025</v>
      </c>
      <c r="O312">
        <v>15700</v>
      </c>
      <c r="Q312" t="s">
        <v>1269</v>
      </c>
      <c r="R312" t="s">
        <v>1270</v>
      </c>
      <c r="V312">
        <v>12</v>
      </c>
      <c r="W312" t="str">
        <f ca="1">IF(Tabela1[[#This Row],[datVigencia]]=0,"Expirado",IF(Tabela1[[#This Row],[datVigencia]]&gt;TODAY(),"Vigente","Expirado"))</f>
        <v>Expirado</v>
      </c>
      <c r="X312" s="2">
        <v>1833.76</v>
      </c>
      <c r="Y312" s="2">
        <v>0</v>
      </c>
      <c r="Z312" s="2">
        <v>0</v>
      </c>
      <c r="AA312" s="2">
        <v>0</v>
      </c>
      <c r="AB312" s="2">
        <f>Tabela1[[#This Row],[valPrincipal]]+Tabela1[[#This Row],[valReajustes]]+Tabela1[[#This Row],[valAditamentos]]-Tabela1[[#This Row],[valAnulacao]]</f>
        <v>1833.76</v>
      </c>
      <c r="AC312" s="2">
        <f>IF(Tabela1[[#This Row],[VigenciaMeses]]=0,Tabela1[[#This Row],[valTotal]]/1,Tabela1[[#This Row],[valTotal]]/Tabela1[[#This Row],[VigenciaMeses]])</f>
        <v>152.81333333333333</v>
      </c>
      <c r="AD312" s="2">
        <f>Tabela1[[#This Row],[valMensal]]*12</f>
        <v>1833.76</v>
      </c>
      <c r="AE312" s="2">
        <v>1833.76</v>
      </c>
      <c r="AF312" s="2">
        <v>0</v>
      </c>
      <c r="AG312" s="2">
        <v>1833.76</v>
      </c>
      <c r="AH312" s="2">
        <v>0</v>
      </c>
      <c r="AI312" s="2">
        <v>0</v>
      </c>
      <c r="AJ312" t="s">
        <v>47</v>
      </c>
    </row>
    <row r="313" spans="1:36" x14ac:dyDescent="0.25">
      <c r="A313" t="s">
        <v>36</v>
      </c>
      <c r="B313" t="s">
        <v>37</v>
      </c>
      <c r="C313" t="s">
        <v>38</v>
      </c>
      <c r="D313" t="s">
        <v>39</v>
      </c>
      <c r="E313">
        <v>14</v>
      </c>
      <c r="F313">
        <v>122</v>
      </c>
      <c r="G313">
        <v>3024</v>
      </c>
      <c r="H313">
        <v>2100</v>
      </c>
      <c r="I313" t="s">
        <v>48</v>
      </c>
      <c r="J313" t="s">
        <v>49</v>
      </c>
      <c r="K313" t="s">
        <v>50</v>
      </c>
      <c r="L313">
        <v>12</v>
      </c>
      <c r="M313" t="s">
        <v>51</v>
      </c>
      <c r="N313">
        <v>2025</v>
      </c>
      <c r="O313">
        <v>9540</v>
      </c>
      <c r="Q313" t="s">
        <v>971</v>
      </c>
      <c r="R313" t="s">
        <v>972</v>
      </c>
      <c r="U313" t="s">
        <v>973</v>
      </c>
      <c r="V313">
        <v>12</v>
      </c>
      <c r="W313" t="str">
        <f ca="1">IF(Tabela1[[#This Row],[datVigencia]]=0,"Expirado",IF(Tabela1[[#This Row],[datVigencia]]&gt;TODAY(),"Vigente","Expirado"))</f>
        <v>Vigente</v>
      </c>
      <c r="X313" s="2">
        <v>1800.4</v>
      </c>
      <c r="Y313" s="2">
        <v>0</v>
      </c>
      <c r="Z313" s="2">
        <v>0</v>
      </c>
      <c r="AA313" s="2">
        <v>0</v>
      </c>
      <c r="AB313" s="2">
        <f>Tabela1[[#This Row],[valPrincipal]]+Tabela1[[#This Row],[valReajustes]]+Tabela1[[#This Row],[valAditamentos]]-Tabela1[[#This Row],[valAnulacao]]</f>
        <v>1800.4</v>
      </c>
      <c r="AC313" s="2">
        <f>IF(Tabela1[[#This Row],[VigenciaMeses]]=0,Tabela1[[#This Row],[valTotal]]/1,Tabela1[[#This Row],[valTotal]]/Tabela1[[#This Row],[VigenciaMeses]])</f>
        <v>150.03333333333333</v>
      </c>
      <c r="AD313" s="2">
        <f>Tabela1[[#This Row],[valMensal]]*12</f>
        <v>1800.4</v>
      </c>
      <c r="AE313" s="2">
        <v>1800.4</v>
      </c>
      <c r="AF313" s="2">
        <v>0</v>
      </c>
      <c r="AG313" s="2">
        <v>1800.4</v>
      </c>
      <c r="AH313" s="2">
        <v>1800.4</v>
      </c>
      <c r="AI313" s="2">
        <v>1800.4</v>
      </c>
      <c r="AJ313" t="s">
        <v>47</v>
      </c>
    </row>
    <row r="314" spans="1:36" x14ac:dyDescent="0.25">
      <c r="A314" t="s">
        <v>36</v>
      </c>
      <c r="B314" t="s">
        <v>37</v>
      </c>
      <c r="C314" t="s">
        <v>38</v>
      </c>
      <c r="D314" t="s">
        <v>39</v>
      </c>
      <c r="E314">
        <v>14</v>
      </c>
      <c r="F314">
        <v>122</v>
      </c>
      <c r="G314">
        <v>3024</v>
      </c>
      <c r="H314">
        <v>2100</v>
      </c>
      <c r="I314" t="s">
        <v>48</v>
      </c>
      <c r="J314" t="s">
        <v>207</v>
      </c>
      <c r="K314" t="s">
        <v>208</v>
      </c>
      <c r="L314">
        <v>12</v>
      </c>
      <c r="M314" t="s">
        <v>51</v>
      </c>
      <c r="N314">
        <v>2025</v>
      </c>
      <c r="O314">
        <v>14695</v>
      </c>
      <c r="Q314" t="s">
        <v>1253</v>
      </c>
      <c r="R314" t="s">
        <v>1197</v>
      </c>
      <c r="U314" t="s">
        <v>729</v>
      </c>
      <c r="V314">
        <v>12</v>
      </c>
      <c r="W314" t="str">
        <f ca="1">IF(Tabela1[[#This Row],[datVigencia]]=0,"Expirado",IF(Tabela1[[#This Row],[datVigencia]]&gt;TODAY(),"Vigente","Expirado"))</f>
        <v>Vigente</v>
      </c>
      <c r="X314" s="2">
        <v>1758.4</v>
      </c>
      <c r="Y314" s="2">
        <v>0</v>
      </c>
      <c r="Z314" s="2">
        <v>0</v>
      </c>
      <c r="AA314" s="2">
        <v>0</v>
      </c>
      <c r="AB314" s="2">
        <f>Tabela1[[#This Row],[valPrincipal]]+Tabela1[[#This Row],[valReajustes]]+Tabela1[[#This Row],[valAditamentos]]-Tabela1[[#This Row],[valAnulacao]]</f>
        <v>1758.4</v>
      </c>
      <c r="AC314" s="2">
        <f>IF(Tabela1[[#This Row],[VigenciaMeses]]=0,Tabela1[[#This Row],[valTotal]]/1,Tabela1[[#This Row],[valTotal]]/Tabela1[[#This Row],[VigenciaMeses]])</f>
        <v>146.53333333333333</v>
      </c>
      <c r="AD314" s="2">
        <f>Tabela1[[#This Row],[valMensal]]*12</f>
        <v>1758.4</v>
      </c>
      <c r="AE314" s="2">
        <v>1758.4</v>
      </c>
      <c r="AF314" s="2">
        <v>0</v>
      </c>
      <c r="AG314" s="2">
        <v>1758.4</v>
      </c>
      <c r="AH314" s="2">
        <v>1758.4</v>
      </c>
      <c r="AI314" s="2">
        <v>0</v>
      </c>
      <c r="AJ314" t="s">
        <v>47</v>
      </c>
    </row>
    <row r="315" spans="1:36" x14ac:dyDescent="0.25">
      <c r="A315" t="s">
        <v>36</v>
      </c>
      <c r="B315" t="s">
        <v>37</v>
      </c>
      <c r="C315" t="s">
        <v>38</v>
      </c>
      <c r="D315" t="s">
        <v>39</v>
      </c>
      <c r="E315">
        <v>14</v>
      </c>
      <c r="F315">
        <v>422</v>
      </c>
      <c r="G315">
        <v>3013</v>
      </c>
      <c r="H315">
        <v>6178</v>
      </c>
      <c r="I315" t="s">
        <v>48</v>
      </c>
      <c r="J315" t="s">
        <v>49</v>
      </c>
      <c r="K315" t="s">
        <v>50</v>
      </c>
      <c r="L315">
        <v>12</v>
      </c>
      <c r="M315" t="s">
        <v>51</v>
      </c>
      <c r="N315">
        <v>2025</v>
      </c>
      <c r="O315">
        <v>10197</v>
      </c>
      <c r="Q315" t="s">
        <v>992</v>
      </c>
      <c r="R315" t="s">
        <v>993</v>
      </c>
      <c r="V315">
        <v>12</v>
      </c>
      <c r="W315" t="str">
        <f ca="1">IF(Tabela1[[#This Row],[datVigencia]]=0,"Expirado",IF(Tabela1[[#This Row],[datVigencia]]&gt;TODAY(),"Vigente","Expirado"))</f>
        <v>Expirado</v>
      </c>
      <c r="X315" s="2">
        <v>1649</v>
      </c>
      <c r="Y315" s="2">
        <v>0</v>
      </c>
      <c r="Z315" s="2">
        <v>0</v>
      </c>
      <c r="AA315" s="2">
        <v>0</v>
      </c>
      <c r="AB315" s="2">
        <f>Tabela1[[#This Row],[valPrincipal]]+Tabela1[[#This Row],[valReajustes]]+Tabela1[[#This Row],[valAditamentos]]-Tabela1[[#This Row],[valAnulacao]]</f>
        <v>1649</v>
      </c>
      <c r="AC315" s="2">
        <f>IF(Tabela1[[#This Row],[VigenciaMeses]]=0,Tabela1[[#This Row],[valTotal]]/1,Tabela1[[#This Row],[valTotal]]/Tabela1[[#This Row],[VigenciaMeses]])</f>
        <v>137.41666666666666</v>
      </c>
      <c r="AD315" s="2">
        <f>Tabela1[[#This Row],[valMensal]]*12</f>
        <v>1649</v>
      </c>
      <c r="AE315" s="2">
        <v>1649</v>
      </c>
      <c r="AF315" s="2">
        <v>0</v>
      </c>
      <c r="AG315" s="2">
        <v>1649</v>
      </c>
      <c r="AH315" s="2">
        <v>0</v>
      </c>
      <c r="AI315" s="2">
        <v>0</v>
      </c>
      <c r="AJ315" t="s">
        <v>47</v>
      </c>
    </row>
    <row r="316" spans="1:36" x14ac:dyDescent="0.25">
      <c r="A316" t="s">
        <v>36</v>
      </c>
      <c r="B316" t="s">
        <v>37</v>
      </c>
      <c r="C316" t="s">
        <v>38</v>
      </c>
      <c r="D316" t="s">
        <v>39</v>
      </c>
      <c r="E316">
        <v>14</v>
      </c>
      <c r="F316">
        <v>422</v>
      </c>
      <c r="G316">
        <v>3013</v>
      </c>
      <c r="H316">
        <v>4322</v>
      </c>
      <c r="I316" t="s">
        <v>48</v>
      </c>
      <c r="J316" t="s">
        <v>49</v>
      </c>
      <c r="K316" t="s">
        <v>50</v>
      </c>
      <c r="L316">
        <v>12</v>
      </c>
      <c r="M316" t="s">
        <v>51</v>
      </c>
      <c r="N316">
        <v>2025</v>
      </c>
      <c r="O316">
        <v>12657</v>
      </c>
      <c r="Q316" t="s">
        <v>1136</v>
      </c>
      <c r="R316" t="s">
        <v>1137</v>
      </c>
      <c r="U316" t="s">
        <v>1088</v>
      </c>
      <c r="V316">
        <v>12</v>
      </c>
      <c r="W316" t="str">
        <f ca="1">IF(Tabela1[[#This Row],[datVigencia]]=0,"Expirado",IF(Tabela1[[#This Row],[datVigencia]]&gt;TODAY(),"Vigente","Expirado"))</f>
        <v>Vigente</v>
      </c>
      <c r="X316" s="2">
        <v>1632.8</v>
      </c>
      <c r="Y316" s="2">
        <v>0</v>
      </c>
      <c r="Z316" s="2">
        <v>0</v>
      </c>
      <c r="AA316" s="2">
        <v>0</v>
      </c>
      <c r="AB316" s="2">
        <f>Tabela1[[#This Row],[valPrincipal]]+Tabela1[[#This Row],[valReajustes]]+Tabela1[[#This Row],[valAditamentos]]-Tabela1[[#This Row],[valAnulacao]]</f>
        <v>1632.8</v>
      </c>
      <c r="AC316" s="2">
        <f>IF(Tabela1[[#This Row],[VigenciaMeses]]=0,Tabela1[[#This Row],[valTotal]]/1,Tabela1[[#This Row],[valTotal]]/Tabela1[[#This Row],[VigenciaMeses]])</f>
        <v>136.06666666666666</v>
      </c>
      <c r="AD316" s="2">
        <f>Tabela1[[#This Row],[valMensal]]*12</f>
        <v>1632.8</v>
      </c>
      <c r="AE316" s="2">
        <v>1632.8</v>
      </c>
      <c r="AF316" s="2">
        <v>0</v>
      </c>
      <c r="AG316" s="2">
        <v>1632.8</v>
      </c>
      <c r="AH316" s="2">
        <v>1632.8</v>
      </c>
      <c r="AI316" s="2">
        <v>1632.8</v>
      </c>
      <c r="AJ316" t="s">
        <v>47</v>
      </c>
    </row>
    <row r="317" spans="1:36" x14ac:dyDescent="0.25">
      <c r="A317" t="s">
        <v>36</v>
      </c>
      <c r="B317" t="s">
        <v>37</v>
      </c>
      <c r="C317" t="s">
        <v>38</v>
      </c>
      <c r="D317" t="s">
        <v>39</v>
      </c>
      <c r="E317">
        <v>14</v>
      </c>
      <c r="F317">
        <v>122</v>
      </c>
      <c r="G317">
        <v>3024</v>
      </c>
      <c r="H317">
        <v>2100</v>
      </c>
      <c r="I317" t="s">
        <v>48</v>
      </c>
      <c r="J317" t="s">
        <v>55</v>
      </c>
      <c r="K317" t="s">
        <v>56</v>
      </c>
      <c r="L317">
        <v>12</v>
      </c>
      <c r="M317" t="s">
        <v>51</v>
      </c>
      <c r="N317">
        <v>2022</v>
      </c>
      <c r="O317">
        <v>16779</v>
      </c>
      <c r="P317" t="s">
        <v>428</v>
      </c>
      <c r="Q317" t="s">
        <v>429</v>
      </c>
      <c r="R317" t="s">
        <v>430</v>
      </c>
      <c r="S317" t="s">
        <v>431</v>
      </c>
      <c r="T317" t="s">
        <v>432</v>
      </c>
      <c r="U317" t="s">
        <v>433</v>
      </c>
      <c r="V317">
        <v>48</v>
      </c>
      <c r="W317" t="str">
        <f ca="1">IF(Tabela1[[#This Row],[datVigencia]]=0,"Expirado",IF(Tabela1[[#This Row],[datVigencia]]&gt;TODAY(),"Vigente","Expirado"))</f>
        <v>Vigente</v>
      </c>
      <c r="X317" s="2">
        <v>1578.96</v>
      </c>
      <c r="Y317" s="2">
        <v>0</v>
      </c>
      <c r="Z317" s="2">
        <v>4736.88</v>
      </c>
      <c r="AA317" s="2">
        <v>0</v>
      </c>
      <c r="AB317" s="2">
        <f>Tabela1[[#This Row],[valPrincipal]]+Tabela1[[#This Row],[valReajustes]]+Tabela1[[#This Row],[valAditamentos]]-Tabela1[[#This Row],[valAnulacao]]</f>
        <v>6315.84</v>
      </c>
      <c r="AC317" s="2">
        <f>IF(Tabela1[[#This Row],[VigenciaMeses]]=0,Tabela1[[#This Row],[valTotal]]/1,Tabela1[[#This Row],[valTotal]]/Tabela1[[#This Row],[VigenciaMeses]])</f>
        <v>131.58000000000001</v>
      </c>
      <c r="AD317" s="2">
        <f>Tabela1[[#This Row],[valMensal]]*12</f>
        <v>1578.96</v>
      </c>
      <c r="AE317" s="2">
        <v>6315.84</v>
      </c>
      <c r="AF317" s="2">
        <v>1578.96</v>
      </c>
      <c r="AG317" s="2">
        <v>4736.88</v>
      </c>
      <c r="AH317" s="2">
        <v>3947.4</v>
      </c>
      <c r="AI317" s="2">
        <v>3947.4</v>
      </c>
      <c r="AJ317" t="s">
        <v>47</v>
      </c>
    </row>
    <row r="318" spans="1:36" x14ac:dyDescent="0.25">
      <c r="A318" t="s">
        <v>36</v>
      </c>
      <c r="B318" t="s">
        <v>37</v>
      </c>
      <c r="C318" t="s">
        <v>38</v>
      </c>
      <c r="D318" t="s">
        <v>39</v>
      </c>
      <c r="E318">
        <v>14</v>
      </c>
      <c r="F318">
        <v>122</v>
      </c>
      <c r="G318">
        <v>3024</v>
      </c>
      <c r="H318">
        <v>2100</v>
      </c>
      <c r="I318" t="s">
        <v>48</v>
      </c>
      <c r="J318" t="s">
        <v>951</v>
      </c>
      <c r="K318" t="s">
        <v>952</v>
      </c>
      <c r="L318">
        <v>7</v>
      </c>
      <c r="M318" t="s">
        <v>324</v>
      </c>
      <c r="N318">
        <v>2025</v>
      </c>
      <c r="O318">
        <v>9945</v>
      </c>
      <c r="Q318" t="s">
        <v>983</v>
      </c>
      <c r="R318" t="s">
        <v>984</v>
      </c>
      <c r="V318">
        <v>12</v>
      </c>
      <c r="W318" t="str">
        <f ca="1">IF(Tabela1[[#This Row],[datVigencia]]=0,"Expirado",IF(Tabela1[[#This Row],[datVigencia]]&gt;TODAY(),"Vigente","Expirado"))</f>
        <v>Expirado</v>
      </c>
      <c r="X318" s="2">
        <v>1558.8</v>
      </c>
      <c r="Y318" s="2">
        <v>0</v>
      </c>
      <c r="Z318" s="2">
        <v>0</v>
      </c>
      <c r="AA318" s="2">
        <v>0</v>
      </c>
      <c r="AB318" s="2">
        <f>Tabela1[[#This Row],[valPrincipal]]+Tabela1[[#This Row],[valReajustes]]+Tabela1[[#This Row],[valAditamentos]]-Tabela1[[#This Row],[valAnulacao]]</f>
        <v>1558.8</v>
      </c>
      <c r="AC318" s="2">
        <f>IF(Tabela1[[#This Row],[VigenciaMeses]]=0,Tabela1[[#This Row],[valTotal]]/1,Tabela1[[#This Row],[valTotal]]/Tabela1[[#This Row],[VigenciaMeses]])</f>
        <v>129.9</v>
      </c>
      <c r="AD318" s="2">
        <f>Tabela1[[#This Row],[valMensal]]*12</f>
        <v>1558.8000000000002</v>
      </c>
      <c r="AE318" s="2">
        <v>1558.8</v>
      </c>
      <c r="AF318" s="2">
        <v>0</v>
      </c>
      <c r="AG318" s="2">
        <v>1558.8</v>
      </c>
      <c r="AH318" s="2">
        <v>0</v>
      </c>
      <c r="AI318" s="2">
        <v>0</v>
      </c>
      <c r="AJ318" t="s">
        <v>47</v>
      </c>
    </row>
    <row r="319" spans="1:36" x14ac:dyDescent="0.25">
      <c r="A319" t="s">
        <v>36</v>
      </c>
      <c r="B319" t="s">
        <v>1076</v>
      </c>
      <c r="C319" t="s">
        <v>1077</v>
      </c>
      <c r="D319" t="s">
        <v>39</v>
      </c>
      <c r="E319">
        <v>14</v>
      </c>
      <c r="F319">
        <v>422</v>
      </c>
      <c r="G319">
        <v>3018</v>
      </c>
      <c r="H319">
        <v>4326</v>
      </c>
      <c r="I319" t="s">
        <v>48</v>
      </c>
      <c r="J319" t="s">
        <v>55</v>
      </c>
      <c r="K319" t="s">
        <v>56</v>
      </c>
      <c r="L319">
        <v>7</v>
      </c>
      <c r="M319" t="s">
        <v>324</v>
      </c>
      <c r="N319">
        <v>2025</v>
      </c>
      <c r="O319">
        <v>16774</v>
      </c>
      <c r="Q319" t="s">
        <v>1372</v>
      </c>
      <c r="R319" t="s">
        <v>1373</v>
      </c>
      <c r="V319">
        <v>12</v>
      </c>
      <c r="W319" t="str">
        <f ca="1">IF(Tabela1[[#This Row],[datVigencia]]=0,"Expirado",IF(Tabela1[[#This Row],[datVigencia]]&gt;TODAY(),"Vigente","Expirado"))</f>
        <v>Expirado</v>
      </c>
      <c r="X319" s="2">
        <v>1500</v>
      </c>
      <c r="Y319" s="2">
        <v>0</v>
      </c>
      <c r="Z319" s="2">
        <v>0</v>
      </c>
      <c r="AA319" s="2">
        <v>0</v>
      </c>
      <c r="AB319" s="2">
        <f>Tabela1[[#This Row],[valPrincipal]]+Tabela1[[#This Row],[valReajustes]]+Tabela1[[#This Row],[valAditamentos]]-Tabela1[[#This Row],[valAnulacao]]</f>
        <v>1500</v>
      </c>
      <c r="AC319" s="2">
        <f>IF(Tabela1[[#This Row],[VigenciaMeses]]=0,Tabela1[[#This Row],[valTotal]]/1,Tabela1[[#This Row],[valTotal]]/Tabela1[[#This Row],[VigenciaMeses]])</f>
        <v>125</v>
      </c>
      <c r="AD319" s="2">
        <f>Tabela1[[#This Row],[valMensal]]*12</f>
        <v>1500</v>
      </c>
      <c r="AE319" s="2">
        <v>1500</v>
      </c>
      <c r="AF319" s="2">
        <v>0</v>
      </c>
      <c r="AG319" s="2">
        <v>1500</v>
      </c>
      <c r="AH319" s="2">
        <v>0</v>
      </c>
      <c r="AI319" s="2">
        <v>0</v>
      </c>
      <c r="AJ319" t="s">
        <v>47</v>
      </c>
    </row>
    <row r="320" spans="1:36" x14ac:dyDescent="0.25">
      <c r="A320" t="s">
        <v>36</v>
      </c>
      <c r="B320" t="s">
        <v>1076</v>
      </c>
      <c r="C320" t="s">
        <v>1077</v>
      </c>
      <c r="D320" t="s">
        <v>39</v>
      </c>
      <c r="E320">
        <v>14</v>
      </c>
      <c r="F320">
        <v>422</v>
      </c>
      <c r="G320">
        <v>3018</v>
      </c>
      <c r="H320">
        <v>4326</v>
      </c>
      <c r="I320" t="s">
        <v>48</v>
      </c>
      <c r="J320" t="s">
        <v>55</v>
      </c>
      <c r="K320" t="s">
        <v>56</v>
      </c>
      <c r="L320">
        <v>7</v>
      </c>
      <c r="M320" t="s">
        <v>324</v>
      </c>
      <c r="N320">
        <v>2025</v>
      </c>
      <c r="O320">
        <v>16858</v>
      </c>
      <c r="Q320" t="s">
        <v>1411</v>
      </c>
      <c r="R320" t="s">
        <v>1412</v>
      </c>
      <c r="V320">
        <v>12</v>
      </c>
      <c r="W320" t="str">
        <f ca="1">IF(Tabela1[[#This Row],[datVigencia]]=0,"Expirado",IF(Tabela1[[#This Row],[datVigencia]]&gt;TODAY(),"Vigente","Expirado"))</f>
        <v>Expirado</v>
      </c>
      <c r="X320" s="2">
        <v>1500</v>
      </c>
      <c r="Y320" s="2">
        <v>0</v>
      </c>
      <c r="Z320" s="2">
        <v>0</v>
      </c>
      <c r="AA320" s="2">
        <v>0</v>
      </c>
      <c r="AB320" s="2">
        <f>Tabela1[[#This Row],[valPrincipal]]+Tabela1[[#This Row],[valReajustes]]+Tabela1[[#This Row],[valAditamentos]]-Tabela1[[#This Row],[valAnulacao]]</f>
        <v>1500</v>
      </c>
      <c r="AC320" s="2">
        <f>IF(Tabela1[[#This Row],[VigenciaMeses]]=0,Tabela1[[#This Row],[valTotal]]/1,Tabela1[[#This Row],[valTotal]]/Tabela1[[#This Row],[VigenciaMeses]])</f>
        <v>125</v>
      </c>
      <c r="AD320" s="2">
        <f>Tabela1[[#This Row],[valMensal]]*12</f>
        <v>1500</v>
      </c>
      <c r="AE320" s="2">
        <v>1500</v>
      </c>
      <c r="AF320" s="2">
        <v>0</v>
      </c>
      <c r="AG320" s="2">
        <v>1500</v>
      </c>
      <c r="AH320" s="2">
        <v>0</v>
      </c>
      <c r="AI320" s="2">
        <v>0</v>
      </c>
      <c r="AJ320" t="s">
        <v>47</v>
      </c>
    </row>
    <row r="321" spans="1:36" x14ac:dyDescent="0.25">
      <c r="A321" t="s">
        <v>36</v>
      </c>
      <c r="B321" t="s">
        <v>37</v>
      </c>
      <c r="C321" t="s">
        <v>38</v>
      </c>
      <c r="D321" t="s">
        <v>39</v>
      </c>
      <c r="E321">
        <v>14</v>
      </c>
      <c r="F321">
        <v>422</v>
      </c>
      <c r="G321">
        <v>3013</v>
      </c>
      <c r="H321">
        <v>2053</v>
      </c>
      <c r="I321" t="s">
        <v>157</v>
      </c>
      <c r="J321" t="s">
        <v>207</v>
      </c>
      <c r="K321" t="s">
        <v>208</v>
      </c>
      <c r="L321">
        <v>6</v>
      </c>
      <c r="M321" t="s">
        <v>97</v>
      </c>
      <c r="N321">
        <v>2025</v>
      </c>
      <c r="O321">
        <v>11667</v>
      </c>
      <c r="Q321" t="s">
        <v>1098</v>
      </c>
      <c r="R321" t="s">
        <v>1099</v>
      </c>
      <c r="U321" t="s">
        <v>1100</v>
      </c>
      <c r="V321">
        <v>12</v>
      </c>
      <c r="W321" t="str">
        <f ca="1">IF(Tabela1[[#This Row],[datVigencia]]=0,"Expirado",IF(Tabela1[[#This Row],[datVigencia]]&gt;TODAY(),"Vigente","Expirado"))</f>
        <v>Vigente</v>
      </c>
      <c r="X321" s="2">
        <v>1499.85</v>
      </c>
      <c r="Y321" s="2">
        <v>0</v>
      </c>
      <c r="Z321" s="2">
        <v>0</v>
      </c>
      <c r="AA321" s="2">
        <v>0</v>
      </c>
      <c r="AB321" s="2">
        <f>Tabela1[[#This Row],[valPrincipal]]+Tabela1[[#This Row],[valReajustes]]+Tabela1[[#This Row],[valAditamentos]]-Tabela1[[#This Row],[valAnulacao]]</f>
        <v>1499.85</v>
      </c>
      <c r="AC321" s="2">
        <f>IF(Tabela1[[#This Row],[VigenciaMeses]]=0,Tabela1[[#This Row],[valTotal]]/1,Tabela1[[#This Row],[valTotal]]/Tabela1[[#This Row],[VigenciaMeses]])</f>
        <v>124.9875</v>
      </c>
      <c r="AD321" s="2">
        <f>Tabela1[[#This Row],[valMensal]]*12</f>
        <v>1499.85</v>
      </c>
      <c r="AE321" s="2">
        <v>1499.85</v>
      </c>
      <c r="AF321" s="2">
        <v>0</v>
      </c>
      <c r="AG321" s="2">
        <v>1499.85</v>
      </c>
      <c r="AH321" s="2">
        <v>1499.85</v>
      </c>
      <c r="AI321" s="2">
        <v>1499.85</v>
      </c>
      <c r="AJ321" t="s">
        <v>47</v>
      </c>
    </row>
    <row r="322" spans="1:36" x14ac:dyDescent="0.25">
      <c r="A322" t="s">
        <v>36</v>
      </c>
      <c r="B322" t="s">
        <v>37</v>
      </c>
      <c r="C322" t="s">
        <v>38</v>
      </c>
      <c r="D322" t="s">
        <v>39</v>
      </c>
      <c r="E322">
        <v>14</v>
      </c>
      <c r="F322">
        <v>122</v>
      </c>
      <c r="G322">
        <v>3024</v>
      </c>
      <c r="H322">
        <v>2100</v>
      </c>
      <c r="I322" t="s">
        <v>48</v>
      </c>
      <c r="J322" t="s">
        <v>951</v>
      </c>
      <c r="K322" t="s">
        <v>952</v>
      </c>
      <c r="L322">
        <v>7</v>
      </c>
      <c r="M322" t="s">
        <v>324</v>
      </c>
      <c r="N322">
        <v>2025</v>
      </c>
      <c r="O322">
        <v>9804</v>
      </c>
      <c r="Q322" t="s">
        <v>979</v>
      </c>
      <c r="R322" t="s">
        <v>980</v>
      </c>
      <c r="U322" t="s">
        <v>981</v>
      </c>
      <c r="V322">
        <v>12</v>
      </c>
      <c r="W322" t="str">
        <f ca="1">IF(Tabela1[[#This Row],[datVigencia]]=0,"Expirado",IF(Tabela1[[#This Row],[datVigencia]]&gt;TODAY(),"Vigente","Expirado"))</f>
        <v>Vigente</v>
      </c>
      <c r="X322" s="2">
        <v>1454.4</v>
      </c>
      <c r="Y322" s="2">
        <v>0</v>
      </c>
      <c r="Z322" s="2">
        <v>0</v>
      </c>
      <c r="AA322" s="2">
        <v>0</v>
      </c>
      <c r="AB322" s="2">
        <f>Tabela1[[#This Row],[valPrincipal]]+Tabela1[[#This Row],[valReajustes]]+Tabela1[[#This Row],[valAditamentos]]-Tabela1[[#This Row],[valAnulacao]]</f>
        <v>1454.4</v>
      </c>
      <c r="AC322" s="2">
        <f>IF(Tabela1[[#This Row],[VigenciaMeses]]=0,Tabela1[[#This Row],[valTotal]]/1,Tabela1[[#This Row],[valTotal]]/Tabela1[[#This Row],[VigenciaMeses]])</f>
        <v>121.2</v>
      </c>
      <c r="AD322" s="2">
        <f>Tabela1[[#This Row],[valMensal]]*12</f>
        <v>1454.4</v>
      </c>
      <c r="AE322" s="2">
        <v>1454.4</v>
      </c>
      <c r="AF322" s="2">
        <v>0</v>
      </c>
      <c r="AG322" s="2">
        <v>1454.4</v>
      </c>
      <c r="AH322" s="2">
        <v>1454.4</v>
      </c>
      <c r="AI322" s="2">
        <v>1454.4</v>
      </c>
      <c r="AJ322" t="s">
        <v>47</v>
      </c>
    </row>
    <row r="323" spans="1:36" x14ac:dyDescent="0.25">
      <c r="A323" t="s">
        <v>36</v>
      </c>
      <c r="B323" t="s">
        <v>37</v>
      </c>
      <c r="C323" t="s">
        <v>38</v>
      </c>
      <c r="D323" t="s">
        <v>39</v>
      </c>
      <c r="E323">
        <v>14</v>
      </c>
      <c r="F323">
        <v>122</v>
      </c>
      <c r="G323">
        <v>3024</v>
      </c>
      <c r="H323">
        <v>2100</v>
      </c>
      <c r="I323" t="s">
        <v>157</v>
      </c>
      <c r="J323" t="s">
        <v>207</v>
      </c>
      <c r="K323" t="s">
        <v>208</v>
      </c>
      <c r="L323">
        <v>6</v>
      </c>
      <c r="M323" t="s">
        <v>97</v>
      </c>
      <c r="N323">
        <v>2025</v>
      </c>
      <c r="O323">
        <v>2475</v>
      </c>
      <c r="Q323" t="s">
        <v>372</v>
      </c>
      <c r="R323" t="s">
        <v>373</v>
      </c>
      <c r="U323" t="s">
        <v>374</v>
      </c>
      <c r="V323">
        <v>12</v>
      </c>
      <c r="W323" t="str">
        <f ca="1">IF(Tabela1[[#This Row],[datVigencia]]=0,"Expirado",IF(Tabela1[[#This Row],[datVigencia]]&gt;TODAY(),"Vigente","Expirado"))</f>
        <v>Vigente</v>
      </c>
      <c r="X323" s="2">
        <v>1451.28</v>
      </c>
      <c r="Y323" s="2">
        <v>0</v>
      </c>
      <c r="Z323" s="2">
        <v>0</v>
      </c>
      <c r="AA323" s="2">
        <v>0</v>
      </c>
      <c r="AB323" s="2">
        <f>Tabela1[[#This Row],[valPrincipal]]+Tabela1[[#This Row],[valReajustes]]+Tabela1[[#This Row],[valAditamentos]]-Tabela1[[#This Row],[valAnulacao]]</f>
        <v>1451.28</v>
      </c>
      <c r="AC323" s="2">
        <f>IF(Tabela1[[#This Row],[VigenciaMeses]]=0,Tabela1[[#This Row],[valTotal]]/1,Tabela1[[#This Row],[valTotal]]/Tabela1[[#This Row],[VigenciaMeses]])</f>
        <v>120.94</v>
      </c>
      <c r="AD323" s="2">
        <f>Tabela1[[#This Row],[valMensal]]*12</f>
        <v>1451.28</v>
      </c>
      <c r="AE323" s="2">
        <v>1451.28</v>
      </c>
      <c r="AF323" s="2">
        <v>0</v>
      </c>
      <c r="AG323" s="2">
        <v>1451.28</v>
      </c>
      <c r="AH323" s="2">
        <v>1451.28</v>
      </c>
      <c r="AI323" s="2">
        <v>1451.28</v>
      </c>
      <c r="AJ323" t="s">
        <v>47</v>
      </c>
    </row>
    <row r="324" spans="1:36" x14ac:dyDescent="0.25">
      <c r="A324" t="s">
        <v>36</v>
      </c>
      <c r="B324" t="s">
        <v>37</v>
      </c>
      <c r="C324" t="s">
        <v>38</v>
      </c>
      <c r="D324" t="s">
        <v>39</v>
      </c>
      <c r="E324">
        <v>14</v>
      </c>
      <c r="F324">
        <v>122</v>
      </c>
      <c r="G324">
        <v>3024</v>
      </c>
      <c r="H324">
        <v>2100</v>
      </c>
      <c r="I324" t="s">
        <v>48</v>
      </c>
      <c r="J324" t="s">
        <v>571</v>
      </c>
      <c r="K324" t="s">
        <v>572</v>
      </c>
      <c r="L324">
        <v>6</v>
      </c>
      <c r="M324" t="s">
        <v>97</v>
      </c>
      <c r="N324">
        <v>2025</v>
      </c>
      <c r="O324">
        <v>13251</v>
      </c>
      <c r="Q324" t="s">
        <v>1166</v>
      </c>
      <c r="R324" t="s">
        <v>1167</v>
      </c>
      <c r="V324">
        <v>12</v>
      </c>
      <c r="W324" t="str">
        <f ca="1">IF(Tabela1[[#This Row],[datVigencia]]=0,"Expirado",IF(Tabela1[[#This Row],[datVigencia]]&gt;TODAY(),"Vigente","Expirado"))</f>
        <v>Expirado</v>
      </c>
      <c r="X324" s="2">
        <v>1425.75</v>
      </c>
      <c r="Y324" s="2">
        <v>0</v>
      </c>
      <c r="Z324" s="2">
        <v>0</v>
      </c>
      <c r="AA324" s="2">
        <v>0</v>
      </c>
      <c r="AB324" s="2">
        <f>Tabela1[[#This Row],[valPrincipal]]+Tabela1[[#This Row],[valReajustes]]+Tabela1[[#This Row],[valAditamentos]]-Tabela1[[#This Row],[valAnulacao]]</f>
        <v>1425.75</v>
      </c>
      <c r="AC324" s="2">
        <f>IF(Tabela1[[#This Row],[VigenciaMeses]]=0,Tabela1[[#This Row],[valTotal]]/1,Tabela1[[#This Row],[valTotal]]/Tabela1[[#This Row],[VigenciaMeses]])</f>
        <v>118.8125</v>
      </c>
      <c r="AD324" s="2">
        <f>Tabela1[[#This Row],[valMensal]]*12</f>
        <v>1425.75</v>
      </c>
      <c r="AE324" s="2">
        <v>1425.75</v>
      </c>
      <c r="AF324" s="2">
        <v>0</v>
      </c>
      <c r="AG324" s="2">
        <v>1425.75</v>
      </c>
      <c r="AH324" s="2">
        <v>0</v>
      </c>
      <c r="AI324" s="2">
        <v>0</v>
      </c>
      <c r="AJ324" t="s">
        <v>47</v>
      </c>
    </row>
    <row r="325" spans="1:36" x14ac:dyDescent="0.25">
      <c r="A325" t="s">
        <v>36</v>
      </c>
      <c r="B325" t="s">
        <v>37</v>
      </c>
      <c r="C325" t="s">
        <v>38</v>
      </c>
      <c r="D325" t="s">
        <v>39</v>
      </c>
      <c r="E325">
        <v>14</v>
      </c>
      <c r="F325">
        <v>122</v>
      </c>
      <c r="G325">
        <v>3024</v>
      </c>
      <c r="H325">
        <v>2100</v>
      </c>
      <c r="I325" t="s">
        <v>206</v>
      </c>
      <c r="J325" t="s">
        <v>207</v>
      </c>
      <c r="K325" t="s">
        <v>208</v>
      </c>
      <c r="L325">
        <v>6</v>
      </c>
      <c r="M325" t="s">
        <v>97</v>
      </c>
      <c r="N325">
        <v>2025</v>
      </c>
      <c r="O325">
        <v>1370</v>
      </c>
      <c r="Q325" t="s">
        <v>209</v>
      </c>
      <c r="R325" t="s">
        <v>210</v>
      </c>
      <c r="U325" t="s">
        <v>211</v>
      </c>
      <c r="V325">
        <v>12</v>
      </c>
      <c r="W325" t="str">
        <f ca="1">IF(Tabela1[[#This Row],[datVigencia]]=0,"Expirado",IF(Tabela1[[#This Row],[datVigencia]]&gt;TODAY(),"Vigente","Expirado"))</f>
        <v>Vigente</v>
      </c>
      <c r="X325" s="2">
        <v>1407</v>
      </c>
      <c r="Y325" s="2">
        <v>0</v>
      </c>
      <c r="Z325" s="2">
        <v>0</v>
      </c>
      <c r="AA325" s="2">
        <v>0</v>
      </c>
      <c r="AB325" s="2">
        <f>Tabela1[[#This Row],[valPrincipal]]+Tabela1[[#This Row],[valReajustes]]+Tabela1[[#This Row],[valAditamentos]]-Tabela1[[#This Row],[valAnulacao]]</f>
        <v>1407</v>
      </c>
      <c r="AC325" s="2">
        <f>IF(Tabela1[[#This Row],[VigenciaMeses]]=0,Tabela1[[#This Row],[valTotal]]/1,Tabela1[[#This Row],[valTotal]]/Tabela1[[#This Row],[VigenciaMeses]])</f>
        <v>117.25</v>
      </c>
      <c r="AD325" s="2">
        <f>Tabela1[[#This Row],[valMensal]]*12</f>
        <v>1407</v>
      </c>
      <c r="AE325" s="2">
        <v>1407</v>
      </c>
      <c r="AF325" s="2">
        <v>0</v>
      </c>
      <c r="AG325" s="2">
        <v>1407</v>
      </c>
      <c r="AH325" s="2">
        <v>1407</v>
      </c>
      <c r="AI325" s="2">
        <v>1407</v>
      </c>
      <c r="AJ325" t="s">
        <v>47</v>
      </c>
    </row>
    <row r="326" spans="1:36" x14ac:dyDescent="0.25">
      <c r="A326" t="s">
        <v>36</v>
      </c>
      <c r="B326" t="s">
        <v>37</v>
      </c>
      <c r="C326" t="s">
        <v>38</v>
      </c>
      <c r="D326" t="s">
        <v>39</v>
      </c>
      <c r="E326">
        <v>14</v>
      </c>
      <c r="F326">
        <v>422</v>
      </c>
      <c r="G326">
        <v>3013</v>
      </c>
      <c r="H326">
        <v>4322</v>
      </c>
      <c r="I326" t="s">
        <v>1000</v>
      </c>
      <c r="J326" t="s">
        <v>55</v>
      </c>
      <c r="K326" t="s">
        <v>56</v>
      </c>
      <c r="L326">
        <v>7</v>
      </c>
      <c r="M326" t="s">
        <v>324</v>
      </c>
      <c r="N326">
        <v>2025</v>
      </c>
      <c r="O326">
        <v>15701</v>
      </c>
      <c r="P326" t="s">
        <v>1271</v>
      </c>
      <c r="Q326" t="s">
        <v>1272</v>
      </c>
      <c r="R326" t="s">
        <v>1273</v>
      </c>
      <c r="S326" t="s">
        <v>405</v>
      </c>
      <c r="T326" t="s">
        <v>1252</v>
      </c>
      <c r="U326" t="s">
        <v>1274</v>
      </c>
      <c r="V326">
        <v>1</v>
      </c>
      <c r="W326" t="str">
        <f ca="1">IF(Tabela1[[#This Row],[datVigencia]]=0,"Expirado",IF(Tabela1[[#This Row],[datVigencia]]&gt;TODAY(),"Vigente","Expirado"))</f>
        <v>Vigente</v>
      </c>
      <c r="X326" s="2">
        <v>1400</v>
      </c>
      <c r="Y326" s="2">
        <v>0</v>
      </c>
      <c r="Z326" s="2">
        <v>0</v>
      </c>
      <c r="AA326" s="2">
        <v>0</v>
      </c>
      <c r="AB326" s="2">
        <f>Tabela1[[#This Row],[valPrincipal]]+Tabela1[[#This Row],[valReajustes]]+Tabela1[[#This Row],[valAditamentos]]-Tabela1[[#This Row],[valAnulacao]]</f>
        <v>1400</v>
      </c>
      <c r="AC326" s="2">
        <f>IF(Tabela1[[#This Row],[VigenciaMeses]]=0,Tabela1[[#This Row],[valTotal]]/1,Tabela1[[#This Row],[valTotal]]/Tabela1[[#This Row],[VigenciaMeses]])</f>
        <v>1400</v>
      </c>
      <c r="AD326" s="2">
        <f>Tabela1[[#This Row],[valMensal]]*12</f>
        <v>16800</v>
      </c>
      <c r="AE326" s="2">
        <v>1400</v>
      </c>
      <c r="AF326" s="2">
        <v>0</v>
      </c>
      <c r="AG326" s="2">
        <v>1400</v>
      </c>
      <c r="AH326" s="2">
        <v>1400</v>
      </c>
      <c r="AI326" s="2">
        <v>0</v>
      </c>
      <c r="AJ326" t="s">
        <v>47</v>
      </c>
    </row>
    <row r="327" spans="1:36" x14ac:dyDescent="0.25">
      <c r="A327" t="s">
        <v>36</v>
      </c>
      <c r="B327" t="s">
        <v>37</v>
      </c>
      <c r="C327" t="s">
        <v>38</v>
      </c>
      <c r="D327" t="s">
        <v>39</v>
      </c>
      <c r="E327">
        <v>14</v>
      </c>
      <c r="F327">
        <v>122</v>
      </c>
      <c r="G327">
        <v>3024</v>
      </c>
      <c r="H327">
        <v>2100</v>
      </c>
      <c r="I327" t="s">
        <v>48</v>
      </c>
      <c r="J327" t="s">
        <v>951</v>
      </c>
      <c r="K327" t="s">
        <v>952</v>
      </c>
      <c r="L327">
        <v>7</v>
      </c>
      <c r="M327" t="s">
        <v>324</v>
      </c>
      <c r="N327">
        <v>2025</v>
      </c>
      <c r="O327">
        <v>8569</v>
      </c>
      <c r="Q327" t="s">
        <v>953</v>
      </c>
      <c r="R327" t="s">
        <v>954</v>
      </c>
      <c r="U327" t="s">
        <v>955</v>
      </c>
      <c r="V327">
        <v>12</v>
      </c>
      <c r="W327" t="str">
        <f ca="1">IF(Tabela1[[#This Row],[datVigencia]]=0,"Expirado",IF(Tabela1[[#This Row],[datVigencia]]&gt;TODAY(),"Vigente","Expirado"))</f>
        <v>Vigente</v>
      </c>
      <c r="X327" s="2">
        <v>1303.1199999999999</v>
      </c>
      <c r="Y327" s="2">
        <v>0</v>
      </c>
      <c r="Z327" s="2">
        <v>0</v>
      </c>
      <c r="AA327" s="2">
        <v>0</v>
      </c>
      <c r="AB327" s="2">
        <f>Tabela1[[#This Row],[valPrincipal]]+Tabela1[[#This Row],[valReajustes]]+Tabela1[[#This Row],[valAditamentos]]-Tabela1[[#This Row],[valAnulacao]]</f>
        <v>1303.1199999999999</v>
      </c>
      <c r="AC327" s="2">
        <f>IF(Tabela1[[#This Row],[VigenciaMeses]]=0,Tabela1[[#This Row],[valTotal]]/1,Tabela1[[#This Row],[valTotal]]/Tabela1[[#This Row],[VigenciaMeses]])</f>
        <v>108.59333333333332</v>
      </c>
      <c r="AD327" s="2">
        <f>Tabela1[[#This Row],[valMensal]]*12</f>
        <v>1303.1199999999999</v>
      </c>
      <c r="AE327" s="2">
        <v>1303.1199999999999</v>
      </c>
      <c r="AF327" s="2">
        <v>0</v>
      </c>
      <c r="AG327" s="2">
        <v>1303.1199999999999</v>
      </c>
      <c r="AH327" s="2">
        <v>1303.1199999999999</v>
      </c>
      <c r="AI327" s="2">
        <v>1303.1199999999999</v>
      </c>
      <c r="AJ327" t="s">
        <v>47</v>
      </c>
    </row>
    <row r="328" spans="1:36" x14ac:dyDescent="0.25">
      <c r="A328" t="s">
        <v>36</v>
      </c>
      <c r="B328" t="s">
        <v>37</v>
      </c>
      <c r="C328" t="s">
        <v>38</v>
      </c>
      <c r="D328" t="s">
        <v>39</v>
      </c>
      <c r="E328">
        <v>14</v>
      </c>
      <c r="F328">
        <v>122</v>
      </c>
      <c r="G328">
        <v>3024</v>
      </c>
      <c r="H328">
        <v>2100</v>
      </c>
      <c r="I328" t="s">
        <v>48</v>
      </c>
      <c r="J328" t="s">
        <v>49</v>
      </c>
      <c r="K328" t="s">
        <v>50</v>
      </c>
      <c r="L328">
        <v>6</v>
      </c>
      <c r="M328" t="s">
        <v>97</v>
      </c>
      <c r="N328">
        <v>2024</v>
      </c>
      <c r="O328">
        <v>38248</v>
      </c>
      <c r="Q328" t="s">
        <v>588</v>
      </c>
      <c r="R328" t="s">
        <v>592</v>
      </c>
      <c r="U328" t="s">
        <v>560</v>
      </c>
      <c r="V328">
        <v>12</v>
      </c>
      <c r="W328" t="str">
        <f ca="1">IF(Tabela1[[#This Row],[datVigencia]]=0,"Expirado",IF(Tabela1[[#This Row],[datVigencia]]&gt;TODAY(),"Vigente","Expirado"))</f>
        <v>Vigente</v>
      </c>
      <c r="X328" s="2">
        <v>1177.42</v>
      </c>
      <c r="Y328" s="2">
        <v>0</v>
      </c>
      <c r="Z328" s="2">
        <v>0</v>
      </c>
      <c r="AA328" s="2">
        <v>0</v>
      </c>
      <c r="AB328" s="2">
        <f>Tabela1[[#This Row],[valPrincipal]]+Tabela1[[#This Row],[valReajustes]]+Tabela1[[#This Row],[valAditamentos]]-Tabela1[[#This Row],[valAnulacao]]</f>
        <v>1177.42</v>
      </c>
      <c r="AC328" s="2">
        <f>IF(Tabela1[[#This Row],[VigenciaMeses]]=0,Tabela1[[#This Row],[valTotal]]/1,Tabela1[[#This Row],[valTotal]]/Tabela1[[#This Row],[VigenciaMeses]])</f>
        <v>98.118333333333339</v>
      </c>
      <c r="AD328" s="2">
        <f>Tabela1[[#This Row],[valMensal]]*12</f>
        <v>1177.42</v>
      </c>
      <c r="AE328" s="2">
        <v>1177.42</v>
      </c>
      <c r="AF328" s="2">
        <v>0</v>
      </c>
      <c r="AG328" s="2">
        <v>1177.42</v>
      </c>
      <c r="AH328" s="2">
        <v>1177.42</v>
      </c>
      <c r="AI328" s="2">
        <v>1177.42</v>
      </c>
      <c r="AJ328" t="s">
        <v>47</v>
      </c>
    </row>
    <row r="329" spans="1:36" x14ac:dyDescent="0.25">
      <c r="A329" t="s">
        <v>36</v>
      </c>
      <c r="B329" t="s">
        <v>37</v>
      </c>
      <c r="C329" t="s">
        <v>38</v>
      </c>
      <c r="D329" t="s">
        <v>39</v>
      </c>
      <c r="E329">
        <v>8</v>
      </c>
      <c r="F329">
        <v>605</v>
      </c>
      <c r="G329">
        <v>3016</v>
      </c>
      <c r="H329">
        <v>4470</v>
      </c>
      <c r="I329" t="s">
        <v>157</v>
      </c>
      <c r="J329" t="s">
        <v>207</v>
      </c>
      <c r="K329" t="s">
        <v>208</v>
      </c>
      <c r="L329">
        <v>6</v>
      </c>
      <c r="M329" t="s">
        <v>97</v>
      </c>
      <c r="N329">
        <v>2025</v>
      </c>
      <c r="O329">
        <v>4142</v>
      </c>
      <c r="Q329" t="s">
        <v>755</v>
      </c>
      <c r="R329" t="s">
        <v>756</v>
      </c>
      <c r="U329" t="s">
        <v>757</v>
      </c>
      <c r="V329">
        <v>12</v>
      </c>
      <c r="W329" t="str">
        <f ca="1">IF(Tabela1[[#This Row],[datVigencia]]=0,"Expirado",IF(Tabela1[[#This Row],[datVigencia]]&gt;TODAY(),"Vigente","Expirado"))</f>
        <v>Vigente</v>
      </c>
      <c r="X329" s="2">
        <v>1110</v>
      </c>
      <c r="Y329" s="2">
        <v>0</v>
      </c>
      <c r="Z329" s="2">
        <v>0</v>
      </c>
      <c r="AA329" s="2">
        <v>1110</v>
      </c>
      <c r="AB329" s="2">
        <f>Tabela1[[#This Row],[valPrincipal]]+Tabela1[[#This Row],[valReajustes]]+Tabela1[[#This Row],[valAditamentos]]-Tabela1[[#This Row],[valAnulacao]]</f>
        <v>0</v>
      </c>
      <c r="AC329" s="2">
        <f>IF(Tabela1[[#This Row],[VigenciaMeses]]=0,Tabela1[[#This Row],[valTotal]]/1,Tabela1[[#This Row],[valTotal]]/Tabela1[[#This Row],[VigenciaMeses]])</f>
        <v>0</v>
      </c>
      <c r="AD329" s="2">
        <f>Tabela1[[#This Row],[valMensal]]*12</f>
        <v>0</v>
      </c>
      <c r="AE329" s="2">
        <v>1110</v>
      </c>
      <c r="AF329" s="2">
        <v>1110</v>
      </c>
      <c r="AG329" s="2">
        <v>0</v>
      </c>
      <c r="AH329" s="2">
        <v>0</v>
      </c>
      <c r="AI329" s="2">
        <v>0</v>
      </c>
      <c r="AJ329" t="s">
        <v>47</v>
      </c>
    </row>
    <row r="330" spans="1:36" x14ac:dyDescent="0.25">
      <c r="A330" t="s">
        <v>36</v>
      </c>
      <c r="B330" t="s">
        <v>37</v>
      </c>
      <c r="C330" t="s">
        <v>38</v>
      </c>
      <c r="D330" t="s">
        <v>39</v>
      </c>
      <c r="E330">
        <v>14</v>
      </c>
      <c r="F330">
        <v>122</v>
      </c>
      <c r="G330">
        <v>3024</v>
      </c>
      <c r="H330">
        <v>2100</v>
      </c>
      <c r="I330" t="s">
        <v>157</v>
      </c>
      <c r="J330" t="s">
        <v>49</v>
      </c>
      <c r="K330" t="s">
        <v>50</v>
      </c>
      <c r="L330">
        <v>6</v>
      </c>
      <c r="M330" t="s">
        <v>97</v>
      </c>
      <c r="N330">
        <v>2025</v>
      </c>
      <c r="O330">
        <v>4307</v>
      </c>
      <c r="Q330" t="s">
        <v>777</v>
      </c>
      <c r="R330" t="s">
        <v>778</v>
      </c>
      <c r="U330" t="s">
        <v>779</v>
      </c>
      <c r="V330">
        <v>12</v>
      </c>
      <c r="W330" t="str">
        <f ca="1">IF(Tabela1[[#This Row],[datVigencia]]=0,"Expirado",IF(Tabela1[[#This Row],[datVigencia]]&gt;TODAY(),"Vigente","Expirado"))</f>
        <v>Vigente</v>
      </c>
      <c r="X330" s="2">
        <v>1050</v>
      </c>
      <c r="Y330" s="2">
        <v>0</v>
      </c>
      <c r="Z330" s="2">
        <v>0</v>
      </c>
      <c r="AA330" s="2">
        <v>0</v>
      </c>
      <c r="AB330" s="2">
        <f>Tabela1[[#This Row],[valPrincipal]]+Tabela1[[#This Row],[valReajustes]]+Tabela1[[#This Row],[valAditamentos]]-Tabela1[[#This Row],[valAnulacao]]</f>
        <v>1050</v>
      </c>
      <c r="AC330" s="2">
        <f>IF(Tabela1[[#This Row],[VigenciaMeses]]=0,Tabela1[[#This Row],[valTotal]]/1,Tabela1[[#This Row],[valTotal]]/Tabela1[[#This Row],[VigenciaMeses]])</f>
        <v>87.5</v>
      </c>
      <c r="AD330" s="2">
        <f>Tabela1[[#This Row],[valMensal]]*12</f>
        <v>1050</v>
      </c>
      <c r="AE330" s="2">
        <v>1050</v>
      </c>
      <c r="AF330" s="2">
        <v>0</v>
      </c>
      <c r="AG330" s="2">
        <v>1050</v>
      </c>
      <c r="AH330" s="2">
        <v>1050</v>
      </c>
      <c r="AI330" s="2">
        <v>1050</v>
      </c>
      <c r="AJ330" t="s">
        <v>47</v>
      </c>
    </row>
    <row r="331" spans="1:36" x14ac:dyDescent="0.25">
      <c r="A331" t="s">
        <v>36</v>
      </c>
      <c r="B331" t="s">
        <v>37</v>
      </c>
      <c r="C331" t="s">
        <v>38</v>
      </c>
      <c r="D331" t="s">
        <v>39</v>
      </c>
      <c r="E331">
        <v>14</v>
      </c>
      <c r="F331">
        <v>422</v>
      </c>
      <c r="G331">
        <v>3013</v>
      </c>
      <c r="H331">
        <v>4322</v>
      </c>
      <c r="I331" t="s">
        <v>48</v>
      </c>
      <c r="J331" t="s">
        <v>571</v>
      </c>
      <c r="K331" t="s">
        <v>572</v>
      </c>
      <c r="L331">
        <v>12</v>
      </c>
      <c r="M331" t="s">
        <v>51</v>
      </c>
      <c r="N331">
        <v>2025</v>
      </c>
      <c r="O331">
        <v>11265</v>
      </c>
      <c r="Q331" t="s">
        <v>1066</v>
      </c>
      <c r="R331" t="s">
        <v>1067</v>
      </c>
      <c r="U331" t="s">
        <v>739</v>
      </c>
      <c r="V331">
        <v>12</v>
      </c>
      <c r="W331" t="str">
        <f ca="1">IF(Tabela1[[#This Row],[datVigencia]]=0,"Expirado",IF(Tabela1[[#This Row],[datVigencia]]&gt;TODAY(),"Vigente","Expirado"))</f>
        <v>Vigente</v>
      </c>
      <c r="X331" s="2">
        <v>1004.8</v>
      </c>
      <c r="Y331" s="2">
        <v>0</v>
      </c>
      <c r="Z331" s="2">
        <v>0</v>
      </c>
      <c r="AA331" s="2">
        <v>0</v>
      </c>
      <c r="AB331" s="2">
        <f>Tabela1[[#This Row],[valPrincipal]]+Tabela1[[#This Row],[valReajustes]]+Tabela1[[#This Row],[valAditamentos]]-Tabela1[[#This Row],[valAnulacao]]</f>
        <v>1004.8</v>
      </c>
      <c r="AC331" s="2">
        <f>IF(Tabela1[[#This Row],[VigenciaMeses]]=0,Tabela1[[#This Row],[valTotal]]/1,Tabela1[[#This Row],[valTotal]]/Tabela1[[#This Row],[VigenciaMeses]])</f>
        <v>83.733333333333334</v>
      </c>
      <c r="AD331" s="2">
        <f>Tabela1[[#This Row],[valMensal]]*12</f>
        <v>1004.8</v>
      </c>
      <c r="AE331" s="2">
        <v>1004.8</v>
      </c>
      <c r="AF331" s="2">
        <v>0</v>
      </c>
      <c r="AG331" s="2">
        <v>1004.8</v>
      </c>
      <c r="AH331" s="2">
        <v>1004.8</v>
      </c>
      <c r="AI331" s="2">
        <v>1004.8</v>
      </c>
      <c r="AJ331" t="s">
        <v>47</v>
      </c>
    </row>
    <row r="332" spans="1:36" x14ac:dyDescent="0.25">
      <c r="A332" t="s">
        <v>36</v>
      </c>
      <c r="B332" t="s">
        <v>1076</v>
      </c>
      <c r="C332" t="s">
        <v>1077</v>
      </c>
      <c r="D332" t="s">
        <v>39</v>
      </c>
      <c r="E332">
        <v>14</v>
      </c>
      <c r="F332">
        <v>422</v>
      </c>
      <c r="G332">
        <v>3018</v>
      </c>
      <c r="H332">
        <v>4326</v>
      </c>
      <c r="I332" t="s">
        <v>48</v>
      </c>
      <c r="J332" t="s">
        <v>55</v>
      </c>
      <c r="K332" t="s">
        <v>56</v>
      </c>
      <c r="L332">
        <v>7</v>
      </c>
      <c r="M332" t="s">
        <v>324</v>
      </c>
      <c r="N332">
        <v>2025</v>
      </c>
      <c r="O332">
        <v>16747</v>
      </c>
      <c r="Q332" t="s">
        <v>1331</v>
      </c>
      <c r="R332" t="s">
        <v>1332</v>
      </c>
      <c r="V332">
        <v>12</v>
      </c>
      <c r="W332" t="str">
        <f ca="1">IF(Tabela1[[#This Row],[datVigencia]]=0,"Expirado",IF(Tabela1[[#This Row],[datVigencia]]&gt;TODAY(),"Vigente","Expirado"))</f>
        <v>Expirado</v>
      </c>
      <c r="X332" s="2">
        <v>1000</v>
      </c>
      <c r="Y332" s="2">
        <v>0</v>
      </c>
      <c r="Z332" s="2">
        <v>0</v>
      </c>
      <c r="AA332" s="2">
        <v>0</v>
      </c>
      <c r="AB332" s="2">
        <f>Tabela1[[#This Row],[valPrincipal]]+Tabela1[[#This Row],[valReajustes]]+Tabela1[[#This Row],[valAditamentos]]-Tabela1[[#This Row],[valAnulacao]]</f>
        <v>1000</v>
      </c>
      <c r="AC332" s="2">
        <f>IF(Tabela1[[#This Row],[VigenciaMeses]]=0,Tabela1[[#This Row],[valTotal]]/1,Tabela1[[#This Row],[valTotal]]/Tabela1[[#This Row],[VigenciaMeses]])</f>
        <v>83.333333333333329</v>
      </c>
      <c r="AD332" s="2">
        <f>Tabela1[[#This Row],[valMensal]]*12</f>
        <v>1000</v>
      </c>
      <c r="AE332" s="2">
        <v>1000</v>
      </c>
      <c r="AF332" s="2">
        <v>0</v>
      </c>
      <c r="AG332" s="2">
        <v>1000</v>
      </c>
      <c r="AH332" s="2">
        <v>0</v>
      </c>
      <c r="AI332" s="2">
        <v>0</v>
      </c>
      <c r="AJ332" t="s">
        <v>47</v>
      </c>
    </row>
    <row r="333" spans="1:36" x14ac:dyDescent="0.25">
      <c r="A333" t="s">
        <v>36</v>
      </c>
      <c r="B333" t="s">
        <v>1076</v>
      </c>
      <c r="C333" t="s">
        <v>1077</v>
      </c>
      <c r="D333" t="s">
        <v>39</v>
      </c>
      <c r="E333">
        <v>14</v>
      </c>
      <c r="F333">
        <v>422</v>
      </c>
      <c r="G333">
        <v>3018</v>
      </c>
      <c r="H333">
        <v>4326</v>
      </c>
      <c r="I333" t="s">
        <v>48</v>
      </c>
      <c r="J333" t="s">
        <v>55</v>
      </c>
      <c r="K333" t="s">
        <v>56</v>
      </c>
      <c r="L333">
        <v>7</v>
      </c>
      <c r="M333" t="s">
        <v>324</v>
      </c>
      <c r="N333">
        <v>2025</v>
      </c>
      <c r="O333">
        <v>16754</v>
      </c>
      <c r="Q333" t="s">
        <v>1345</v>
      </c>
      <c r="R333" t="s">
        <v>1346</v>
      </c>
      <c r="V333">
        <v>12</v>
      </c>
      <c r="W333" t="str">
        <f ca="1">IF(Tabela1[[#This Row],[datVigencia]]=0,"Expirado",IF(Tabela1[[#This Row],[datVigencia]]&gt;TODAY(),"Vigente","Expirado"))</f>
        <v>Expirado</v>
      </c>
      <c r="X333" s="2">
        <v>1000</v>
      </c>
      <c r="Y333" s="2">
        <v>0</v>
      </c>
      <c r="Z333" s="2">
        <v>0</v>
      </c>
      <c r="AA333" s="2">
        <v>0</v>
      </c>
      <c r="AB333" s="2">
        <f>Tabela1[[#This Row],[valPrincipal]]+Tabela1[[#This Row],[valReajustes]]+Tabela1[[#This Row],[valAditamentos]]-Tabela1[[#This Row],[valAnulacao]]</f>
        <v>1000</v>
      </c>
      <c r="AC333" s="2">
        <f>IF(Tabela1[[#This Row],[VigenciaMeses]]=0,Tabela1[[#This Row],[valTotal]]/1,Tabela1[[#This Row],[valTotal]]/Tabela1[[#This Row],[VigenciaMeses]])</f>
        <v>83.333333333333329</v>
      </c>
      <c r="AD333" s="2">
        <f>Tabela1[[#This Row],[valMensal]]*12</f>
        <v>1000</v>
      </c>
      <c r="AE333" s="2">
        <v>1000</v>
      </c>
      <c r="AF333" s="2">
        <v>0</v>
      </c>
      <c r="AG333" s="2">
        <v>1000</v>
      </c>
      <c r="AH333" s="2">
        <v>0</v>
      </c>
      <c r="AI333" s="2">
        <v>0</v>
      </c>
      <c r="AJ333" t="s">
        <v>47</v>
      </c>
    </row>
    <row r="334" spans="1:36" x14ac:dyDescent="0.25">
      <c r="A334" t="s">
        <v>36</v>
      </c>
      <c r="B334" t="s">
        <v>1076</v>
      </c>
      <c r="C334" t="s">
        <v>1077</v>
      </c>
      <c r="D334" t="s">
        <v>39</v>
      </c>
      <c r="E334">
        <v>14</v>
      </c>
      <c r="F334">
        <v>422</v>
      </c>
      <c r="G334">
        <v>3018</v>
      </c>
      <c r="H334">
        <v>4326</v>
      </c>
      <c r="I334" t="s">
        <v>48</v>
      </c>
      <c r="J334" t="s">
        <v>55</v>
      </c>
      <c r="K334" t="s">
        <v>56</v>
      </c>
      <c r="L334">
        <v>7</v>
      </c>
      <c r="M334" t="s">
        <v>324</v>
      </c>
      <c r="N334">
        <v>2025</v>
      </c>
      <c r="O334">
        <v>16763</v>
      </c>
      <c r="Q334" t="s">
        <v>1349</v>
      </c>
      <c r="R334" t="s">
        <v>1350</v>
      </c>
      <c r="V334">
        <v>12</v>
      </c>
      <c r="W334" t="str">
        <f ca="1">IF(Tabela1[[#This Row],[datVigencia]]=0,"Expirado",IF(Tabela1[[#This Row],[datVigencia]]&gt;TODAY(),"Vigente","Expirado"))</f>
        <v>Expirado</v>
      </c>
      <c r="X334" s="2">
        <v>1000</v>
      </c>
      <c r="Y334" s="2">
        <v>0</v>
      </c>
      <c r="Z334" s="2">
        <v>0</v>
      </c>
      <c r="AA334" s="2">
        <v>0</v>
      </c>
      <c r="AB334" s="2">
        <f>Tabela1[[#This Row],[valPrincipal]]+Tabela1[[#This Row],[valReajustes]]+Tabela1[[#This Row],[valAditamentos]]-Tabela1[[#This Row],[valAnulacao]]</f>
        <v>1000</v>
      </c>
      <c r="AC334" s="2">
        <f>IF(Tabela1[[#This Row],[VigenciaMeses]]=0,Tabela1[[#This Row],[valTotal]]/1,Tabela1[[#This Row],[valTotal]]/Tabela1[[#This Row],[VigenciaMeses]])</f>
        <v>83.333333333333329</v>
      </c>
      <c r="AD334" s="2">
        <f>Tabela1[[#This Row],[valMensal]]*12</f>
        <v>1000</v>
      </c>
      <c r="AE334" s="2">
        <v>1000</v>
      </c>
      <c r="AF334" s="2">
        <v>0</v>
      </c>
      <c r="AG334" s="2">
        <v>1000</v>
      </c>
      <c r="AH334" s="2">
        <v>0</v>
      </c>
      <c r="AI334" s="2">
        <v>0</v>
      </c>
      <c r="AJ334" t="s">
        <v>47</v>
      </c>
    </row>
    <row r="335" spans="1:36" x14ac:dyDescent="0.25">
      <c r="A335" t="s">
        <v>36</v>
      </c>
      <c r="B335" t="s">
        <v>1076</v>
      </c>
      <c r="C335" t="s">
        <v>1077</v>
      </c>
      <c r="D335" t="s">
        <v>39</v>
      </c>
      <c r="E335">
        <v>14</v>
      </c>
      <c r="F335">
        <v>422</v>
      </c>
      <c r="G335">
        <v>3018</v>
      </c>
      <c r="H335">
        <v>4326</v>
      </c>
      <c r="I335" t="s">
        <v>48</v>
      </c>
      <c r="J335" t="s">
        <v>55</v>
      </c>
      <c r="K335" t="s">
        <v>56</v>
      </c>
      <c r="L335">
        <v>7</v>
      </c>
      <c r="M335" t="s">
        <v>324</v>
      </c>
      <c r="N335">
        <v>2025</v>
      </c>
      <c r="O335">
        <v>16765</v>
      </c>
      <c r="Q335" t="s">
        <v>1355</v>
      </c>
      <c r="R335" t="s">
        <v>1356</v>
      </c>
      <c r="V335">
        <v>12</v>
      </c>
      <c r="W335" t="str">
        <f ca="1">IF(Tabela1[[#This Row],[datVigencia]]=0,"Expirado",IF(Tabela1[[#This Row],[datVigencia]]&gt;TODAY(),"Vigente","Expirado"))</f>
        <v>Expirado</v>
      </c>
      <c r="X335" s="2">
        <v>1000</v>
      </c>
      <c r="Y335" s="2">
        <v>0</v>
      </c>
      <c r="Z335" s="2">
        <v>0</v>
      </c>
      <c r="AA335" s="2">
        <v>0</v>
      </c>
      <c r="AB335" s="2">
        <f>Tabela1[[#This Row],[valPrincipal]]+Tabela1[[#This Row],[valReajustes]]+Tabela1[[#This Row],[valAditamentos]]-Tabela1[[#This Row],[valAnulacao]]</f>
        <v>1000</v>
      </c>
      <c r="AC335" s="2">
        <f>IF(Tabela1[[#This Row],[VigenciaMeses]]=0,Tabela1[[#This Row],[valTotal]]/1,Tabela1[[#This Row],[valTotal]]/Tabela1[[#This Row],[VigenciaMeses]])</f>
        <v>83.333333333333329</v>
      </c>
      <c r="AD335" s="2">
        <f>Tabela1[[#This Row],[valMensal]]*12</f>
        <v>1000</v>
      </c>
      <c r="AE335" s="2">
        <v>1000</v>
      </c>
      <c r="AF335" s="2">
        <v>0</v>
      </c>
      <c r="AG335" s="2">
        <v>1000</v>
      </c>
      <c r="AH335" s="2">
        <v>0</v>
      </c>
      <c r="AI335" s="2">
        <v>0</v>
      </c>
      <c r="AJ335" t="s">
        <v>47</v>
      </c>
    </row>
    <row r="336" spans="1:36" x14ac:dyDescent="0.25">
      <c r="A336" t="s">
        <v>36</v>
      </c>
      <c r="B336" t="s">
        <v>1076</v>
      </c>
      <c r="C336" t="s">
        <v>1077</v>
      </c>
      <c r="D336" t="s">
        <v>39</v>
      </c>
      <c r="E336">
        <v>14</v>
      </c>
      <c r="F336">
        <v>422</v>
      </c>
      <c r="G336">
        <v>3018</v>
      </c>
      <c r="H336">
        <v>4326</v>
      </c>
      <c r="I336" t="s">
        <v>48</v>
      </c>
      <c r="J336" t="s">
        <v>55</v>
      </c>
      <c r="K336" t="s">
        <v>56</v>
      </c>
      <c r="L336">
        <v>7</v>
      </c>
      <c r="M336" t="s">
        <v>324</v>
      </c>
      <c r="N336">
        <v>2025</v>
      </c>
      <c r="O336">
        <v>16855</v>
      </c>
      <c r="Q336" t="s">
        <v>1409</v>
      </c>
      <c r="R336" t="s">
        <v>1410</v>
      </c>
      <c r="V336">
        <v>12</v>
      </c>
      <c r="W336" t="str">
        <f ca="1">IF(Tabela1[[#This Row],[datVigencia]]=0,"Expirado",IF(Tabela1[[#This Row],[datVigencia]]&gt;TODAY(),"Vigente","Expirado"))</f>
        <v>Expirado</v>
      </c>
      <c r="X336" s="2">
        <v>1000</v>
      </c>
      <c r="Y336" s="2">
        <v>0</v>
      </c>
      <c r="Z336" s="2">
        <v>0</v>
      </c>
      <c r="AA336" s="2">
        <v>0</v>
      </c>
      <c r="AB336" s="2">
        <f>Tabela1[[#This Row],[valPrincipal]]+Tabela1[[#This Row],[valReajustes]]+Tabela1[[#This Row],[valAditamentos]]-Tabela1[[#This Row],[valAnulacao]]</f>
        <v>1000</v>
      </c>
      <c r="AC336" s="2">
        <f>IF(Tabela1[[#This Row],[VigenciaMeses]]=0,Tabela1[[#This Row],[valTotal]]/1,Tabela1[[#This Row],[valTotal]]/Tabela1[[#This Row],[VigenciaMeses]])</f>
        <v>83.333333333333329</v>
      </c>
      <c r="AD336" s="2">
        <f>Tabela1[[#This Row],[valMensal]]*12</f>
        <v>1000</v>
      </c>
      <c r="AE336" s="2">
        <v>1000</v>
      </c>
      <c r="AF336" s="2">
        <v>0</v>
      </c>
      <c r="AG336" s="2">
        <v>1000</v>
      </c>
      <c r="AH336" s="2">
        <v>0</v>
      </c>
      <c r="AI336" s="2">
        <v>0</v>
      </c>
      <c r="AJ336" t="s">
        <v>47</v>
      </c>
    </row>
    <row r="337" spans="1:36" x14ac:dyDescent="0.25">
      <c r="A337" t="s">
        <v>36</v>
      </c>
      <c r="B337" t="s">
        <v>1076</v>
      </c>
      <c r="C337" t="s">
        <v>1077</v>
      </c>
      <c r="D337" t="s">
        <v>39</v>
      </c>
      <c r="E337">
        <v>14</v>
      </c>
      <c r="F337">
        <v>422</v>
      </c>
      <c r="G337">
        <v>3018</v>
      </c>
      <c r="H337">
        <v>4326</v>
      </c>
      <c r="I337" t="s">
        <v>48</v>
      </c>
      <c r="J337" t="s">
        <v>55</v>
      </c>
      <c r="K337" t="s">
        <v>56</v>
      </c>
      <c r="L337">
        <v>7</v>
      </c>
      <c r="M337" t="s">
        <v>324</v>
      </c>
      <c r="N337">
        <v>2025</v>
      </c>
      <c r="O337">
        <v>16869</v>
      </c>
      <c r="Q337" t="s">
        <v>1416</v>
      </c>
      <c r="R337" t="s">
        <v>1417</v>
      </c>
      <c r="V337">
        <v>12</v>
      </c>
      <c r="W337" t="str">
        <f ca="1">IF(Tabela1[[#This Row],[datVigencia]]=0,"Expirado",IF(Tabela1[[#This Row],[datVigencia]]&gt;TODAY(),"Vigente","Expirado"))</f>
        <v>Expirado</v>
      </c>
      <c r="X337" s="2">
        <v>1000</v>
      </c>
      <c r="Y337" s="2">
        <v>0</v>
      </c>
      <c r="Z337" s="2">
        <v>0</v>
      </c>
      <c r="AA337" s="2">
        <v>0</v>
      </c>
      <c r="AB337" s="2">
        <f>Tabela1[[#This Row],[valPrincipal]]+Tabela1[[#This Row],[valReajustes]]+Tabela1[[#This Row],[valAditamentos]]-Tabela1[[#This Row],[valAnulacao]]</f>
        <v>1000</v>
      </c>
      <c r="AC337" s="2">
        <f>IF(Tabela1[[#This Row],[VigenciaMeses]]=0,Tabela1[[#This Row],[valTotal]]/1,Tabela1[[#This Row],[valTotal]]/Tabela1[[#This Row],[VigenciaMeses]])</f>
        <v>83.333333333333329</v>
      </c>
      <c r="AD337" s="2">
        <f>Tabela1[[#This Row],[valMensal]]*12</f>
        <v>1000</v>
      </c>
      <c r="AE337" s="2">
        <v>1000</v>
      </c>
      <c r="AF337" s="2">
        <v>0</v>
      </c>
      <c r="AG337" s="2">
        <v>1000</v>
      </c>
      <c r="AH337" s="2">
        <v>0</v>
      </c>
      <c r="AI337" s="2">
        <v>0</v>
      </c>
      <c r="AJ337" t="s">
        <v>47</v>
      </c>
    </row>
    <row r="338" spans="1:36" x14ac:dyDescent="0.25">
      <c r="A338" t="s">
        <v>36</v>
      </c>
      <c r="B338" t="s">
        <v>37</v>
      </c>
      <c r="C338" t="s">
        <v>38</v>
      </c>
      <c r="D338" t="s">
        <v>39</v>
      </c>
      <c r="E338">
        <v>14</v>
      </c>
      <c r="F338">
        <v>422</v>
      </c>
      <c r="G338">
        <v>3013</v>
      </c>
      <c r="H338">
        <v>4322</v>
      </c>
      <c r="I338" t="s">
        <v>48</v>
      </c>
      <c r="J338" t="s">
        <v>49</v>
      </c>
      <c r="K338" t="s">
        <v>50</v>
      </c>
      <c r="L338">
        <v>12</v>
      </c>
      <c r="M338" t="s">
        <v>51</v>
      </c>
      <c r="N338">
        <v>2025</v>
      </c>
      <c r="O338">
        <v>10996</v>
      </c>
      <c r="Q338" t="s">
        <v>1060</v>
      </c>
      <c r="R338" t="s">
        <v>1061</v>
      </c>
      <c r="U338" t="s">
        <v>978</v>
      </c>
      <c r="V338">
        <v>12</v>
      </c>
      <c r="W338" t="str">
        <f ca="1">IF(Tabela1[[#This Row],[datVigencia]]=0,"Expirado",IF(Tabela1[[#This Row],[datVigencia]]&gt;TODAY(),"Vigente","Expirado"))</f>
        <v>Vigente</v>
      </c>
      <c r="X338" s="2">
        <v>989.4</v>
      </c>
      <c r="Y338" s="2">
        <v>0</v>
      </c>
      <c r="Z338" s="2">
        <v>0</v>
      </c>
      <c r="AA338" s="2">
        <v>0</v>
      </c>
      <c r="AB338" s="2">
        <f>Tabela1[[#This Row],[valPrincipal]]+Tabela1[[#This Row],[valReajustes]]+Tabela1[[#This Row],[valAditamentos]]-Tabela1[[#This Row],[valAnulacao]]</f>
        <v>989.4</v>
      </c>
      <c r="AC338" s="2">
        <f>IF(Tabela1[[#This Row],[VigenciaMeses]]=0,Tabela1[[#This Row],[valTotal]]/1,Tabela1[[#This Row],[valTotal]]/Tabela1[[#This Row],[VigenciaMeses]])</f>
        <v>82.45</v>
      </c>
      <c r="AD338" s="2">
        <f>Tabela1[[#This Row],[valMensal]]*12</f>
        <v>989.40000000000009</v>
      </c>
      <c r="AE338" s="2">
        <v>989.4</v>
      </c>
      <c r="AF338" s="2">
        <v>0</v>
      </c>
      <c r="AG338" s="2">
        <v>989.4</v>
      </c>
      <c r="AH338" s="2">
        <v>989.4</v>
      </c>
      <c r="AI338" s="2">
        <v>989.4</v>
      </c>
      <c r="AJ338" t="s">
        <v>47</v>
      </c>
    </row>
    <row r="339" spans="1:36" x14ac:dyDescent="0.25">
      <c r="A339" t="s">
        <v>36</v>
      </c>
      <c r="B339" t="s">
        <v>37</v>
      </c>
      <c r="C339" t="s">
        <v>38</v>
      </c>
      <c r="D339" t="s">
        <v>39</v>
      </c>
      <c r="E339">
        <v>14</v>
      </c>
      <c r="F339">
        <v>122</v>
      </c>
      <c r="G339">
        <v>3024</v>
      </c>
      <c r="H339">
        <v>2100</v>
      </c>
      <c r="I339" t="s">
        <v>157</v>
      </c>
      <c r="J339" t="s">
        <v>207</v>
      </c>
      <c r="K339" t="s">
        <v>208</v>
      </c>
      <c r="L339">
        <v>6</v>
      </c>
      <c r="M339" t="s">
        <v>97</v>
      </c>
      <c r="N339">
        <v>2025</v>
      </c>
      <c r="O339">
        <v>14805</v>
      </c>
      <c r="Q339" t="s">
        <v>1254</v>
      </c>
      <c r="R339" t="s">
        <v>1255</v>
      </c>
      <c r="V339">
        <v>12</v>
      </c>
      <c r="W339" t="str">
        <f ca="1">IF(Tabela1[[#This Row],[datVigencia]]=0,"Expirado",IF(Tabela1[[#This Row],[datVigencia]]&gt;TODAY(),"Vigente","Expirado"))</f>
        <v>Expirado</v>
      </c>
      <c r="X339" s="2">
        <v>930</v>
      </c>
      <c r="Y339" s="2">
        <v>0</v>
      </c>
      <c r="Z339" s="2">
        <v>0</v>
      </c>
      <c r="AA339" s="2">
        <v>0</v>
      </c>
      <c r="AB339" s="2">
        <f>Tabela1[[#This Row],[valPrincipal]]+Tabela1[[#This Row],[valReajustes]]+Tabela1[[#This Row],[valAditamentos]]-Tabela1[[#This Row],[valAnulacao]]</f>
        <v>930</v>
      </c>
      <c r="AC339" s="2">
        <f>IF(Tabela1[[#This Row],[VigenciaMeses]]=0,Tabela1[[#This Row],[valTotal]]/1,Tabela1[[#This Row],[valTotal]]/Tabela1[[#This Row],[VigenciaMeses]])</f>
        <v>77.5</v>
      </c>
      <c r="AD339" s="2">
        <f>Tabela1[[#This Row],[valMensal]]*12</f>
        <v>930</v>
      </c>
      <c r="AE339" s="2">
        <v>930</v>
      </c>
      <c r="AF339" s="2">
        <v>0</v>
      </c>
      <c r="AG339" s="2">
        <v>930</v>
      </c>
      <c r="AH339" s="2">
        <v>0</v>
      </c>
      <c r="AI339" s="2">
        <v>0</v>
      </c>
      <c r="AJ339" t="s">
        <v>47</v>
      </c>
    </row>
    <row r="340" spans="1:36" x14ac:dyDescent="0.25">
      <c r="A340" t="s">
        <v>36</v>
      </c>
      <c r="B340" t="s">
        <v>37</v>
      </c>
      <c r="C340" t="s">
        <v>38</v>
      </c>
      <c r="D340" t="s">
        <v>39</v>
      </c>
      <c r="E340">
        <v>14</v>
      </c>
      <c r="F340">
        <v>122</v>
      </c>
      <c r="G340">
        <v>3024</v>
      </c>
      <c r="H340">
        <v>2100</v>
      </c>
      <c r="I340" t="s">
        <v>206</v>
      </c>
      <c r="J340" t="s">
        <v>207</v>
      </c>
      <c r="K340" t="s">
        <v>208</v>
      </c>
      <c r="L340">
        <v>6</v>
      </c>
      <c r="M340" t="s">
        <v>97</v>
      </c>
      <c r="N340">
        <v>2025</v>
      </c>
      <c r="O340">
        <v>11543</v>
      </c>
      <c r="Q340" t="s">
        <v>1086</v>
      </c>
      <c r="R340" t="s">
        <v>1087</v>
      </c>
      <c r="U340" t="s">
        <v>1088</v>
      </c>
      <c r="V340">
        <v>12</v>
      </c>
      <c r="W340" t="str">
        <f ca="1">IF(Tabela1[[#This Row],[datVigencia]]=0,"Expirado",IF(Tabela1[[#This Row],[datVigencia]]&gt;TODAY(),"Vigente","Expirado"))</f>
        <v>Vigente</v>
      </c>
      <c r="X340" s="2">
        <v>808</v>
      </c>
      <c r="Y340" s="2">
        <v>0</v>
      </c>
      <c r="Z340" s="2">
        <v>0</v>
      </c>
      <c r="AA340" s="2">
        <v>0</v>
      </c>
      <c r="AB340" s="2">
        <f>Tabela1[[#This Row],[valPrincipal]]+Tabela1[[#This Row],[valReajustes]]+Tabela1[[#This Row],[valAditamentos]]-Tabela1[[#This Row],[valAnulacao]]</f>
        <v>808</v>
      </c>
      <c r="AC340" s="2">
        <f>IF(Tabela1[[#This Row],[VigenciaMeses]]=0,Tabela1[[#This Row],[valTotal]]/1,Tabela1[[#This Row],[valTotal]]/Tabela1[[#This Row],[VigenciaMeses]])</f>
        <v>67.333333333333329</v>
      </c>
      <c r="AD340" s="2">
        <f>Tabela1[[#This Row],[valMensal]]*12</f>
        <v>808</v>
      </c>
      <c r="AE340" s="2">
        <v>808</v>
      </c>
      <c r="AF340" s="2">
        <v>0</v>
      </c>
      <c r="AG340" s="2">
        <v>808</v>
      </c>
      <c r="AH340" s="2">
        <v>808</v>
      </c>
      <c r="AI340" s="2">
        <v>808</v>
      </c>
      <c r="AJ340" t="s">
        <v>47</v>
      </c>
    </row>
    <row r="341" spans="1:36" x14ac:dyDescent="0.25">
      <c r="A341" t="s">
        <v>36</v>
      </c>
      <c r="B341" t="s">
        <v>1076</v>
      </c>
      <c r="C341" t="s">
        <v>1077</v>
      </c>
      <c r="D341" t="s">
        <v>39</v>
      </c>
      <c r="E341">
        <v>14</v>
      </c>
      <c r="F341">
        <v>422</v>
      </c>
      <c r="G341">
        <v>3018</v>
      </c>
      <c r="H341">
        <v>4326</v>
      </c>
      <c r="I341" t="s">
        <v>48</v>
      </c>
      <c r="J341" t="s">
        <v>55</v>
      </c>
      <c r="K341" t="s">
        <v>56</v>
      </c>
      <c r="L341">
        <v>7</v>
      </c>
      <c r="M341" t="s">
        <v>324</v>
      </c>
      <c r="N341">
        <v>2025</v>
      </c>
      <c r="O341">
        <v>16738</v>
      </c>
      <c r="Q341" t="s">
        <v>1329</v>
      </c>
      <c r="R341" t="s">
        <v>1330</v>
      </c>
      <c r="V341">
        <v>12</v>
      </c>
      <c r="W341" t="str">
        <f ca="1">IF(Tabela1[[#This Row],[datVigencia]]=0,"Expirado",IF(Tabela1[[#This Row],[datVigencia]]&gt;TODAY(),"Vigente","Expirado"))</f>
        <v>Expirado</v>
      </c>
      <c r="X341" s="2">
        <v>800</v>
      </c>
      <c r="Y341" s="2">
        <v>0</v>
      </c>
      <c r="Z341" s="2">
        <v>0</v>
      </c>
      <c r="AA341" s="2">
        <v>0</v>
      </c>
      <c r="AB341" s="2">
        <f>Tabela1[[#This Row],[valPrincipal]]+Tabela1[[#This Row],[valReajustes]]+Tabela1[[#This Row],[valAditamentos]]-Tabela1[[#This Row],[valAnulacao]]</f>
        <v>800</v>
      </c>
      <c r="AC341" s="2">
        <f>IF(Tabela1[[#This Row],[VigenciaMeses]]=0,Tabela1[[#This Row],[valTotal]]/1,Tabela1[[#This Row],[valTotal]]/Tabela1[[#This Row],[VigenciaMeses]])</f>
        <v>66.666666666666671</v>
      </c>
      <c r="AD341" s="2">
        <f>Tabela1[[#This Row],[valMensal]]*12</f>
        <v>800</v>
      </c>
      <c r="AE341" s="2">
        <v>800</v>
      </c>
      <c r="AF341" s="2">
        <v>0</v>
      </c>
      <c r="AG341" s="2">
        <v>800</v>
      </c>
      <c r="AH341" s="2">
        <v>0</v>
      </c>
      <c r="AI341" s="2">
        <v>0</v>
      </c>
      <c r="AJ341" t="s">
        <v>47</v>
      </c>
    </row>
    <row r="342" spans="1:36" x14ac:dyDescent="0.25">
      <c r="A342" t="s">
        <v>36</v>
      </c>
      <c r="B342" t="s">
        <v>1076</v>
      </c>
      <c r="C342" t="s">
        <v>1077</v>
      </c>
      <c r="D342" t="s">
        <v>39</v>
      </c>
      <c r="E342">
        <v>14</v>
      </c>
      <c r="F342">
        <v>422</v>
      </c>
      <c r="G342">
        <v>3018</v>
      </c>
      <c r="H342">
        <v>4326</v>
      </c>
      <c r="I342" t="s">
        <v>48</v>
      </c>
      <c r="J342" t="s">
        <v>55</v>
      </c>
      <c r="K342" t="s">
        <v>56</v>
      </c>
      <c r="L342">
        <v>7</v>
      </c>
      <c r="M342" t="s">
        <v>324</v>
      </c>
      <c r="N342">
        <v>2025</v>
      </c>
      <c r="O342">
        <v>16768</v>
      </c>
      <c r="Q342" t="s">
        <v>1357</v>
      </c>
      <c r="R342" t="s">
        <v>1358</v>
      </c>
      <c r="V342">
        <v>12</v>
      </c>
      <c r="W342" t="str">
        <f ca="1">IF(Tabela1[[#This Row],[datVigencia]]=0,"Expirado",IF(Tabela1[[#This Row],[datVigencia]]&gt;TODAY(),"Vigente","Expirado"))</f>
        <v>Expirado</v>
      </c>
      <c r="X342" s="2">
        <v>800</v>
      </c>
      <c r="Y342" s="2">
        <v>0</v>
      </c>
      <c r="Z342" s="2">
        <v>0</v>
      </c>
      <c r="AA342" s="2">
        <v>0</v>
      </c>
      <c r="AB342" s="2">
        <f>Tabela1[[#This Row],[valPrincipal]]+Tabela1[[#This Row],[valReajustes]]+Tabela1[[#This Row],[valAditamentos]]-Tabela1[[#This Row],[valAnulacao]]</f>
        <v>800</v>
      </c>
      <c r="AC342" s="2">
        <f>IF(Tabela1[[#This Row],[VigenciaMeses]]=0,Tabela1[[#This Row],[valTotal]]/1,Tabela1[[#This Row],[valTotal]]/Tabela1[[#This Row],[VigenciaMeses]])</f>
        <v>66.666666666666671</v>
      </c>
      <c r="AD342" s="2">
        <f>Tabela1[[#This Row],[valMensal]]*12</f>
        <v>800</v>
      </c>
      <c r="AE342" s="2">
        <v>800</v>
      </c>
      <c r="AF342" s="2">
        <v>0</v>
      </c>
      <c r="AG342" s="2">
        <v>800</v>
      </c>
      <c r="AH342" s="2">
        <v>0</v>
      </c>
      <c r="AI342" s="2">
        <v>0</v>
      </c>
      <c r="AJ342" t="s">
        <v>47</v>
      </c>
    </row>
    <row r="343" spans="1:36" x14ac:dyDescent="0.25">
      <c r="A343" t="s">
        <v>36</v>
      </c>
      <c r="B343" t="s">
        <v>1076</v>
      </c>
      <c r="C343" t="s">
        <v>1077</v>
      </c>
      <c r="D343" t="s">
        <v>39</v>
      </c>
      <c r="E343">
        <v>14</v>
      </c>
      <c r="F343">
        <v>422</v>
      </c>
      <c r="G343">
        <v>3018</v>
      </c>
      <c r="H343">
        <v>4326</v>
      </c>
      <c r="I343" t="s">
        <v>48</v>
      </c>
      <c r="J343" t="s">
        <v>55</v>
      </c>
      <c r="K343" t="s">
        <v>56</v>
      </c>
      <c r="L343">
        <v>7</v>
      </c>
      <c r="M343" t="s">
        <v>324</v>
      </c>
      <c r="N343">
        <v>2025</v>
      </c>
      <c r="O343">
        <v>16851</v>
      </c>
      <c r="Q343" t="s">
        <v>1401</v>
      </c>
      <c r="R343" t="s">
        <v>1402</v>
      </c>
      <c r="V343">
        <v>12</v>
      </c>
      <c r="W343" t="str">
        <f ca="1">IF(Tabela1[[#This Row],[datVigencia]]=0,"Expirado",IF(Tabela1[[#This Row],[datVigencia]]&gt;TODAY(),"Vigente","Expirado"))</f>
        <v>Expirado</v>
      </c>
      <c r="X343" s="2">
        <v>800</v>
      </c>
      <c r="Y343" s="2">
        <v>0</v>
      </c>
      <c r="Z343" s="2">
        <v>0</v>
      </c>
      <c r="AA343" s="2">
        <v>0</v>
      </c>
      <c r="AB343" s="2">
        <f>Tabela1[[#This Row],[valPrincipal]]+Tabela1[[#This Row],[valReajustes]]+Tabela1[[#This Row],[valAditamentos]]-Tabela1[[#This Row],[valAnulacao]]</f>
        <v>800</v>
      </c>
      <c r="AC343" s="2">
        <f>IF(Tabela1[[#This Row],[VigenciaMeses]]=0,Tabela1[[#This Row],[valTotal]]/1,Tabela1[[#This Row],[valTotal]]/Tabela1[[#This Row],[VigenciaMeses]])</f>
        <v>66.666666666666671</v>
      </c>
      <c r="AD343" s="2">
        <f>Tabela1[[#This Row],[valMensal]]*12</f>
        <v>800</v>
      </c>
      <c r="AE343" s="2">
        <v>800</v>
      </c>
      <c r="AF343" s="2">
        <v>0</v>
      </c>
      <c r="AG343" s="2">
        <v>800</v>
      </c>
      <c r="AH343" s="2">
        <v>0</v>
      </c>
      <c r="AI343" s="2">
        <v>0</v>
      </c>
      <c r="AJ343" t="s">
        <v>47</v>
      </c>
    </row>
    <row r="344" spans="1:36" x14ac:dyDescent="0.25">
      <c r="A344" t="s">
        <v>36</v>
      </c>
      <c r="B344" t="s">
        <v>37</v>
      </c>
      <c r="C344" t="s">
        <v>38</v>
      </c>
      <c r="D344" t="s">
        <v>39</v>
      </c>
      <c r="E344">
        <v>14</v>
      </c>
      <c r="F344">
        <v>422</v>
      </c>
      <c r="G344">
        <v>3013</v>
      </c>
      <c r="H344">
        <v>4322</v>
      </c>
      <c r="I344" t="s">
        <v>48</v>
      </c>
      <c r="J344" t="s">
        <v>49</v>
      </c>
      <c r="K344" t="s">
        <v>50</v>
      </c>
      <c r="L344">
        <v>12</v>
      </c>
      <c r="M344" t="s">
        <v>51</v>
      </c>
      <c r="N344">
        <v>2025</v>
      </c>
      <c r="O344">
        <v>942</v>
      </c>
      <c r="P344" t="s">
        <v>118</v>
      </c>
      <c r="Q344" t="s">
        <v>119</v>
      </c>
      <c r="R344" t="s">
        <v>120</v>
      </c>
      <c r="S344" t="s">
        <v>121</v>
      </c>
      <c r="U344" t="s">
        <v>122</v>
      </c>
      <c r="V344">
        <v>0</v>
      </c>
      <c r="W344" t="str">
        <f ca="1">IF(Tabela1[[#This Row],[datVigencia]]=0,"Expirado",IF(Tabela1[[#This Row],[datVigencia]]&gt;TODAY(),"Vigente","Expirado"))</f>
        <v>Vigente</v>
      </c>
      <c r="X344" s="2">
        <v>753.6</v>
      </c>
      <c r="Y344" s="2">
        <v>0</v>
      </c>
      <c r="Z344" s="2">
        <v>0</v>
      </c>
      <c r="AA344" s="2">
        <v>0</v>
      </c>
      <c r="AB344" s="2">
        <f>Tabela1[[#This Row],[valPrincipal]]+Tabela1[[#This Row],[valReajustes]]+Tabela1[[#This Row],[valAditamentos]]-Tabela1[[#This Row],[valAnulacao]]</f>
        <v>753.6</v>
      </c>
      <c r="AC344" s="2">
        <f>IF(Tabela1[[#This Row],[VigenciaMeses]]=0,Tabela1[[#This Row],[valTotal]]/1,Tabela1[[#This Row],[valTotal]]/Tabela1[[#This Row],[VigenciaMeses]])</f>
        <v>753.6</v>
      </c>
      <c r="AD344" s="2">
        <f>Tabela1[[#This Row],[valMensal]]*12</f>
        <v>9043.2000000000007</v>
      </c>
      <c r="AE344" s="2">
        <v>753.6</v>
      </c>
      <c r="AF344" s="2">
        <v>0</v>
      </c>
      <c r="AG344" s="2">
        <v>753.6</v>
      </c>
      <c r="AH344" s="2">
        <v>753.6</v>
      </c>
      <c r="AI344" s="2">
        <v>753.6</v>
      </c>
      <c r="AJ344" t="s">
        <v>47</v>
      </c>
    </row>
    <row r="345" spans="1:36" x14ac:dyDescent="0.25">
      <c r="A345" t="s">
        <v>36</v>
      </c>
      <c r="B345" t="s">
        <v>37</v>
      </c>
      <c r="C345" t="s">
        <v>38</v>
      </c>
      <c r="D345" t="s">
        <v>39</v>
      </c>
      <c r="E345">
        <v>14</v>
      </c>
      <c r="F345">
        <v>422</v>
      </c>
      <c r="G345">
        <v>3013</v>
      </c>
      <c r="H345">
        <v>4322</v>
      </c>
      <c r="I345" t="s">
        <v>48</v>
      </c>
      <c r="J345" t="s">
        <v>49</v>
      </c>
      <c r="K345" t="s">
        <v>50</v>
      </c>
      <c r="L345">
        <v>12</v>
      </c>
      <c r="M345" t="s">
        <v>51</v>
      </c>
      <c r="N345">
        <v>2025</v>
      </c>
      <c r="O345">
        <v>7172</v>
      </c>
      <c r="P345" t="s">
        <v>118</v>
      </c>
      <c r="Q345" t="s">
        <v>915</v>
      </c>
      <c r="R345" t="s">
        <v>916</v>
      </c>
      <c r="S345" t="s">
        <v>917</v>
      </c>
      <c r="U345" t="s">
        <v>614</v>
      </c>
      <c r="V345">
        <v>0</v>
      </c>
      <c r="W345" t="str">
        <f ca="1">IF(Tabela1[[#This Row],[datVigencia]]=0,"Expirado",IF(Tabela1[[#This Row],[datVigencia]]&gt;TODAY(),"Vigente","Expirado"))</f>
        <v>Vigente</v>
      </c>
      <c r="X345" s="2">
        <v>753.6</v>
      </c>
      <c r="Y345" s="2">
        <v>0</v>
      </c>
      <c r="Z345" s="2">
        <v>0</v>
      </c>
      <c r="AA345" s="2">
        <v>0</v>
      </c>
      <c r="AB345" s="2">
        <f>Tabela1[[#This Row],[valPrincipal]]+Tabela1[[#This Row],[valReajustes]]+Tabela1[[#This Row],[valAditamentos]]-Tabela1[[#This Row],[valAnulacao]]</f>
        <v>753.6</v>
      </c>
      <c r="AC345" s="2">
        <f>IF(Tabela1[[#This Row],[VigenciaMeses]]=0,Tabela1[[#This Row],[valTotal]]/1,Tabela1[[#This Row],[valTotal]]/Tabela1[[#This Row],[VigenciaMeses]])</f>
        <v>753.6</v>
      </c>
      <c r="AD345" s="2">
        <f>Tabela1[[#This Row],[valMensal]]*12</f>
        <v>9043.2000000000007</v>
      </c>
      <c r="AE345" s="2">
        <v>753.6</v>
      </c>
      <c r="AF345" s="2">
        <v>0</v>
      </c>
      <c r="AG345" s="2">
        <v>753.6</v>
      </c>
      <c r="AH345" s="2">
        <v>753.6</v>
      </c>
      <c r="AI345" s="2">
        <v>753.6</v>
      </c>
      <c r="AJ345" t="s">
        <v>47</v>
      </c>
    </row>
    <row r="346" spans="1:36" x14ac:dyDescent="0.25">
      <c r="A346" t="s">
        <v>36</v>
      </c>
      <c r="B346" t="s">
        <v>37</v>
      </c>
      <c r="C346" t="s">
        <v>38</v>
      </c>
      <c r="D346" t="s">
        <v>39</v>
      </c>
      <c r="E346">
        <v>14</v>
      </c>
      <c r="F346">
        <v>122</v>
      </c>
      <c r="G346">
        <v>3024</v>
      </c>
      <c r="H346">
        <v>2100</v>
      </c>
      <c r="I346" t="s">
        <v>157</v>
      </c>
      <c r="J346" t="s">
        <v>207</v>
      </c>
      <c r="K346" t="s">
        <v>208</v>
      </c>
      <c r="L346">
        <v>12</v>
      </c>
      <c r="M346" t="s">
        <v>51</v>
      </c>
      <c r="N346">
        <v>2025</v>
      </c>
      <c r="O346">
        <v>7978</v>
      </c>
      <c r="Q346" t="s">
        <v>944</v>
      </c>
      <c r="R346" t="s">
        <v>945</v>
      </c>
      <c r="U346" t="s">
        <v>946</v>
      </c>
      <c r="V346">
        <v>12</v>
      </c>
      <c r="W346" t="str">
        <f ca="1">IF(Tabela1[[#This Row],[datVigencia]]=0,"Expirado",IF(Tabela1[[#This Row],[datVigencia]]&gt;TODAY(),"Vigente","Expirado"))</f>
        <v>Vigente</v>
      </c>
      <c r="X346" s="2">
        <v>732.5</v>
      </c>
      <c r="Y346" s="2">
        <v>0</v>
      </c>
      <c r="Z346" s="2">
        <v>0</v>
      </c>
      <c r="AA346" s="2">
        <v>0</v>
      </c>
      <c r="AB346" s="2">
        <f>Tabela1[[#This Row],[valPrincipal]]+Tabela1[[#This Row],[valReajustes]]+Tabela1[[#This Row],[valAditamentos]]-Tabela1[[#This Row],[valAnulacao]]</f>
        <v>732.5</v>
      </c>
      <c r="AC346" s="2">
        <f>IF(Tabela1[[#This Row],[VigenciaMeses]]=0,Tabela1[[#This Row],[valTotal]]/1,Tabela1[[#This Row],[valTotal]]/Tabela1[[#This Row],[VigenciaMeses]])</f>
        <v>61.041666666666664</v>
      </c>
      <c r="AD346" s="2">
        <f>Tabela1[[#This Row],[valMensal]]*12</f>
        <v>732.5</v>
      </c>
      <c r="AE346" s="2">
        <v>732.5</v>
      </c>
      <c r="AF346" s="2">
        <v>0</v>
      </c>
      <c r="AG346" s="2">
        <v>732.5</v>
      </c>
      <c r="AH346" s="2">
        <v>732.5</v>
      </c>
      <c r="AI346" s="2">
        <v>732.5</v>
      </c>
      <c r="AJ346" t="s">
        <v>47</v>
      </c>
    </row>
    <row r="347" spans="1:36" x14ac:dyDescent="0.25">
      <c r="A347" t="s">
        <v>36</v>
      </c>
      <c r="B347" t="s">
        <v>37</v>
      </c>
      <c r="C347" t="s">
        <v>38</v>
      </c>
      <c r="D347" t="s">
        <v>39</v>
      </c>
      <c r="E347">
        <v>14</v>
      </c>
      <c r="F347">
        <v>122</v>
      </c>
      <c r="G347">
        <v>3024</v>
      </c>
      <c r="H347">
        <v>2100</v>
      </c>
      <c r="I347" t="s">
        <v>157</v>
      </c>
      <c r="J347" t="s">
        <v>406</v>
      </c>
      <c r="K347" t="s">
        <v>407</v>
      </c>
      <c r="L347">
        <v>12</v>
      </c>
      <c r="M347" t="s">
        <v>51</v>
      </c>
      <c r="N347">
        <v>2025</v>
      </c>
      <c r="O347">
        <v>3121</v>
      </c>
      <c r="Q347" t="s">
        <v>512</v>
      </c>
      <c r="R347" t="s">
        <v>513</v>
      </c>
      <c r="V347">
        <v>12</v>
      </c>
      <c r="W347" t="str">
        <f ca="1">IF(Tabela1[[#This Row],[datVigencia]]=0,"Expirado",IF(Tabela1[[#This Row],[datVigencia]]&gt;TODAY(),"Vigente","Expirado"))</f>
        <v>Expirado</v>
      </c>
      <c r="X347" s="2">
        <v>680</v>
      </c>
      <c r="Y347" s="2">
        <v>0</v>
      </c>
      <c r="Z347" s="2">
        <v>0</v>
      </c>
      <c r="AA347" s="2">
        <v>0</v>
      </c>
      <c r="AB347" s="2">
        <f>Tabela1[[#This Row],[valPrincipal]]+Tabela1[[#This Row],[valReajustes]]+Tabela1[[#This Row],[valAditamentos]]-Tabela1[[#This Row],[valAnulacao]]</f>
        <v>680</v>
      </c>
      <c r="AC347" s="2">
        <f>IF(Tabela1[[#This Row],[VigenciaMeses]]=0,Tabela1[[#This Row],[valTotal]]/1,Tabela1[[#This Row],[valTotal]]/Tabela1[[#This Row],[VigenciaMeses]])</f>
        <v>56.666666666666664</v>
      </c>
      <c r="AD347" s="2">
        <f>Tabela1[[#This Row],[valMensal]]*12</f>
        <v>680</v>
      </c>
      <c r="AE347" s="2">
        <v>680</v>
      </c>
      <c r="AF347" s="2">
        <v>0</v>
      </c>
      <c r="AG347" s="2">
        <v>680</v>
      </c>
      <c r="AH347" s="2">
        <v>0</v>
      </c>
      <c r="AI347" s="2">
        <v>0</v>
      </c>
      <c r="AJ347" t="s">
        <v>47</v>
      </c>
    </row>
    <row r="348" spans="1:36" x14ac:dyDescent="0.25">
      <c r="A348" t="s">
        <v>36</v>
      </c>
      <c r="B348" t="s">
        <v>37</v>
      </c>
      <c r="C348" t="s">
        <v>38</v>
      </c>
      <c r="D348" t="s">
        <v>39</v>
      </c>
      <c r="E348">
        <v>14</v>
      </c>
      <c r="F348">
        <v>122</v>
      </c>
      <c r="G348">
        <v>3024</v>
      </c>
      <c r="H348">
        <v>2100</v>
      </c>
      <c r="I348" t="s">
        <v>157</v>
      </c>
      <c r="J348" t="s">
        <v>49</v>
      </c>
      <c r="K348" t="s">
        <v>50</v>
      </c>
      <c r="L348">
        <v>6</v>
      </c>
      <c r="M348" t="s">
        <v>97</v>
      </c>
      <c r="N348">
        <v>2025</v>
      </c>
      <c r="O348">
        <v>6371</v>
      </c>
      <c r="Q348" t="s">
        <v>777</v>
      </c>
      <c r="R348" t="s">
        <v>778</v>
      </c>
      <c r="U348" t="s">
        <v>780</v>
      </c>
      <c r="V348">
        <v>12</v>
      </c>
      <c r="W348" t="str">
        <f ca="1">IF(Tabela1[[#This Row],[datVigencia]]=0,"Expirado",IF(Tabela1[[#This Row],[datVigencia]]&gt;TODAY(),"Vigente","Expirado"))</f>
        <v>Vigente</v>
      </c>
      <c r="X348" s="2">
        <v>640</v>
      </c>
      <c r="Y348" s="2">
        <v>0</v>
      </c>
      <c r="Z348" s="2">
        <v>0</v>
      </c>
      <c r="AA348" s="2">
        <v>0</v>
      </c>
      <c r="AB348" s="2">
        <f>Tabela1[[#This Row],[valPrincipal]]+Tabela1[[#This Row],[valReajustes]]+Tabela1[[#This Row],[valAditamentos]]-Tabela1[[#This Row],[valAnulacao]]</f>
        <v>640</v>
      </c>
      <c r="AC348" s="2">
        <f>IF(Tabela1[[#This Row],[VigenciaMeses]]=0,Tabela1[[#This Row],[valTotal]]/1,Tabela1[[#This Row],[valTotal]]/Tabela1[[#This Row],[VigenciaMeses]])</f>
        <v>53.333333333333336</v>
      </c>
      <c r="AD348" s="2">
        <f>Tabela1[[#This Row],[valMensal]]*12</f>
        <v>640</v>
      </c>
      <c r="AE348" s="2">
        <v>640</v>
      </c>
      <c r="AF348" s="2">
        <v>0</v>
      </c>
      <c r="AG348" s="2">
        <v>640</v>
      </c>
      <c r="AH348" s="2">
        <v>640</v>
      </c>
      <c r="AI348" s="2">
        <v>640</v>
      </c>
      <c r="AJ348" t="s">
        <v>47</v>
      </c>
    </row>
    <row r="349" spans="1:36" x14ac:dyDescent="0.25">
      <c r="A349" t="s">
        <v>36</v>
      </c>
      <c r="B349" t="s">
        <v>37</v>
      </c>
      <c r="C349" t="s">
        <v>38</v>
      </c>
      <c r="D349" t="s">
        <v>39</v>
      </c>
      <c r="E349">
        <v>14</v>
      </c>
      <c r="F349">
        <v>422</v>
      </c>
      <c r="G349">
        <v>3013</v>
      </c>
      <c r="H349">
        <v>4322</v>
      </c>
      <c r="I349" t="s">
        <v>48</v>
      </c>
      <c r="J349" t="s">
        <v>49</v>
      </c>
      <c r="K349" t="s">
        <v>50</v>
      </c>
      <c r="L349">
        <v>12</v>
      </c>
      <c r="M349" t="s">
        <v>51</v>
      </c>
      <c r="N349">
        <v>2025</v>
      </c>
      <c r="O349">
        <v>4772</v>
      </c>
      <c r="Q349" t="s">
        <v>818</v>
      </c>
      <c r="R349" t="s">
        <v>819</v>
      </c>
      <c r="U349" t="s">
        <v>464</v>
      </c>
      <c r="V349">
        <v>12</v>
      </c>
      <c r="W349" t="str">
        <f ca="1">IF(Tabela1[[#This Row],[datVigencia]]=0,"Expirado",IF(Tabela1[[#This Row],[datVigencia]]&gt;TODAY(),"Vigente","Expirado"))</f>
        <v>Vigente</v>
      </c>
      <c r="X349" s="2">
        <v>628</v>
      </c>
      <c r="Y349" s="2">
        <v>0</v>
      </c>
      <c r="Z349" s="2">
        <v>0</v>
      </c>
      <c r="AA349" s="2">
        <v>0</v>
      </c>
      <c r="AB349" s="2">
        <f>Tabela1[[#This Row],[valPrincipal]]+Tabela1[[#This Row],[valReajustes]]+Tabela1[[#This Row],[valAditamentos]]-Tabela1[[#This Row],[valAnulacao]]</f>
        <v>628</v>
      </c>
      <c r="AC349" s="2">
        <f>IF(Tabela1[[#This Row],[VigenciaMeses]]=0,Tabela1[[#This Row],[valTotal]]/1,Tabela1[[#This Row],[valTotal]]/Tabela1[[#This Row],[VigenciaMeses]])</f>
        <v>52.333333333333336</v>
      </c>
      <c r="AD349" s="2">
        <f>Tabela1[[#This Row],[valMensal]]*12</f>
        <v>628</v>
      </c>
      <c r="AE349" s="2">
        <v>628</v>
      </c>
      <c r="AF349" s="2">
        <v>0</v>
      </c>
      <c r="AG349" s="2">
        <v>628</v>
      </c>
      <c r="AH349" s="2">
        <v>628</v>
      </c>
      <c r="AI349" s="2">
        <v>628</v>
      </c>
      <c r="AJ349" t="s">
        <v>47</v>
      </c>
    </row>
    <row r="350" spans="1:36" x14ac:dyDescent="0.25">
      <c r="A350" t="s">
        <v>36</v>
      </c>
      <c r="B350" t="s">
        <v>37</v>
      </c>
      <c r="C350" t="s">
        <v>38</v>
      </c>
      <c r="D350" t="s">
        <v>39</v>
      </c>
      <c r="E350">
        <v>14</v>
      </c>
      <c r="F350">
        <v>422</v>
      </c>
      <c r="G350">
        <v>3013</v>
      </c>
      <c r="H350">
        <v>4322</v>
      </c>
      <c r="I350" t="s">
        <v>48</v>
      </c>
      <c r="J350" t="s">
        <v>49</v>
      </c>
      <c r="K350" t="s">
        <v>50</v>
      </c>
      <c r="L350">
        <v>12</v>
      </c>
      <c r="M350" t="s">
        <v>51</v>
      </c>
      <c r="N350">
        <v>2025</v>
      </c>
      <c r="O350">
        <v>9197</v>
      </c>
      <c r="Q350" t="s">
        <v>963</v>
      </c>
      <c r="R350" t="s">
        <v>964</v>
      </c>
      <c r="U350" t="s">
        <v>923</v>
      </c>
      <c r="V350">
        <v>12</v>
      </c>
      <c r="W350" t="str">
        <f ca="1">IF(Tabela1[[#This Row],[datVigencia]]=0,"Expirado",IF(Tabela1[[#This Row],[datVigencia]]&gt;TODAY(),"Vigente","Expirado"))</f>
        <v>Vigente</v>
      </c>
      <c r="X350" s="2">
        <v>628</v>
      </c>
      <c r="Y350" s="2">
        <v>0</v>
      </c>
      <c r="Z350" s="2">
        <v>0</v>
      </c>
      <c r="AA350" s="2">
        <v>0</v>
      </c>
      <c r="AB350" s="2">
        <f>Tabela1[[#This Row],[valPrincipal]]+Tabela1[[#This Row],[valReajustes]]+Tabela1[[#This Row],[valAditamentos]]-Tabela1[[#This Row],[valAnulacao]]</f>
        <v>628</v>
      </c>
      <c r="AC350" s="2">
        <f>IF(Tabela1[[#This Row],[VigenciaMeses]]=0,Tabela1[[#This Row],[valTotal]]/1,Tabela1[[#This Row],[valTotal]]/Tabela1[[#This Row],[VigenciaMeses]])</f>
        <v>52.333333333333336</v>
      </c>
      <c r="AD350" s="2">
        <f>Tabela1[[#This Row],[valMensal]]*12</f>
        <v>628</v>
      </c>
      <c r="AE350" s="2">
        <v>628</v>
      </c>
      <c r="AF350" s="2">
        <v>0</v>
      </c>
      <c r="AG350" s="2">
        <v>628</v>
      </c>
      <c r="AH350" s="2">
        <v>628</v>
      </c>
      <c r="AI350" s="2">
        <v>628</v>
      </c>
      <c r="AJ350" t="s">
        <v>47</v>
      </c>
    </row>
    <row r="351" spans="1:36" x14ac:dyDescent="0.25">
      <c r="A351" t="s">
        <v>36</v>
      </c>
      <c r="B351" t="s">
        <v>37</v>
      </c>
      <c r="C351" t="s">
        <v>38</v>
      </c>
      <c r="D351" t="s">
        <v>39</v>
      </c>
      <c r="E351">
        <v>14</v>
      </c>
      <c r="F351">
        <v>122</v>
      </c>
      <c r="G351">
        <v>3024</v>
      </c>
      <c r="H351">
        <v>2100</v>
      </c>
      <c r="I351" t="s">
        <v>157</v>
      </c>
      <c r="J351" t="s">
        <v>49</v>
      </c>
      <c r="K351" t="s">
        <v>50</v>
      </c>
      <c r="L351">
        <v>12</v>
      </c>
      <c r="M351" t="s">
        <v>51</v>
      </c>
      <c r="N351">
        <v>2025</v>
      </c>
      <c r="O351">
        <v>13009</v>
      </c>
      <c r="Q351" t="s">
        <v>1161</v>
      </c>
      <c r="R351" t="s">
        <v>1162</v>
      </c>
      <c r="V351">
        <v>12</v>
      </c>
      <c r="W351" t="str">
        <f ca="1">IF(Tabela1[[#This Row],[datVigencia]]=0,"Expirado",IF(Tabela1[[#This Row],[datVigencia]]&gt;TODAY(),"Vigente","Expirado"))</f>
        <v>Expirado</v>
      </c>
      <c r="X351" s="2">
        <v>600</v>
      </c>
      <c r="Y351" s="2">
        <v>0</v>
      </c>
      <c r="Z351" s="2">
        <v>0</v>
      </c>
      <c r="AA351" s="2">
        <v>0</v>
      </c>
      <c r="AB351" s="2">
        <f>Tabela1[[#This Row],[valPrincipal]]+Tabela1[[#This Row],[valReajustes]]+Tabela1[[#This Row],[valAditamentos]]-Tabela1[[#This Row],[valAnulacao]]</f>
        <v>600</v>
      </c>
      <c r="AC351" s="2">
        <f>IF(Tabela1[[#This Row],[VigenciaMeses]]=0,Tabela1[[#This Row],[valTotal]]/1,Tabela1[[#This Row],[valTotal]]/Tabela1[[#This Row],[VigenciaMeses]])</f>
        <v>50</v>
      </c>
      <c r="AD351" s="2">
        <f>Tabela1[[#This Row],[valMensal]]*12</f>
        <v>600</v>
      </c>
      <c r="AE351" s="2">
        <v>600</v>
      </c>
      <c r="AF351" s="2">
        <v>0</v>
      </c>
      <c r="AG351" s="2">
        <v>600</v>
      </c>
      <c r="AH351" s="2">
        <v>0</v>
      </c>
      <c r="AI351" s="2">
        <v>0</v>
      </c>
      <c r="AJ351" t="s">
        <v>47</v>
      </c>
    </row>
    <row r="352" spans="1:36" x14ac:dyDescent="0.25">
      <c r="A352" t="s">
        <v>36</v>
      </c>
      <c r="B352" t="s">
        <v>37</v>
      </c>
      <c r="C352" t="s">
        <v>38</v>
      </c>
      <c r="D352" t="s">
        <v>39</v>
      </c>
      <c r="E352">
        <v>14</v>
      </c>
      <c r="F352">
        <v>122</v>
      </c>
      <c r="G352">
        <v>3024</v>
      </c>
      <c r="H352">
        <v>2100</v>
      </c>
      <c r="I352" t="s">
        <v>157</v>
      </c>
      <c r="J352" t="s">
        <v>49</v>
      </c>
      <c r="K352" t="s">
        <v>50</v>
      </c>
      <c r="L352">
        <v>6</v>
      </c>
      <c r="M352" t="s">
        <v>97</v>
      </c>
      <c r="N352">
        <v>2025</v>
      </c>
      <c r="O352">
        <v>7626</v>
      </c>
      <c r="Q352" t="s">
        <v>930</v>
      </c>
      <c r="R352" t="s">
        <v>931</v>
      </c>
      <c r="V352">
        <v>12</v>
      </c>
      <c r="W352" t="str">
        <f ca="1">IF(Tabela1[[#This Row],[datVigencia]]=0,"Expirado",IF(Tabela1[[#This Row],[datVigencia]]&gt;TODAY(),"Vigente","Expirado"))</f>
        <v>Expirado</v>
      </c>
      <c r="X352" s="2">
        <v>583.79999999999995</v>
      </c>
      <c r="Y352" s="2">
        <v>0</v>
      </c>
      <c r="Z352" s="2">
        <v>0</v>
      </c>
      <c r="AA352" s="2">
        <v>583.79999999999995</v>
      </c>
      <c r="AB352" s="2">
        <f>Tabela1[[#This Row],[valPrincipal]]+Tabela1[[#This Row],[valReajustes]]+Tabela1[[#This Row],[valAditamentos]]-Tabela1[[#This Row],[valAnulacao]]</f>
        <v>0</v>
      </c>
      <c r="AC352" s="2">
        <f>IF(Tabela1[[#This Row],[VigenciaMeses]]=0,Tabela1[[#This Row],[valTotal]]/1,Tabela1[[#This Row],[valTotal]]/Tabela1[[#This Row],[VigenciaMeses]])</f>
        <v>0</v>
      </c>
      <c r="AD352" s="2">
        <f>Tabela1[[#This Row],[valMensal]]*12</f>
        <v>0</v>
      </c>
      <c r="AE352" s="2">
        <v>583.79999999999995</v>
      </c>
      <c r="AF352" s="2">
        <v>583.79999999999995</v>
      </c>
      <c r="AG352" s="2">
        <v>0</v>
      </c>
      <c r="AH352" s="2">
        <v>0</v>
      </c>
      <c r="AI352" s="2">
        <v>0</v>
      </c>
      <c r="AJ352" t="s">
        <v>47</v>
      </c>
    </row>
    <row r="353" spans="1:36" x14ac:dyDescent="0.25">
      <c r="A353" t="s">
        <v>36</v>
      </c>
      <c r="B353" t="s">
        <v>37</v>
      </c>
      <c r="C353" t="s">
        <v>38</v>
      </c>
      <c r="D353" t="s">
        <v>39</v>
      </c>
      <c r="E353">
        <v>14</v>
      </c>
      <c r="F353">
        <v>122</v>
      </c>
      <c r="G353">
        <v>3024</v>
      </c>
      <c r="H353">
        <v>2100</v>
      </c>
      <c r="I353" t="s">
        <v>157</v>
      </c>
      <c r="J353" t="s">
        <v>207</v>
      </c>
      <c r="K353" t="s">
        <v>208</v>
      </c>
      <c r="L353">
        <v>6</v>
      </c>
      <c r="M353" t="s">
        <v>97</v>
      </c>
      <c r="N353">
        <v>2025</v>
      </c>
      <c r="O353">
        <v>7665</v>
      </c>
      <c r="Q353" t="s">
        <v>930</v>
      </c>
      <c r="R353" t="s">
        <v>932</v>
      </c>
      <c r="U353" t="s">
        <v>933</v>
      </c>
      <c r="V353">
        <v>12</v>
      </c>
      <c r="W353" t="str">
        <f ca="1">IF(Tabela1[[#This Row],[datVigencia]]=0,"Expirado",IF(Tabela1[[#This Row],[datVigencia]]&gt;TODAY(),"Vigente","Expirado"))</f>
        <v>Vigente</v>
      </c>
      <c r="X353" s="2">
        <v>583.79999999999995</v>
      </c>
      <c r="Y353" s="2">
        <v>0</v>
      </c>
      <c r="Z353" s="2">
        <v>0</v>
      </c>
      <c r="AA353" s="2">
        <v>0</v>
      </c>
      <c r="AB353" s="2">
        <f>Tabela1[[#This Row],[valPrincipal]]+Tabela1[[#This Row],[valReajustes]]+Tabela1[[#This Row],[valAditamentos]]-Tabela1[[#This Row],[valAnulacao]]</f>
        <v>583.79999999999995</v>
      </c>
      <c r="AC353" s="2">
        <f>IF(Tabela1[[#This Row],[VigenciaMeses]]=0,Tabela1[[#This Row],[valTotal]]/1,Tabela1[[#This Row],[valTotal]]/Tabela1[[#This Row],[VigenciaMeses]])</f>
        <v>48.65</v>
      </c>
      <c r="AD353" s="2">
        <f>Tabela1[[#This Row],[valMensal]]*12</f>
        <v>583.79999999999995</v>
      </c>
      <c r="AE353" s="2">
        <v>583.79999999999995</v>
      </c>
      <c r="AF353" s="2">
        <v>0</v>
      </c>
      <c r="AG353" s="2">
        <v>583.79999999999995</v>
      </c>
      <c r="AH353" s="2">
        <v>583.79999999999995</v>
      </c>
      <c r="AI353" s="2">
        <v>583.79999999999995</v>
      </c>
      <c r="AJ353" t="s">
        <v>47</v>
      </c>
    </row>
    <row r="354" spans="1:36" x14ac:dyDescent="0.25">
      <c r="A354" t="s">
        <v>36</v>
      </c>
      <c r="B354" t="s">
        <v>37</v>
      </c>
      <c r="C354" t="s">
        <v>38</v>
      </c>
      <c r="D354" t="s">
        <v>39</v>
      </c>
      <c r="E354">
        <v>14</v>
      </c>
      <c r="F354">
        <v>122</v>
      </c>
      <c r="G354">
        <v>3024</v>
      </c>
      <c r="H354">
        <v>2100</v>
      </c>
      <c r="I354" t="s">
        <v>157</v>
      </c>
      <c r="J354" t="s">
        <v>49</v>
      </c>
      <c r="K354" t="s">
        <v>50</v>
      </c>
      <c r="L354">
        <v>6</v>
      </c>
      <c r="M354" t="s">
        <v>97</v>
      </c>
      <c r="N354">
        <v>2025</v>
      </c>
      <c r="O354">
        <v>2773</v>
      </c>
      <c r="Q354" t="s">
        <v>452</v>
      </c>
      <c r="R354" t="s">
        <v>453</v>
      </c>
      <c r="S354" t="s">
        <v>454</v>
      </c>
      <c r="U354" t="s">
        <v>451</v>
      </c>
      <c r="V354">
        <v>0</v>
      </c>
      <c r="W354" t="str">
        <f ca="1">IF(Tabela1[[#This Row],[datVigencia]]=0,"Expirado",IF(Tabela1[[#This Row],[datVigencia]]&gt;TODAY(),"Vigente","Expirado"))</f>
        <v>Vigente</v>
      </c>
      <c r="X354" s="2">
        <v>550</v>
      </c>
      <c r="Y354" s="2">
        <v>0</v>
      </c>
      <c r="Z354" s="2">
        <v>0</v>
      </c>
      <c r="AA354" s="2">
        <v>0</v>
      </c>
      <c r="AB354" s="2">
        <f>Tabela1[[#This Row],[valPrincipal]]+Tabela1[[#This Row],[valReajustes]]+Tabela1[[#This Row],[valAditamentos]]-Tabela1[[#This Row],[valAnulacao]]</f>
        <v>550</v>
      </c>
      <c r="AC354" s="2">
        <f>IF(Tabela1[[#This Row],[VigenciaMeses]]=0,Tabela1[[#This Row],[valTotal]]/1,Tabela1[[#This Row],[valTotal]]/Tabela1[[#This Row],[VigenciaMeses]])</f>
        <v>550</v>
      </c>
      <c r="AD354" s="2">
        <f>Tabela1[[#This Row],[valMensal]]*12</f>
        <v>6600</v>
      </c>
      <c r="AE354" s="2">
        <v>550</v>
      </c>
      <c r="AF354" s="2">
        <v>0</v>
      </c>
      <c r="AG354" s="2">
        <v>550</v>
      </c>
      <c r="AH354" s="2">
        <v>550</v>
      </c>
      <c r="AI354" s="2">
        <v>550</v>
      </c>
      <c r="AJ354" t="s">
        <v>47</v>
      </c>
    </row>
    <row r="355" spans="1:36" x14ac:dyDescent="0.25">
      <c r="A355" t="s">
        <v>36</v>
      </c>
      <c r="B355" t="s">
        <v>37</v>
      </c>
      <c r="C355" t="s">
        <v>38</v>
      </c>
      <c r="D355" t="s">
        <v>39</v>
      </c>
      <c r="E355">
        <v>14</v>
      </c>
      <c r="F355">
        <v>422</v>
      </c>
      <c r="G355">
        <v>3013</v>
      </c>
      <c r="H355">
        <v>4322</v>
      </c>
      <c r="I355" t="s">
        <v>1000</v>
      </c>
      <c r="J355" t="s">
        <v>55</v>
      </c>
      <c r="K355" t="s">
        <v>56</v>
      </c>
      <c r="L355">
        <v>7</v>
      </c>
      <c r="M355" t="s">
        <v>324</v>
      </c>
      <c r="N355">
        <v>2025</v>
      </c>
      <c r="O355">
        <v>10361</v>
      </c>
      <c r="P355" t="s">
        <v>1001</v>
      </c>
      <c r="Q355" t="s">
        <v>1002</v>
      </c>
      <c r="R355" t="s">
        <v>1003</v>
      </c>
      <c r="S355" t="s">
        <v>876</v>
      </c>
      <c r="T355" t="s">
        <v>1004</v>
      </c>
      <c r="U355" t="s">
        <v>1005</v>
      </c>
      <c r="V355">
        <v>0</v>
      </c>
      <c r="W355" t="str">
        <f ca="1">IF(Tabela1[[#This Row],[datVigencia]]=0,"Expirado",IF(Tabela1[[#This Row],[datVigencia]]&gt;TODAY(),"Vigente","Expirado"))</f>
        <v>Vigente</v>
      </c>
      <c r="X355" s="2">
        <v>500</v>
      </c>
      <c r="Y355" s="2">
        <v>0</v>
      </c>
      <c r="Z355" s="2">
        <v>0</v>
      </c>
      <c r="AA355" s="2">
        <v>0</v>
      </c>
      <c r="AB355" s="2">
        <f>Tabela1[[#This Row],[valPrincipal]]+Tabela1[[#This Row],[valReajustes]]+Tabela1[[#This Row],[valAditamentos]]-Tabela1[[#This Row],[valAnulacao]]</f>
        <v>500</v>
      </c>
      <c r="AC355" s="2">
        <f>IF(Tabela1[[#This Row],[VigenciaMeses]]=0,Tabela1[[#This Row],[valTotal]]/1,Tabela1[[#This Row],[valTotal]]/Tabela1[[#This Row],[VigenciaMeses]])</f>
        <v>500</v>
      </c>
      <c r="AD355" s="2">
        <f>Tabela1[[#This Row],[valMensal]]*12</f>
        <v>6000</v>
      </c>
      <c r="AE355" s="2">
        <v>500</v>
      </c>
      <c r="AF355" s="2">
        <v>0</v>
      </c>
      <c r="AG355" s="2">
        <v>500</v>
      </c>
      <c r="AH355" s="2">
        <v>500</v>
      </c>
      <c r="AI355" s="2">
        <v>500</v>
      </c>
      <c r="AJ355" t="s">
        <v>47</v>
      </c>
    </row>
    <row r="356" spans="1:36" x14ac:dyDescent="0.25">
      <c r="A356" t="s">
        <v>36</v>
      </c>
      <c r="B356" t="s">
        <v>37</v>
      </c>
      <c r="C356" t="s">
        <v>38</v>
      </c>
      <c r="D356" t="s">
        <v>39</v>
      </c>
      <c r="E356">
        <v>14</v>
      </c>
      <c r="F356">
        <v>422</v>
      </c>
      <c r="G356">
        <v>3013</v>
      </c>
      <c r="H356">
        <v>4322</v>
      </c>
      <c r="I356" t="s">
        <v>1000</v>
      </c>
      <c r="J356" t="s">
        <v>55</v>
      </c>
      <c r="K356" t="s">
        <v>56</v>
      </c>
      <c r="L356">
        <v>7</v>
      </c>
      <c r="M356" t="s">
        <v>324</v>
      </c>
      <c r="N356">
        <v>2025</v>
      </c>
      <c r="O356">
        <v>10405</v>
      </c>
      <c r="P356" t="s">
        <v>1006</v>
      </c>
      <c r="Q356" t="s">
        <v>1007</v>
      </c>
      <c r="R356" t="s">
        <v>1008</v>
      </c>
      <c r="S356" t="s">
        <v>1009</v>
      </c>
      <c r="T356" t="s">
        <v>1004</v>
      </c>
      <c r="U356" t="s">
        <v>1010</v>
      </c>
      <c r="V356">
        <v>1</v>
      </c>
      <c r="W356" t="str">
        <f ca="1">IF(Tabela1[[#This Row],[datVigencia]]=0,"Expirado",IF(Tabela1[[#This Row],[datVigencia]]&gt;TODAY(),"Vigente","Expirado"))</f>
        <v>Vigente</v>
      </c>
      <c r="X356" s="2">
        <v>500</v>
      </c>
      <c r="Y356" s="2">
        <v>0</v>
      </c>
      <c r="Z356" s="2">
        <v>0</v>
      </c>
      <c r="AA356" s="2">
        <v>0</v>
      </c>
      <c r="AB356" s="2">
        <f>Tabela1[[#This Row],[valPrincipal]]+Tabela1[[#This Row],[valReajustes]]+Tabela1[[#This Row],[valAditamentos]]-Tabela1[[#This Row],[valAnulacao]]</f>
        <v>500</v>
      </c>
      <c r="AC356" s="2">
        <f>IF(Tabela1[[#This Row],[VigenciaMeses]]=0,Tabela1[[#This Row],[valTotal]]/1,Tabela1[[#This Row],[valTotal]]/Tabela1[[#This Row],[VigenciaMeses]])</f>
        <v>500</v>
      </c>
      <c r="AD356" s="2">
        <f>Tabela1[[#This Row],[valMensal]]*12</f>
        <v>6000</v>
      </c>
      <c r="AE356" s="2">
        <v>500</v>
      </c>
      <c r="AF356" s="2">
        <v>0</v>
      </c>
      <c r="AG356" s="2">
        <v>500</v>
      </c>
      <c r="AH356" s="2">
        <v>500</v>
      </c>
      <c r="AI356" s="2">
        <v>500</v>
      </c>
      <c r="AJ356" t="s">
        <v>47</v>
      </c>
    </row>
    <row r="357" spans="1:36" x14ac:dyDescent="0.25">
      <c r="A357" t="s">
        <v>36</v>
      </c>
      <c r="B357" t="s">
        <v>37</v>
      </c>
      <c r="C357" t="s">
        <v>38</v>
      </c>
      <c r="D357" t="s">
        <v>39</v>
      </c>
      <c r="E357">
        <v>14</v>
      </c>
      <c r="F357">
        <v>422</v>
      </c>
      <c r="G357">
        <v>3013</v>
      </c>
      <c r="H357">
        <v>4322</v>
      </c>
      <c r="I357" t="s">
        <v>1000</v>
      </c>
      <c r="J357" t="s">
        <v>55</v>
      </c>
      <c r="K357" t="s">
        <v>56</v>
      </c>
      <c r="L357">
        <v>7</v>
      </c>
      <c r="M357" t="s">
        <v>324</v>
      </c>
      <c r="N357">
        <v>2025</v>
      </c>
      <c r="O357">
        <v>10420</v>
      </c>
      <c r="P357" t="s">
        <v>1017</v>
      </c>
      <c r="Q357" t="s">
        <v>1018</v>
      </c>
      <c r="R357" t="s">
        <v>1019</v>
      </c>
      <c r="S357" t="s">
        <v>1009</v>
      </c>
      <c r="T357" t="s">
        <v>1004</v>
      </c>
      <c r="U357" t="s">
        <v>1010</v>
      </c>
      <c r="V357">
        <v>1</v>
      </c>
      <c r="W357" t="str">
        <f ca="1">IF(Tabela1[[#This Row],[datVigencia]]=0,"Expirado",IF(Tabela1[[#This Row],[datVigencia]]&gt;TODAY(),"Vigente","Expirado"))</f>
        <v>Vigente</v>
      </c>
      <c r="X357" s="2">
        <v>500</v>
      </c>
      <c r="Y357" s="2">
        <v>0</v>
      </c>
      <c r="Z357" s="2">
        <v>0</v>
      </c>
      <c r="AA357" s="2">
        <v>0</v>
      </c>
      <c r="AB357" s="2">
        <f>Tabela1[[#This Row],[valPrincipal]]+Tabela1[[#This Row],[valReajustes]]+Tabela1[[#This Row],[valAditamentos]]-Tabela1[[#This Row],[valAnulacao]]</f>
        <v>500</v>
      </c>
      <c r="AC357" s="2">
        <f>IF(Tabela1[[#This Row],[VigenciaMeses]]=0,Tabela1[[#This Row],[valTotal]]/1,Tabela1[[#This Row],[valTotal]]/Tabela1[[#This Row],[VigenciaMeses]])</f>
        <v>500</v>
      </c>
      <c r="AD357" s="2">
        <f>Tabela1[[#This Row],[valMensal]]*12</f>
        <v>6000</v>
      </c>
      <c r="AE357" s="2">
        <v>500</v>
      </c>
      <c r="AF357" s="2">
        <v>0</v>
      </c>
      <c r="AG357" s="2">
        <v>500</v>
      </c>
      <c r="AH357" s="2">
        <v>500</v>
      </c>
      <c r="AI357" s="2">
        <v>500</v>
      </c>
      <c r="AJ357" t="s">
        <v>47</v>
      </c>
    </row>
    <row r="358" spans="1:36" x14ac:dyDescent="0.25">
      <c r="A358" t="s">
        <v>36</v>
      </c>
      <c r="B358" t="s">
        <v>37</v>
      </c>
      <c r="C358" t="s">
        <v>38</v>
      </c>
      <c r="D358" t="s">
        <v>39</v>
      </c>
      <c r="E358">
        <v>14</v>
      </c>
      <c r="F358">
        <v>422</v>
      </c>
      <c r="G358">
        <v>3013</v>
      </c>
      <c r="H358">
        <v>4322</v>
      </c>
      <c r="I358" t="s">
        <v>1000</v>
      </c>
      <c r="J358" t="s">
        <v>55</v>
      </c>
      <c r="K358" t="s">
        <v>56</v>
      </c>
      <c r="L358">
        <v>7</v>
      </c>
      <c r="M358" t="s">
        <v>324</v>
      </c>
      <c r="N358">
        <v>2025</v>
      </c>
      <c r="O358">
        <v>10511</v>
      </c>
      <c r="P358" t="s">
        <v>1020</v>
      </c>
      <c r="Q358" t="s">
        <v>1021</v>
      </c>
      <c r="R358" t="s">
        <v>1008</v>
      </c>
      <c r="S358" t="s">
        <v>1009</v>
      </c>
      <c r="T358" t="s">
        <v>1004</v>
      </c>
      <c r="U358" t="s">
        <v>1005</v>
      </c>
      <c r="V358">
        <v>0</v>
      </c>
      <c r="W358" t="str">
        <f ca="1">IF(Tabela1[[#This Row],[datVigencia]]=0,"Expirado",IF(Tabela1[[#This Row],[datVigencia]]&gt;TODAY(),"Vigente","Expirado"))</f>
        <v>Vigente</v>
      </c>
      <c r="X358" s="2">
        <v>500</v>
      </c>
      <c r="Y358" s="2">
        <v>0</v>
      </c>
      <c r="Z358" s="2">
        <v>0</v>
      </c>
      <c r="AA358" s="2">
        <v>0</v>
      </c>
      <c r="AB358" s="2">
        <f>Tabela1[[#This Row],[valPrincipal]]+Tabela1[[#This Row],[valReajustes]]+Tabela1[[#This Row],[valAditamentos]]-Tabela1[[#This Row],[valAnulacao]]</f>
        <v>500</v>
      </c>
      <c r="AC358" s="2">
        <f>IF(Tabela1[[#This Row],[VigenciaMeses]]=0,Tabela1[[#This Row],[valTotal]]/1,Tabela1[[#This Row],[valTotal]]/Tabela1[[#This Row],[VigenciaMeses]])</f>
        <v>500</v>
      </c>
      <c r="AD358" s="2">
        <f>Tabela1[[#This Row],[valMensal]]*12</f>
        <v>6000</v>
      </c>
      <c r="AE358" s="2">
        <v>500</v>
      </c>
      <c r="AF358" s="2">
        <v>0</v>
      </c>
      <c r="AG358" s="2">
        <v>500</v>
      </c>
      <c r="AH358" s="2">
        <v>500</v>
      </c>
      <c r="AI358" s="2">
        <v>500</v>
      </c>
      <c r="AJ358" t="s">
        <v>47</v>
      </c>
    </row>
    <row r="359" spans="1:36" x14ac:dyDescent="0.25">
      <c r="A359" t="s">
        <v>36</v>
      </c>
      <c r="B359" t="s">
        <v>37</v>
      </c>
      <c r="C359" t="s">
        <v>38</v>
      </c>
      <c r="D359" t="s">
        <v>39</v>
      </c>
      <c r="E359">
        <v>14</v>
      </c>
      <c r="F359">
        <v>422</v>
      </c>
      <c r="G359">
        <v>3013</v>
      </c>
      <c r="H359">
        <v>4322</v>
      </c>
      <c r="I359" t="s">
        <v>1000</v>
      </c>
      <c r="J359" t="s">
        <v>55</v>
      </c>
      <c r="K359" t="s">
        <v>56</v>
      </c>
      <c r="L359">
        <v>7</v>
      </c>
      <c r="M359" t="s">
        <v>324</v>
      </c>
      <c r="N359">
        <v>2025</v>
      </c>
      <c r="O359">
        <v>10573</v>
      </c>
      <c r="P359" t="s">
        <v>1022</v>
      </c>
      <c r="Q359" t="s">
        <v>1023</v>
      </c>
      <c r="R359" t="s">
        <v>1024</v>
      </c>
      <c r="S359" t="s">
        <v>997</v>
      </c>
      <c r="T359" t="s">
        <v>1004</v>
      </c>
      <c r="U359" t="s">
        <v>1010</v>
      </c>
      <c r="V359">
        <v>1</v>
      </c>
      <c r="W359" t="str">
        <f ca="1">IF(Tabela1[[#This Row],[datVigencia]]=0,"Expirado",IF(Tabela1[[#This Row],[datVigencia]]&gt;TODAY(),"Vigente","Expirado"))</f>
        <v>Vigente</v>
      </c>
      <c r="X359" s="2">
        <v>500</v>
      </c>
      <c r="Y359" s="2">
        <v>0</v>
      </c>
      <c r="Z359" s="2">
        <v>0</v>
      </c>
      <c r="AA359" s="2">
        <v>0</v>
      </c>
      <c r="AB359" s="2">
        <f>Tabela1[[#This Row],[valPrincipal]]+Tabela1[[#This Row],[valReajustes]]+Tabela1[[#This Row],[valAditamentos]]-Tabela1[[#This Row],[valAnulacao]]</f>
        <v>500</v>
      </c>
      <c r="AC359" s="2">
        <f>IF(Tabela1[[#This Row],[VigenciaMeses]]=0,Tabela1[[#This Row],[valTotal]]/1,Tabela1[[#This Row],[valTotal]]/Tabela1[[#This Row],[VigenciaMeses]])</f>
        <v>500</v>
      </c>
      <c r="AD359" s="2">
        <f>Tabela1[[#This Row],[valMensal]]*12</f>
        <v>6000</v>
      </c>
      <c r="AE359" s="2">
        <v>500</v>
      </c>
      <c r="AF359" s="2">
        <v>0</v>
      </c>
      <c r="AG359" s="2">
        <v>500</v>
      </c>
      <c r="AH359" s="2">
        <v>500</v>
      </c>
      <c r="AI359" s="2">
        <v>500</v>
      </c>
      <c r="AJ359" t="s">
        <v>47</v>
      </c>
    </row>
    <row r="360" spans="1:36" x14ac:dyDescent="0.25">
      <c r="A360" t="s">
        <v>36</v>
      </c>
      <c r="B360" t="s">
        <v>37</v>
      </c>
      <c r="C360" t="s">
        <v>38</v>
      </c>
      <c r="D360" t="s">
        <v>39</v>
      </c>
      <c r="E360">
        <v>14</v>
      </c>
      <c r="F360">
        <v>422</v>
      </c>
      <c r="G360">
        <v>3013</v>
      </c>
      <c r="H360">
        <v>4322</v>
      </c>
      <c r="I360" t="s">
        <v>1000</v>
      </c>
      <c r="J360" t="s">
        <v>55</v>
      </c>
      <c r="K360" t="s">
        <v>56</v>
      </c>
      <c r="L360">
        <v>7</v>
      </c>
      <c r="M360" t="s">
        <v>324</v>
      </c>
      <c r="N360">
        <v>2025</v>
      </c>
      <c r="O360">
        <v>10556</v>
      </c>
      <c r="P360" t="s">
        <v>1025</v>
      </c>
      <c r="Q360" t="s">
        <v>1026</v>
      </c>
      <c r="R360" t="s">
        <v>1027</v>
      </c>
      <c r="S360" t="s">
        <v>997</v>
      </c>
      <c r="T360" t="s">
        <v>1004</v>
      </c>
      <c r="U360" t="s">
        <v>1005</v>
      </c>
      <c r="V360">
        <v>0</v>
      </c>
      <c r="W360" t="str">
        <f ca="1">IF(Tabela1[[#This Row],[datVigencia]]=0,"Expirado",IF(Tabela1[[#This Row],[datVigencia]]&gt;TODAY(),"Vigente","Expirado"))</f>
        <v>Vigente</v>
      </c>
      <c r="X360" s="2">
        <v>500</v>
      </c>
      <c r="Y360" s="2">
        <v>0</v>
      </c>
      <c r="Z360" s="2">
        <v>0</v>
      </c>
      <c r="AA360" s="2">
        <v>0</v>
      </c>
      <c r="AB360" s="2">
        <f>Tabela1[[#This Row],[valPrincipal]]+Tabela1[[#This Row],[valReajustes]]+Tabela1[[#This Row],[valAditamentos]]-Tabela1[[#This Row],[valAnulacao]]</f>
        <v>500</v>
      </c>
      <c r="AC360" s="2">
        <f>IF(Tabela1[[#This Row],[VigenciaMeses]]=0,Tabela1[[#This Row],[valTotal]]/1,Tabela1[[#This Row],[valTotal]]/Tabela1[[#This Row],[VigenciaMeses]])</f>
        <v>500</v>
      </c>
      <c r="AD360" s="2">
        <f>Tabela1[[#This Row],[valMensal]]*12</f>
        <v>6000</v>
      </c>
      <c r="AE360" s="2">
        <v>500</v>
      </c>
      <c r="AF360" s="2">
        <v>0</v>
      </c>
      <c r="AG360" s="2">
        <v>500</v>
      </c>
      <c r="AH360" s="2">
        <v>500</v>
      </c>
      <c r="AI360" s="2">
        <v>500</v>
      </c>
      <c r="AJ360" t="s">
        <v>47</v>
      </c>
    </row>
    <row r="361" spans="1:36" x14ac:dyDescent="0.25">
      <c r="A361" t="s">
        <v>36</v>
      </c>
      <c r="B361" t="s">
        <v>37</v>
      </c>
      <c r="C361" t="s">
        <v>38</v>
      </c>
      <c r="D361" t="s">
        <v>39</v>
      </c>
      <c r="E361">
        <v>14</v>
      </c>
      <c r="F361">
        <v>422</v>
      </c>
      <c r="G361">
        <v>3013</v>
      </c>
      <c r="H361">
        <v>4322</v>
      </c>
      <c r="I361" t="s">
        <v>1000</v>
      </c>
      <c r="J361" t="s">
        <v>55</v>
      </c>
      <c r="K361" t="s">
        <v>56</v>
      </c>
      <c r="L361">
        <v>7</v>
      </c>
      <c r="M361" t="s">
        <v>324</v>
      </c>
      <c r="N361">
        <v>2025</v>
      </c>
      <c r="O361">
        <v>10567</v>
      </c>
      <c r="P361" t="s">
        <v>1028</v>
      </c>
      <c r="Q361" t="s">
        <v>1029</v>
      </c>
      <c r="R361" t="s">
        <v>1003</v>
      </c>
      <c r="S361" t="s">
        <v>997</v>
      </c>
      <c r="T361" t="s">
        <v>1004</v>
      </c>
      <c r="U361" t="s">
        <v>1010</v>
      </c>
      <c r="V361">
        <v>1</v>
      </c>
      <c r="W361" t="str">
        <f ca="1">IF(Tabela1[[#This Row],[datVigencia]]=0,"Expirado",IF(Tabela1[[#This Row],[datVigencia]]&gt;TODAY(),"Vigente","Expirado"))</f>
        <v>Vigente</v>
      </c>
      <c r="X361" s="2">
        <v>500</v>
      </c>
      <c r="Y361" s="2">
        <v>0</v>
      </c>
      <c r="Z361" s="2">
        <v>0</v>
      </c>
      <c r="AA361" s="2">
        <v>0</v>
      </c>
      <c r="AB361" s="2">
        <f>Tabela1[[#This Row],[valPrincipal]]+Tabela1[[#This Row],[valReajustes]]+Tabela1[[#This Row],[valAditamentos]]-Tabela1[[#This Row],[valAnulacao]]</f>
        <v>500</v>
      </c>
      <c r="AC361" s="2">
        <f>IF(Tabela1[[#This Row],[VigenciaMeses]]=0,Tabela1[[#This Row],[valTotal]]/1,Tabela1[[#This Row],[valTotal]]/Tabela1[[#This Row],[VigenciaMeses]])</f>
        <v>500</v>
      </c>
      <c r="AD361" s="2">
        <f>Tabela1[[#This Row],[valMensal]]*12</f>
        <v>6000</v>
      </c>
      <c r="AE361" s="2">
        <v>500</v>
      </c>
      <c r="AF361" s="2">
        <v>0</v>
      </c>
      <c r="AG361" s="2">
        <v>500</v>
      </c>
      <c r="AH361" s="2">
        <v>500</v>
      </c>
      <c r="AI361" s="2">
        <v>500</v>
      </c>
      <c r="AJ361" t="s">
        <v>47</v>
      </c>
    </row>
    <row r="362" spans="1:36" x14ac:dyDescent="0.25">
      <c r="A362" t="s">
        <v>36</v>
      </c>
      <c r="B362" t="s">
        <v>37</v>
      </c>
      <c r="C362" t="s">
        <v>38</v>
      </c>
      <c r="D362" t="s">
        <v>39</v>
      </c>
      <c r="E362">
        <v>14</v>
      </c>
      <c r="F362">
        <v>422</v>
      </c>
      <c r="G362">
        <v>3013</v>
      </c>
      <c r="H362">
        <v>4322</v>
      </c>
      <c r="I362" t="s">
        <v>1000</v>
      </c>
      <c r="J362" t="s">
        <v>55</v>
      </c>
      <c r="K362" t="s">
        <v>56</v>
      </c>
      <c r="L362">
        <v>7</v>
      </c>
      <c r="M362" t="s">
        <v>324</v>
      </c>
      <c r="N362">
        <v>2025</v>
      </c>
      <c r="O362">
        <v>10578</v>
      </c>
      <c r="P362" t="s">
        <v>1030</v>
      </c>
      <c r="Q362" t="s">
        <v>1031</v>
      </c>
      <c r="R362" t="s">
        <v>1008</v>
      </c>
      <c r="S362" t="s">
        <v>997</v>
      </c>
      <c r="T362" t="s">
        <v>1004</v>
      </c>
      <c r="U362" t="s">
        <v>1005</v>
      </c>
      <c r="V362">
        <v>0</v>
      </c>
      <c r="W362" t="str">
        <f ca="1">IF(Tabela1[[#This Row],[datVigencia]]=0,"Expirado",IF(Tabela1[[#This Row],[datVigencia]]&gt;TODAY(),"Vigente","Expirado"))</f>
        <v>Vigente</v>
      </c>
      <c r="X362" s="2">
        <v>500</v>
      </c>
      <c r="Y362" s="2">
        <v>0</v>
      </c>
      <c r="Z362" s="2">
        <v>0</v>
      </c>
      <c r="AA362" s="2">
        <v>0</v>
      </c>
      <c r="AB362" s="2">
        <f>Tabela1[[#This Row],[valPrincipal]]+Tabela1[[#This Row],[valReajustes]]+Tabela1[[#This Row],[valAditamentos]]-Tabela1[[#This Row],[valAnulacao]]</f>
        <v>500</v>
      </c>
      <c r="AC362" s="2">
        <f>IF(Tabela1[[#This Row],[VigenciaMeses]]=0,Tabela1[[#This Row],[valTotal]]/1,Tabela1[[#This Row],[valTotal]]/Tabela1[[#This Row],[VigenciaMeses]])</f>
        <v>500</v>
      </c>
      <c r="AD362" s="2">
        <f>Tabela1[[#This Row],[valMensal]]*12</f>
        <v>6000</v>
      </c>
      <c r="AE362" s="2">
        <v>500</v>
      </c>
      <c r="AF362" s="2">
        <v>0</v>
      </c>
      <c r="AG362" s="2">
        <v>500</v>
      </c>
      <c r="AH362" s="2">
        <v>500</v>
      </c>
      <c r="AI362" s="2">
        <v>500</v>
      </c>
      <c r="AJ362" t="s">
        <v>47</v>
      </c>
    </row>
    <row r="363" spans="1:36" x14ac:dyDescent="0.25">
      <c r="A363" t="s">
        <v>36</v>
      </c>
      <c r="B363" t="s">
        <v>37</v>
      </c>
      <c r="C363" t="s">
        <v>38</v>
      </c>
      <c r="D363" t="s">
        <v>39</v>
      </c>
      <c r="E363">
        <v>14</v>
      </c>
      <c r="F363">
        <v>422</v>
      </c>
      <c r="G363">
        <v>3013</v>
      </c>
      <c r="H363">
        <v>4322</v>
      </c>
      <c r="I363" t="s">
        <v>1000</v>
      </c>
      <c r="J363" t="s">
        <v>55</v>
      </c>
      <c r="K363" t="s">
        <v>56</v>
      </c>
      <c r="L363">
        <v>7</v>
      </c>
      <c r="M363" t="s">
        <v>324</v>
      </c>
      <c r="N363">
        <v>2025</v>
      </c>
      <c r="O363">
        <v>10600</v>
      </c>
      <c r="P363" t="s">
        <v>1032</v>
      </c>
      <c r="Q363" t="s">
        <v>1033</v>
      </c>
      <c r="R363" t="s">
        <v>1034</v>
      </c>
      <c r="S363" t="s">
        <v>997</v>
      </c>
      <c r="T363" t="s">
        <v>1004</v>
      </c>
      <c r="U363" t="s">
        <v>1010</v>
      </c>
      <c r="V363">
        <v>1</v>
      </c>
      <c r="W363" t="str">
        <f ca="1">IF(Tabela1[[#This Row],[datVigencia]]=0,"Expirado",IF(Tabela1[[#This Row],[datVigencia]]&gt;TODAY(),"Vigente","Expirado"))</f>
        <v>Vigente</v>
      </c>
      <c r="X363" s="2">
        <v>500</v>
      </c>
      <c r="Y363" s="2">
        <v>0</v>
      </c>
      <c r="Z363" s="2">
        <v>0</v>
      </c>
      <c r="AA363" s="2">
        <v>0</v>
      </c>
      <c r="AB363" s="2">
        <f>Tabela1[[#This Row],[valPrincipal]]+Tabela1[[#This Row],[valReajustes]]+Tabela1[[#This Row],[valAditamentos]]-Tabela1[[#This Row],[valAnulacao]]</f>
        <v>500</v>
      </c>
      <c r="AC363" s="2">
        <f>IF(Tabela1[[#This Row],[VigenciaMeses]]=0,Tabela1[[#This Row],[valTotal]]/1,Tabela1[[#This Row],[valTotal]]/Tabela1[[#This Row],[VigenciaMeses]])</f>
        <v>500</v>
      </c>
      <c r="AD363" s="2">
        <f>Tabela1[[#This Row],[valMensal]]*12</f>
        <v>6000</v>
      </c>
      <c r="AE363" s="2">
        <v>500</v>
      </c>
      <c r="AF363" s="2">
        <v>0</v>
      </c>
      <c r="AG363" s="2">
        <v>500</v>
      </c>
      <c r="AH363" s="2">
        <v>500</v>
      </c>
      <c r="AI363" s="2">
        <v>500</v>
      </c>
      <c r="AJ363" t="s">
        <v>47</v>
      </c>
    </row>
    <row r="364" spans="1:36" x14ac:dyDescent="0.25">
      <c r="A364" t="s">
        <v>36</v>
      </c>
      <c r="B364" t="s">
        <v>37</v>
      </c>
      <c r="C364" t="s">
        <v>38</v>
      </c>
      <c r="D364" t="s">
        <v>39</v>
      </c>
      <c r="E364">
        <v>14</v>
      </c>
      <c r="F364">
        <v>422</v>
      </c>
      <c r="G364">
        <v>3013</v>
      </c>
      <c r="H364">
        <v>4322</v>
      </c>
      <c r="I364" t="s">
        <v>1000</v>
      </c>
      <c r="J364" t="s">
        <v>55</v>
      </c>
      <c r="K364" t="s">
        <v>56</v>
      </c>
      <c r="L364">
        <v>7</v>
      </c>
      <c r="M364" t="s">
        <v>324</v>
      </c>
      <c r="N364">
        <v>2025</v>
      </c>
      <c r="O364">
        <v>10598</v>
      </c>
      <c r="P364" t="s">
        <v>1035</v>
      </c>
      <c r="Q364" t="s">
        <v>1036</v>
      </c>
      <c r="R364" t="s">
        <v>1037</v>
      </c>
      <c r="S364" t="s">
        <v>997</v>
      </c>
      <c r="T364" t="s">
        <v>1004</v>
      </c>
      <c r="U364" t="s">
        <v>1005</v>
      </c>
      <c r="V364">
        <v>0</v>
      </c>
      <c r="W364" t="str">
        <f ca="1">IF(Tabela1[[#This Row],[datVigencia]]=0,"Expirado",IF(Tabela1[[#This Row],[datVigencia]]&gt;TODAY(),"Vigente","Expirado"))</f>
        <v>Vigente</v>
      </c>
      <c r="X364" s="2">
        <v>500</v>
      </c>
      <c r="Y364" s="2">
        <v>0</v>
      </c>
      <c r="Z364" s="2">
        <v>0</v>
      </c>
      <c r="AA364" s="2">
        <v>0</v>
      </c>
      <c r="AB364" s="2">
        <f>Tabela1[[#This Row],[valPrincipal]]+Tabela1[[#This Row],[valReajustes]]+Tabela1[[#This Row],[valAditamentos]]-Tabela1[[#This Row],[valAnulacao]]</f>
        <v>500</v>
      </c>
      <c r="AC364" s="2">
        <f>IF(Tabela1[[#This Row],[VigenciaMeses]]=0,Tabela1[[#This Row],[valTotal]]/1,Tabela1[[#This Row],[valTotal]]/Tabela1[[#This Row],[VigenciaMeses]])</f>
        <v>500</v>
      </c>
      <c r="AD364" s="2">
        <f>Tabela1[[#This Row],[valMensal]]*12</f>
        <v>6000</v>
      </c>
      <c r="AE364" s="2">
        <v>500</v>
      </c>
      <c r="AF364" s="2">
        <v>0</v>
      </c>
      <c r="AG364" s="2">
        <v>500</v>
      </c>
      <c r="AH364" s="2">
        <v>500</v>
      </c>
      <c r="AI364" s="2">
        <v>500</v>
      </c>
      <c r="AJ364" t="s">
        <v>47</v>
      </c>
    </row>
    <row r="365" spans="1:36" x14ac:dyDescent="0.25">
      <c r="A365" t="s">
        <v>36</v>
      </c>
      <c r="B365" t="s">
        <v>37</v>
      </c>
      <c r="C365" t="s">
        <v>38</v>
      </c>
      <c r="D365" t="s">
        <v>39</v>
      </c>
      <c r="E365">
        <v>14</v>
      </c>
      <c r="F365">
        <v>422</v>
      </c>
      <c r="G365">
        <v>3013</v>
      </c>
      <c r="H365">
        <v>4322</v>
      </c>
      <c r="I365" t="s">
        <v>1000</v>
      </c>
      <c r="J365" t="s">
        <v>55</v>
      </c>
      <c r="K365" t="s">
        <v>56</v>
      </c>
      <c r="L365">
        <v>7</v>
      </c>
      <c r="M365" t="s">
        <v>324</v>
      </c>
      <c r="N365">
        <v>2025</v>
      </c>
      <c r="O365">
        <v>10604</v>
      </c>
      <c r="P365" t="s">
        <v>1038</v>
      </c>
      <c r="Q365" t="s">
        <v>1039</v>
      </c>
      <c r="R365" t="s">
        <v>1040</v>
      </c>
      <c r="S365" t="s">
        <v>876</v>
      </c>
      <c r="T365" t="s">
        <v>1004</v>
      </c>
      <c r="U365" t="s">
        <v>1010</v>
      </c>
      <c r="V365">
        <v>1</v>
      </c>
      <c r="W365" t="str">
        <f ca="1">IF(Tabela1[[#This Row],[datVigencia]]=0,"Expirado",IF(Tabela1[[#This Row],[datVigencia]]&gt;TODAY(),"Vigente","Expirado"))</f>
        <v>Vigente</v>
      </c>
      <c r="X365" s="2">
        <v>500</v>
      </c>
      <c r="Y365" s="2">
        <v>0</v>
      </c>
      <c r="Z365" s="2">
        <v>0</v>
      </c>
      <c r="AA365" s="2">
        <v>0</v>
      </c>
      <c r="AB365" s="2">
        <f>Tabela1[[#This Row],[valPrincipal]]+Tabela1[[#This Row],[valReajustes]]+Tabela1[[#This Row],[valAditamentos]]-Tabela1[[#This Row],[valAnulacao]]</f>
        <v>500</v>
      </c>
      <c r="AC365" s="2">
        <f>IF(Tabela1[[#This Row],[VigenciaMeses]]=0,Tabela1[[#This Row],[valTotal]]/1,Tabela1[[#This Row],[valTotal]]/Tabela1[[#This Row],[VigenciaMeses]])</f>
        <v>500</v>
      </c>
      <c r="AD365" s="2">
        <f>Tabela1[[#This Row],[valMensal]]*12</f>
        <v>6000</v>
      </c>
      <c r="AE365" s="2">
        <v>500</v>
      </c>
      <c r="AF365" s="2">
        <v>0</v>
      </c>
      <c r="AG365" s="2">
        <v>500</v>
      </c>
      <c r="AH365" s="2">
        <v>500</v>
      </c>
      <c r="AI365" s="2">
        <v>500</v>
      </c>
      <c r="AJ365" t="s">
        <v>47</v>
      </c>
    </row>
    <row r="366" spans="1:36" x14ac:dyDescent="0.25">
      <c r="A366" t="s">
        <v>36</v>
      </c>
      <c r="B366" t="s">
        <v>37</v>
      </c>
      <c r="C366" t="s">
        <v>38</v>
      </c>
      <c r="D366" t="s">
        <v>39</v>
      </c>
      <c r="E366">
        <v>14</v>
      </c>
      <c r="F366">
        <v>422</v>
      </c>
      <c r="G366">
        <v>3013</v>
      </c>
      <c r="H366">
        <v>4322</v>
      </c>
      <c r="I366" t="s">
        <v>1000</v>
      </c>
      <c r="J366" t="s">
        <v>55</v>
      </c>
      <c r="K366" t="s">
        <v>56</v>
      </c>
      <c r="L366">
        <v>7</v>
      </c>
      <c r="M366" t="s">
        <v>324</v>
      </c>
      <c r="N366">
        <v>2025</v>
      </c>
      <c r="O366">
        <v>10836</v>
      </c>
      <c r="P366" t="s">
        <v>1049</v>
      </c>
      <c r="Q366" t="s">
        <v>1050</v>
      </c>
      <c r="R366" t="s">
        <v>1051</v>
      </c>
      <c r="S366" t="s">
        <v>1052</v>
      </c>
      <c r="T366" t="s">
        <v>1004</v>
      </c>
      <c r="U366" t="s">
        <v>1005</v>
      </c>
      <c r="V366">
        <v>0</v>
      </c>
      <c r="W366" t="str">
        <f ca="1">IF(Tabela1[[#This Row],[datVigencia]]=0,"Expirado",IF(Tabela1[[#This Row],[datVigencia]]&gt;TODAY(),"Vigente","Expirado"))</f>
        <v>Vigente</v>
      </c>
      <c r="X366" s="2">
        <v>500</v>
      </c>
      <c r="Y366" s="2">
        <v>0</v>
      </c>
      <c r="Z366" s="2">
        <v>0</v>
      </c>
      <c r="AA366" s="2">
        <v>0</v>
      </c>
      <c r="AB366" s="2">
        <f>Tabela1[[#This Row],[valPrincipal]]+Tabela1[[#This Row],[valReajustes]]+Tabela1[[#This Row],[valAditamentos]]-Tabela1[[#This Row],[valAnulacao]]</f>
        <v>500</v>
      </c>
      <c r="AC366" s="2">
        <f>IF(Tabela1[[#This Row],[VigenciaMeses]]=0,Tabela1[[#This Row],[valTotal]]/1,Tabela1[[#This Row],[valTotal]]/Tabela1[[#This Row],[VigenciaMeses]])</f>
        <v>500</v>
      </c>
      <c r="AD366" s="2">
        <f>Tabela1[[#This Row],[valMensal]]*12</f>
        <v>6000</v>
      </c>
      <c r="AE366" s="2">
        <v>500</v>
      </c>
      <c r="AF366" s="2">
        <v>0</v>
      </c>
      <c r="AG366" s="2">
        <v>500</v>
      </c>
      <c r="AH366" s="2">
        <v>500</v>
      </c>
      <c r="AI366" s="2">
        <v>500</v>
      </c>
      <c r="AJ366" t="s">
        <v>47</v>
      </c>
    </row>
    <row r="367" spans="1:36" x14ac:dyDescent="0.25">
      <c r="A367" t="s">
        <v>36</v>
      </c>
      <c r="B367" t="s">
        <v>37</v>
      </c>
      <c r="C367" t="s">
        <v>38</v>
      </c>
      <c r="D367" t="s">
        <v>39</v>
      </c>
      <c r="E367">
        <v>14</v>
      </c>
      <c r="F367">
        <v>422</v>
      </c>
      <c r="G367">
        <v>3013</v>
      </c>
      <c r="H367">
        <v>4322</v>
      </c>
      <c r="I367" t="s">
        <v>1000</v>
      </c>
      <c r="J367" t="s">
        <v>55</v>
      </c>
      <c r="K367" t="s">
        <v>56</v>
      </c>
      <c r="L367">
        <v>7</v>
      </c>
      <c r="M367" t="s">
        <v>324</v>
      </c>
      <c r="N367">
        <v>2025</v>
      </c>
      <c r="O367">
        <v>10859</v>
      </c>
      <c r="P367" t="s">
        <v>1053</v>
      </c>
      <c r="Q367" t="s">
        <v>1054</v>
      </c>
      <c r="R367" t="s">
        <v>1051</v>
      </c>
      <c r="S367" t="s">
        <v>1052</v>
      </c>
      <c r="T367" t="s">
        <v>1004</v>
      </c>
      <c r="U367" t="s">
        <v>1010</v>
      </c>
      <c r="V367">
        <v>1</v>
      </c>
      <c r="W367" t="str">
        <f ca="1">IF(Tabela1[[#This Row],[datVigencia]]=0,"Expirado",IF(Tabela1[[#This Row],[datVigencia]]&gt;TODAY(),"Vigente","Expirado"))</f>
        <v>Vigente</v>
      </c>
      <c r="X367" s="2">
        <v>500</v>
      </c>
      <c r="Y367" s="2">
        <v>0</v>
      </c>
      <c r="Z367" s="2">
        <v>0</v>
      </c>
      <c r="AA367" s="2">
        <v>0</v>
      </c>
      <c r="AB367" s="2">
        <f>Tabela1[[#This Row],[valPrincipal]]+Tabela1[[#This Row],[valReajustes]]+Tabela1[[#This Row],[valAditamentos]]-Tabela1[[#This Row],[valAnulacao]]</f>
        <v>500</v>
      </c>
      <c r="AC367" s="2">
        <f>IF(Tabela1[[#This Row],[VigenciaMeses]]=0,Tabela1[[#This Row],[valTotal]]/1,Tabela1[[#This Row],[valTotal]]/Tabela1[[#This Row],[VigenciaMeses]])</f>
        <v>500</v>
      </c>
      <c r="AD367" s="2">
        <f>Tabela1[[#This Row],[valMensal]]*12</f>
        <v>6000</v>
      </c>
      <c r="AE367" s="2">
        <v>500</v>
      </c>
      <c r="AF367" s="2">
        <v>0</v>
      </c>
      <c r="AG367" s="2">
        <v>500</v>
      </c>
      <c r="AH367" s="2">
        <v>500</v>
      </c>
      <c r="AI367" s="2">
        <v>500</v>
      </c>
      <c r="AJ367" t="s">
        <v>47</v>
      </c>
    </row>
    <row r="368" spans="1:36" x14ac:dyDescent="0.25">
      <c r="A368" t="s">
        <v>36</v>
      </c>
      <c r="B368" t="s">
        <v>37</v>
      </c>
      <c r="C368" t="s">
        <v>38</v>
      </c>
      <c r="D368" t="s">
        <v>39</v>
      </c>
      <c r="E368">
        <v>14</v>
      </c>
      <c r="F368">
        <v>422</v>
      </c>
      <c r="G368">
        <v>3013</v>
      </c>
      <c r="H368">
        <v>4322</v>
      </c>
      <c r="I368" t="s">
        <v>1000</v>
      </c>
      <c r="J368" t="s">
        <v>55</v>
      </c>
      <c r="K368" t="s">
        <v>56</v>
      </c>
      <c r="L368">
        <v>7</v>
      </c>
      <c r="M368" t="s">
        <v>324</v>
      </c>
      <c r="N368">
        <v>2025</v>
      </c>
      <c r="O368">
        <v>10865</v>
      </c>
      <c r="P368" t="s">
        <v>1055</v>
      </c>
      <c r="Q368" t="s">
        <v>1056</v>
      </c>
      <c r="R368" t="s">
        <v>1057</v>
      </c>
      <c r="S368" t="s">
        <v>1052</v>
      </c>
      <c r="T368" t="s">
        <v>1004</v>
      </c>
      <c r="U368" t="s">
        <v>1010</v>
      </c>
      <c r="V368">
        <v>1</v>
      </c>
      <c r="W368" t="str">
        <f ca="1">IF(Tabela1[[#This Row],[datVigencia]]=0,"Expirado",IF(Tabela1[[#This Row],[datVigencia]]&gt;TODAY(),"Vigente","Expirado"))</f>
        <v>Vigente</v>
      </c>
      <c r="X368" s="2">
        <v>500</v>
      </c>
      <c r="Y368" s="2">
        <v>0</v>
      </c>
      <c r="Z368" s="2">
        <v>0</v>
      </c>
      <c r="AA368" s="2">
        <v>0</v>
      </c>
      <c r="AB368" s="2">
        <f>Tabela1[[#This Row],[valPrincipal]]+Tabela1[[#This Row],[valReajustes]]+Tabela1[[#This Row],[valAditamentos]]-Tabela1[[#This Row],[valAnulacao]]</f>
        <v>500</v>
      </c>
      <c r="AC368" s="2">
        <f>IF(Tabela1[[#This Row],[VigenciaMeses]]=0,Tabela1[[#This Row],[valTotal]]/1,Tabela1[[#This Row],[valTotal]]/Tabela1[[#This Row],[VigenciaMeses]])</f>
        <v>500</v>
      </c>
      <c r="AD368" s="2">
        <f>Tabela1[[#This Row],[valMensal]]*12</f>
        <v>6000</v>
      </c>
      <c r="AE368" s="2">
        <v>500</v>
      </c>
      <c r="AF368" s="2">
        <v>0</v>
      </c>
      <c r="AG368" s="2">
        <v>500</v>
      </c>
      <c r="AH368" s="2">
        <v>500</v>
      </c>
      <c r="AI368" s="2">
        <v>500</v>
      </c>
      <c r="AJ368" t="s">
        <v>47</v>
      </c>
    </row>
    <row r="369" spans="1:36" x14ac:dyDescent="0.25">
      <c r="A369" t="s">
        <v>36</v>
      </c>
      <c r="B369" t="s">
        <v>37</v>
      </c>
      <c r="C369" t="s">
        <v>38</v>
      </c>
      <c r="D369" t="s">
        <v>39</v>
      </c>
      <c r="E369">
        <v>14</v>
      </c>
      <c r="F369">
        <v>422</v>
      </c>
      <c r="G369">
        <v>3013</v>
      </c>
      <c r="H369">
        <v>4322</v>
      </c>
      <c r="I369" t="s">
        <v>1000</v>
      </c>
      <c r="J369" t="s">
        <v>55</v>
      </c>
      <c r="K369" t="s">
        <v>56</v>
      </c>
      <c r="L369">
        <v>7</v>
      </c>
      <c r="M369" t="s">
        <v>324</v>
      </c>
      <c r="N369">
        <v>2025</v>
      </c>
      <c r="O369">
        <v>11026</v>
      </c>
      <c r="P369" t="s">
        <v>1062</v>
      </c>
      <c r="Q369" t="s">
        <v>1063</v>
      </c>
      <c r="R369" t="s">
        <v>1051</v>
      </c>
      <c r="S369" t="s">
        <v>1052</v>
      </c>
      <c r="T369" t="s">
        <v>1004</v>
      </c>
      <c r="U369" t="s">
        <v>1005</v>
      </c>
      <c r="V369">
        <v>0</v>
      </c>
      <c r="W369" t="str">
        <f ca="1">IF(Tabela1[[#This Row],[datVigencia]]=0,"Expirado",IF(Tabela1[[#This Row],[datVigencia]]&gt;TODAY(),"Vigente","Expirado"))</f>
        <v>Vigente</v>
      </c>
      <c r="X369" s="2">
        <v>500</v>
      </c>
      <c r="Y369" s="2">
        <v>0</v>
      </c>
      <c r="Z369" s="2">
        <v>0</v>
      </c>
      <c r="AA369" s="2">
        <v>0</v>
      </c>
      <c r="AB369" s="2">
        <f>Tabela1[[#This Row],[valPrincipal]]+Tabela1[[#This Row],[valReajustes]]+Tabela1[[#This Row],[valAditamentos]]-Tabela1[[#This Row],[valAnulacao]]</f>
        <v>500</v>
      </c>
      <c r="AC369" s="2">
        <f>IF(Tabela1[[#This Row],[VigenciaMeses]]=0,Tabela1[[#This Row],[valTotal]]/1,Tabela1[[#This Row],[valTotal]]/Tabela1[[#This Row],[VigenciaMeses]])</f>
        <v>500</v>
      </c>
      <c r="AD369" s="2">
        <f>Tabela1[[#This Row],[valMensal]]*12</f>
        <v>6000</v>
      </c>
      <c r="AE369" s="2">
        <v>500</v>
      </c>
      <c r="AF369" s="2">
        <v>0</v>
      </c>
      <c r="AG369" s="2">
        <v>500</v>
      </c>
      <c r="AH369" s="2">
        <v>500</v>
      </c>
      <c r="AI369" s="2">
        <v>500</v>
      </c>
      <c r="AJ369" t="s">
        <v>47</v>
      </c>
    </row>
    <row r="370" spans="1:36" x14ac:dyDescent="0.25">
      <c r="A370" t="s">
        <v>36</v>
      </c>
      <c r="B370" t="s">
        <v>37</v>
      </c>
      <c r="C370" t="s">
        <v>38</v>
      </c>
      <c r="D370" t="s">
        <v>39</v>
      </c>
      <c r="E370">
        <v>14</v>
      </c>
      <c r="F370">
        <v>422</v>
      </c>
      <c r="G370">
        <v>3013</v>
      </c>
      <c r="H370">
        <v>4322</v>
      </c>
      <c r="I370" t="s">
        <v>1000</v>
      </c>
      <c r="J370" t="s">
        <v>55</v>
      </c>
      <c r="K370" t="s">
        <v>56</v>
      </c>
      <c r="L370">
        <v>6</v>
      </c>
      <c r="M370" t="s">
        <v>97</v>
      </c>
      <c r="N370">
        <v>2025</v>
      </c>
      <c r="O370">
        <v>11027</v>
      </c>
      <c r="Q370" t="s">
        <v>1063</v>
      </c>
      <c r="R370" t="s">
        <v>1003</v>
      </c>
      <c r="V370">
        <v>0</v>
      </c>
      <c r="W370" t="str">
        <f ca="1">IF(Tabela1[[#This Row],[datVigencia]]=0,"Expirado",IF(Tabela1[[#This Row],[datVigencia]]&gt;TODAY(),"Vigente","Expirado"))</f>
        <v>Expirado</v>
      </c>
      <c r="X370" s="2">
        <v>500</v>
      </c>
      <c r="Y370" s="2">
        <v>0</v>
      </c>
      <c r="Z370" s="2">
        <v>0</v>
      </c>
      <c r="AA370" s="2">
        <v>0</v>
      </c>
      <c r="AB370" s="2">
        <f>Tabela1[[#This Row],[valPrincipal]]+Tabela1[[#This Row],[valReajustes]]+Tabela1[[#This Row],[valAditamentos]]-Tabela1[[#This Row],[valAnulacao]]</f>
        <v>500</v>
      </c>
      <c r="AC370" s="2">
        <f>IF(Tabela1[[#This Row],[VigenciaMeses]]=0,Tabela1[[#This Row],[valTotal]]/1,Tabela1[[#This Row],[valTotal]]/Tabela1[[#This Row],[VigenciaMeses]])</f>
        <v>500</v>
      </c>
      <c r="AD370" s="2">
        <f>Tabela1[[#This Row],[valMensal]]*12</f>
        <v>6000</v>
      </c>
      <c r="AE370" s="2">
        <v>0</v>
      </c>
      <c r="AF370" s="2">
        <v>0</v>
      </c>
      <c r="AG370" s="2">
        <v>0</v>
      </c>
      <c r="AH370" s="2">
        <v>0</v>
      </c>
      <c r="AI370" s="2">
        <v>0</v>
      </c>
      <c r="AJ370" t="s">
        <v>47</v>
      </c>
    </row>
    <row r="371" spans="1:36" x14ac:dyDescent="0.25">
      <c r="A371" t="s">
        <v>36</v>
      </c>
      <c r="B371" t="s">
        <v>37</v>
      </c>
      <c r="C371" t="s">
        <v>38</v>
      </c>
      <c r="D371" t="s">
        <v>39</v>
      </c>
      <c r="E371">
        <v>14</v>
      </c>
      <c r="F371">
        <v>422</v>
      </c>
      <c r="G371">
        <v>3013</v>
      </c>
      <c r="H371">
        <v>4322</v>
      </c>
      <c r="I371" t="s">
        <v>1000</v>
      </c>
      <c r="J371" t="s">
        <v>55</v>
      </c>
      <c r="K371" t="s">
        <v>56</v>
      </c>
      <c r="L371">
        <v>7</v>
      </c>
      <c r="M371" t="s">
        <v>324</v>
      </c>
      <c r="N371">
        <v>2025</v>
      </c>
      <c r="O371">
        <v>14027</v>
      </c>
      <c r="Q371" t="s">
        <v>1203</v>
      </c>
      <c r="R371" t="s">
        <v>1204</v>
      </c>
      <c r="V371">
        <v>12</v>
      </c>
      <c r="W371" t="str">
        <f ca="1">IF(Tabela1[[#This Row],[datVigencia]]=0,"Expirado",IF(Tabela1[[#This Row],[datVigencia]]&gt;TODAY(),"Vigente","Expirado"))</f>
        <v>Expirado</v>
      </c>
      <c r="X371" s="2">
        <v>500</v>
      </c>
      <c r="Y371" s="2">
        <v>0</v>
      </c>
      <c r="Z371" s="2">
        <v>0</v>
      </c>
      <c r="AA371" s="2">
        <v>0</v>
      </c>
      <c r="AB371" s="2">
        <f>Tabela1[[#This Row],[valPrincipal]]+Tabela1[[#This Row],[valReajustes]]+Tabela1[[#This Row],[valAditamentos]]-Tabela1[[#This Row],[valAnulacao]]</f>
        <v>500</v>
      </c>
      <c r="AC371" s="2">
        <f>IF(Tabela1[[#This Row],[VigenciaMeses]]=0,Tabela1[[#This Row],[valTotal]]/1,Tabela1[[#This Row],[valTotal]]/Tabela1[[#This Row],[VigenciaMeses]])</f>
        <v>41.666666666666664</v>
      </c>
      <c r="AD371" s="2">
        <f>Tabela1[[#This Row],[valMensal]]*12</f>
        <v>500</v>
      </c>
      <c r="AE371" s="2">
        <v>500</v>
      </c>
      <c r="AF371" s="2">
        <v>0</v>
      </c>
      <c r="AG371" s="2">
        <v>500</v>
      </c>
      <c r="AH371" s="2">
        <v>0</v>
      </c>
      <c r="AI371" s="2">
        <v>0</v>
      </c>
      <c r="AJ371" t="s">
        <v>47</v>
      </c>
    </row>
    <row r="372" spans="1:36" x14ac:dyDescent="0.25">
      <c r="A372" t="s">
        <v>36</v>
      </c>
      <c r="B372" t="s">
        <v>37</v>
      </c>
      <c r="C372" t="s">
        <v>38</v>
      </c>
      <c r="D372" t="s">
        <v>39</v>
      </c>
      <c r="E372">
        <v>14</v>
      </c>
      <c r="F372">
        <v>422</v>
      </c>
      <c r="G372">
        <v>3013</v>
      </c>
      <c r="H372">
        <v>4322</v>
      </c>
      <c r="I372" t="s">
        <v>1000</v>
      </c>
      <c r="J372" t="s">
        <v>55</v>
      </c>
      <c r="K372" t="s">
        <v>56</v>
      </c>
      <c r="L372">
        <v>7</v>
      </c>
      <c r="M372" t="s">
        <v>324</v>
      </c>
      <c r="N372">
        <v>2025</v>
      </c>
      <c r="O372">
        <v>14039</v>
      </c>
      <c r="P372" t="s">
        <v>1205</v>
      </c>
      <c r="Q372" t="s">
        <v>1206</v>
      </c>
      <c r="R372" t="s">
        <v>1207</v>
      </c>
      <c r="S372" t="s">
        <v>1201</v>
      </c>
      <c r="T372" t="s">
        <v>1159</v>
      </c>
      <c r="U372" t="s">
        <v>1208</v>
      </c>
      <c r="V372">
        <v>1</v>
      </c>
      <c r="W372" t="str">
        <f ca="1">IF(Tabela1[[#This Row],[datVigencia]]=0,"Expirado",IF(Tabela1[[#This Row],[datVigencia]]&gt;TODAY(),"Vigente","Expirado"))</f>
        <v>Vigente</v>
      </c>
      <c r="X372" s="2">
        <v>500</v>
      </c>
      <c r="Y372" s="2">
        <v>0</v>
      </c>
      <c r="Z372" s="2">
        <v>0</v>
      </c>
      <c r="AA372" s="2">
        <v>0</v>
      </c>
      <c r="AB372" s="2">
        <f>Tabela1[[#This Row],[valPrincipal]]+Tabela1[[#This Row],[valReajustes]]+Tabela1[[#This Row],[valAditamentos]]-Tabela1[[#This Row],[valAnulacao]]</f>
        <v>500</v>
      </c>
      <c r="AC372" s="2">
        <f>IF(Tabela1[[#This Row],[VigenciaMeses]]=0,Tabela1[[#This Row],[valTotal]]/1,Tabela1[[#This Row],[valTotal]]/Tabela1[[#This Row],[VigenciaMeses]])</f>
        <v>500</v>
      </c>
      <c r="AD372" s="2">
        <f>Tabela1[[#This Row],[valMensal]]*12</f>
        <v>6000</v>
      </c>
      <c r="AE372" s="2">
        <v>500</v>
      </c>
      <c r="AF372" s="2">
        <v>0</v>
      </c>
      <c r="AG372" s="2">
        <v>500</v>
      </c>
      <c r="AH372" s="2">
        <v>500</v>
      </c>
      <c r="AI372" s="2">
        <v>0</v>
      </c>
      <c r="AJ372" t="s">
        <v>47</v>
      </c>
    </row>
    <row r="373" spans="1:36" x14ac:dyDescent="0.25">
      <c r="A373" t="s">
        <v>36</v>
      </c>
      <c r="B373" t="s">
        <v>37</v>
      </c>
      <c r="C373" t="s">
        <v>38</v>
      </c>
      <c r="D373" t="s">
        <v>39</v>
      </c>
      <c r="E373">
        <v>14</v>
      </c>
      <c r="F373">
        <v>422</v>
      </c>
      <c r="G373">
        <v>3013</v>
      </c>
      <c r="H373">
        <v>4322</v>
      </c>
      <c r="I373" t="s">
        <v>1000</v>
      </c>
      <c r="J373" t="s">
        <v>55</v>
      </c>
      <c r="K373" t="s">
        <v>56</v>
      </c>
      <c r="L373">
        <v>7</v>
      </c>
      <c r="M373" t="s">
        <v>324</v>
      </c>
      <c r="N373">
        <v>2025</v>
      </c>
      <c r="O373">
        <v>14333</v>
      </c>
      <c r="P373" t="s">
        <v>1213</v>
      </c>
      <c r="Q373" t="s">
        <v>1214</v>
      </c>
      <c r="R373" t="s">
        <v>1215</v>
      </c>
      <c r="S373" t="s">
        <v>1091</v>
      </c>
      <c r="T373" t="s">
        <v>1114</v>
      </c>
      <c r="U373" t="s">
        <v>1202</v>
      </c>
      <c r="V373">
        <v>1</v>
      </c>
      <c r="W373" t="str">
        <f ca="1">IF(Tabela1[[#This Row],[datVigencia]]=0,"Expirado",IF(Tabela1[[#This Row],[datVigencia]]&gt;TODAY(),"Vigente","Expirado"))</f>
        <v>Vigente</v>
      </c>
      <c r="X373" s="2">
        <v>500</v>
      </c>
      <c r="Y373" s="2">
        <v>0</v>
      </c>
      <c r="Z373" s="2">
        <v>0</v>
      </c>
      <c r="AA373" s="2">
        <v>0</v>
      </c>
      <c r="AB373" s="2">
        <f>Tabela1[[#This Row],[valPrincipal]]+Tabela1[[#This Row],[valReajustes]]+Tabela1[[#This Row],[valAditamentos]]-Tabela1[[#This Row],[valAnulacao]]</f>
        <v>500</v>
      </c>
      <c r="AC373" s="2">
        <f>IF(Tabela1[[#This Row],[VigenciaMeses]]=0,Tabela1[[#This Row],[valTotal]]/1,Tabela1[[#This Row],[valTotal]]/Tabela1[[#This Row],[VigenciaMeses]])</f>
        <v>500</v>
      </c>
      <c r="AD373" s="2">
        <f>Tabela1[[#This Row],[valMensal]]*12</f>
        <v>6000</v>
      </c>
      <c r="AE373" s="2">
        <v>500</v>
      </c>
      <c r="AF373" s="2">
        <v>0</v>
      </c>
      <c r="AG373" s="2">
        <v>500</v>
      </c>
      <c r="AH373" s="2">
        <v>500</v>
      </c>
      <c r="AI373" s="2">
        <v>0</v>
      </c>
      <c r="AJ373" t="s">
        <v>47</v>
      </c>
    </row>
    <row r="374" spans="1:36" x14ac:dyDescent="0.25">
      <c r="A374" t="s">
        <v>36</v>
      </c>
      <c r="B374" t="s">
        <v>37</v>
      </c>
      <c r="C374" t="s">
        <v>38</v>
      </c>
      <c r="D374" t="s">
        <v>39</v>
      </c>
      <c r="E374">
        <v>14</v>
      </c>
      <c r="F374">
        <v>422</v>
      </c>
      <c r="G374">
        <v>3013</v>
      </c>
      <c r="H374">
        <v>4322</v>
      </c>
      <c r="I374" t="s">
        <v>1000</v>
      </c>
      <c r="J374" t="s">
        <v>55</v>
      </c>
      <c r="K374" t="s">
        <v>56</v>
      </c>
      <c r="L374">
        <v>7</v>
      </c>
      <c r="M374" t="s">
        <v>324</v>
      </c>
      <c r="N374">
        <v>2025</v>
      </c>
      <c r="O374">
        <v>14338</v>
      </c>
      <c r="P374" t="s">
        <v>1216</v>
      </c>
      <c r="Q374" t="s">
        <v>1217</v>
      </c>
      <c r="R374" t="s">
        <v>1218</v>
      </c>
      <c r="S374" t="s">
        <v>1091</v>
      </c>
      <c r="T374" t="s">
        <v>1159</v>
      </c>
      <c r="U374" t="s">
        <v>1202</v>
      </c>
      <c r="V374">
        <v>1</v>
      </c>
      <c r="W374" t="str">
        <f ca="1">IF(Tabela1[[#This Row],[datVigencia]]=0,"Expirado",IF(Tabela1[[#This Row],[datVigencia]]&gt;TODAY(),"Vigente","Expirado"))</f>
        <v>Vigente</v>
      </c>
      <c r="X374" s="2">
        <v>500</v>
      </c>
      <c r="Y374" s="2">
        <v>0</v>
      </c>
      <c r="Z374" s="2">
        <v>0</v>
      </c>
      <c r="AA374" s="2">
        <v>0</v>
      </c>
      <c r="AB374" s="2">
        <f>Tabela1[[#This Row],[valPrincipal]]+Tabela1[[#This Row],[valReajustes]]+Tabela1[[#This Row],[valAditamentos]]-Tabela1[[#This Row],[valAnulacao]]</f>
        <v>500</v>
      </c>
      <c r="AC374" s="2">
        <f>IF(Tabela1[[#This Row],[VigenciaMeses]]=0,Tabela1[[#This Row],[valTotal]]/1,Tabela1[[#This Row],[valTotal]]/Tabela1[[#This Row],[VigenciaMeses]])</f>
        <v>500</v>
      </c>
      <c r="AD374" s="2">
        <f>Tabela1[[#This Row],[valMensal]]*12</f>
        <v>6000</v>
      </c>
      <c r="AE374" s="2">
        <v>500</v>
      </c>
      <c r="AF374" s="2">
        <v>0</v>
      </c>
      <c r="AG374" s="2">
        <v>500</v>
      </c>
      <c r="AH374" s="2">
        <v>500</v>
      </c>
      <c r="AI374" s="2">
        <v>0</v>
      </c>
      <c r="AJ374" t="s">
        <v>47</v>
      </c>
    </row>
    <row r="375" spans="1:36" x14ac:dyDescent="0.25">
      <c r="A375" t="s">
        <v>36</v>
      </c>
      <c r="B375" t="s">
        <v>37</v>
      </c>
      <c r="C375" t="s">
        <v>38</v>
      </c>
      <c r="D375" t="s">
        <v>39</v>
      </c>
      <c r="E375">
        <v>14</v>
      </c>
      <c r="F375">
        <v>422</v>
      </c>
      <c r="G375">
        <v>3013</v>
      </c>
      <c r="H375">
        <v>4322</v>
      </c>
      <c r="I375" t="s">
        <v>1000</v>
      </c>
      <c r="J375" t="s">
        <v>55</v>
      </c>
      <c r="K375" t="s">
        <v>56</v>
      </c>
      <c r="L375">
        <v>7</v>
      </c>
      <c r="M375" t="s">
        <v>324</v>
      </c>
      <c r="N375">
        <v>2025</v>
      </c>
      <c r="O375">
        <v>14337</v>
      </c>
      <c r="P375" t="s">
        <v>1219</v>
      </c>
      <c r="Q375" t="s">
        <v>1220</v>
      </c>
      <c r="R375" t="s">
        <v>1221</v>
      </c>
      <c r="S375" t="s">
        <v>1091</v>
      </c>
      <c r="T375" t="s">
        <v>1159</v>
      </c>
      <c r="U375" t="s">
        <v>1222</v>
      </c>
      <c r="V375">
        <v>1</v>
      </c>
      <c r="W375" t="str">
        <f ca="1">IF(Tabela1[[#This Row],[datVigencia]]=0,"Expirado",IF(Tabela1[[#This Row],[datVigencia]]&gt;TODAY(),"Vigente","Expirado"))</f>
        <v>Vigente</v>
      </c>
      <c r="X375" s="2">
        <v>500</v>
      </c>
      <c r="Y375" s="2">
        <v>0</v>
      </c>
      <c r="Z375" s="2">
        <v>0</v>
      </c>
      <c r="AA375" s="2">
        <v>0</v>
      </c>
      <c r="AB375" s="2">
        <f>Tabela1[[#This Row],[valPrincipal]]+Tabela1[[#This Row],[valReajustes]]+Tabela1[[#This Row],[valAditamentos]]-Tabela1[[#This Row],[valAnulacao]]</f>
        <v>500</v>
      </c>
      <c r="AC375" s="2">
        <f>IF(Tabela1[[#This Row],[VigenciaMeses]]=0,Tabela1[[#This Row],[valTotal]]/1,Tabela1[[#This Row],[valTotal]]/Tabela1[[#This Row],[VigenciaMeses]])</f>
        <v>500</v>
      </c>
      <c r="AD375" s="2">
        <f>Tabela1[[#This Row],[valMensal]]*12</f>
        <v>6000</v>
      </c>
      <c r="AE375" s="2">
        <v>500</v>
      </c>
      <c r="AF375" s="2">
        <v>0</v>
      </c>
      <c r="AG375" s="2">
        <v>500</v>
      </c>
      <c r="AH375" s="2">
        <v>500</v>
      </c>
      <c r="AI375" s="2">
        <v>0</v>
      </c>
      <c r="AJ375" t="s">
        <v>47</v>
      </c>
    </row>
    <row r="376" spans="1:36" x14ac:dyDescent="0.25">
      <c r="A376" t="s">
        <v>36</v>
      </c>
      <c r="B376" t="s">
        <v>37</v>
      </c>
      <c r="C376" t="s">
        <v>38</v>
      </c>
      <c r="D376" t="s">
        <v>39</v>
      </c>
      <c r="E376">
        <v>14</v>
      </c>
      <c r="F376">
        <v>422</v>
      </c>
      <c r="G376">
        <v>3013</v>
      </c>
      <c r="H376">
        <v>4322</v>
      </c>
      <c r="I376" t="s">
        <v>1000</v>
      </c>
      <c r="J376" t="s">
        <v>55</v>
      </c>
      <c r="K376" t="s">
        <v>56</v>
      </c>
      <c r="L376">
        <v>6</v>
      </c>
      <c r="M376" t="s">
        <v>97</v>
      </c>
      <c r="N376">
        <v>2025</v>
      </c>
      <c r="O376">
        <v>14341</v>
      </c>
      <c r="Q376" t="s">
        <v>1223</v>
      </c>
      <c r="R376" t="s">
        <v>1221</v>
      </c>
      <c r="V376">
        <v>12</v>
      </c>
      <c r="W376" t="str">
        <f ca="1">IF(Tabela1[[#This Row],[datVigencia]]=0,"Expirado",IF(Tabela1[[#This Row],[datVigencia]]&gt;TODAY(),"Vigente","Expirado"))</f>
        <v>Expirado</v>
      </c>
      <c r="X376" s="2">
        <v>500</v>
      </c>
      <c r="Y376" s="2">
        <v>0</v>
      </c>
      <c r="Z376" s="2">
        <v>0</v>
      </c>
      <c r="AA376" s="2">
        <v>0</v>
      </c>
      <c r="AB376" s="2">
        <f>Tabela1[[#This Row],[valPrincipal]]+Tabela1[[#This Row],[valReajustes]]+Tabela1[[#This Row],[valAditamentos]]-Tabela1[[#This Row],[valAnulacao]]</f>
        <v>500</v>
      </c>
      <c r="AC376" s="2">
        <f>IF(Tabela1[[#This Row],[VigenciaMeses]]=0,Tabela1[[#This Row],[valTotal]]/1,Tabela1[[#This Row],[valTotal]]/Tabela1[[#This Row],[VigenciaMeses]])</f>
        <v>41.666666666666664</v>
      </c>
      <c r="AD376" s="2">
        <f>Tabela1[[#This Row],[valMensal]]*12</f>
        <v>500</v>
      </c>
      <c r="AE376" s="2">
        <v>500</v>
      </c>
      <c r="AF376" s="2">
        <v>500</v>
      </c>
      <c r="AG376" s="2">
        <v>0</v>
      </c>
      <c r="AH376" s="2">
        <v>0</v>
      </c>
      <c r="AI376" s="2">
        <v>0</v>
      </c>
      <c r="AJ376" t="s">
        <v>47</v>
      </c>
    </row>
    <row r="377" spans="1:36" x14ac:dyDescent="0.25">
      <c r="A377" t="s">
        <v>36</v>
      </c>
      <c r="B377" t="s">
        <v>37</v>
      </c>
      <c r="C377" t="s">
        <v>38</v>
      </c>
      <c r="D377" t="s">
        <v>39</v>
      </c>
      <c r="E377">
        <v>14</v>
      </c>
      <c r="F377">
        <v>422</v>
      </c>
      <c r="G377">
        <v>3013</v>
      </c>
      <c r="H377">
        <v>4322</v>
      </c>
      <c r="I377" t="s">
        <v>1000</v>
      </c>
      <c r="J377" t="s">
        <v>55</v>
      </c>
      <c r="K377" t="s">
        <v>56</v>
      </c>
      <c r="L377">
        <v>7</v>
      </c>
      <c r="M377" t="s">
        <v>324</v>
      </c>
      <c r="N377">
        <v>2025</v>
      </c>
      <c r="O377">
        <v>14360</v>
      </c>
      <c r="P377" t="s">
        <v>1224</v>
      </c>
      <c r="Q377" t="s">
        <v>1223</v>
      </c>
      <c r="R377" t="s">
        <v>1221</v>
      </c>
      <c r="S377" t="s">
        <v>1091</v>
      </c>
      <c r="T377" t="s">
        <v>1159</v>
      </c>
      <c r="U377" t="s">
        <v>1222</v>
      </c>
      <c r="V377">
        <v>12</v>
      </c>
      <c r="W377" t="str">
        <f ca="1">IF(Tabela1[[#This Row],[datVigencia]]=0,"Expirado",IF(Tabela1[[#This Row],[datVigencia]]&gt;TODAY(),"Vigente","Expirado"))</f>
        <v>Vigente</v>
      </c>
      <c r="X377" s="2">
        <v>500</v>
      </c>
      <c r="Y377" s="2">
        <v>0</v>
      </c>
      <c r="Z377" s="2">
        <v>0</v>
      </c>
      <c r="AA377" s="2">
        <v>0</v>
      </c>
      <c r="AB377" s="2">
        <f>Tabela1[[#This Row],[valPrincipal]]+Tabela1[[#This Row],[valReajustes]]+Tabela1[[#This Row],[valAditamentos]]-Tabela1[[#This Row],[valAnulacao]]</f>
        <v>500</v>
      </c>
      <c r="AC377" s="2">
        <f>IF(Tabela1[[#This Row],[VigenciaMeses]]=0,Tabela1[[#This Row],[valTotal]]/1,Tabela1[[#This Row],[valTotal]]/Tabela1[[#This Row],[VigenciaMeses]])</f>
        <v>41.666666666666664</v>
      </c>
      <c r="AD377" s="2">
        <f>Tabela1[[#This Row],[valMensal]]*12</f>
        <v>500</v>
      </c>
      <c r="AE377" s="2">
        <v>500</v>
      </c>
      <c r="AF377" s="2">
        <v>0</v>
      </c>
      <c r="AG377" s="2">
        <v>500</v>
      </c>
      <c r="AH377" s="2">
        <v>500</v>
      </c>
      <c r="AI377" s="2">
        <v>0</v>
      </c>
      <c r="AJ377" t="s">
        <v>47</v>
      </c>
    </row>
    <row r="378" spans="1:36" x14ac:dyDescent="0.25">
      <c r="A378" t="s">
        <v>36</v>
      </c>
      <c r="B378" t="s">
        <v>37</v>
      </c>
      <c r="C378" t="s">
        <v>38</v>
      </c>
      <c r="D378" t="s">
        <v>39</v>
      </c>
      <c r="E378">
        <v>14</v>
      </c>
      <c r="F378">
        <v>422</v>
      </c>
      <c r="G378">
        <v>3013</v>
      </c>
      <c r="H378">
        <v>4322</v>
      </c>
      <c r="I378" t="s">
        <v>1000</v>
      </c>
      <c r="J378" t="s">
        <v>55</v>
      </c>
      <c r="K378" t="s">
        <v>56</v>
      </c>
      <c r="L378">
        <v>7</v>
      </c>
      <c r="M378" t="s">
        <v>324</v>
      </c>
      <c r="N378">
        <v>2025</v>
      </c>
      <c r="O378">
        <v>14351</v>
      </c>
      <c r="P378" t="s">
        <v>1225</v>
      </c>
      <c r="Q378" t="s">
        <v>1226</v>
      </c>
      <c r="R378" t="s">
        <v>1227</v>
      </c>
      <c r="S378" t="s">
        <v>1091</v>
      </c>
      <c r="T378" t="s">
        <v>1159</v>
      </c>
      <c r="U378" t="s">
        <v>1165</v>
      </c>
      <c r="V378">
        <v>0</v>
      </c>
      <c r="W378" t="str">
        <f ca="1">IF(Tabela1[[#This Row],[datVigencia]]=0,"Expirado",IF(Tabela1[[#This Row],[datVigencia]]&gt;TODAY(),"Vigente","Expirado"))</f>
        <v>Vigente</v>
      </c>
      <c r="X378" s="2">
        <v>500</v>
      </c>
      <c r="Y378" s="2">
        <v>0</v>
      </c>
      <c r="Z378" s="2">
        <v>0</v>
      </c>
      <c r="AA378" s="2">
        <v>0</v>
      </c>
      <c r="AB378" s="2">
        <f>Tabela1[[#This Row],[valPrincipal]]+Tabela1[[#This Row],[valReajustes]]+Tabela1[[#This Row],[valAditamentos]]-Tabela1[[#This Row],[valAnulacao]]</f>
        <v>500</v>
      </c>
      <c r="AC378" s="2">
        <f>IF(Tabela1[[#This Row],[VigenciaMeses]]=0,Tabela1[[#This Row],[valTotal]]/1,Tabela1[[#This Row],[valTotal]]/Tabela1[[#This Row],[VigenciaMeses]])</f>
        <v>500</v>
      </c>
      <c r="AD378" s="2">
        <f>Tabela1[[#This Row],[valMensal]]*12</f>
        <v>6000</v>
      </c>
      <c r="AE378" s="2">
        <v>500</v>
      </c>
      <c r="AF378" s="2">
        <v>0</v>
      </c>
      <c r="AG378" s="2">
        <v>500</v>
      </c>
      <c r="AH378" s="2">
        <v>500</v>
      </c>
      <c r="AI378" s="2">
        <v>0</v>
      </c>
      <c r="AJ378" t="s">
        <v>47</v>
      </c>
    </row>
    <row r="379" spans="1:36" x14ac:dyDescent="0.25">
      <c r="A379" t="s">
        <v>36</v>
      </c>
      <c r="B379" t="s">
        <v>37</v>
      </c>
      <c r="C379" t="s">
        <v>38</v>
      </c>
      <c r="D379" t="s">
        <v>39</v>
      </c>
      <c r="E379">
        <v>14</v>
      </c>
      <c r="F379">
        <v>422</v>
      </c>
      <c r="G379">
        <v>3013</v>
      </c>
      <c r="H379">
        <v>4322</v>
      </c>
      <c r="I379" t="s">
        <v>1000</v>
      </c>
      <c r="J379" t="s">
        <v>55</v>
      </c>
      <c r="K379" t="s">
        <v>56</v>
      </c>
      <c r="L379">
        <v>7</v>
      </c>
      <c r="M379" t="s">
        <v>324</v>
      </c>
      <c r="N379">
        <v>2025</v>
      </c>
      <c r="O379">
        <v>14369</v>
      </c>
      <c r="P379" t="s">
        <v>1228</v>
      </c>
      <c r="Q379" t="s">
        <v>1229</v>
      </c>
      <c r="R379" t="s">
        <v>1230</v>
      </c>
      <c r="S379" t="s">
        <v>1091</v>
      </c>
      <c r="T379" t="s">
        <v>1159</v>
      </c>
      <c r="U379" t="s">
        <v>1165</v>
      </c>
      <c r="V379">
        <v>0</v>
      </c>
      <c r="W379" t="str">
        <f ca="1">IF(Tabela1[[#This Row],[datVigencia]]=0,"Expirado",IF(Tabela1[[#This Row],[datVigencia]]&gt;TODAY(),"Vigente","Expirado"))</f>
        <v>Vigente</v>
      </c>
      <c r="X379" s="2">
        <v>500</v>
      </c>
      <c r="Y379" s="2">
        <v>0</v>
      </c>
      <c r="Z379" s="2">
        <v>0</v>
      </c>
      <c r="AA379" s="2">
        <v>0</v>
      </c>
      <c r="AB379" s="2">
        <f>Tabela1[[#This Row],[valPrincipal]]+Tabela1[[#This Row],[valReajustes]]+Tabela1[[#This Row],[valAditamentos]]-Tabela1[[#This Row],[valAnulacao]]</f>
        <v>500</v>
      </c>
      <c r="AC379" s="2">
        <f>IF(Tabela1[[#This Row],[VigenciaMeses]]=0,Tabela1[[#This Row],[valTotal]]/1,Tabela1[[#This Row],[valTotal]]/Tabela1[[#This Row],[VigenciaMeses]])</f>
        <v>500</v>
      </c>
      <c r="AD379" s="2">
        <f>Tabela1[[#This Row],[valMensal]]*12</f>
        <v>6000</v>
      </c>
      <c r="AE379" s="2">
        <v>500</v>
      </c>
      <c r="AF379" s="2">
        <v>0</v>
      </c>
      <c r="AG379" s="2">
        <v>500</v>
      </c>
      <c r="AH379" s="2">
        <v>500</v>
      </c>
      <c r="AI379" s="2">
        <v>0</v>
      </c>
      <c r="AJ379" t="s">
        <v>47</v>
      </c>
    </row>
    <row r="380" spans="1:36" x14ac:dyDescent="0.25">
      <c r="A380" t="s">
        <v>36</v>
      </c>
      <c r="B380" t="s">
        <v>37</v>
      </c>
      <c r="C380" t="s">
        <v>38</v>
      </c>
      <c r="D380" t="s">
        <v>39</v>
      </c>
      <c r="E380">
        <v>14</v>
      </c>
      <c r="F380">
        <v>422</v>
      </c>
      <c r="G380">
        <v>3013</v>
      </c>
      <c r="H380">
        <v>4322</v>
      </c>
      <c r="I380" t="s">
        <v>1000</v>
      </c>
      <c r="J380" t="s">
        <v>55</v>
      </c>
      <c r="K380" t="s">
        <v>56</v>
      </c>
      <c r="L380">
        <v>7</v>
      </c>
      <c r="M380" t="s">
        <v>324</v>
      </c>
      <c r="N380">
        <v>2025</v>
      </c>
      <c r="O380">
        <v>14371</v>
      </c>
      <c r="Q380" t="s">
        <v>1231</v>
      </c>
      <c r="R380" t="s">
        <v>1221</v>
      </c>
      <c r="V380">
        <v>12</v>
      </c>
      <c r="W380" t="str">
        <f ca="1">IF(Tabela1[[#This Row],[datVigencia]]=0,"Expirado",IF(Tabela1[[#This Row],[datVigencia]]&gt;TODAY(),"Vigente","Expirado"))</f>
        <v>Expirado</v>
      </c>
      <c r="X380" s="2">
        <v>500</v>
      </c>
      <c r="Y380" s="2">
        <v>0</v>
      </c>
      <c r="Z380" s="2">
        <v>0</v>
      </c>
      <c r="AA380" s="2">
        <v>0</v>
      </c>
      <c r="AB380" s="2">
        <f>Tabela1[[#This Row],[valPrincipal]]+Tabela1[[#This Row],[valReajustes]]+Tabela1[[#This Row],[valAditamentos]]-Tabela1[[#This Row],[valAnulacao]]</f>
        <v>500</v>
      </c>
      <c r="AC380" s="2">
        <f>IF(Tabela1[[#This Row],[VigenciaMeses]]=0,Tabela1[[#This Row],[valTotal]]/1,Tabela1[[#This Row],[valTotal]]/Tabela1[[#This Row],[VigenciaMeses]])</f>
        <v>41.666666666666664</v>
      </c>
      <c r="AD380" s="2">
        <f>Tabela1[[#This Row],[valMensal]]*12</f>
        <v>500</v>
      </c>
      <c r="AE380" s="2">
        <v>500</v>
      </c>
      <c r="AF380" s="2">
        <v>0</v>
      </c>
      <c r="AG380" s="2">
        <v>500</v>
      </c>
      <c r="AH380" s="2">
        <v>0</v>
      </c>
      <c r="AI380" s="2">
        <v>0</v>
      </c>
      <c r="AJ380" t="s">
        <v>47</v>
      </c>
    </row>
    <row r="381" spans="1:36" x14ac:dyDescent="0.25">
      <c r="A381" t="s">
        <v>36</v>
      </c>
      <c r="B381" t="s">
        <v>37</v>
      </c>
      <c r="C381" t="s">
        <v>38</v>
      </c>
      <c r="D381" t="s">
        <v>39</v>
      </c>
      <c r="E381">
        <v>14</v>
      </c>
      <c r="F381">
        <v>122</v>
      </c>
      <c r="G381">
        <v>3024</v>
      </c>
      <c r="H381">
        <v>2100</v>
      </c>
      <c r="I381" t="s">
        <v>48</v>
      </c>
      <c r="J381" t="s">
        <v>951</v>
      </c>
      <c r="K381" t="s">
        <v>952</v>
      </c>
      <c r="L381">
        <v>7</v>
      </c>
      <c r="M381" t="s">
        <v>324</v>
      </c>
      <c r="N381">
        <v>2025</v>
      </c>
      <c r="O381">
        <v>9805</v>
      </c>
      <c r="Q381" t="s">
        <v>979</v>
      </c>
      <c r="R381" t="s">
        <v>982</v>
      </c>
      <c r="U381" t="s">
        <v>981</v>
      </c>
      <c r="V381">
        <v>12</v>
      </c>
      <c r="W381" t="str">
        <f ca="1">IF(Tabela1[[#This Row],[datVigencia]]=0,"Expirado",IF(Tabela1[[#This Row],[datVigencia]]&gt;TODAY(),"Vigente","Expirado"))</f>
        <v>Vigente</v>
      </c>
      <c r="X381" s="2">
        <v>418.8</v>
      </c>
      <c r="Y381" s="2">
        <v>0</v>
      </c>
      <c r="Z381" s="2">
        <v>0</v>
      </c>
      <c r="AA381" s="2">
        <v>0</v>
      </c>
      <c r="AB381" s="2">
        <f>Tabela1[[#This Row],[valPrincipal]]+Tabela1[[#This Row],[valReajustes]]+Tabela1[[#This Row],[valAditamentos]]-Tabela1[[#This Row],[valAnulacao]]</f>
        <v>418.8</v>
      </c>
      <c r="AC381" s="2">
        <f>IF(Tabela1[[#This Row],[VigenciaMeses]]=0,Tabela1[[#This Row],[valTotal]]/1,Tabela1[[#This Row],[valTotal]]/Tabela1[[#This Row],[VigenciaMeses]])</f>
        <v>34.9</v>
      </c>
      <c r="AD381" s="2">
        <f>Tabela1[[#This Row],[valMensal]]*12</f>
        <v>418.79999999999995</v>
      </c>
      <c r="AE381" s="2">
        <v>418.8</v>
      </c>
      <c r="AF381" s="2">
        <v>0</v>
      </c>
      <c r="AG381" s="2">
        <v>418.8</v>
      </c>
      <c r="AH381" s="2">
        <v>418.8</v>
      </c>
      <c r="AI381" s="2">
        <v>418.8</v>
      </c>
      <c r="AJ381" t="s">
        <v>47</v>
      </c>
    </row>
    <row r="382" spans="1:36" x14ac:dyDescent="0.25">
      <c r="A382" t="s">
        <v>36</v>
      </c>
      <c r="B382" t="s">
        <v>37</v>
      </c>
      <c r="C382" t="s">
        <v>38</v>
      </c>
      <c r="D382" t="s">
        <v>39</v>
      </c>
      <c r="E382">
        <v>14</v>
      </c>
      <c r="F382">
        <v>122</v>
      </c>
      <c r="G382">
        <v>3024</v>
      </c>
      <c r="H382">
        <v>2100</v>
      </c>
      <c r="I382" t="s">
        <v>157</v>
      </c>
      <c r="J382" t="s">
        <v>207</v>
      </c>
      <c r="K382" t="s">
        <v>208</v>
      </c>
      <c r="L382">
        <v>12</v>
      </c>
      <c r="M382" t="s">
        <v>51</v>
      </c>
      <c r="N382">
        <v>2025</v>
      </c>
      <c r="O382">
        <v>16882</v>
      </c>
      <c r="Q382" t="s">
        <v>1420</v>
      </c>
      <c r="R382" t="s">
        <v>1421</v>
      </c>
      <c r="V382">
        <v>12</v>
      </c>
      <c r="W382" t="str">
        <f ca="1">IF(Tabela1[[#This Row],[datVigencia]]=0,"Expirado",IF(Tabela1[[#This Row],[datVigencia]]&gt;TODAY(),"Vigente","Expirado"))</f>
        <v>Expirado</v>
      </c>
      <c r="X382" s="2">
        <v>400.96</v>
      </c>
      <c r="Y382" s="2">
        <v>0</v>
      </c>
      <c r="Z382" s="2">
        <v>0</v>
      </c>
      <c r="AA382" s="2">
        <v>0</v>
      </c>
      <c r="AB382" s="2">
        <f>Tabela1[[#This Row],[valPrincipal]]+Tabela1[[#This Row],[valReajustes]]+Tabela1[[#This Row],[valAditamentos]]-Tabela1[[#This Row],[valAnulacao]]</f>
        <v>400.96</v>
      </c>
      <c r="AC382" s="2">
        <f>IF(Tabela1[[#This Row],[VigenciaMeses]]=0,Tabela1[[#This Row],[valTotal]]/1,Tabela1[[#This Row],[valTotal]]/Tabela1[[#This Row],[VigenciaMeses]])</f>
        <v>33.413333333333334</v>
      </c>
      <c r="AD382" s="2">
        <f>Tabela1[[#This Row],[valMensal]]*12</f>
        <v>400.96000000000004</v>
      </c>
      <c r="AE382" s="2">
        <v>400.96</v>
      </c>
      <c r="AF382" s="2">
        <v>0</v>
      </c>
      <c r="AG382" s="2">
        <v>400.96</v>
      </c>
      <c r="AH382" s="2">
        <v>0</v>
      </c>
      <c r="AI382" s="2">
        <v>0</v>
      </c>
      <c r="AJ382" t="s">
        <v>47</v>
      </c>
    </row>
    <row r="383" spans="1:36" x14ac:dyDescent="0.25">
      <c r="A383" t="s">
        <v>36</v>
      </c>
      <c r="B383" t="s">
        <v>37</v>
      </c>
      <c r="C383" t="s">
        <v>38</v>
      </c>
      <c r="D383" t="s">
        <v>39</v>
      </c>
      <c r="E383">
        <v>14</v>
      </c>
      <c r="F383">
        <v>422</v>
      </c>
      <c r="G383">
        <v>3013</v>
      </c>
      <c r="H383">
        <v>4322</v>
      </c>
      <c r="I383" t="s">
        <v>1000</v>
      </c>
      <c r="J383" t="s">
        <v>55</v>
      </c>
      <c r="K383" t="s">
        <v>56</v>
      </c>
      <c r="L383">
        <v>7</v>
      </c>
      <c r="M383" t="s">
        <v>324</v>
      </c>
      <c r="N383">
        <v>2025</v>
      </c>
      <c r="O383">
        <v>11749</v>
      </c>
      <c r="P383" t="s">
        <v>1108</v>
      </c>
      <c r="Q383" t="s">
        <v>1109</v>
      </c>
      <c r="R383" t="s">
        <v>1110</v>
      </c>
      <c r="S383" t="s">
        <v>1107</v>
      </c>
      <c r="T383" t="s">
        <v>1111</v>
      </c>
      <c r="U383" t="s">
        <v>1111</v>
      </c>
      <c r="V383">
        <v>1</v>
      </c>
      <c r="W383" t="str">
        <f ca="1">IF(Tabela1[[#This Row],[datVigencia]]=0,"Expirado",IF(Tabela1[[#This Row],[datVigencia]]&gt;TODAY(),"Vigente","Expirado"))</f>
        <v>Vigente</v>
      </c>
      <c r="X383" s="2">
        <v>400</v>
      </c>
      <c r="Y383" s="2">
        <v>0</v>
      </c>
      <c r="Z383" s="2">
        <v>0</v>
      </c>
      <c r="AA383" s="2">
        <v>0</v>
      </c>
      <c r="AB383" s="2">
        <f>Tabela1[[#This Row],[valPrincipal]]+Tabela1[[#This Row],[valReajustes]]+Tabela1[[#This Row],[valAditamentos]]-Tabela1[[#This Row],[valAnulacao]]</f>
        <v>400</v>
      </c>
      <c r="AC383" s="2">
        <f>IF(Tabela1[[#This Row],[VigenciaMeses]]=0,Tabela1[[#This Row],[valTotal]]/1,Tabela1[[#This Row],[valTotal]]/Tabela1[[#This Row],[VigenciaMeses]])</f>
        <v>400</v>
      </c>
      <c r="AD383" s="2">
        <f>Tabela1[[#This Row],[valMensal]]*12</f>
        <v>4800</v>
      </c>
      <c r="AE383" s="2">
        <v>400</v>
      </c>
      <c r="AF383" s="2">
        <v>0</v>
      </c>
      <c r="AG383" s="2">
        <v>400</v>
      </c>
      <c r="AH383" s="2">
        <v>400</v>
      </c>
      <c r="AI383" s="2">
        <v>0</v>
      </c>
      <c r="AJ383" t="s">
        <v>47</v>
      </c>
    </row>
    <row r="384" spans="1:36" x14ac:dyDescent="0.25">
      <c r="A384" t="s">
        <v>36</v>
      </c>
      <c r="B384" t="s">
        <v>37</v>
      </c>
      <c r="C384" t="s">
        <v>38</v>
      </c>
      <c r="D384" t="s">
        <v>39</v>
      </c>
      <c r="E384">
        <v>14</v>
      </c>
      <c r="F384">
        <v>422</v>
      </c>
      <c r="G384">
        <v>3013</v>
      </c>
      <c r="H384">
        <v>4322</v>
      </c>
      <c r="I384" t="s">
        <v>1000</v>
      </c>
      <c r="J384" t="s">
        <v>55</v>
      </c>
      <c r="K384" t="s">
        <v>56</v>
      </c>
      <c r="L384">
        <v>7</v>
      </c>
      <c r="M384" t="s">
        <v>324</v>
      </c>
      <c r="N384">
        <v>2025</v>
      </c>
      <c r="O384">
        <v>11755</v>
      </c>
      <c r="P384" t="s">
        <v>1112</v>
      </c>
      <c r="Q384" t="s">
        <v>1113</v>
      </c>
      <c r="R384" t="s">
        <v>1110</v>
      </c>
      <c r="S384" t="s">
        <v>1106</v>
      </c>
      <c r="T384" t="s">
        <v>1114</v>
      </c>
      <c r="U384" t="s">
        <v>1107</v>
      </c>
      <c r="V384">
        <v>1</v>
      </c>
      <c r="W384" t="str">
        <f ca="1">IF(Tabela1[[#This Row],[datVigencia]]=0,"Expirado",IF(Tabela1[[#This Row],[datVigencia]]&gt;TODAY(),"Vigente","Expirado"))</f>
        <v>Vigente</v>
      </c>
      <c r="X384" s="2">
        <v>400</v>
      </c>
      <c r="Y384" s="2">
        <v>0</v>
      </c>
      <c r="Z384" s="2">
        <v>0</v>
      </c>
      <c r="AA384" s="2">
        <v>0</v>
      </c>
      <c r="AB384" s="2">
        <f>Tabela1[[#This Row],[valPrincipal]]+Tabela1[[#This Row],[valReajustes]]+Tabela1[[#This Row],[valAditamentos]]-Tabela1[[#This Row],[valAnulacao]]</f>
        <v>400</v>
      </c>
      <c r="AC384" s="2">
        <f>IF(Tabela1[[#This Row],[VigenciaMeses]]=0,Tabela1[[#This Row],[valTotal]]/1,Tabela1[[#This Row],[valTotal]]/Tabela1[[#This Row],[VigenciaMeses]])</f>
        <v>400</v>
      </c>
      <c r="AD384" s="2">
        <f>Tabela1[[#This Row],[valMensal]]*12</f>
        <v>4800</v>
      </c>
      <c r="AE384" s="2">
        <v>400</v>
      </c>
      <c r="AF384" s="2">
        <v>0</v>
      </c>
      <c r="AG384" s="2">
        <v>400</v>
      </c>
      <c r="AH384" s="2">
        <v>400</v>
      </c>
      <c r="AI384" s="2">
        <v>0</v>
      </c>
      <c r="AJ384" t="s">
        <v>47</v>
      </c>
    </row>
    <row r="385" spans="1:36" x14ac:dyDescent="0.25">
      <c r="A385" t="s">
        <v>36</v>
      </c>
      <c r="B385" t="s">
        <v>37</v>
      </c>
      <c r="C385" t="s">
        <v>38</v>
      </c>
      <c r="D385" t="s">
        <v>39</v>
      </c>
      <c r="E385">
        <v>14</v>
      </c>
      <c r="F385">
        <v>422</v>
      </c>
      <c r="G385">
        <v>3013</v>
      </c>
      <c r="H385">
        <v>4322</v>
      </c>
      <c r="I385" t="s">
        <v>1000</v>
      </c>
      <c r="J385" t="s">
        <v>55</v>
      </c>
      <c r="K385" t="s">
        <v>56</v>
      </c>
      <c r="L385">
        <v>6</v>
      </c>
      <c r="M385" t="s">
        <v>97</v>
      </c>
      <c r="N385">
        <v>2025</v>
      </c>
      <c r="O385">
        <v>11758</v>
      </c>
      <c r="Q385" t="s">
        <v>1115</v>
      </c>
      <c r="R385" t="s">
        <v>1116</v>
      </c>
      <c r="V385">
        <v>12</v>
      </c>
      <c r="W385" t="str">
        <f ca="1">IF(Tabela1[[#This Row],[datVigencia]]=0,"Expirado",IF(Tabela1[[#This Row],[datVigencia]]&gt;TODAY(),"Vigente","Expirado"))</f>
        <v>Expirado</v>
      </c>
      <c r="X385" s="2">
        <v>400</v>
      </c>
      <c r="Y385" s="2">
        <v>0</v>
      </c>
      <c r="Z385" s="2">
        <v>0</v>
      </c>
      <c r="AA385" s="2">
        <v>400</v>
      </c>
      <c r="AB385" s="2">
        <f>Tabela1[[#This Row],[valPrincipal]]+Tabela1[[#This Row],[valReajustes]]+Tabela1[[#This Row],[valAditamentos]]-Tabela1[[#This Row],[valAnulacao]]</f>
        <v>0</v>
      </c>
      <c r="AC385" s="2">
        <f>IF(Tabela1[[#This Row],[VigenciaMeses]]=0,Tabela1[[#This Row],[valTotal]]/1,Tabela1[[#This Row],[valTotal]]/Tabela1[[#This Row],[VigenciaMeses]])</f>
        <v>0</v>
      </c>
      <c r="AD385" s="2">
        <f>Tabela1[[#This Row],[valMensal]]*12</f>
        <v>0</v>
      </c>
      <c r="AE385" s="2">
        <v>400</v>
      </c>
      <c r="AF385" s="2">
        <v>400</v>
      </c>
      <c r="AG385" s="2">
        <v>0</v>
      </c>
      <c r="AH385" s="2">
        <v>0</v>
      </c>
      <c r="AI385" s="2">
        <v>0</v>
      </c>
      <c r="AJ385" t="s">
        <v>47</v>
      </c>
    </row>
    <row r="386" spans="1:36" x14ac:dyDescent="0.25">
      <c r="A386" t="s">
        <v>36</v>
      </c>
      <c r="B386" t="s">
        <v>37</v>
      </c>
      <c r="C386" t="s">
        <v>38</v>
      </c>
      <c r="D386" t="s">
        <v>39</v>
      </c>
      <c r="E386">
        <v>14</v>
      </c>
      <c r="F386">
        <v>422</v>
      </c>
      <c r="G386">
        <v>3013</v>
      </c>
      <c r="H386">
        <v>4322</v>
      </c>
      <c r="I386" t="s">
        <v>1000</v>
      </c>
      <c r="J386" t="s">
        <v>55</v>
      </c>
      <c r="K386" t="s">
        <v>56</v>
      </c>
      <c r="L386">
        <v>7</v>
      </c>
      <c r="M386" t="s">
        <v>324</v>
      </c>
      <c r="N386">
        <v>2025</v>
      </c>
      <c r="O386">
        <v>11780</v>
      </c>
      <c r="P386" t="s">
        <v>1117</v>
      </c>
      <c r="Q386" t="s">
        <v>1115</v>
      </c>
      <c r="R386" t="s">
        <v>1110</v>
      </c>
      <c r="S386" t="s">
        <v>1106</v>
      </c>
      <c r="T386" t="s">
        <v>1114</v>
      </c>
      <c r="U386" t="s">
        <v>1107</v>
      </c>
      <c r="V386">
        <v>12</v>
      </c>
      <c r="W386" t="str">
        <f ca="1">IF(Tabela1[[#This Row],[datVigencia]]=0,"Expirado",IF(Tabela1[[#This Row],[datVigencia]]&gt;TODAY(),"Vigente","Expirado"))</f>
        <v>Vigente</v>
      </c>
      <c r="X386" s="2">
        <v>400</v>
      </c>
      <c r="Y386" s="2">
        <v>0</v>
      </c>
      <c r="Z386" s="2">
        <v>0</v>
      </c>
      <c r="AA386" s="2">
        <v>0</v>
      </c>
      <c r="AB386" s="2">
        <f>Tabela1[[#This Row],[valPrincipal]]+Tabela1[[#This Row],[valReajustes]]+Tabela1[[#This Row],[valAditamentos]]-Tabela1[[#This Row],[valAnulacao]]</f>
        <v>400</v>
      </c>
      <c r="AC386" s="2">
        <f>IF(Tabela1[[#This Row],[VigenciaMeses]]=0,Tabela1[[#This Row],[valTotal]]/1,Tabela1[[#This Row],[valTotal]]/Tabela1[[#This Row],[VigenciaMeses]])</f>
        <v>33.333333333333336</v>
      </c>
      <c r="AD386" s="2">
        <f>Tabela1[[#This Row],[valMensal]]*12</f>
        <v>400</v>
      </c>
      <c r="AE386" s="2">
        <v>400</v>
      </c>
      <c r="AF386" s="2">
        <v>0</v>
      </c>
      <c r="AG386" s="2">
        <v>400</v>
      </c>
      <c r="AH386" s="2">
        <v>400</v>
      </c>
      <c r="AI386" s="2">
        <v>0</v>
      </c>
      <c r="AJ386" t="s">
        <v>47</v>
      </c>
    </row>
    <row r="387" spans="1:36" x14ac:dyDescent="0.25">
      <c r="A387" t="s">
        <v>36</v>
      </c>
      <c r="B387" t="s">
        <v>37</v>
      </c>
      <c r="C387" t="s">
        <v>38</v>
      </c>
      <c r="D387" t="s">
        <v>39</v>
      </c>
      <c r="E387">
        <v>14</v>
      </c>
      <c r="F387">
        <v>422</v>
      </c>
      <c r="G387">
        <v>3013</v>
      </c>
      <c r="H387">
        <v>4322</v>
      </c>
      <c r="I387" t="s">
        <v>1000</v>
      </c>
      <c r="J387" t="s">
        <v>55</v>
      </c>
      <c r="K387" t="s">
        <v>56</v>
      </c>
      <c r="L387">
        <v>7</v>
      </c>
      <c r="M387" t="s">
        <v>324</v>
      </c>
      <c r="N387">
        <v>2025</v>
      </c>
      <c r="O387">
        <v>11756</v>
      </c>
      <c r="P387" t="s">
        <v>1118</v>
      </c>
      <c r="Q387" t="s">
        <v>1119</v>
      </c>
      <c r="R387" t="s">
        <v>1120</v>
      </c>
      <c r="S387" t="s">
        <v>1015</v>
      </c>
      <c r="T387" t="s">
        <v>1114</v>
      </c>
      <c r="U387" t="s">
        <v>1107</v>
      </c>
      <c r="V387">
        <v>0</v>
      </c>
      <c r="W387" t="str">
        <f ca="1">IF(Tabela1[[#This Row],[datVigencia]]=0,"Expirado",IF(Tabela1[[#This Row],[datVigencia]]&gt;TODAY(),"Vigente","Expirado"))</f>
        <v>Vigente</v>
      </c>
      <c r="X387" s="2">
        <v>400</v>
      </c>
      <c r="Y387" s="2">
        <v>0</v>
      </c>
      <c r="Z387" s="2">
        <v>0</v>
      </c>
      <c r="AA387" s="2">
        <v>0</v>
      </c>
      <c r="AB387" s="2">
        <f>Tabela1[[#This Row],[valPrincipal]]+Tabela1[[#This Row],[valReajustes]]+Tabela1[[#This Row],[valAditamentos]]-Tabela1[[#This Row],[valAnulacao]]</f>
        <v>400</v>
      </c>
      <c r="AC387" s="2">
        <f>IF(Tabela1[[#This Row],[VigenciaMeses]]=0,Tabela1[[#This Row],[valTotal]]/1,Tabela1[[#This Row],[valTotal]]/Tabela1[[#This Row],[VigenciaMeses]])</f>
        <v>400</v>
      </c>
      <c r="AD387" s="2">
        <f>Tabela1[[#This Row],[valMensal]]*12</f>
        <v>4800</v>
      </c>
      <c r="AE387" s="2">
        <v>400</v>
      </c>
      <c r="AF387" s="2">
        <v>0</v>
      </c>
      <c r="AG387" s="2">
        <v>400</v>
      </c>
      <c r="AH387" s="2">
        <v>400</v>
      </c>
      <c r="AI387" s="2">
        <v>0</v>
      </c>
      <c r="AJ387" t="s">
        <v>47</v>
      </c>
    </row>
    <row r="388" spans="1:36" x14ac:dyDescent="0.25">
      <c r="A388" t="s">
        <v>36</v>
      </c>
      <c r="B388" t="s">
        <v>37</v>
      </c>
      <c r="C388" t="s">
        <v>38</v>
      </c>
      <c r="D388" t="s">
        <v>39</v>
      </c>
      <c r="E388">
        <v>14</v>
      </c>
      <c r="F388">
        <v>422</v>
      </c>
      <c r="G388">
        <v>3013</v>
      </c>
      <c r="H388">
        <v>4322</v>
      </c>
      <c r="I388" t="s">
        <v>1000</v>
      </c>
      <c r="J388" t="s">
        <v>55</v>
      </c>
      <c r="K388" t="s">
        <v>56</v>
      </c>
      <c r="L388">
        <v>7</v>
      </c>
      <c r="M388" t="s">
        <v>324</v>
      </c>
      <c r="N388">
        <v>2025</v>
      </c>
      <c r="O388">
        <v>11762</v>
      </c>
      <c r="P388" t="s">
        <v>1121</v>
      </c>
      <c r="Q388" t="s">
        <v>1122</v>
      </c>
      <c r="R388" t="s">
        <v>1123</v>
      </c>
      <c r="S388" t="s">
        <v>1106</v>
      </c>
      <c r="T388" t="s">
        <v>1114</v>
      </c>
      <c r="U388" t="s">
        <v>1107</v>
      </c>
      <c r="V388">
        <v>1</v>
      </c>
      <c r="W388" t="str">
        <f ca="1">IF(Tabela1[[#This Row],[datVigencia]]=0,"Expirado",IF(Tabela1[[#This Row],[datVigencia]]&gt;TODAY(),"Vigente","Expirado"))</f>
        <v>Vigente</v>
      </c>
      <c r="X388" s="2">
        <v>400</v>
      </c>
      <c r="Y388" s="2">
        <v>0</v>
      </c>
      <c r="Z388" s="2">
        <v>0</v>
      </c>
      <c r="AA388" s="2">
        <v>0</v>
      </c>
      <c r="AB388" s="2">
        <f>Tabela1[[#This Row],[valPrincipal]]+Tabela1[[#This Row],[valReajustes]]+Tabela1[[#This Row],[valAditamentos]]-Tabela1[[#This Row],[valAnulacao]]</f>
        <v>400</v>
      </c>
      <c r="AC388" s="2">
        <f>IF(Tabela1[[#This Row],[VigenciaMeses]]=0,Tabela1[[#This Row],[valTotal]]/1,Tabela1[[#This Row],[valTotal]]/Tabela1[[#This Row],[VigenciaMeses]])</f>
        <v>400</v>
      </c>
      <c r="AD388" s="2">
        <f>Tabela1[[#This Row],[valMensal]]*12</f>
        <v>4800</v>
      </c>
      <c r="AE388" s="2">
        <v>400</v>
      </c>
      <c r="AF388" s="2">
        <v>0</v>
      </c>
      <c r="AG388" s="2">
        <v>400</v>
      </c>
      <c r="AH388" s="2">
        <v>400</v>
      </c>
      <c r="AI388" s="2">
        <v>0</v>
      </c>
      <c r="AJ388" t="s">
        <v>47</v>
      </c>
    </row>
    <row r="389" spans="1:36" x14ac:dyDescent="0.25">
      <c r="A389" t="s">
        <v>36</v>
      </c>
      <c r="B389" t="s">
        <v>37</v>
      </c>
      <c r="C389" t="s">
        <v>38</v>
      </c>
      <c r="D389" t="s">
        <v>39</v>
      </c>
      <c r="E389">
        <v>14</v>
      </c>
      <c r="F389">
        <v>122</v>
      </c>
      <c r="G389">
        <v>3024</v>
      </c>
      <c r="H389">
        <v>2100</v>
      </c>
      <c r="I389" t="s">
        <v>157</v>
      </c>
      <c r="J389" t="s">
        <v>207</v>
      </c>
      <c r="K389" t="s">
        <v>208</v>
      </c>
      <c r="L389">
        <v>6</v>
      </c>
      <c r="M389" t="s">
        <v>97</v>
      </c>
      <c r="N389">
        <v>2025</v>
      </c>
      <c r="O389">
        <v>7652</v>
      </c>
      <c r="Q389" t="s">
        <v>934</v>
      </c>
      <c r="R389" t="s">
        <v>935</v>
      </c>
      <c r="U389" t="s">
        <v>831</v>
      </c>
      <c r="V389">
        <v>12</v>
      </c>
      <c r="W389" t="str">
        <f ca="1">IF(Tabela1[[#This Row],[datVigencia]]=0,"Expirado",IF(Tabela1[[#This Row],[datVigencia]]&gt;TODAY(),"Vigente","Expirado"))</f>
        <v>Vigente</v>
      </c>
      <c r="X389" s="2">
        <v>359.1</v>
      </c>
      <c r="Y389" s="2">
        <v>0</v>
      </c>
      <c r="Z389" s="2">
        <v>0</v>
      </c>
      <c r="AA389" s="2">
        <v>0</v>
      </c>
      <c r="AB389" s="2">
        <f>Tabela1[[#This Row],[valPrincipal]]+Tabela1[[#This Row],[valReajustes]]+Tabela1[[#This Row],[valAditamentos]]-Tabela1[[#This Row],[valAnulacao]]</f>
        <v>359.1</v>
      </c>
      <c r="AC389" s="2">
        <f>IF(Tabela1[[#This Row],[VigenciaMeses]]=0,Tabela1[[#This Row],[valTotal]]/1,Tabela1[[#This Row],[valTotal]]/Tabela1[[#This Row],[VigenciaMeses]])</f>
        <v>29.925000000000001</v>
      </c>
      <c r="AD389" s="2">
        <f>Tabela1[[#This Row],[valMensal]]*12</f>
        <v>359.1</v>
      </c>
      <c r="AE389" s="2">
        <v>359.1</v>
      </c>
      <c r="AF389" s="2">
        <v>0</v>
      </c>
      <c r="AG389" s="2">
        <v>359.1</v>
      </c>
      <c r="AH389" s="2">
        <v>359.1</v>
      </c>
      <c r="AI389" s="2">
        <v>359.1</v>
      </c>
      <c r="AJ389" t="s">
        <v>47</v>
      </c>
    </row>
    <row r="390" spans="1:36" x14ac:dyDescent="0.25">
      <c r="A390" t="s">
        <v>36</v>
      </c>
      <c r="B390" t="s">
        <v>37</v>
      </c>
      <c r="C390" t="s">
        <v>38</v>
      </c>
      <c r="D390" t="s">
        <v>39</v>
      </c>
      <c r="E390">
        <v>14</v>
      </c>
      <c r="F390">
        <v>126</v>
      </c>
      <c r="G390">
        <v>3011</v>
      </c>
      <c r="H390">
        <v>2818</v>
      </c>
      <c r="I390" t="s">
        <v>69</v>
      </c>
      <c r="J390" t="s">
        <v>55</v>
      </c>
      <c r="K390" t="s">
        <v>56</v>
      </c>
      <c r="L390">
        <v>6</v>
      </c>
      <c r="M390" t="s">
        <v>97</v>
      </c>
      <c r="N390">
        <v>2025</v>
      </c>
      <c r="O390">
        <v>8078</v>
      </c>
      <c r="Q390" t="s">
        <v>947</v>
      </c>
      <c r="R390" t="s">
        <v>948</v>
      </c>
      <c r="V390">
        <v>12</v>
      </c>
      <c r="W390" t="str">
        <f ca="1">IF(Tabela1[[#This Row],[datVigencia]]=0,"Expirado",IF(Tabela1[[#This Row],[datVigencia]]&gt;TODAY(),"Vigente","Expirado"))</f>
        <v>Expirado</v>
      </c>
      <c r="X390" s="2">
        <v>329.9</v>
      </c>
      <c r="Y390" s="2">
        <v>0</v>
      </c>
      <c r="Z390" s="2">
        <v>0</v>
      </c>
      <c r="AA390" s="2">
        <v>0</v>
      </c>
      <c r="AB390" s="2">
        <f>Tabela1[[#This Row],[valPrincipal]]+Tabela1[[#This Row],[valReajustes]]+Tabela1[[#This Row],[valAditamentos]]-Tabela1[[#This Row],[valAnulacao]]</f>
        <v>329.9</v>
      </c>
      <c r="AC390" s="2">
        <f>IF(Tabela1[[#This Row],[VigenciaMeses]]=0,Tabela1[[#This Row],[valTotal]]/1,Tabela1[[#This Row],[valTotal]]/Tabela1[[#This Row],[VigenciaMeses]])</f>
        <v>27.491666666666664</v>
      </c>
      <c r="AD390" s="2">
        <f>Tabela1[[#This Row],[valMensal]]*12</f>
        <v>329.9</v>
      </c>
      <c r="AE390" s="2">
        <v>329.9</v>
      </c>
      <c r="AF390" s="2">
        <v>0</v>
      </c>
      <c r="AG390" s="2">
        <v>329.9</v>
      </c>
      <c r="AH390" s="2">
        <v>0</v>
      </c>
      <c r="AI390" s="2">
        <v>0</v>
      </c>
      <c r="AJ390" t="s">
        <v>47</v>
      </c>
    </row>
    <row r="391" spans="1:36" x14ac:dyDescent="0.25">
      <c r="A391" t="s">
        <v>36</v>
      </c>
      <c r="B391" t="s">
        <v>37</v>
      </c>
      <c r="C391" t="s">
        <v>38</v>
      </c>
      <c r="D391" t="s">
        <v>39</v>
      </c>
      <c r="E391">
        <v>14</v>
      </c>
      <c r="F391">
        <v>122</v>
      </c>
      <c r="G391">
        <v>3024</v>
      </c>
      <c r="H391">
        <v>2100</v>
      </c>
      <c r="I391" t="s">
        <v>157</v>
      </c>
      <c r="J391" t="s">
        <v>49</v>
      </c>
      <c r="K391" t="s">
        <v>50</v>
      </c>
      <c r="L391">
        <v>12</v>
      </c>
      <c r="M391" t="s">
        <v>51</v>
      </c>
      <c r="N391">
        <v>2025</v>
      </c>
      <c r="O391">
        <v>7116</v>
      </c>
      <c r="Q391" t="s">
        <v>913</v>
      </c>
      <c r="R391" t="s">
        <v>914</v>
      </c>
      <c r="U391" t="s">
        <v>757</v>
      </c>
      <c r="V391">
        <v>12</v>
      </c>
      <c r="W391" t="str">
        <f ca="1">IF(Tabela1[[#This Row],[datVigencia]]=0,"Expirado",IF(Tabela1[[#This Row],[datVigencia]]&gt;TODAY(),"Vigente","Expirado"))</f>
        <v>Vigente</v>
      </c>
      <c r="X391" s="2">
        <v>300</v>
      </c>
      <c r="Y391" s="2">
        <v>0</v>
      </c>
      <c r="Z391" s="2">
        <v>0</v>
      </c>
      <c r="AA391" s="2">
        <v>0</v>
      </c>
      <c r="AB391" s="2">
        <f>Tabela1[[#This Row],[valPrincipal]]+Tabela1[[#This Row],[valReajustes]]+Tabela1[[#This Row],[valAditamentos]]-Tabela1[[#This Row],[valAnulacao]]</f>
        <v>300</v>
      </c>
      <c r="AC391" s="2">
        <f>IF(Tabela1[[#This Row],[VigenciaMeses]]=0,Tabela1[[#This Row],[valTotal]]/1,Tabela1[[#This Row],[valTotal]]/Tabela1[[#This Row],[VigenciaMeses]])</f>
        <v>25</v>
      </c>
      <c r="AD391" s="2">
        <f>Tabela1[[#This Row],[valMensal]]*12</f>
        <v>300</v>
      </c>
      <c r="AE391" s="2">
        <v>300</v>
      </c>
      <c r="AF391" s="2">
        <v>0</v>
      </c>
      <c r="AG391" s="2">
        <v>300</v>
      </c>
      <c r="AH391" s="2">
        <v>300</v>
      </c>
      <c r="AI391" s="2">
        <v>300</v>
      </c>
      <c r="AJ391" t="s">
        <v>47</v>
      </c>
    </row>
    <row r="392" spans="1:36" x14ac:dyDescent="0.25">
      <c r="A392" t="s">
        <v>36</v>
      </c>
      <c r="B392" t="s">
        <v>37</v>
      </c>
      <c r="C392" t="s">
        <v>38</v>
      </c>
      <c r="D392" t="s">
        <v>39</v>
      </c>
      <c r="E392">
        <v>14</v>
      </c>
      <c r="F392">
        <v>122</v>
      </c>
      <c r="G392">
        <v>3024</v>
      </c>
      <c r="H392">
        <v>2100</v>
      </c>
      <c r="I392" t="s">
        <v>157</v>
      </c>
      <c r="J392" t="s">
        <v>49</v>
      </c>
      <c r="K392" t="s">
        <v>50</v>
      </c>
      <c r="L392">
        <v>12</v>
      </c>
      <c r="M392" t="s">
        <v>51</v>
      </c>
      <c r="N392">
        <v>2025</v>
      </c>
      <c r="O392">
        <v>7306</v>
      </c>
      <c r="Q392" t="s">
        <v>921</v>
      </c>
      <c r="R392" t="s">
        <v>922</v>
      </c>
      <c r="U392" t="s">
        <v>923</v>
      </c>
      <c r="V392">
        <v>12</v>
      </c>
      <c r="W392" t="str">
        <f ca="1">IF(Tabela1[[#This Row],[datVigencia]]=0,"Expirado",IF(Tabela1[[#This Row],[datVigencia]]&gt;TODAY(),"Vigente","Expirado"))</f>
        <v>Vigente</v>
      </c>
      <c r="X392" s="2">
        <v>287</v>
      </c>
      <c r="Y392" s="2">
        <v>0</v>
      </c>
      <c r="Z392" s="2">
        <v>0</v>
      </c>
      <c r="AA392" s="2">
        <v>0</v>
      </c>
      <c r="AB392" s="2">
        <f>Tabela1[[#This Row],[valPrincipal]]+Tabela1[[#This Row],[valReajustes]]+Tabela1[[#This Row],[valAditamentos]]-Tabela1[[#This Row],[valAnulacao]]</f>
        <v>287</v>
      </c>
      <c r="AC392" s="2">
        <f>IF(Tabela1[[#This Row],[VigenciaMeses]]=0,Tabela1[[#This Row],[valTotal]]/1,Tabela1[[#This Row],[valTotal]]/Tabela1[[#This Row],[VigenciaMeses]])</f>
        <v>23.916666666666668</v>
      </c>
      <c r="AD392" s="2">
        <f>Tabela1[[#This Row],[valMensal]]*12</f>
        <v>287</v>
      </c>
      <c r="AE392" s="2">
        <v>287</v>
      </c>
      <c r="AF392" s="2">
        <v>0</v>
      </c>
      <c r="AG392" s="2">
        <v>287</v>
      </c>
      <c r="AH392" s="2">
        <v>287</v>
      </c>
      <c r="AI392" s="2">
        <v>287</v>
      </c>
      <c r="AJ392" t="s">
        <v>47</v>
      </c>
    </row>
    <row r="393" spans="1:36" x14ac:dyDescent="0.25">
      <c r="A393" t="s">
        <v>36</v>
      </c>
      <c r="B393" t="s">
        <v>37</v>
      </c>
      <c r="C393" t="s">
        <v>38</v>
      </c>
      <c r="D393" t="s">
        <v>39</v>
      </c>
      <c r="E393">
        <v>14</v>
      </c>
      <c r="F393">
        <v>422</v>
      </c>
      <c r="G393">
        <v>3013</v>
      </c>
      <c r="H393">
        <v>6178</v>
      </c>
      <c r="I393" t="s">
        <v>48</v>
      </c>
      <c r="J393" t="s">
        <v>940</v>
      </c>
      <c r="K393" t="s">
        <v>941</v>
      </c>
      <c r="L393">
        <v>8</v>
      </c>
      <c r="M393" t="s">
        <v>43</v>
      </c>
      <c r="N393">
        <v>2025</v>
      </c>
      <c r="O393">
        <v>7976</v>
      </c>
      <c r="Q393" t="s">
        <v>942</v>
      </c>
      <c r="R393" t="s">
        <v>943</v>
      </c>
      <c r="U393" t="s">
        <v>560</v>
      </c>
      <c r="V393">
        <v>12</v>
      </c>
      <c r="W393" t="str">
        <f ca="1">IF(Tabela1[[#This Row],[datVigencia]]=0,"Expirado",IF(Tabela1[[#This Row],[datVigencia]]&gt;TODAY(),"Vigente","Expirado"))</f>
        <v>Vigente</v>
      </c>
      <c r="X393" s="2">
        <v>130.16</v>
      </c>
      <c r="Y393" s="2">
        <v>0</v>
      </c>
      <c r="Z393" s="2">
        <v>69.84</v>
      </c>
      <c r="AA393" s="2">
        <v>47.51</v>
      </c>
      <c r="AB393" s="2">
        <f>Tabela1[[#This Row],[valPrincipal]]+Tabela1[[#This Row],[valReajustes]]+Tabela1[[#This Row],[valAditamentos]]-Tabela1[[#This Row],[valAnulacao]]</f>
        <v>152.49</v>
      </c>
      <c r="AC393" s="2">
        <f>IF(Tabela1[[#This Row],[VigenciaMeses]]=0,Tabela1[[#This Row],[valTotal]]/1,Tabela1[[#This Row],[valTotal]]/Tabela1[[#This Row],[VigenciaMeses]])</f>
        <v>12.707500000000001</v>
      </c>
      <c r="AD393" s="2">
        <f>Tabela1[[#This Row],[valMensal]]*12</f>
        <v>152.49</v>
      </c>
      <c r="AE393" s="2">
        <v>330.16</v>
      </c>
      <c r="AF393" s="2">
        <v>177.67</v>
      </c>
      <c r="AG393" s="2">
        <v>152.49</v>
      </c>
      <c r="AH393" s="2">
        <v>152.49</v>
      </c>
      <c r="AI393" s="2">
        <v>152.49</v>
      </c>
      <c r="AJ393" t="s">
        <v>47</v>
      </c>
    </row>
    <row r="394" spans="1:36" x14ac:dyDescent="0.25">
      <c r="A394" t="s">
        <v>36</v>
      </c>
      <c r="B394" t="s">
        <v>37</v>
      </c>
      <c r="C394" t="s">
        <v>38</v>
      </c>
      <c r="D394" t="s">
        <v>39</v>
      </c>
      <c r="E394">
        <v>14</v>
      </c>
      <c r="F394">
        <v>122</v>
      </c>
      <c r="G394">
        <v>3024</v>
      </c>
      <c r="H394">
        <v>2100</v>
      </c>
      <c r="I394" t="s">
        <v>157</v>
      </c>
      <c r="J394" t="s">
        <v>207</v>
      </c>
      <c r="K394" t="s">
        <v>208</v>
      </c>
      <c r="L394">
        <v>6</v>
      </c>
      <c r="M394" t="s">
        <v>97</v>
      </c>
      <c r="N394">
        <v>2025</v>
      </c>
      <c r="O394">
        <v>11655</v>
      </c>
      <c r="Q394" t="s">
        <v>1095</v>
      </c>
      <c r="R394" t="s">
        <v>1096</v>
      </c>
      <c r="V394">
        <v>12</v>
      </c>
      <c r="W394" t="str">
        <f ca="1">IF(Tabela1[[#This Row],[datVigencia]]=0,"Expirado",IF(Tabela1[[#This Row],[datVigencia]]&gt;TODAY(),"Vigente","Expirado"))</f>
        <v>Expirado</v>
      </c>
      <c r="X394" s="2">
        <v>100</v>
      </c>
      <c r="Y394" s="2">
        <v>0</v>
      </c>
      <c r="Z394" s="2">
        <v>0</v>
      </c>
      <c r="AA394" s="2">
        <v>100</v>
      </c>
      <c r="AB394" s="2">
        <f>Tabela1[[#This Row],[valPrincipal]]+Tabela1[[#This Row],[valReajustes]]+Tabela1[[#This Row],[valAditamentos]]-Tabela1[[#This Row],[valAnulacao]]</f>
        <v>0</v>
      </c>
      <c r="AC394" s="2">
        <f>IF(Tabela1[[#This Row],[VigenciaMeses]]=0,Tabela1[[#This Row],[valTotal]]/1,Tabela1[[#This Row],[valTotal]]/Tabela1[[#This Row],[VigenciaMeses]])</f>
        <v>0</v>
      </c>
      <c r="AD394" s="2">
        <f>Tabela1[[#This Row],[valMensal]]*12</f>
        <v>0</v>
      </c>
      <c r="AE394" s="2">
        <v>100</v>
      </c>
      <c r="AF394" s="2">
        <v>100</v>
      </c>
      <c r="AG394" s="2">
        <v>0</v>
      </c>
      <c r="AH394" s="2">
        <v>0</v>
      </c>
      <c r="AI394" s="2">
        <v>0</v>
      </c>
      <c r="AJ394" t="s">
        <v>47</v>
      </c>
    </row>
    <row r="395" spans="1:36" x14ac:dyDescent="0.25">
      <c r="A395" t="s">
        <v>36</v>
      </c>
      <c r="B395" t="s">
        <v>37</v>
      </c>
      <c r="C395" t="s">
        <v>38</v>
      </c>
      <c r="D395" t="s">
        <v>39</v>
      </c>
      <c r="E395">
        <v>14</v>
      </c>
      <c r="F395">
        <v>122</v>
      </c>
      <c r="G395">
        <v>3024</v>
      </c>
      <c r="H395">
        <v>2100</v>
      </c>
      <c r="I395" t="s">
        <v>157</v>
      </c>
      <c r="J395" t="s">
        <v>49</v>
      </c>
      <c r="K395" t="s">
        <v>50</v>
      </c>
      <c r="L395">
        <v>12</v>
      </c>
      <c r="M395" t="s">
        <v>51</v>
      </c>
      <c r="N395">
        <v>2025</v>
      </c>
      <c r="O395">
        <v>11683</v>
      </c>
      <c r="Q395" t="s">
        <v>1095</v>
      </c>
      <c r="R395" t="s">
        <v>1096</v>
      </c>
      <c r="U395" t="s">
        <v>1097</v>
      </c>
      <c r="V395">
        <v>12</v>
      </c>
      <c r="W395" t="str">
        <f ca="1">IF(Tabela1[[#This Row],[datVigencia]]=0,"Expirado",IF(Tabela1[[#This Row],[datVigencia]]&gt;TODAY(),"Vigente","Expirado"))</f>
        <v>Vigente</v>
      </c>
      <c r="X395" s="2">
        <v>100</v>
      </c>
      <c r="Y395" s="2">
        <v>0</v>
      </c>
      <c r="Z395" s="2">
        <v>0</v>
      </c>
      <c r="AA395" s="2">
        <v>0</v>
      </c>
      <c r="AB395" s="2">
        <f>Tabela1[[#This Row],[valPrincipal]]+Tabela1[[#This Row],[valReajustes]]+Tabela1[[#This Row],[valAditamentos]]-Tabela1[[#This Row],[valAnulacao]]</f>
        <v>100</v>
      </c>
      <c r="AC395" s="2">
        <f>IF(Tabela1[[#This Row],[VigenciaMeses]]=0,Tabela1[[#This Row],[valTotal]]/1,Tabela1[[#This Row],[valTotal]]/Tabela1[[#This Row],[VigenciaMeses]])</f>
        <v>8.3333333333333339</v>
      </c>
      <c r="AD395" s="2">
        <f>Tabela1[[#This Row],[valMensal]]*12</f>
        <v>100</v>
      </c>
      <c r="AE395" s="2">
        <v>100</v>
      </c>
      <c r="AF395" s="2">
        <v>0</v>
      </c>
      <c r="AG395" s="2">
        <v>100</v>
      </c>
      <c r="AH395" s="2">
        <v>100</v>
      </c>
      <c r="AI395" s="2">
        <v>100</v>
      </c>
      <c r="AJ395" t="s">
        <v>47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de Sousa Faita</cp:lastModifiedBy>
  <dcterms:created xsi:type="dcterms:W3CDTF">2025-07-01T19:02:41Z</dcterms:created>
  <dcterms:modified xsi:type="dcterms:W3CDTF">2025-07-01T20:28:19Z</dcterms:modified>
</cp:coreProperties>
</file>